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26747f3e5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61470e8ce1b34f23"/>
    <x:sheet xmlns:r="http://schemas.openxmlformats.org/officeDocument/2006/relationships" name="Dashboard_Summary" sheetId="2" r:id="R9893277f136f4d11"/>
    <x:sheet xmlns:r="http://schemas.openxmlformats.org/officeDocument/2006/relationships" name="Raw_Transactions" sheetId="3" r:id="R950a15d4f305411b"/>
    <x:sheet xmlns:r="http://schemas.openxmlformats.org/officeDocument/2006/relationships" name="Account_Activity" sheetId="4" r:id="R3bc5c280936d4590"/>
    <x:sheet xmlns:r="http://schemas.openxmlformats.org/officeDocument/2006/relationships" name="Daily_Cashflow" sheetId="5" r:id="R567fa7afb6a24aaa"/>
    <x:sheet xmlns:r="http://schemas.openxmlformats.org/officeDocument/2006/relationships" name="Weekly_Cashflow" sheetId="6" r:id="R48d496b09cde4d0d"/>
    <x:sheet xmlns:r="http://schemas.openxmlformats.org/officeDocument/2006/relationships" name="Monthly_Cashflow" sheetId="7" r:id="R51cb7e3690b14102"/>
    <x:sheet xmlns:r="http://schemas.openxmlformats.org/officeDocument/2006/relationships" name="Income_Receipts" sheetId="8" r:id="R4ff3b1aa8e1940c4"/>
    <x:sheet xmlns:r="http://schemas.openxmlformats.org/officeDocument/2006/relationships" name="Payments_Outflows" sheetId="9" r:id="R61ac853bca444046"/>
    <x:sheet xmlns:r="http://schemas.openxmlformats.org/officeDocument/2006/relationships" name="Transfers_Internal" sheetId="10" r:id="R7c4eafd13e0e424d"/>
    <x:sheet xmlns:r="http://schemas.openxmlformats.org/officeDocument/2006/relationships" name="Card_Spend" sheetId="11" r:id="Rdf31eb31a76f4eeb"/>
    <x:sheet xmlns:r="http://schemas.openxmlformats.org/officeDocument/2006/relationships" name="EFT_Transfers" sheetId="12" r:id="Rdd9be829325b4218"/>
    <x:sheet xmlns:r="http://schemas.openxmlformats.org/officeDocument/2006/relationships" name="Category_Summary" sheetId="13" r:id="R7882ba91da4d485c"/>
    <x:sheet xmlns:r="http://schemas.openxmlformats.org/officeDocument/2006/relationships" name="Counterparty_Summary" sheetId="14" r:id="R5c87aec8632c4ad0"/>
    <x:sheet xmlns:r="http://schemas.openxmlformats.org/officeDocument/2006/relationships" name="Monthly_Income_Statement" sheetId="15" r:id="R64116d1ad08741d6"/>
    <x:sheet xmlns:r="http://schemas.openxmlformats.org/officeDocument/2006/relationships" name="Category_Mapping" sheetId="16" r:id="R2d5bb1e60e454d6f"/>
    <x:sheet xmlns:r="http://schemas.openxmlformats.org/officeDocument/2006/relationships" name="Exceptions_Review" sheetId="17" r:id="Rd6ea4dcc64a9464a"/>
    <x:sheet xmlns:r="http://schemas.openxmlformats.org/officeDocument/2006/relationships" name="Reconciliation_Checks" sheetId="18" r:id="R6f6dcda417a5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 #,##0.00;[Red]-R #,##0.00"/>
    <x:numFmt numFmtId="201" formatCode="yyyy-mm-dd hh:mm"/>
    <x:numFmt numFmtId="202" formatCode="yyyy-mm-dd"/>
    <x:numFmt numFmtId="203" formatCode="R #,##0.00;[Red]-R #,##0.00;R 0.00"/>
    <x:numFmt numFmtId="204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B91C1C"/>
      </x:font>
    </x:dxf>
    <x:dxf>
      <x:font>
        <x:color rgb="FFB91C1C"/>
      </x:font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095fb9f654049" /><Relationship Type="http://schemas.openxmlformats.org/officeDocument/2006/relationships/theme" Target="/xl/theme/theme1.xml" Id="Rd030e69d5e154393" /><Relationship Type="http://schemas.openxmlformats.org/officeDocument/2006/relationships/sharedStrings" Target="/xl/sharedStrings.xml" Id="R80d18f3473d444bf" /><Relationship Type="http://schemas.openxmlformats.org/officeDocument/2006/relationships/worksheet" Target="/xl/worksheets/sheet1.xml" Id="R61470e8ce1b34f23" /><Relationship Type="http://schemas.openxmlformats.org/officeDocument/2006/relationships/worksheet" Target="/xl/worksheets/sheet2.xml" Id="R9893277f136f4d11" /><Relationship Type="http://schemas.openxmlformats.org/officeDocument/2006/relationships/worksheet" Target="/xl/worksheets/sheet3.xml" Id="R950a15d4f305411b" /><Relationship Type="http://schemas.openxmlformats.org/officeDocument/2006/relationships/worksheet" Target="/xl/worksheets/sheet4.xml" Id="R3bc5c280936d4590" /><Relationship Type="http://schemas.openxmlformats.org/officeDocument/2006/relationships/worksheet" Target="/xl/worksheets/sheet5.xml" Id="R567fa7afb6a24aaa" /><Relationship Type="http://schemas.openxmlformats.org/officeDocument/2006/relationships/worksheet" Target="/xl/worksheets/sheet6.xml" Id="R48d496b09cde4d0d" /><Relationship Type="http://schemas.openxmlformats.org/officeDocument/2006/relationships/worksheet" Target="/xl/worksheets/sheet7.xml" Id="R51cb7e3690b14102" /><Relationship Type="http://schemas.openxmlformats.org/officeDocument/2006/relationships/worksheet" Target="/xl/worksheets/sheet8.xml" Id="R4ff3b1aa8e1940c4" /><Relationship Type="http://schemas.openxmlformats.org/officeDocument/2006/relationships/worksheet" Target="/xl/worksheets/sheet9.xml" Id="R61ac853bca444046" /><Relationship Type="http://schemas.openxmlformats.org/officeDocument/2006/relationships/worksheet" Target="/xl/worksheets/sheet10.xml" Id="R7c4eafd13e0e424d" /><Relationship Type="http://schemas.openxmlformats.org/officeDocument/2006/relationships/worksheet" Target="/xl/worksheets/sheet11.xml" Id="Rdf31eb31a76f4eeb" /><Relationship Type="http://schemas.openxmlformats.org/officeDocument/2006/relationships/worksheet" Target="/xl/worksheets/sheet12.xml" Id="Rdd9be829325b4218" /><Relationship Type="http://schemas.openxmlformats.org/officeDocument/2006/relationships/worksheet" Target="/xl/worksheets/sheet13.xml" Id="R7882ba91da4d485c" /><Relationship Type="http://schemas.openxmlformats.org/officeDocument/2006/relationships/worksheet" Target="/xl/worksheets/sheet14.xml" Id="R5c87aec8632c4ad0" /><Relationship Type="http://schemas.openxmlformats.org/officeDocument/2006/relationships/worksheet" Target="/xl/worksheets/sheet15.xml" Id="R64116d1ad08741d6" /><Relationship Type="http://schemas.openxmlformats.org/officeDocument/2006/relationships/worksheet" Target="/xl/worksheets/sheet16.xml" Id="R2d5bb1e60e454d6f" /><Relationship Type="http://schemas.openxmlformats.org/officeDocument/2006/relationships/worksheet" Target="/xl/worksheets/sheet17.xml" Id="Rd6ea4dcc64a9464a" /><Relationship Type="http://schemas.openxmlformats.org/officeDocument/2006/relationships/worksheet" Target="/xl/worksheets/sheet18.xml" Id="R6f6dcda417a547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30ed99a89548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Cashflow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inflows</c:v>
          </c:tx>
          <c:cat>
            <c:strRef>
              <c:f>'Monthly_Cashflow'!$A$2:$A$11</c:f>
              <c:strCache>
                <c:ptCount val="0"/>
              </c:strCache>
            </c:strRef>
          </c:cat>
          <c:val>
            <c:numRef>
              <c:f>'Monthly_Cashflow'!$B$2:$B$11</c:f>
              <c:numCache>
                <c:formatCode>R #,##0.00;[Red]-R #,##0.00;R 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outflows</c:v>
          </c:tx>
          <c:cat>
            <c:strRef>
              <c:f>'Monthly_Cashflow'!$A$2:$A$11</c:f>
              <c:strCache>
                <c:ptCount val="0"/>
              </c:strCache>
            </c:strRef>
          </c:cat>
          <c:val>
            <c:numRef>
              <c:f>'Monthly_Cashflow'!$C$2:$C$11</c:f>
              <c:numCache>
                <c:formatCode>R #,##0.00;[Red]-R #,##0.00;R 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Refunds/reversals</c:v>
          </c:tx>
          <c:cat>
            <c:strRef>
              <c:f>'Monthly_Cashflow'!$A$2:$A$11</c:f>
              <c:strCache>
                <c:ptCount val="0"/>
              </c:strCache>
            </c:strRef>
          </c:cat>
          <c:val>
            <c:numRef>
              <c:f>'Monthly_Cashflow'!$D$2:$D$11</c:f>
              <c:numCache>
                <c:formatCode>R #,##0.00;[Red]-R #,##0.00;R 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Internal transfers</c:v>
          </c:tx>
          <c:cat>
            <c:strRef>
              <c:f>'Monthly_Cashflow'!$A$2:$A$11</c:f>
              <c:strCache>
                <c:ptCount val="0"/>
              </c:strCache>
            </c:strRef>
          </c:cat>
          <c:val>
            <c:numRef>
              <c:f>'Monthly_Cashflow'!$E$2:$E$11</c:f>
              <c:numCache>
                <c:formatCode>R #,##0.00;[Red]-R #,##0.00;R 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Net cashflow</c:v>
          </c:tx>
          <c:cat>
            <c:strRef>
              <c:f>'Monthly_Cashflow'!$A$2:$A$11</c:f>
              <c:strCache>
                <c:ptCount val="0"/>
              </c:strCache>
            </c:strRef>
          </c:cat>
          <c:val>
            <c:numRef>
              <c:f>'Monthly_Cashflow'!$F$2:$F$11</c:f>
              <c:numCache>
                <c:formatCode>R #,##0.00;[Red]-R #,##0.00;R 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30ed99a89548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TransactionsTable" displayName="RawTransactionsTable" ref="A1:Y948" headerRowCount="1">
  <x:tableColumns count="25">
    <x:tableColumn id="1" name="Transaction date/time"/>
    <x:tableColumn id="2" name="Transaction date"/>
    <x:tableColumn id="3" name="Email date/time"/>
    <x:tableColumn id="4" name="Account identifier"/>
    <x:tableColumn id="5" name="Card identifier"/>
    <x:tableColumn id="6" name="Description"/>
    <x:tableColumn id="7" name="Counterparty / merchant / payer / payee"/>
    <x:tableColumn id="8" name="Amount"/>
    <x:tableColumn id="9" name="Currency"/>
    <x:tableColumn id="10" name="Direction"/>
    <x:tableColumn id="11" name="Transaction type"/>
    <x:tableColumn id="12" name="Category"/>
    <x:tableColumn id="13" name="Balance after transaction"/>
    <x:tableColumn id="14" name="Available balance"/>
    <x:tableColumn id="15" name="Location"/>
    <x:tableColumn id="16" name="Source ZIP file"/>
    <x:tableColumn id="17" name="Source .eml file"/>
    <x:tableColumn id="18" name="Extraction confidence"/>
    <x:tableColumn id="19" name="Notes"/>
    <x:tableColumn id="20" name="From account"/>
    <x:tableColumn id="21" name="To account"/>
    <x:tableColumn id="22" name="Reference"/>
    <x:tableColumn id="23" name="Channel / method"/>
    <x:tableColumn id="24" name="Notification text"/>
    <x:tableColumn id="25" name="Duplicate key"/>
  </x:tableColumns>
  <x:tableStyleInfo name="TableStyleMedium2" showRowStripes="1"/>
</x:table>
</file>

<file path=xl/tables/table2.xml><?xml version="1.0" encoding="utf-8"?>
<x:table xmlns:x="http://schemas.openxmlformats.org/spreadsheetml/2006/main" id="2" name="AccountActivityTable" displayName="AccountActivityTable" ref="A1:J948" headerRowCount="1">
  <x:tableColumns count="10">
    <x:tableColumn id="1" name="Account/card identifier"/>
    <x:tableColumn id="2" name="Date"/>
    <x:tableColumn id="3" name="Description"/>
    <x:tableColumn id="4" name="Inflow"/>
    <x:tableColumn id="5" name="Outflow"/>
    <x:tableColumn id="6" name="Internal transfer"/>
    <x:tableColumn id="7" name="Balance if available"/>
    <x:tableColumn id="8" name="Category"/>
    <x:tableColumn id="9" name="Counterparty"/>
    <x:tableColumn id="10" name="Source reference"/>
  </x:tableColumns>
  <x:tableStyleInfo name="TableStyleMedium2" showRowStripes="1"/>
</x:table>
</file>

<file path=xl/tables/table3.xml><?xml version="1.0" encoding="utf-8"?>
<x:table xmlns:x="http://schemas.openxmlformats.org/spreadsheetml/2006/main" id="3" name="DailyCashflowTable" displayName="DailyCashflowTable" ref="A1:J275" headerRowCount="1">
  <x:tableColumns count="10">
    <x:tableColumn id="1" name="Date"/>
    <x:tableColumn id="2" name="Total inflows"/>
    <x:tableColumn id="3" name="Total outflows"/>
    <x:tableColumn id="4" name="Refunds/reversals"/>
    <x:tableColumn id="5" name="Internal transfers"/>
    <x:tableColumn id="6" name="Net cashflow"/>
    <x:tableColumn id="7" name="Number of transactions"/>
    <x:tableColumn id="8" name="Top income source"/>
    <x:tableColumn id="9" name="Top payee/merchant"/>
    <x:tableColumn id="10" name="Main expense category"/>
  </x:tableColumns>
  <x:tableStyleInfo name="TableStyleMedium2" showRowStripes="1"/>
</x:table>
</file>

<file path=xl/tables/table4.xml><?xml version="1.0" encoding="utf-8"?>
<x:table xmlns:x="http://schemas.openxmlformats.org/spreadsheetml/2006/main" id="4" name="WeeklyCashflowTable" displayName="WeeklyCashflowTable" ref="A1:K41" headerRowCount="1">
  <x:tableColumns count="11">
    <x:tableColumn id="1" name="Week start date"/>
    <x:tableColumn id="2" name="Week end date"/>
    <x:tableColumn id="3" name="Total inflows"/>
    <x:tableColumn id="4" name="Total outflows"/>
    <x:tableColumn id="5" name="Refunds/reversals"/>
    <x:tableColumn id="6" name="Internal transfers"/>
    <x:tableColumn id="7" name="Net cashflow"/>
    <x:tableColumn id="8" name="Number of transactions"/>
    <x:tableColumn id="9" name="Top income sources"/>
    <x:tableColumn id="10" name="Top payees/merchants"/>
    <x:tableColumn id="11" name="Top categories"/>
  </x:tableColumns>
  <x:tableStyleInfo name="TableStyleMedium2" showRowStripes="1"/>
</x:table>
</file>

<file path=xl/tables/table5.xml><?xml version="1.0" encoding="utf-8"?>
<x:table xmlns:x="http://schemas.openxmlformats.org/spreadsheetml/2006/main" id="5" name="MonthlyCashflowTable" displayName="MonthlyCashflowTable" ref="A1:J11" headerRowCount="1">
  <x:tableColumns count="10">
    <x:tableColumn id="1" name="Month"/>
    <x:tableColumn id="2" name="Total inflows"/>
    <x:tableColumn id="3" name="Total outflows"/>
    <x:tableColumn id="4" name="Refunds/reversals"/>
    <x:tableColumn id="5" name="Internal transfers"/>
    <x:tableColumn id="6" name="Net cashflow"/>
    <x:tableColumn id="7" name="Number of transactions"/>
    <x:tableColumn id="8" name="Top income sources"/>
    <x:tableColumn id="9" name="Top payees/merchants"/>
    <x:tableColumn id="10" name="Top categories"/>
  </x:tableColumns>
  <x:tableStyleInfo name="TableStyleMedium2" showRowStripes="1"/>
</x:table>
</file>

<file path=xl/tables/table6.xml><?xml version="1.0" encoding="utf-8"?>
<x:table xmlns:x="http://schemas.openxmlformats.org/spreadsheetml/2006/main" id="6" name="IncomeReceiptsTable" displayName="IncomeReceiptsTable" ref="A1:J126" headerRowCount="1">
  <x:tableColumns count="10">
    <x:tableColumn id="1" name="Date"/>
    <x:tableColumn id="2" name="Payer / source"/>
    <x:tableColumn id="3" name="Description"/>
    <x:tableColumn id="4" name="Amount"/>
    <x:tableColumn id="5" name="Currency"/>
    <x:tableColumn id="6" name="Account"/>
    <x:tableColumn id="7" name="Category"/>
    <x:tableColumn id="8" name="Transaction type"/>
    <x:tableColumn id="9" name="Confidence"/>
    <x:tableColumn id="10" name="Source file"/>
  </x:tableColumns>
  <x:tableStyleInfo name="TableStyleMedium2" showRowStripes="1"/>
</x:table>
</file>

<file path=xl/tables/table7.xml><?xml version="1.0" encoding="utf-8"?>
<x:table xmlns:x="http://schemas.openxmlformats.org/spreadsheetml/2006/main" id="7" name="PaymentsOutflowsTable" displayName="PaymentsOutflowsTable" ref="A1:J746" headerRowCount="1">
  <x:tableColumns count="10">
    <x:tableColumn id="1" name="Date"/>
    <x:tableColumn id="2" name="Payee / merchant"/>
    <x:tableColumn id="3" name="Description"/>
    <x:tableColumn id="4" name="Amount"/>
    <x:tableColumn id="5" name="Currency"/>
    <x:tableColumn id="6" name="Account/card"/>
    <x:tableColumn id="7" name="Category"/>
    <x:tableColumn id="8" name="Transaction type"/>
    <x:tableColumn id="9" name="Confidence"/>
    <x:tableColumn id="10" name="Source file"/>
  </x:tableColumns>
  <x:tableStyleInfo name="TableStyleMedium2" showRowStripes="1"/>
</x:table>
</file>

<file path=xl/tables/table8.xml><?xml version="1.0" encoding="utf-8"?>
<x:table xmlns:x="http://schemas.openxmlformats.org/spreadsheetml/2006/main" id="8" name="TransfersInternalTable" displayName="TransfersInternalTable" ref="A1:I41" headerRowCount="1">
  <x:tableColumns count="9">
    <x:tableColumn id="1" name="Date"/>
    <x:tableColumn id="2" name="From account/card"/>
    <x:tableColumn id="3" name="To account"/>
    <x:tableColumn id="4" name="Amount"/>
    <x:tableColumn id="5" name="Currency"/>
    <x:tableColumn id="6" name="Description"/>
    <x:tableColumn id="7" name="Confidence"/>
    <x:tableColumn id="8" name="Notes"/>
    <x:tableColumn id="9" name="Source file"/>
  </x:tableColumns>
  <x:tableStyleInfo name="TableStyleMedium2" showRowStripes="1"/>
</x:table>
</file>

<file path=xl/tables/table9.xml><?xml version="1.0" encoding="utf-8"?>
<x:table xmlns:x="http://schemas.openxmlformats.org/spreadsheetml/2006/main" id="9" name="CardSpendTable" displayName="CardSpendTable" ref="A1:J437" headerRowCount="1">
  <x:tableColumns count="10">
    <x:tableColumn id="1" name="Date"/>
    <x:tableColumn id="2" name="Card identifier"/>
    <x:tableColumn id="3" name="Merchant"/>
    <x:tableColumn id="4" name="Amount"/>
    <x:tableColumn id="5" name="Currency"/>
    <x:tableColumn id="6" name="Category"/>
    <x:tableColumn id="7" name="Refund/reversal indicator"/>
    <x:tableColumn id="8" name="Net amount"/>
    <x:tableColumn id="9" name="Location"/>
    <x:tableColumn id="10" name="Source file"/>
  </x:tableColumns>
  <x:tableStyleInfo name="TableStyleMedium2" showRowStripes="1"/>
</x:table>
</file>

<file path=xl/tables/table10.xml><?xml version="1.0" encoding="utf-8"?>
<x:table xmlns:x="http://schemas.openxmlformats.org/spreadsheetml/2006/main" id="10" name="EFTTransfersTable" displayName="EFTTransfersTable" ref="A1:I473" headerRowCount="1">
  <x:tableColumns count="9">
    <x:tableColumn id="1" name="Date"/>
    <x:tableColumn id="2" name="Direction"/>
    <x:tableColumn id="3" name="Payee/payer"/>
    <x:tableColumn id="4" name="Amount"/>
    <x:tableColumn id="5" name="Currency"/>
    <x:tableColumn id="6" name="Category"/>
    <x:tableColumn id="7" name="Account"/>
    <x:tableColumn id="8" name="Reference/description"/>
    <x:tableColumn id="9" name="Source file"/>
  </x:tableColumns>
  <x:tableStyleInfo name="TableStyleMedium2" showRowStripes="1"/>
</x:table>
</file>

<file path=xl/tables/table11.xml><?xml version="1.0" encoding="utf-8"?>
<x:table xmlns:x="http://schemas.openxmlformats.org/spreadsheetml/2006/main" id="11" name="CategorySummaryTable" displayName="CategorySummaryTable" ref="A1:H16" headerRowCount="1">
  <x:tableColumns count="8">
    <x:tableColumn id="1" name="Category"/>
    <x:tableColumn id="2" name="Total inflows"/>
    <x:tableColumn id="3" name="Total outflows"/>
    <x:tableColumn id="4" name="Net amount"/>
    <x:tableColumn id="5" name="Number of transactions"/>
    <x:tableColumn id="6" name="Percentage of total outflows"/>
    <x:tableColumn id="7" name="Top merchants/payees in category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unterpartySummaryTable" displayName="CounterpartySummaryTable" ref="A1:I379" headerRowCount="1">
  <x:tableColumns count="9">
    <x:tableColumn id="1" name="Counterparty / merchant / payer / payee"/>
    <x:tableColumn id="2" name="Direction"/>
    <x:tableColumn id="3" name="Category"/>
    <x:tableColumn id="4" name="Total inflows"/>
    <x:tableColumn id="5" name="Total outflows"/>
    <x:tableColumn id="6" name="Net amount"/>
    <x:tableColumn id="7" name="Number of transactions"/>
    <x:tableColumn id="8" name="First transaction date"/>
    <x:tableColumn id="9" name="Last transaction date"/>
  </x:tableColumns>
  <x:tableStyleInfo name="TableStyleMedium2" showRowStripes="1"/>
</x:table>
</file>

<file path=xl/tables/table13.xml><?xml version="1.0" encoding="utf-8"?>
<x:table xmlns:x="http://schemas.openxmlformats.org/spreadsheetml/2006/main" id="13" name="MonthlyIncomeStatementTable" displayName="MonthlyIncomeStatementTable" ref="A1:I11" headerRowCount="1">
  <x:tableColumns count="9">
    <x:tableColumn id="1" name="Month"/>
    <x:tableColumn id="2" name="Income / receipts"/>
    <x:tableColumn id="3" name="Refunds / reversals"/>
    <x:tableColumn id="4" name="Operating payments / expenses"/>
    <x:tableColumn id="5" name="Bank fees"/>
    <x:tableColumn id="6" name="Cash withdrawals"/>
    <x:tableColumn id="7" name="Other outflows"/>
    <x:tableColumn id="8" name="Net cash result"/>
    <x:tableColumn id="9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CategoryMappingTable" displayName="CategoryMappingTable" ref="A1:F379" headerRowCount="1">
  <x:tableColumns count="6">
    <x:tableColumn id="1" name="Original text pattern"/>
    <x:tableColumn id="2" name="Assigned category"/>
    <x:tableColumn id="3" name="Confidence"/>
    <x:tableColumn id="4" name="Notes"/>
    <x:tableColumn id="5" name="Transaction count"/>
    <x:tableColumn id="6" name="Sample source"/>
  </x:tableColumns>
  <x:tableStyleInfo name="TableStyleMedium2" showRowStripes="1"/>
</x:table>
</file>

<file path=xl/tables/table15.xml><?xml version="1.0" encoding="utf-8"?>
<x:table xmlns:x="http://schemas.openxmlformats.org/spreadsheetml/2006/main" id="15" name="ExceptionsReviewTable" displayName="ExceptionsReviewTable" ref="A1:I283" headerRowCount="1">
  <x:tableColumns count="9">
    <x:tableColumn id="1" name="Exception type"/>
    <x:tableColumn id="2" name="Transaction date/time"/>
    <x:tableColumn id="3" name="Amount"/>
    <x:tableColumn id="4" name="Counterparty / merchant / payer / payee"/>
    <x:tableColumn id="5" name="Issue / reason"/>
    <x:tableColumn id="6" name="Action / notes"/>
    <x:tableColumn id="7" name="Source ZIP file"/>
    <x:tableColumn id="8" name="Source .eml file"/>
    <x:tableColumn id="9" name="Related source"/>
  </x:tableColumns>
  <x:tableStyleInfo name="TableStyleMedium2" showRowStripes="1"/>
</x:table>
</file>

<file path=xl/tables/table16.xml><?xml version="1.0" encoding="utf-8"?>
<x:table xmlns:x="http://schemas.openxmlformats.org/spreadsheetml/2006/main" id="16" name="ReconciliationChecksTable" displayName="ReconciliationChecksTable" ref="A1:E19" headerRowCount="1">
  <x:tableColumns count="5">
    <x:tableColumn id="1" name="Check"/>
    <x:tableColumn id="2" name="Source total"/>
    <x:tableColumn id="3" name="Comparison total"/>
    <x:tableColumn id="4" name="Difference"/>
    <x:tableColumn id="5" name="Status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00120c0804547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0782c2b1977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b764cd4debd46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8474b8d31dd4f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f87b73eb2e4d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2403d62c49d4c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4b85abe3753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bbabcecb0c345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c70105ce8df47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4568d72a3840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0c9b588b2d748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2be14c7ead64b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2467c95b944465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779f175d439461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e7f421c5861416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24b646f90a34d6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c6ec137c392a460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>
      <x:c r="A1" s="4" t="str">
        <x:v>Bank Notification Activity Analysis</x:v>
      </x:c>
      <x:c r="B1" s="4"/>
      <x:c r="C1" s="4"/>
      <x:c r="D1" s="4"/>
    </x:row>
    <x:row r="3">
      <x:c r="A3" s="10" t="str">
        <x:v>Item</x:v>
      </x:c>
      <x:c r="B3" s="10" t="str">
        <x:v>Detail</x:v>
      </x:c>
    </x:row>
    <x:row r="4">
      <x:c r="A4" s="15" t="str">
        <x:v>Scope of analysis</x:v>
      </x:c>
      <x:c r="B4" s="15" t="str">
        <x:v>All .eml bank notifications found inside the uploaded ZIP and nested ZIP archives were parsed using email headers and body text. Exact duplicate notifications were removed from totals.</x:v>
      </x:c>
    </x:row>
    <x:row r="5">
      <x:c r="A5" s="15" t="str">
        <x:v>Uploaded ZIP files processed</x:v>
      </x:c>
      <x:c r="B5" s="15" t="n">
        <x:v>1</x:v>
      </x:c>
    </x:row>
    <x:row r="6">
      <x:c r="A6" s="15" t="str">
        <x:v>Nested ZIP archives processed</x:v>
      </x:c>
      <x:c r="B6" s="15" t="n">
        <x:v>14</x:v>
      </x:c>
    </x:row>
    <x:row r="7">
      <x:c r="A7" s="15" t="str">
        <x:v>Total ZIP archives processed including outer archive</x:v>
      </x:c>
      <x:c r="B7" s="15" t="n">
        <x:v>15</x:v>
      </x:c>
    </x:row>
    <x:row r="8">
      <x:c r="A8" s="15" t="str">
        <x:v>.eml files read</x:v>
      </x:c>
      <x:c r="B8" s="15" t="n">
        <x:v>969</x:v>
      </x:c>
    </x:row>
    <x:row r="9">
      <x:c r="A9" s="15" t="str">
        <x:v>Transaction/activity emails identified</x:v>
      </x:c>
      <x:c r="B9" s="15" t="n">
        <x:v>969</x:v>
      </x:c>
    </x:row>
    <x:row r="10">
      <x:c r="A10" s="15" t="str">
        <x:v>Transactions/account events extracted after duplicate removal</x:v>
      </x:c>
      <x:c r="B10" s="15" t="n">
        <x:v>947</x:v>
      </x:c>
    </x:row>
    <x:row r="11">
      <x:c r="A11" s="15" t="str">
        <x:v>Duplicate notifications removed</x:v>
      </x:c>
      <x:c r="B11" s="15" t="n">
        <x:v>22</x:v>
      </x:c>
    </x:row>
    <x:row r="12">
      <x:c r="A12" s="15" t="str">
        <x:v>Possible duplicate pairs flagged but retained</x:v>
      </x:c>
      <x:c r="B12" s="15" t="n">
        <x:v>9</x:v>
      </x:c>
    </x:row>
    <x:row r="13">
      <x:c r="A13" s="15" t="str">
        <x:v>Date range covered</x:v>
      </x:c>
      <x:c r="B13" s="15" t="str">
        <x:v>2025-09-19 to 2026-06-19</x:v>
      </x:c>
    </x:row>
    <x:row r="14">
      <x:c r="A14" s="15" t="str">
        <x:v>Accounts identified</x:v>
      </x:c>
      <x:c r="B14" s="15" t="str">
        <x:v>Current a/c..261544, Current a/c..512781, Private Cheq Acc..566332</x:v>
      </x:c>
    </x:row>
    <x:row r="15">
      <x:c r="A15" s="15" t="str">
        <x:v>Cards identified</x:v>
      </x:c>
      <x:c r="B15" s="15" t="str">
        <x:v>card..0104, card..2924</x:v>
      </x:c>
    </x:row>
    <x:row r="16">
      <x:c r="A16" s="15" t="str">
        <x:v>Opening observed available balance</x:v>
      </x:c>
      <x:c r="B16" s="15" t="n">
        <x:v>4297</x:v>
      </x:c>
    </x:row>
    <x:row r="17">
      <x:c r="A17" s="15" t="str">
        <x:v>Opening observed balance observation time</x:v>
      </x:c>
      <x:c r="B17" s="15" t="n">
        <x:v>45919.38888888889</x:v>
      </x:c>
    </x:row>
    <x:row r="18">
      <x:c r="A18" s="15" t="str">
        <x:v>Closing observed available balance</x:v>
      </x:c>
      <x:c r="B18" s="15" t="n">
        <x:v>1046</x:v>
      </x:c>
    </x:row>
    <x:row r="19">
      <x:c r="A19" s="15" t="str">
        <x:v>Closing observed balance observation time</x:v>
      </x:c>
      <x:c r="B19" s="15" t="n">
        <x:v>46192.67013888889</x:v>
      </x:c>
    </x:row>
    <x:row r="20">
      <x:c r="A20" s="15" t="str">
        <x:v>Key assumptions</x:v>
      </x:c>
      <x:c r="B20" s="15" t="str">
        <x:v>Transaction date/time comes from the notification body where available; otherwise the email date is used and the item is flagged. Amounts are treated as positive values with direction stored separately. Card authorisation/reserved purchase notices are treated as outflows because funds were reserved. Refunds/reversals are separated from regular income. Internal transfers are excluded from real income/expense totals.</x:v>
      </x:c>
    </x:row>
    <x:row r="21">
      <x:c r="A21" s="15" t="str">
        <x:v>Currency handling</x:v>
      </x:c>
      <x:c r="B21" s="15" t="str">
        <x:v>All extracted amounts use the R symbol in the emails and are reported as ZAR. No currency conversion was performed.</x:v>
      </x:c>
    </x:row>
    <x:row r="22">
      <x:c r="A22" s="15" t="str">
        <x:v>Balance limitation</x:v>
      </x:c>
      <x:c r="B22" s="15" t="str">
        <x:v>The FNB notification text generally shows available balance, not ledger/statement balance. Balance after transaction is blank where not explicitly provided.</x:v>
      </x:c>
    </x:row>
    <x:row r="23">
      <x:c r="A23" s="15" t="str">
        <x:v>Category limitation</x:v>
      </x:c>
      <x:c r="B23" s="15" t="str">
        <x:v>Categorisation is rule-based from merchant/payee/reference text. Low-confidence mappings are flagged in Exceptions_Review and Category_Mapping.</x:v>
      </x:c>
    </x:row>
    <x:row r="24">
      <x:c r="A24" s="15" t="str">
        <x:v>Unreadable or unparsed files</x:v>
      </x:c>
      <x:c r="B24" s="15" t="str">
        <x:v>0 unparsed EML files; 2 ignored non-EML or unreadable archive members.</x:v>
      </x:c>
    </x:row>
    <x:row r="25">
      <x:c r="A25" s="15" t="str">
        <x:v>Source traceability</x:v>
      </x:c>
      <x:c r="B25" s="15" t="str">
        <x:v>Every extracted transaction row includes Source ZIP file and Source .eml file.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32" hidden="0" customWidth="1"/>
    <x:col min="5" max="5" width="70" hidden="0" customWidth="1"/>
    <x:col min="6" max="6" width="18" hidden="0" customWidth="1"/>
    <x:col min="7" max="7" width="18" hidden="0" customWidth="1"/>
    <x:col min="8" max="8" width="32" hidden="0" customWidth="1"/>
    <x:col min="9" max="9" width="18" hidden="0" customWidth="1"/>
    <x:col min="10" max="10" width="18" hidden="0" customWidth="1"/>
  </x:cols>
  <x:sheetData>
    <x:row r="1">
      <x:c r="A1" s="4" t="str">
        <x:v>Executive Dashboard Summary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0" t="str">
        <x:v>Metric</x:v>
      </x:c>
      <x:c r="B3" s="10" t="str">
        <x:v>Value</x:v>
      </x:c>
      <x:c r="D3" s="10" t="str">
        <x:v>Top 10 payees/merchants</x:v>
      </x:c>
      <x:c r="E3" s="10" t="str">
        <x:v>Total outflows</x:v>
      </x:c>
      <x:c r="F3" s="10" t="str">
        <x:v>Count</x:v>
      </x:c>
      <x:c r="H3" s="10" t="str">
        <x:v>Top 10 income sources</x:v>
      </x:c>
      <x:c r="I3" s="10" t="str">
        <x:v>Total inflows</x:v>
      </x:c>
      <x:c r="J3" s="10" t="str">
        <x:v>Count</x:v>
      </x:c>
    </x:row>
    <x:row r="4">
      <x:c r="A4" s="19" t="str">
        <x:v>Date range analyzed</x:v>
      </x:c>
      <x:c r="B4" s="14" t="str">
        <x:v>2025-09-19 to 2026-06-19</x:v>
      </x:c>
      <x:c r="D4" t="str">
        <x:v>Superspar Komatipoor</x:v>
      </x:c>
      <x:c r="E4" s="22" t="n">
        <x:v>63735.7</x:v>
      </x:c>
      <x:c r="F4" t="n">
        <x:v>64</x:v>
      </x:c>
      <x:c r="H4" t="str">
        <x:v>Ik Pay 487882</x:v>
      </x:c>
      <x:c r="I4" s="22" t="n">
        <x:v>451281.48</x:v>
      </x:c>
      <x:c r="J4" t="n">
        <x:v>57</x:v>
      </x:c>
    </x:row>
    <x:row r="5">
      <x:c r="A5" s="19" t="str">
        <x:v>.eml files read</x:v>
      </x:c>
      <x:c r="B5" s="14" t="n">
        <x:v>969</x:v>
      </x:c>
      <x:c r="D5" t="str">
        <x:v>Staff Salary</x:v>
      </x:c>
      <x:c r="E5" s="22" t="n">
        <x:v>63000</x:v>
      </x:c>
      <x:c r="F5" t="n">
        <x:v>6</x:v>
      </x:c>
      <x:c r="H5" t="str">
        <x:v>Ag1 Seaside Village</x:v>
      </x:c>
      <x:c r="I5" s="22" t="n">
        <x:v>91291.16</x:v>
      </x:c>
      <x:c r="J5" t="n">
        <x:v>5</x:v>
      </x:c>
    </x:row>
    <x:row r="6">
      <x:c r="A6" s="19" t="str">
        <x:v>Transactions/account events after dedupe</x:v>
      </x:c>
      <x:c r="B6" s="14" t="n">
        <x:v>947</x:v>
      </x:c>
      <x:c r="D6" t="str">
        <x:v>Staff</x:v>
      </x:c>
      <x:c r="E6" s="22" t="n">
        <x:v>39000</x:v>
      </x:c>
      <x:c r="F6" t="n">
        <x:v>8</x:v>
      </x:c>
      <x:c r="H6" t="str">
        <x:v>R026zdm6s0 Booking.c</x:v>
      </x:c>
      <x:c r="I6" s="22" t="n">
        <x:v>45321.13</x:v>
      </x:c>
      <x:c r="J6" t="n">
        <x:v>1</x:v>
      </x:c>
    </x:row>
    <x:row r="7">
      <x:c r="A7" s="19" t="str">
        <x:v>Total inflows</x:v>
      </x:c>
      <x:c r="B7" s="24" t="n">
        <x:v>1333722.88</x:v>
      </x:c>
      <x:c r="D7" t="str">
        <x:v>Savemor Marloth</x:v>
      </x:c>
      <x:c r="E7" s="22" t="n">
        <x:v>26674.83</x:v>
      </x:c>
      <x:c r="F7" t="n">
        <x:v>78</x:v>
      </x:c>
      <x:c r="H7" t="str">
        <x:v>R025n8vc90 Booking.c</x:v>
      </x:c>
      <x:c r="I7" s="22" t="n">
        <x:v>41435.63</x:v>
      </x:c>
      <x:c r="J7" t="n">
        <x:v>1</x:v>
      </x:c>
    </x:row>
    <x:row r="8">
      <x:c r="A8" s="19" t="str">
        <x:v>Total outflows</x:v>
      </x:c>
      <x:c r="B8" s="24" t="n">
        <x:v>1156848.28</x:v>
      </x:c>
      <x:c r="D8" t="str">
        <x:v>Royal 3380 + 3463</x:v>
      </x:c>
      <x:c r="E8" s="22" t="n">
        <x:v>26185</x:v>
      </x:c>
      <x:c r="F8" t="n">
        <x:v>1</x:v>
      </x:c>
      <x:c r="H8" t="str">
        <x:v>6114000315</x:v>
      </x:c>
      <x:c r="I8" s="22" t="n">
        <x:v>38411.98</x:v>
      </x:c>
      <x:c r="J8" t="n">
        <x:v>1</x:v>
      </x:c>
    </x:row>
    <x:row r="9">
      <x:c r="A9" s="19" t="str">
        <x:v>Net cashflow</x:v>
      </x:c>
      <x:c r="B9" s="24" t="n">
        <x:v>181844.08</x:v>
      </x:c>
      <x:c r="D9" t="str">
        <x:v>Sakkie Wages</x:v>
      </x:c>
      <x:c r="E9" s="22" t="n">
        <x:v>25600</x:v>
      </x:c>
      <x:c r="F9" t="n">
        <x:v>13</x:v>
      </x:c>
      <x:c r="H9" t="str">
        <x:v>R026x4wv90 Booking.c</x:v>
      </x:c>
      <x:c r="I9" s="22" t="n">
        <x:v>35459.34</x:v>
      </x:c>
      <x:c r="J9" t="n">
        <x:v>1</x:v>
      </x:c>
    </x:row>
    <x:row r="10">
      <x:c r="A10" s="19" t="str">
        <x:v>Total internal transfers</x:v>
      </x:c>
      <x:c r="B10" s="24" t="n">
        <x:v>279080</x:v>
      </x:c>
      <x:c r="D10" t="str">
        <x:v>Royal Bush 3380 50%</x:v>
      </x:c>
      <x:c r="E10" s="22" t="n">
        <x:v>21945</x:v>
      </x:c>
      <x:c r="F10" t="n">
        <x:v>1</x:v>
      </x:c>
      <x:c r="H10" t="str">
        <x:v>R026tnsk50 Booking.c</x:v>
      </x:c>
      <x:c r="I10" s="22" t="n">
        <x:v>35316.64</x:v>
      </x:c>
      <x:c r="J10" t="n">
        <x:v>1</x:v>
      </x:c>
    </x:row>
    <x:row r="11">
      <x:c r="A11" s="19" t="str">
        <x:v>Total refunds/reversals</x:v>
      </x:c>
      <x:c r="B11" s="24" t="n">
        <x:v>4969.48</x:v>
      </x:c>
      <x:c r="D11" t="str">
        <x:v>Stratton Prop Mng</x:v>
      </x:c>
      <x:c r="E11" s="22" t="n">
        <x:v>20927.54</x:v>
      </x:c>
      <x:c r="F11" t="n">
        <x:v>2</x:v>
      </x:c>
      <x:c r="H11" t="str">
        <x:v>R026znlj30 Booking.c</x:v>
      </x:c>
      <x:c r="I11" s="22" t="n">
        <x:v>33960.52</x:v>
      </x:c>
      <x:c r="J11" t="n">
        <x:v>1</x:v>
      </x:c>
    </x:row>
    <x:row r="12">
      <x:c r="A12" s="19" t="str">
        <x:v>Opening observed available balance</x:v>
      </x:c>
      <x:c r="B12" s="14" t="n">
        <x:v>4297</x:v>
      </x:c>
      <x:c r="D12" t="str">
        <x:v>Salary</x:v>
      </x:c>
      <x:c r="E12" s="22" t="n">
        <x:v>20000</x:v>
      </x:c>
      <x:c r="F12" t="n">
        <x:v>6</x:v>
      </x:c>
      <x:c r="H12" t="str">
        <x:v>R025mp0hp0 Booking.c</x:v>
      </x:c>
      <x:c r="I12" s="22" t="n">
        <x:v>32699.14</x:v>
      </x:c>
      <x:c r="J12" t="n">
        <x:v>1</x:v>
      </x:c>
    </x:row>
    <x:row r="13">
      <x:c r="A13" s="19" t="str">
        <x:v>Closing observed available balance</x:v>
      </x:c>
      <x:c r="B13" s="14" t="n">
        <x:v>1046</x:v>
      </x:c>
      <x:c r="D13" t="str">
        <x:v>Pj Els</x:v>
      </x:c>
      <x:c r="E13" s="22" t="n">
        <x:v>16500</x:v>
      </x:c>
      <x:c r="F13" t="n">
        <x:v>1</x:v>
      </x:c>
      <x:c r="H13" t="str">
        <x:v>R026wj48l0 Booking.c</x:v>
      </x:c>
      <x:c r="I13" s="22" t="n">
        <x:v>30949.25</x:v>
      </x:c>
      <x:c r="J13" t="n">
        <x:v>1</x:v>
      </x:c>
    </x:row>
    <x:row r="14">
      <x:c r="A14" s="19" t="str">
        <x:v>Highest income month</x:v>
      </x:c>
      <x:c r="B14" s="14" t="str">
        <x:v>2026-01 (236,318.66)</x:v>
      </x:c>
    </x:row>
    <x:row r="15">
      <x:c r="A15" s="19" t="str">
        <x:v>Highest expense month</x:v>
      </x:c>
      <x:c r="B15" s="14" t="str">
        <x:v>2026-01 (227,176.07)</x:v>
      </x:c>
    </x:row>
    <x:row r="16">
      <x:c r="A16" s="19" t="str">
        <x:v>Highest outflow day</x:v>
      </x:c>
      <x:c r="B16" s="14" t="str">
        <x:v>2026-02-27 (39,037.48)</x:v>
      </x:c>
    </x:row>
    <x:row r="18">
      <x:c r="A18" s="10" t="str">
        <x:v>Top categories by spend</x:v>
      </x:c>
      <x:c r="B18" s="10" t="str">
        <x:v>Total outflows</x:v>
      </x:c>
      <x:c r="C18" s="10" t="str">
        <x:v>Count</x:v>
      </x:c>
      <x:c r="E18" s="10" t="str">
        <x:v>Unusual or review patterns</x:v>
      </x:c>
    </x:row>
    <x:row r="19">
      <x:c r="A19" t="str">
        <x:v>Supplier payments</x:v>
      </x:c>
      <x:c r="B19" s="22" t="n">
        <x:v>709891.88</x:v>
      </x:c>
      <x:c r="C19" t="n">
        <x:v>411</x:v>
      </x:c>
      <x:c r="E19" s="15" t="str">
        <x:v>Supplier payments are the largest spend category: R 709,891.88 across 411 transactions.</x:v>
      </x:c>
    </x:row>
    <x:row r="20">
      <x:c r="A20" t="str">
        <x:v>Salary / wages</x:v>
      </x:c>
      <x:c r="B20" s="22" t="n">
        <x:v>301850</x:v>
      </x:c>
      <x:c r="C20" t="n">
        <x:v>69</x:v>
      </x:c>
      <x:c r="E20" s="15" t="str">
        <x:v>Top income source 'Ik Pay 487882' contributed R 451,281.48 (33.8% of non-refund inflows).</x:v>
      </x:c>
    </x:row>
    <x:row r="21">
      <x:c r="A21" t="str">
        <x:v>Card spend</x:v>
      </x:c>
      <x:c r="B21" s="22" t="n">
        <x:v>43401.25</x:v>
      </x:c>
      <x:c r="C21" t="n">
        <x:v>50</x:v>
      </x:c>
      <x:c r="E21" s="15" t="str">
        <x:v>22 exact duplicate notifications were removed; 9 near-duplicate pairs were flagged for manual review.</x:v>
      </x:c>
    </x:row>
    <x:row r="22">
      <x:c r="A22" t="str">
        <x:v>Meals / restaurants / entertainment</x:v>
      </x:c>
      <x:c r="B22" s="22" t="n">
        <x:v>38302.34</x:v>
      </x:c>
      <x:c r="C22" t="n">
        <x:v>66</x:v>
      </x:c>
      <x:c r="E22" s="15" t="str">
        <x:v>37 payment-link/information-only events were excluded from cashflow totals.</x:v>
      </x:c>
    </x:row>
    <x:row r="23">
      <x:c r="A23" t="str">
        <x:v>Telecom / utilities</x:v>
      </x:c>
      <x:c r="B23" s="22" t="n">
        <x:v>25249.79</x:v>
      </x:c>
      <x:c r="C23" t="n">
        <x:v>69</x:v>
      </x:c>
      <x:c r="E23" s="15" t="str">
        <x:v>243 rows have low-confidence category assignments and should be reviewed if the workbook is used for accounting.</x:v>
      </x:c>
    </x:row>
    <x:row r="24">
      <x:c r="A24" t="str">
        <x:v>Fuel / transport</x:v>
      </x:c>
      <x:c r="B24" s="22" t="n">
        <x:v>17177.75</x:v>
      </x:c>
      <x:c r="C24" t="n">
        <x:v>45</x:v>
      </x:c>
      <x:c r="E24" s="15" t="str">
        <x:v>No failed/declined transaction notifications were identified.</x:v>
      </x:c>
    </x:row>
    <x:row r="25">
      <x:c r="A25" t="str">
        <x:v>Software / subscriptions</x:v>
      </x:c>
      <x:c r="B25" s="22" t="n">
        <x:v>11904.13</x:v>
      </x:c>
      <x:c r="C25" t="n">
        <x:v>21</x:v>
      </x:c>
    </x:row>
    <x:row r="26">
      <x:c r="A26" t="str">
        <x:v>Rent / property</x:v>
      </x:c>
      <x:c r="B26" s="22" t="n">
        <x:v>3550</x:v>
      </x:c>
      <x:c r="C26" t="n">
        <x:v>1</x:v>
      </x:c>
    </x:row>
    <x:row r="27">
      <x:c r="A27" t="str">
        <x:v>Cash withdrawal</x:v>
      </x:c>
      <x:c r="B27" s="22" t="n">
        <x:v>3469.94</x:v>
      </x:c>
      <x:c r="C27" t="n">
        <x:v>10</x:v>
      </x:c>
    </x:row>
    <x:row r="28">
      <x:c r="A28" t="str">
        <x:v>Accommodation / hotels</x:v>
      </x:c>
      <x:c r="B28" s="22" t="n">
        <x:v>1150</x:v>
      </x:c>
      <x:c r="C28" t="n">
        <x:v>2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00120c08045472d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3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36" hidden="0" customWidth="1"/>
    <x:col min="12" max="12" width="28" hidden="0" customWidth="1"/>
    <x:col min="13" max="13" width="16" hidden="0" customWidth="1"/>
    <x:col min="14" max="14" width="16" hidden="0" customWidth="1"/>
    <x:col min="15" max="15" width="16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16" hidden="0" customWidth="1"/>
    <x:col min="21" max="21" width="16" hidden="0" customWidth="1"/>
    <x:col min="22" max="22" width="36" hidden="0" customWidth="1"/>
    <x:col min="23" max="23" width="16" hidden="0" customWidth="1"/>
    <x:col min="24" max="24" width="36" hidden="0" customWidth="1"/>
    <x:col min="25" max="25" width="16" hidden="0" customWidth="1"/>
  </x:cols>
  <x:sheetData>
    <x:row r="1">
      <x:c r="A1" s="29" t="str">
        <x:v>Transaction date/time</x:v>
      </x:c>
      <x:c r="B1" s="29" t="str">
        <x:v>Transaction date</x:v>
      </x:c>
      <x:c r="C1" s="29" t="str">
        <x:v>Email date/time</x:v>
      </x:c>
      <x:c r="D1" s="29" t="str">
        <x:v>Account identifier</x:v>
      </x:c>
      <x:c r="E1" s="29" t="str">
        <x:v>Card identifier</x:v>
      </x:c>
      <x:c r="F1" s="29" t="str">
        <x:v>Description</x:v>
      </x:c>
      <x:c r="G1" s="29" t="str">
        <x:v>Counterparty / merchant / payer / payee</x:v>
      </x:c>
      <x:c r="H1" s="29" t="str">
        <x:v>Amount</x:v>
      </x:c>
      <x:c r="I1" s="29" t="str">
        <x:v>Currency</x:v>
      </x:c>
      <x:c r="J1" s="29" t="str">
        <x:v>Direction</x:v>
      </x:c>
      <x:c r="K1" s="29" t="str">
        <x:v>Transaction type</x:v>
      </x:c>
      <x:c r="L1" s="29" t="str">
        <x:v>Category</x:v>
      </x:c>
      <x:c r="M1" s="29" t="str">
        <x:v>Balance after transaction</x:v>
      </x:c>
      <x:c r="N1" s="29" t="str">
        <x:v>Available balance</x:v>
      </x:c>
      <x:c r="O1" s="29" t="str">
        <x:v>Location</x:v>
      </x:c>
      <x:c r="P1" s="29" t="str">
        <x:v>Source ZIP file</x:v>
      </x:c>
      <x:c r="Q1" s="29" t="str">
        <x:v>Source .eml file</x:v>
      </x:c>
      <x:c r="R1" s="29" t="str">
        <x:v>Extraction confidence</x:v>
      </x:c>
      <x:c r="S1" s="29" t="str">
        <x:v>Notes</x:v>
      </x:c>
      <x:c r="T1" s="29" t="str">
        <x:v>From account</x:v>
      </x:c>
      <x:c r="U1" s="29" t="str">
        <x:v>To account</x:v>
      </x:c>
      <x:c r="V1" s="29" t="str">
        <x:v>Reference</x:v>
      </x:c>
      <x:c r="W1" s="29" t="str">
        <x:v>Channel / method</x:v>
      </x:c>
      <x:c r="X1" s="29" t="str">
        <x:v>Notification text</x:v>
      </x:c>
      <x:c r="Y1" s="29" t="str">
        <x:v>Duplicate key</x:v>
      </x:c>
    </x:row>
    <x:row r="2">
      <x:c r="A2" s="34" t="n">
        <x:v>45919.38888888889</x:v>
      </x:c>
      <x:c r="B2" s="36" t="n">
        <x:v>45919</x:v>
      </x:c>
      <x:c r="C2" s="34" t="n">
        <x:v>45919.38900462963</x:v>
      </x:c>
      <x:c r="D2" s="15" t="str">
        <x:v>Current a/c..512781</x:v>
      </x:c>
      <x:c r="E2" s="15" t="str">
        <x:v>card..2924</x:v>
      </x:c>
      <x:c r="F2" s="15" t="str">
        <x:v>R500.15 reserved for purchase @ Shell Rinsa Pty Ltd from Current a/c..512781 using card..2924. Avail R4297. 19Sep 09:20</x:v>
      </x:c>
      <x:c r="G2" s="15" t="str">
        <x:v>Shell Rinsa Pty Ltd</x:v>
      </x:c>
      <x:c r="H2" s="38" t="n">
        <x:v>500.15</x:v>
      </x:c>
      <x:c r="I2" s="15" t="str">
        <x:v>ZAR</x:v>
      </x:c>
      <x:c r="J2" s="15" t="str">
        <x:v>Outflow</x:v>
      </x:c>
      <x:c r="K2" s="15" t="str">
        <x:v>Card purchase</x:v>
      </x:c>
      <x:c r="L2" s="15" t="str">
        <x:v>Fuel / transport</x:v>
      </x:c>
      <x:c r="M2" s="38"/>
      <x:c r="N2" s="38" t="n">
        <x:v>4297</x:v>
      </x:c>
      <x:c r="O2" s="15" t="str"/>
      <x:c r="P2" s="15" t="str">
        <x:v>eml_ALL_currentac__512781 (2).zip &gt; eml12currentac__512781.zip</x:v>
      </x:c>
      <x:c r="Q2" s="15" t="str">
        <x:v>FNB _-) R500.15 reserved for purchase @ Shell Rinsa Pty Ltd from Current a_c..512781 using card..2924. 19Sep 09_20.eml</x:v>
      </x:c>
      <x:c r="R2" s="15" t="str">
        <x:v>High</x:v>
      </x:c>
      <x:c r="S2" s="15" t="str"/>
      <x:c r="T2" s="15" t="str"/>
      <x:c r="U2" s="15" t="str"/>
      <x:c r="V2" s="15" t="str"/>
      <x:c r="W2" s="15" t="str"/>
      <x:c r="X2" s="15" t="str">
        <x:v>FNB :-) R500.15 reserved for purchase @ Shell Rinsa Pty Ltd from Current a/c..512781 using card..2924. Avail R4297. 19Sep 09:20</x:v>
      </x:c>
      <x:c r="Y2" s="15" t="str">
        <x:v>ba1513a72c6bbb5e</x:v>
      </x:c>
    </x:row>
    <x:row r="3">
      <x:c r="A3" s="34" t="n">
        <x:v>45919.433333333334</x:v>
      </x:c>
      <x:c r="B3" s="36" t="n">
        <x:v>45919</x:v>
      </x:c>
      <x:c r="C3" s="34" t="n">
        <x:v>45919.4334375</x:v>
      </x:c>
      <x:c r="D3" s="15" t="str">
        <x:v>Current a/c..512781</x:v>
      </x:c>
      <x:c r="E3" s="15" t="str">
        <x:v>card..2924</x:v>
      </x:c>
      <x:c r="F3" s="15" t="str">
        <x:v>R122.00 reserved for purchase @ Machado Tap N Go from Current a/c..512781 using card..2924. Avail R4175. 19Sep 10:24</x:v>
      </x:c>
      <x:c r="G3" s="15" t="str">
        <x:v>Machado Tap N Go</x:v>
      </x:c>
      <x:c r="H3" s="38" t="n">
        <x:v>122</x:v>
      </x:c>
      <x:c r="I3" s="15" t="str">
        <x:v>ZAR</x:v>
      </x:c>
      <x:c r="J3" s="15" t="str">
        <x:v>Outflow</x:v>
      </x:c>
      <x:c r="K3" s="15" t="str">
        <x:v>Card purchase</x:v>
      </x:c>
      <x:c r="L3" s="15" t="str">
        <x:v>Card spend</x:v>
      </x:c>
      <x:c r="M3" s="38"/>
      <x:c r="N3" s="38" t="n">
        <x:v>4175</x:v>
      </x:c>
      <x:c r="O3" s="15" t="str"/>
      <x:c r="P3" s="15" t="str">
        <x:v>eml_ALL_currentac__512781 (2).zip &gt; eml12currentac__512781.zip</x:v>
      </x:c>
      <x:c r="Q3" s="15" t="str">
        <x:v>FNB _-) R122.00 reserved for purchase @ Machado Tap N Go from Current a_c..512781 using card..2924. 19Sep 10_24.eml</x:v>
      </x:c>
      <x:c r="R3" s="15" t="str">
        <x:v>High</x:v>
      </x:c>
      <x:c r="S3" s="15" t="str">
        <x:v>Category confidence Low: Default card-spend category; merchant not confidently mapped.</x:v>
      </x:c>
      <x:c r="T3" s="15" t="str"/>
      <x:c r="U3" s="15" t="str"/>
      <x:c r="V3" s="15" t="str"/>
      <x:c r="W3" s="15" t="str"/>
      <x:c r="X3" s="15" t="str">
        <x:v>FNB :-) R122.00 reserved for purchase @ Machado Tap N Go from Current a/c..512781 using card..2924. Avail R4175. 19Sep 10:24</x:v>
      </x:c>
      <x:c r="Y3" s="15" t="str">
        <x:v>8858f45bbad2d4df</x:v>
      </x:c>
    </x:row>
    <x:row r="4">
      <x:c r="A4" s="34" t="n">
        <x:v>45919.54583333333</x:v>
      </x:c>
      <x:c r="B4" s="36" t="n">
        <x:v>45919</x:v>
      </x:c>
      <x:c r="C4" s="34" t="n">
        <x:v>45919.54591435185</x:v>
      </x:c>
      <x:c r="D4" s="15" t="str">
        <x:v>Current a/c..512781</x:v>
      </x:c>
      <x:c r="E4" s="15" t="str"/>
      <x:c r="F4" s="15" t="str">
        <x:v>Payment Link created from Current a/c..512781 To T F Venter..191794 @ Smartapp. 19Sep 13:06 Call 087 575 9404 for help.</x:v>
      </x:c>
      <x:c r="G4" s="15" t="str">
        <x:v>T F Venter..191794</x:v>
      </x:c>
      <x:c r="H4" s="38"/>
      <x:c r="I4" s="15" t="str"/>
      <x:c r="J4" s="15" t="str">
        <x:v>Neutral/Information Only</x:v>
      </x:c>
      <x:c r="K4" s="15" t="str">
        <x:v>Other</x:v>
      </x:c>
      <x:c r="L4" s="15" t="str">
        <x:v>Other</x:v>
      </x:c>
      <x:c r="M4" s="38"/>
      <x:c r="N4" s="38"/>
      <x:c r="O4" s="15" t="str"/>
      <x:c r="P4" s="15" t="str">
        <x:v>eml_ALL_currentac__512781 (2).zip &gt; eml12currentac__512781.zip</x:v>
      </x:c>
      <x:c r="Q4" s="15" t="str">
        <x:v>FNB _-) Payment Link created from Current a_c..512781 To T F Venter..191794 @ Smartapp. 19Sep 13_06 Call 087 575 9404  for help..eml</x:v>
      </x:c>
      <x:c r="R4" s="15" t="str">
        <x:v>High</x:v>
      </x:c>
      <x:c r="S4" s="15" t="str">
        <x:v>Payment link creation only; no money movement indicated. Category confidence Low: Unable to map confidently.</x:v>
      </x:c>
      <x:c r="T4" s="15" t="str">
        <x:v>Current a/c..512781</x:v>
      </x:c>
      <x:c r="U4" s="15" t="str">
        <x:v>T F Venter..191794</x:v>
      </x:c>
      <x:c r="V4" s="15" t="str"/>
      <x:c r="W4" s="15" t="str">
        <x:v>Smartapp</x:v>
      </x:c>
      <x:c r="X4" s="15" t="str">
        <x:v>FNB :-) Payment Link created from Current a/c..512781 To T F Venter..191794 @ Smartapp. 19Sep 13:06 Call 087 575 9404 for help.</x:v>
      </x:c>
      <x:c r="Y4" s="15" t="str">
        <x:v>09666df52abc056e</x:v>
      </x:c>
    </x:row>
    <x:row r="5">
      <x:c r="A5" s="34" t="n">
        <x:v>45922.433333333334</x:v>
      </x:c>
      <x:c r="B5" s="36" t="n">
        <x:v>45922</x:v>
      </x:c>
      <x:c r="C5" s="34" t="n">
        <x:v>45922.43381944444</x:v>
      </x:c>
      <x:c r="D5" s="15" t="str">
        <x:v>Current a/c..512781</x:v>
      </x:c>
      <x:c r="E5" s="15" t="str"/>
      <x:c r="F5" s="15" t="str">
        <x:v>Payment Link created from Current a/c..512781 To Dinner Box..946412 @ Smartapp. 22Sep 10:24 Call 087 575 9404 for help.</x:v>
      </x:c>
      <x:c r="G5" s="15" t="str">
        <x:v>Dinner Box..946412</x:v>
      </x:c>
      <x:c r="H5" s="38"/>
      <x:c r="I5" s="15" t="str"/>
      <x:c r="J5" s="15" t="str">
        <x:v>Neutral/Information Only</x:v>
      </x:c>
      <x:c r="K5" s="15" t="str">
        <x:v>Other</x:v>
      </x:c>
      <x:c r="L5" s="15" t="str">
        <x:v>Other</x:v>
      </x:c>
      <x:c r="M5" s="38"/>
      <x:c r="N5" s="38"/>
      <x:c r="O5" s="15" t="str"/>
      <x:c r="P5" s="15" t="str">
        <x:v>eml_ALL_currentac__512781 (2).zip &gt; eml12currentac__512781.zip</x:v>
      </x:c>
      <x:c r="Q5" s="15" t="str">
        <x:v>FNB _-) Payment Link created from Current a_c..512781 To Dinner Box..946412 @ Smartapp. 22Sep 10_24 Call 087 575 9404  for help..eml</x:v>
      </x:c>
      <x:c r="R5" s="15" t="str">
        <x:v>High</x:v>
      </x:c>
      <x:c r="S5" s="15" t="str">
        <x:v>Payment link creation only; no money movement indicated. Category confidence Low: Unable to map confidently.</x:v>
      </x:c>
      <x:c r="T5" s="15" t="str">
        <x:v>Current a/c..512781</x:v>
      </x:c>
      <x:c r="U5" s="15" t="str">
        <x:v>Dinner Box..946412</x:v>
      </x:c>
      <x:c r="V5" s="15" t="str"/>
      <x:c r="W5" s="15" t="str">
        <x:v>Smartapp</x:v>
      </x:c>
      <x:c r="X5" s="15" t="str">
        <x:v>FNB :-) Payment Link created from Current a/c..512781 To Dinner Box..946412 @ Smartapp. 22Sep 10:24 Call 087 575 9404 for help.</x:v>
      </x:c>
      <x:c r="Y5" s="15" t="str">
        <x:v>51ee15e0e2878331</x:v>
      </x:c>
    </x:row>
    <x:row r="6">
      <x:c r="A6" s="34" t="n">
        <x:v>45924.458333333336</x:v>
      </x:c>
      <x:c r="B6" s="36" t="n">
        <x:v>45924</x:v>
      </x:c>
      <x:c r="C6" s="34" t="n">
        <x:v>45924.45869212963</x:v>
      </x:c>
      <x:c r="D6" s="15" t="str">
        <x:v>Current a/c..512781</x:v>
      </x:c>
      <x:c r="E6" s="15" t="str">
        <x:v>card..2924</x:v>
      </x:c>
      <x:c r="F6" s="15" t="str">
        <x:v>R600.00 withdrawn from Current a/c..512781 using card..2924 @ Atmh11960000001. Avail R697. 24Sep 11:00</x:v>
      </x:c>
      <x:c r="G6" s="15" t="str">
        <x:v>Atmh11960000001</x:v>
      </x:c>
      <x:c r="H6" s="38" t="n">
        <x:v>600</x:v>
      </x:c>
      <x:c r="I6" s="15" t="str">
        <x:v>ZAR</x:v>
      </x:c>
      <x:c r="J6" s="15" t="str">
        <x:v>Outflow</x:v>
      </x:c>
      <x:c r="K6" s="15" t="str">
        <x:v>ATM / cash withdrawal</x:v>
      </x:c>
      <x:c r="L6" s="15" t="str">
        <x:v>Cash withdrawal</x:v>
      </x:c>
      <x:c r="M6" s="38"/>
      <x:c r="N6" s="38" t="n">
        <x:v>697</x:v>
      </x:c>
      <x:c r="O6" s="15" t="str">
        <x:v>Atmh11960000001</x:v>
      </x:c>
      <x:c r="P6" s="15" t="str">
        <x:v>eml_ALL_currentac__512781 (2).zip &gt; eml12currentac__512781.zip</x:v>
      </x:c>
      <x:c r="Q6" s="15" t="str">
        <x:v>FNB _-) R600.00 withdrawn from Current a_c..512781 using card..2924 @ Atmh11960000001. 24Sep 11_00.eml</x:v>
      </x:c>
      <x:c r="R6" s="15" t="str">
        <x:v>High</x:v>
      </x:c>
      <x:c r="S6" s="15" t="str">
        <x:v>Cash withdrawal; included in outflows and separated in income statement.</x:v>
      </x:c>
      <x:c r="T6" s="15" t="str"/>
      <x:c r="U6" s="15" t="str"/>
      <x:c r="V6" s="15" t="str"/>
      <x:c r="W6" s="15" t="str"/>
      <x:c r="X6" s="15" t="str">
        <x:v>FNB :-) R600.00 withdrawn from Current a/c..512781 using card..2924 @ Atmh11960000001. Avail R697. 24Sep 11:00</x:v>
      </x:c>
      <x:c r="Y6" s="15" t="str">
        <x:v>7f926a9fe324fbd0</x:v>
      </x:c>
    </x:row>
    <x:row r="7">
      <x:c r="A7" s="34" t="n">
        <x:v>45925.683333333334</x:v>
      </x:c>
      <x:c r="B7" s="36" t="n">
        <x:v>45925</x:v>
      </x:c>
      <x:c r="C7" s="34" t="n">
        <x:v>45925.683645833335</x:v>
      </x:c>
      <x:c r="D7" s="15" t="str">
        <x:v>Current a/c..512781</x:v>
      </x:c>
      <x:c r="E7" s="15" t="str">
        <x:v>card..2924</x:v>
      </x:c>
      <x:c r="F7" s="15" t="str">
        <x:v>R506.43 reserved for purchase @ Superspar Komatipoor from Current a/c..512781 using card..2924. Avail R191. 25Sep 16:24</x:v>
      </x:c>
      <x:c r="G7" s="15" t="str">
        <x:v>Superspar Komatipoor</x:v>
      </x:c>
      <x:c r="H7" s="38" t="n">
        <x:v>506.43</x:v>
      </x:c>
      <x:c r="I7" s="15" t="str">
        <x:v>ZAR</x:v>
      </x:c>
      <x:c r="J7" s="15" t="str">
        <x:v>Outflow</x:v>
      </x:c>
      <x:c r="K7" s="15" t="str">
        <x:v>Card purchase</x:v>
      </x:c>
      <x:c r="L7" s="15" t="str">
        <x:v>Supplier payments</x:v>
      </x:c>
      <x:c r="M7" s="38"/>
      <x:c r="N7" s="38" t="n">
        <x:v>191</x:v>
      </x:c>
      <x:c r="O7" s="15" t="str"/>
      <x:c r="P7" s="15" t="str">
        <x:v>eml_ALL_currentac__512781 (2).zip &gt; eml12currentac__512781.zip</x:v>
      </x:c>
      <x:c r="Q7" s="15" t="str">
        <x:v>FNB _-) R506.43 reserved for purchase @ Superspar Komatipoor from Current a_c..512781 using card..2924. 25Sep 16_24.eml</x:v>
      </x:c>
      <x:c r="R7" s="15" t="str">
        <x:v>High</x:v>
      </x:c>
      <x:c r="S7" s="15" t="str">
        <x:v>Category confidence Medium: Retail/supplier merchant keyword.</x:v>
      </x:c>
      <x:c r="T7" s="15" t="str"/>
      <x:c r="U7" s="15" t="str"/>
      <x:c r="V7" s="15" t="str"/>
      <x:c r="W7" s="15" t="str"/>
      <x:c r="X7" s="15" t="str">
        <x:v>FNB :-) R506.43 reserved for purchase @ Superspar Komatipoor from Current a/c..512781 using card..2924. Avail R191. 25Sep 16:24</x:v>
      </x:c>
      <x:c r="Y7" s="15" t="str">
        <x:v>9dab4a2e62ff47d7</x:v>
      </x:c>
    </x:row>
    <x:row r="8">
      <x:c r="A8" s="34" t="n">
        <x:v>45930.73333333333</x:v>
      </x:c>
      <x:c r="B8" s="36" t="n">
        <x:v>45930</x:v>
      </x:c>
      <x:c r="C8" s="34" t="n">
        <x:v>45930.733935185184</x:v>
      </x:c>
      <x:c r="D8" s="15" t="str">
        <x:v>Current a/c..261544</x:v>
      </x:c>
      <x:c r="E8" s="15" t="str"/>
      <x:c r="F8" s="15" t="str">
        <x:v>R5000.00 t/fer from Current a/c..261544 to Current a/c..512781 @ Smartapp. Avail R178672. 30Sep 17:36</x:v>
      </x:c>
      <x:c r="G8" s="15" t="str">
        <x:v>Current a/c..261544</x:v>
      </x:c>
      <x:c r="H8" s="38" t="n">
        <x:v>5000</x:v>
      </x:c>
      <x:c r="I8" s="15" t="str">
        <x:v>ZAR</x:v>
      </x:c>
      <x:c r="J8" s="15" t="str">
        <x:v>Internal Transfer</x:v>
      </x:c>
      <x:c r="K8" s="15" t="str">
        <x:v>Internal transfer</x:v>
      </x:c>
      <x:c r="L8" s="15" t="str">
        <x:v>Inter-account transfer</x:v>
      </x:c>
      <x:c r="M8" s="38"/>
      <x:c r="N8" s="38" t="n">
        <x:v>178672</x:v>
      </x:c>
      <x:c r="O8" s="15" t="str"/>
      <x:c r="P8" s="15" t="str">
        <x:v>eml_ALL_currentac__512781 (2).zip &gt; eml12currentac__512781.zip</x:v>
      </x:c>
      <x:c r="Q8" s="15" t="str">
        <x:v>FNB _-) R5000.00 t_fer from Current a_c..261544 to Current a_c..512781 @ Smartapp. 30Sep 17_36.eml</x:v>
      </x:c>
      <x:c r="R8" s="15" t="str">
        <x:v>High</x:v>
      </x:c>
      <x:c r="S8" s="15" t="str">
        <x:v>Classified as internal/inter-account transfer and excluded from operating cashflow.</x:v>
      </x:c>
      <x:c r="T8" s="15" t="str">
        <x:v>Current a/c..261544</x:v>
      </x:c>
      <x:c r="U8" s="15" t="str">
        <x:v>Current a/c..512781</x:v>
      </x:c>
      <x:c r="V8" s="15" t="str"/>
      <x:c r="W8" s="15" t="str">
        <x:v>Smartapp</x:v>
      </x:c>
      <x:c r="X8" s="15" t="str">
        <x:v>FNB :-) R5000.00 t/fer from Current a/c..261544 to Current a/c..512781 @ Smartapp. Avail R178672. 30Sep 17:36</x:v>
      </x:c>
      <x:c r="Y8" s="15" t="str">
        <x:v>85f2edc23590e9fd</x:v>
      </x:c>
    </x:row>
    <x:row r="9">
      <x:c r="A9" s="34" t="n">
        <x:v>45931.08541666667</x:v>
      </x:c>
      <x:c r="B9" s="36" t="n">
        <x:v>45931</x:v>
      </x:c>
      <x:c r="C9" s="34" t="n">
        <x:v>45931.08560185185</x:v>
      </x:c>
      <x:c r="D9" s="15" t="str">
        <x:v>Current a/c..512781</x:v>
      </x:c>
      <x:c r="E9" s="15" t="str">
        <x:v>card..2924</x:v>
      </x:c>
      <x:c r="F9" s="15" t="str">
        <x:v>R400.00 reserved for purchase @ Engen Komatipoort from Current a/c..512781 using card..2924. Avail R4566. 1Oct 02:03</x:v>
      </x:c>
      <x:c r="G9" s="15" t="str">
        <x:v>Engen Komatipoort</x:v>
      </x:c>
      <x:c r="H9" s="38" t="n">
        <x:v>400</x:v>
      </x:c>
      <x:c r="I9" s="15" t="str">
        <x:v>ZAR</x:v>
      </x:c>
      <x:c r="J9" s="15" t="str">
        <x:v>Outflow</x:v>
      </x:c>
      <x:c r="K9" s="15" t="str">
        <x:v>Card purchase</x:v>
      </x:c>
      <x:c r="L9" s="15" t="str">
        <x:v>Fuel / transport</x:v>
      </x:c>
      <x:c r="M9" s="38"/>
      <x:c r="N9" s="38" t="n">
        <x:v>4566</x:v>
      </x:c>
      <x:c r="O9" s="15" t="str"/>
      <x:c r="P9" s="15" t="str">
        <x:v>eml_ALL_currentac__512781 (2).zip &gt; eml12currentac__512781.zip</x:v>
      </x:c>
      <x:c r="Q9" s="15" t="str">
        <x:v>FNB _-) R400.00 reserved for purchase @ Engen Komatipoort from Current a_c..512781 using card..2924.  1Oct 02_03.eml</x:v>
      </x:c>
      <x:c r="R9" s="15" t="str">
        <x:v>High</x:v>
      </x:c>
      <x:c r="S9" s="15" t="str"/>
      <x:c r="T9" s="15" t="str"/>
      <x:c r="U9" s="15" t="str"/>
      <x:c r="V9" s="15" t="str"/>
      <x:c r="W9" s="15" t="str"/>
      <x:c r="X9" s="15" t="str">
        <x:v>FNB :-) R400.00 reserved for purchase @ Engen Komatipoort from Current a/c..512781 using card..2924. Avail R4566. 1Oct 02:03</x:v>
      </x:c>
      <x:c r="Y9" s="15" t="str">
        <x:v>f83e81f417dec65c</x:v>
      </x:c>
    </x:row>
    <x:row r="10">
      <x:c r="A10" s="34" t="n">
        <x:v>45931.48263888889</x:v>
      </x:c>
      <x:c r="B10" s="36" t="n">
        <x:v>45931</x:v>
      </x:c>
      <x:c r="C10" s="34" t="n">
        <x:v>45931.48306712963</x:v>
      </x:c>
      <x:c r="D10" s="15" t="str">
        <x:v>Current a/c..512781</x:v>
      </x:c>
      <x:c r="E10" s="15" t="str">
        <x:v>card..2924</x:v>
      </x:c>
      <x:c r="F10" s="15" t="str">
        <x:v>R384.87 reserved for purchase @ Superspar Komatipoor from Current a/c..512781 using card..2924. Avail R4182. 1Oct 11:35</x:v>
      </x:c>
      <x:c r="G10" s="15" t="str">
        <x:v>Superspar Komatipoor</x:v>
      </x:c>
      <x:c r="H10" s="38" t="n">
        <x:v>384.87</x:v>
      </x:c>
      <x:c r="I10" s="15" t="str">
        <x:v>ZAR</x:v>
      </x:c>
      <x:c r="J10" s="15" t="str">
        <x:v>Outflow</x:v>
      </x:c>
      <x:c r="K10" s="15" t="str">
        <x:v>Card purchase</x:v>
      </x:c>
      <x:c r="L10" s="15" t="str">
        <x:v>Supplier payments</x:v>
      </x:c>
      <x:c r="M10" s="38"/>
      <x:c r="N10" s="38" t="n">
        <x:v>4182</x:v>
      </x:c>
      <x:c r="O10" s="15" t="str"/>
      <x:c r="P10" s="15" t="str">
        <x:v>eml_ALL_currentac__512781 (2).zip &gt; eml12currentac__512781.zip</x:v>
      </x:c>
      <x:c r="Q10" s="15" t="str">
        <x:v>FNB _-) R384.87 reserved for purchase @ Superspar Komatipoor from Current a_c..512781 using card..2924.  1Oct 11_35.eml</x:v>
      </x:c>
      <x:c r="R10" s="15" t="str">
        <x:v>High</x:v>
      </x:c>
      <x:c r="S10" s="15" t="str">
        <x:v>Category confidence Medium: Retail/supplier merchant keyword.</x:v>
      </x:c>
      <x:c r="T10" s="15" t="str"/>
      <x:c r="U10" s="15" t="str"/>
      <x:c r="V10" s="15" t="str"/>
      <x:c r="W10" s="15" t="str"/>
      <x:c r="X10" s="15" t="str">
        <x:v>FNB :-) R384.87 reserved for purchase @ Superspar Komatipoor from Current a/c..512781 using card..2924. Avail R4182. 1Oct 11:35</x:v>
      </x:c>
      <x:c r="Y10" s="15" t="str">
        <x:v>43e38b4b8812151d</x:v>
      </x:c>
    </x:row>
    <x:row r="11">
      <x:c r="A11" s="34" t="n">
        <x:v>45931.48611111111</x:v>
      </x:c>
      <x:c r="B11" s="36" t="n">
        <x:v>45931</x:v>
      </x:c>
      <x:c r="C11" s="34" t="n">
        <x:v>45931.48679398148</x:v>
      </x:c>
      <x:c r="D11" s="15" t="str">
        <x:v>Current a/c..512781</x:v>
      </x:c>
      <x:c r="E11" s="15" t="str">
        <x:v>card..2924</x:v>
      </x:c>
      <x:c r="F11" s="15" t="str">
        <x:v>R231.96 reserved for purchase @ Tops Komatipoort from Current a/c..512781 using card..2924. Avail R3950. 1Oct 11:40</x:v>
      </x:c>
      <x:c r="G11" s="15" t="str">
        <x:v>Tops Komatipoort</x:v>
      </x:c>
      <x:c r="H11" s="38" t="n">
        <x:v>231.96</x:v>
      </x:c>
      <x:c r="I11" s="15" t="str">
        <x:v>ZAR</x:v>
      </x:c>
      <x:c r="J11" s="15" t="str">
        <x:v>Outflow</x:v>
      </x:c>
      <x:c r="K11" s="15" t="str">
        <x:v>Card purchase</x:v>
      </x:c>
      <x:c r="L11" s="15" t="str">
        <x:v>Meals / restaurants / entertainment</x:v>
      </x:c>
      <x:c r="M11" s="38"/>
      <x:c r="N11" s="38" t="n">
        <x:v>3950</x:v>
      </x:c>
      <x:c r="O11" s="15" t="str"/>
      <x:c r="P11" s="15" t="str">
        <x:v>eml_ALL_currentac__512781 (2).zip &gt; eml12currentac__512781.zip</x:v>
      </x:c>
      <x:c r="Q11" s="15" t="str">
        <x:v>FNB _-) R231.96 reserved for purchase @ Tops Komatipoort from Current a_c..512781 using card..2924.  1Oct 11_40.eml</x:v>
      </x:c>
      <x:c r="R11" s="15" t="str">
        <x:v>High</x:v>
      </x:c>
      <x:c r="S11" s="15" t="str"/>
      <x:c r="T11" s="15" t="str"/>
      <x:c r="U11" s="15" t="str"/>
      <x:c r="V11" s="15" t="str"/>
      <x:c r="W11" s="15" t="str"/>
      <x:c r="X11" s="15" t="str">
        <x:v>FNB :-) R231.96 reserved for purchase @ Tops Komatipoort from Current a/c..512781 using card..2924. Avail R3950. 1Oct 11:40</x:v>
      </x:c>
      <x:c r="Y11" s="15" t="str">
        <x:v>003b494d4b5e111d</x:v>
      </x:c>
    </x:row>
    <x:row r="12">
      <x:c r="A12" s="34" t="n">
        <x:v>45932.4125</x:v>
      </x:c>
      <x:c r="B12" s="36" t="n">
        <x:v>45932</x:v>
      </x:c>
      <x:c r="C12" s="34" t="n">
        <x:v>45932.41290509259</x:v>
      </x:c>
      <x:c r="D12" s="15" t="str">
        <x:v>Current a/c..512781</x:v>
      </x:c>
      <x:c r="E12" s="15" t="str"/>
      <x:c r="F12" s="15" t="str">
        <x:v>R2543.95 paid from Current a/c..512781 @ Smartapp. Avail R1406. Ref.Dinner Box 99970. 2Oct 09:54</x:v>
      </x:c>
      <x:c r="G12" s="15" t="str">
        <x:v>Dinner Box 99970</x:v>
      </x:c>
      <x:c r="H12" s="38" t="n">
        <x:v>2543.95</x:v>
      </x:c>
      <x:c r="I12" s="15" t="str">
        <x:v>ZAR</x:v>
      </x:c>
      <x:c r="J12" s="15" t="str">
        <x:v>Outflow</x:v>
      </x:c>
      <x:c r="K12" s="15" t="str">
        <x:v>EFT payment</x:v>
      </x:c>
      <x:c r="L12" s="15" t="str">
        <x:v>Meals / restaurants / entertainment</x:v>
      </x:c>
      <x:c r="M12" s="38"/>
      <x:c r="N12" s="38" t="n">
        <x:v>1406</x:v>
      </x:c>
      <x:c r="O12" s="15" t="str"/>
      <x:c r="P12" s="15" t="str">
        <x:v>eml_ALL_currentac__512781 (2).zip &gt; eml12currentac__512781.zip</x:v>
      </x:c>
      <x:c r="Q12" s="15" t="str">
        <x:v>FNB _-) R2543.95 paid from Current a_c..512781 @ Smartapp. Ref.Dinner Box 99970.  2Oct 09_54.eml</x:v>
      </x:c>
      <x:c r="R12" s="15" t="str">
        <x:v>High</x:v>
      </x:c>
      <x:c r="S12" s="15" t="str"/>
      <x:c r="T12" s="15" t="str"/>
      <x:c r="U12" s="15" t="str"/>
      <x:c r="V12" s="15" t="str">
        <x:v>Dinner Box 99970</x:v>
      </x:c>
      <x:c r="W12" s="15" t="str">
        <x:v>Smartapp</x:v>
      </x:c>
      <x:c r="X12" s="15" t="str">
        <x:v>FNB :-) R2543.95 paid from Current a/c..512781 @ Smartapp. Avail R1406. Ref.Dinner Box 99970. 2Oct 09:54</x:v>
      </x:c>
      <x:c r="Y12" s="15" t="str">
        <x:v>f4b210f4b5048faf</x:v>
      </x:c>
    </x:row>
    <x:row r="13">
      <x:c r="A13" s="34" t="n">
        <x:v>45932.48333333333</x:v>
      </x:c>
      <x:c r="B13" s="36" t="n">
        <x:v>45932</x:v>
      </x:c>
      <x:c r="C13" s="34" t="n">
        <x:v>45932.48388888889</x:v>
      </x:c>
      <x:c r="D13" s="15" t="str">
        <x:v>Current a/c..512781</x:v>
      </x:c>
      <x:c r="E13" s="15" t="str"/>
      <x:c r="F13" s="15" t="str">
        <x:v>Payment Link created from Current a/c..512781 To Deon"s Diy Tool + Pl..574704 @ Smartapp. 2Oct 11:36 Call 087 575 9404 for help.</x:v>
      </x:c>
      <x:c r="G13" s="15" t="str">
        <x:v>Deon"s Diy Tool + Pl..574704</x:v>
      </x:c>
      <x:c r="H13" s="38"/>
      <x:c r="I13" s="15" t="str"/>
      <x:c r="J13" s="15" t="str">
        <x:v>Neutral/Information Only</x:v>
      </x:c>
      <x:c r="K13" s="15" t="str">
        <x:v>Other</x:v>
      </x:c>
      <x:c r="L13" s="15" t="str">
        <x:v>Other</x:v>
      </x:c>
      <x:c r="M13" s="38"/>
      <x:c r="N13" s="38"/>
      <x:c r="O13" s="15" t="str"/>
      <x:c r="P13" s="15" t="str">
        <x:v>eml_ALL_currentac__512781 (2).zip &gt; eml12currentac__512781.zip</x:v>
      </x:c>
      <x:c r="Q13" s="15" t="str">
        <x:v>FNB _-) Payment Link created from Current a_c..512781 To Deon_s Diy Tool + Pl..574704 @ Smartapp.  2Oct 11_36 Call 087 575 9404  for help..eml</x:v>
      </x:c>
      <x:c r="R13" s="15" t="str">
        <x:v>High</x:v>
      </x:c>
      <x:c r="S13" s="15" t="str">
        <x:v>Payment link creation only; no money movement indicated. Category confidence Low: Unable to map confidently.</x:v>
      </x:c>
      <x:c r="T13" s="15" t="str">
        <x:v>Current a/c..512781</x:v>
      </x:c>
      <x:c r="U13" s="15" t="str">
        <x:v>Deon"s Diy Tool + Pl..574704</x:v>
      </x:c>
      <x:c r="V13" s="15" t="str"/>
      <x:c r="W13" s="15" t="str">
        <x:v>Smartapp</x:v>
      </x:c>
      <x:c r="X13" s="15" t="str">
        <x:v>FNB :-) Payment Link created from Current a/c..512781 To Deon"s Diy Tool + Pl..574704 @ Smartapp. 2Oct 11:36 Call 087 575 9404 for help.</x:v>
      </x:c>
      <x:c r="Y13" s="15" t="str">
        <x:v>5859ef17e0e56c78</x:v>
      </x:c>
    </x:row>
    <x:row r="14">
      <x:c r="A14" s="34" t="n">
        <x:v>45932.48402777778</x:v>
      </x:c>
      <x:c r="B14" s="36" t="n">
        <x:v>45932</x:v>
      </x:c>
      <x:c r="C14" s="34" t="n">
        <x:v>45932.48452546296</x:v>
      </x:c>
      <x:c r="D14" s="15" t="str">
        <x:v>Current a/c..512781</x:v>
      </x:c>
      <x:c r="E14" s="15" t="str"/>
      <x:c r="F14" s="15" t="str">
        <x:v>R300.00 paid from Current a/c..512781 @ Smartapp. Avail R1106. Ref.Deon"s Diy 4193. 2Oct 11:37</x:v>
      </x:c>
      <x:c r="G14" s="15" t="str">
        <x:v>Deon"s Diy 4193</x:v>
      </x:c>
      <x:c r="H14" s="38" t="n">
        <x:v>300</x:v>
      </x:c>
      <x:c r="I14" s="15" t="str">
        <x:v>ZAR</x:v>
      </x:c>
      <x:c r="J14" s="15" t="str">
        <x:v>Outflow</x:v>
      </x:c>
      <x:c r="K14" s="15" t="str">
        <x:v>EFT payment</x:v>
      </x:c>
      <x:c r="L14" s="15" t="str">
        <x:v>Supplier payments</x:v>
      </x:c>
      <x:c r="M14" s="38"/>
      <x:c r="N14" s="38" t="n">
        <x:v>1106</x:v>
      </x:c>
      <x:c r="O14" s="15" t="str"/>
      <x:c r="P14" s="15" t="str">
        <x:v>eml_ALL_currentac__512781 (2).zip &gt; eml12currentac__512781.zip</x:v>
      </x:c>
      <x:c r="Q14" s="15" t="str">
        <x:v>FNB _-) R300.00 paid from Current a_c..512781 @ Smartapp. Ref.Deon_s Diy 4193.  2Oct 11_37.eml</x:v>
      </x:c>
      <x:c r="R14" s="15" t="str">
        <x:v>High</x:v>
      </x:c>
      <x:c r="S14" s="15" t="str">
        <x:v>Category confidence Low: Default outflow category; review counterparty/reference.</x:v>
      </x:c>
      <x:c r="T14" s="15" t="str"/>
      <x:c r="U14" s="15" t="str"/>
      <x:c r="V14" s="15" t="str">
        <x:v>Deon"s Diy 4193</x:v>
      </x:c>
      <x:c r="W14" s="15" t="str">
        <x:v>Smartapp</x:v>
      </x:c>
      <x:c r="X14" s="15" t="str">
        <x:v>FNB :-) R300.00 paid from Current a/c..512781 @ Smartapp. Avail R1106. Ref.Deon"s Diy 4193. 2Oct 11:37</x:v>
      </x:c>
      <x:c r="Y14" s="15" t="str">
        <x:v>02d7b2f9f51acd0b</x:v>
      </x:c>
    </x:row>
    <x:row r="15">
      <x:c r="A15" s="34" t="n">
        <x:v>45932.71875</x:v>
      </x:c>
      <x:c r="B15" s="36" t="n">
        <x:v>45932</x:v>
      </x:c>
      <x:c r="C15" s="34" t="n">
        <x:v>45932.719305555554</x:v>
      </x:c>
      <x:c r="D15" s="15" t="str">
        <x:v>Current a/c..512781</x:v>
      </x:c>
      <x:c r="E15" s="15" t="str">
        <x:v>card..2924</x:v>
      </x:c>
      <x:c r="F15" s="15" t="str">
        <x:v>R161.98 reserved for purchase @ Savemor Marloth from Current a/c..512781 using card..2924. Avail R944. 2Oct 17:15</x:v>
      </x:c>
      <x:c r="G15" s="15" t="str">
        <x:v>Savemor Marloth</x:v>
      </x:c>
      <x:c r="H15" s="38" t="n">
        <x:v>161.98</x:v>
      </x:c>
      <x:c r="I15" s="15" t="str">
        <x:v>ZAR</x:v>
      </x:c>
      <x:c r="J15" s="15" t="str">
        <x:v>Outflow</x:v>
      </x:c>
      <x:c r="K15" s="15" t="str">
        <x:v>Card purchase</x:v>
      </x:c>
      <x:c r="L15" s="15" t="str">
        <x:v>Supplier payments</x:v>
      </x:c>
      <x:c r="M15" s="38"/>
      <x:c r="N15" s="38" t="n">
        <x:v>944</x:v>
      </x:c>
      <x:c r="O15" s="15" t="str"/>
      <x:c r="P15" s="15" t="str">
        <x:v>eml_ALL_currentac__512781 (2).zip &gt; eml12currentac__512781.zip</x:v>
      </x:c>
      <x:c r="Q15" s="15" t="str">
        <x:v>FNB _-) R161.98 reserved for purchase @ Savemor Marloth from Current a_c..512781 using card..2924.  2Oct 17_15.eml</x:v>
      </x:c>
      <x:c r="R15" s="15" t="str">
        <x:v>High</x:v>
      </x:c>
      <x:c r="S15" s="15" t="str">
        <x:v>Category confidence Medium: Retail/supplier merchant keyword.</x:v>
      </x:c>
      <x:c r="T15" s="15" t="str"/>
      <x:c r="U15" s="15" t="str"/>
      <x:c r="V15" s="15" t="str"/>
      <x:c r="W15" s="15" t="str"/>
      <x:c r="X15" s="15" t="str">
        <x:v>FNB :-) R161.98 reserved for purchase @ Savemor Marloth from Current a/c..512781 using card..2924. Avail R944. 2Oct 17:15</x:v>
      </x:c>
      <x:c r="Y15" s="15" t="str">
        <x:v>ffb31d4fa3ce929e</x:v>
      </x:c>
    </x:row>
    <x:row r="16">
      <x:c r="A16" s="34" t="n">
        <x:v>45933.42638888889</x:v>
      </x:c>
      <x:c r="B16" s="36" t="n">
        <x:v>45933</x:v>
      </x:c>
      <x:c r="C16" s="34" t="n">
        <x:v>45933.42679398148</x:v>
      </x:c>
      <x:c r="D16" s="15" t="str">
        <x:v>Current a/c..512781</x:v>
      </x:c>
      <x:c r="E16" s="15" t="str"/>
      <x:c r="F16" s="15" t="str">
        <x:v>R41435.63 paid to Current a/c..512781 @ Retail Forex. Ref.R025n8vc90 Booking.c. 3Oct 10:14</x:v>
      </x:c>
      <x:c r="G16" s="15" t="str">
        <x:v>R025n8vc90 Booking.c</x:v>
      </x:c>
      <x:c r="H16" s="38" t="n">
        <x:v>41435.63</x:v>
      </x:c>
      <x:c r="I16" s="15" t="str">
        <x:v>ZAR</x:v>
      </x:c>
      <x:c r="J16" s="15" t="str">
        <x:v>Inflow</x:v>
      </x:c>
      <x:c r="K16" s="15" t="str">
        <x:v>EFT receipt</x:v>
      </x:c>
      <x:c r="L16" s="15" t="str">
        <x:v>Sales / customer receipts</x:v>
      </x:c>
      <x:c r="M16" s="38"/>
      <x:c r="N16" s="38"/>
      <x:c r="O16" s="15" t="str"/>
      <x:c r="P16" s="15" t="str">
        <x:v>eml_ALL_currentac__512781 (2).zip &gt; eml12currentac__512781.zip</x:v>
      </x:c>
      <x:c r="Q16" s="15" t="str">
        <x:v>FNB _-) R41435.63 paid to Current a_c..512781 @ Retail Forex. Ref.R025n8vc90 Booking.c.  3Oct 10_14.eml</x:v>
      </x:c>
      <x:c r="R16" s="15" t="str">
        <x:v>High</x:v>
      </x:c>
      <x:c r="S16" s="15" t="str">
        <x:v>Category confidence Medium: Default for incoming EFT/PayShap/online receipt.</x:v>
      </x:c>
      <x:c r="T16" s="15" t="str"/>
      <x:c r="U16" s="15" t="str"/>
      <x:c r="V16" s="15" t="str">
        <x:v>R025n8vc90 Booking.c</x:v>
      </x:c>
      <x:c r="W16" s="15" t="str">
        <x:v>Retail Forex</x:v>
      </x:c>
      <x:c r="X16" s="15" t="str">
        <x:v>FNB :-) R41435.63 paid to Current a/c..512781 @ Retail Forex. Ref.R025n8vc90 Booking.c. 3Oct 10:14</x:v>
      </x:c>
      <x:c r="Y16" s="15" t="str">
        <x:v>368f19bf8fbcb400</x:v>
      </x:c>
    </x:row>
    <x:row r="17">
      <x:c r="A17" s="34" t="n">
        <x:v>45933.459027777775</x:v>
      </x:c>
      <x:c r="B17" s="36" t="n">
        <x:v>45933</x:v>
      </x:c>
      <x:c r="C17" s="34" t="n">
        <x:v>45933.45935185185</x:v>
      </x:c>
      <x:c r="D17" s="15" t="str">
        <x:v>Current a/c..512781</x:v>
      </x:c>
      <x:c r="E17" s="15" t="str"/>
      <x:c r="F17" s="15" t="str">
        <x:v>Payment Link created from Current a/c..512781 To Jj Spangenberg..735498 @ Smartapp. 3Oct 11:01 Call 087 575 9404 for help.</x:v>
      </x:c>
      <x:c r="G17" s="15" t="str">
        <x:v>Jj Spangenberg..735498</x:v>
      </x:c>
      <x:c r="H17" s="38"/>
      <x:c r="I17" s="15" t="str"/>
      <x:c r="J17" s="15" t="str">
        <x:v>Neutral/Information Only</x:v>
      </x:c>
      <x:c r="K17" s="15" t="str">
        <x:v>Other</x:v>
      </x:c>
      <x:c r="L17" s="15" t="str">
        <x:v>Other</x:v>
      </x:c>
      <x:c r="M17" s="38"/>
      <x:c r="N17" s="38"/>
      <x:c r="O17" s="15" t="str"/>
      <x:c r="P17" s="15" t="str">
        <x:v>eml_ALL_currentac__512781 (2).zip &gt; eml12currentac__512781.zip</x:v>
      </x:c>
      <x:c r="Q17" s="15" t="str">
        <x:v>FNB _-) Payment Link created from Current a_c..512781 To Jj Spangenberg..735498 @ Smartapp.  3Oct 11_01 Call 087 575 9404  for help..eml</x:v>
      </x:c>
      <x:c r="R17" s="15" t="str">
        <x:v>High</x:v>
      </x:c>
      <x:c r="S17" s="15" t="str">
        <x:v>Payment link creation only; no money movement indicated. Category confidence Low: Unable to map confidently.</x:v>
      </x:c>
      <x:c r="T17" s="15" t="str">
        <x:v>Current a/c..512781</x:v>
      </x:c>
      <x:c r="U17" s="15" t="str">
        <x:v>Jj Spangenberg..735498</x:v>
      </x:c>
      <x:c r="V17" s="15" t="str"/>
      <x:c r="W17" s="15" t="str">
        <x:v>Smartapp</x:v>
      </x:c>
      <x:c r="X17" s="15" t="str">
        <x:v>FNB :-) Payment Link created from Current a/c..512781 To Jj Spangenberg..735498 @ Smartapp. 3Oct 11:01 Call 087 575 9404 for help.</x:v>
      </x:c>
      <x:c r="Y17" s="15" t="str">
        <x:v>c9a527bd0bfc7eb5</x:v>
      </x:c>
    </x:row>
    <x:row r="18">
      <x:c r="A18" s="34" t="n">
        <x:v>45933.459027777775</x:v>
      </x:c>
      <x:c r="B18" s="36" t="n">
        <x:v>45933</x:v>
      </x:c>
      <x:c r="C18" s="34" t="n">
        <x:v>45933.45972222222</x:v>
      </x:c>
      <x:c r="D18" s="15" t="str">
        <x:v>Current a/c..512781</x:v>
      </x:c>
      <x:c r="E18" s="15" t="str"/>
      <x:c r="F18" s="15" t="str">
        <x:v>R2845.00 paid from Current a/c..512781 @ Smartapp. Avail R39534. Ref.Kruger Safari 1657. 3Oct 11:01</x:v>
      </x:c>
      <x:c r="G18" s="15" t="str">
        <x:v>Kruger Safari 1657</x:v>
      </x:c>
      <x:c r="H18" s="38" t="n">
        <x:v>2845</x:v>
      </x:c>
      <x:c r="I18" s="15" t="str">
        <x:v>ZAR</x:v>
      </x:c>
      <x:c r="J18" s="15" t="str">
        <x:v>Outflow</x:v>
      </x:c>
      <x:c r="K18" s="15" t="str">
        <x:v>EFT payment</x:v>
      </x:c>
      <x:c r="L18" s="15" t="str">
        <x:v>Supplier payments</x:v>
      </x:c>
      <x:c r="M18" s="38"/>
      <x:c r="N18" s="38" t="n">
        <x:v>39534</x:v>
      </x:c>
      <x:c r="O18" s="15" t="str"/>
      <x:c r="P18" s="15" t="str">
        <x:v>eml_ALL_currentac__512781 (2).zip &gt; eml12currentac__512781.zip</x:v>
      </x:c>
      <x:c r="Q18" s="15" t="str">
        <x:v>FNB _-) R2845.00 paid from Current a_c..512781 @ Smartapp. Ref.Kruger Safari 1657.  3Oct 11_01.eml</x:v>
      </x:c>
      <x:c r="R18" s="15" t="str">
        <x:v>High</x:v>
      </x:c>
      <x:c r="S18" s="15" t="str">
        <x:v>Category confidence Low: Default outflow category; review counterparty/reference.</x:v>
      </x:c>
      <x:c r="T18" s="15" t="str"/>
      <x:c r="U18" s="15" t="str"/>
      <x:c r="V18" s="15" t="str">
        <x:v>Kruger Safari 1657</x:v>
      </x:c>
      <x:c r="W18" s="15" t="str">
        <x:v>Smartapp</x:v>
      </x:c>
      <x:c r="X18" s="15" t="str">
        <x:v>FNB :-) R2845.00 paid from Current a/c..512781 @ Smartapp. Avail R39534. Ref.Kruger Safari 1657. 3Oct 11:01</x:v>
      </x:c>
      <x:c r="Y18" s="15" t="str">
        <x:v>a18debfe9be551fe</x:v>
      </x:c>
    </x:row>
    <x:row r="19">
      <x:c r="A19" s="34" t="n">
        <x:v>45933.498611111114</x:v>
      </x:c>
      <x:c r="B19" s="36" t="n">
        <x:v>45933</x:v>
      </x:c>
      <x:c r="C19" s="34" t="n">
        <x:v>45933.49896990741</x:v>
      </x:c>
      <x:c r="D19" s="15" t="str">
        <x:v>Current a/c..512781</x:v>
      </x:c>
      <x:c r="E19" s="15" t="str"/>
      <x:c r="F19" s="15" t="str">
        <x:v>R32699.14 paid to Current a/c..512781 @ Retail Forex. Ref.R025mp0hp0 Booking.c. 3Oct 11:58</x:v>
      </x:c>
      <x:c r="G19" s="15" t="str">
        <x:v>R025mp0hp0 Booking.c</x:v>
      </x:c>
      <x:c r="H19" s="38" t="n">
        <x:v>32699.14</x:v>
      </x:c>
      <x:c r="I19" s="15" t="str">
        <x:v>ZAR</x:v>
      </x:c>
      <x:c r="J19" s="15" t="str">
        <x:v>Inflow</x:v>
      </x:c>
      <x:c r="K19" s="15" t="str">
        <x:v>EFT receipt</x:v>
      </x:c>
      <x:c r="L19" s="15" t="str">
        <x:v>Sales / customer receipts</x:v>
      </x:c>
      <x:c r="M19" s="38"/>
      <x:c r="N19" s="38"/>
      <x:c r="O19" s="15" t="str"/>
      <x:c r="P19" s="15" t="str">
        <x:v>eml_ALL_currentac__512781 (2).zip &gt; eml12currentac__512781.zip</x:v>
      </x:c>
      <x:c r="Q19" s="15" t="str">
        <x:v>FNB _-) R32699.14 paid to Current a_c..512781 @ Retail Forex. Ref.R025mp0hp0 Booking.c.  3Oct 11_58.eml</x:v>
      </x:c>
      <x:c r="R19" s="15" t="str">
        <x:v>High</x:v>
      </x:c>
      <x:c r="S19" s="15" t="str">
        <x:v>Category confidence Medium: Default for incoming EFT/PayShap/online receipt.</x:v>
      </x:c>
      <x:c r="T19" s="15" t="str"/>
      <x:c r="U19" s="15" t="str"/>
      <x:c r="V19" s="15" t="str">
        <x:v>R025mp0hp0 Booking.c</x:v>
      </x:c>
      <x:c r="W19" s="15" t="str">
        <x:v>Retail Forex</x:v>
      </x:c>
      <x:c r="X19" s="15" t="str">
        <x:v>FNB :-) R32699.14 paid to Current a/c..512781 @ Retail Forex. Ref.R025mp0hp0 Booking.c. 3Oct 11:58</x:v>
      </x:c>
      <x:c r="Y19" s="15" t="str">
        <x:v>c2620a5cd38e286c</x:v>
      </x:c>
    </x:row>
    <x:row r="20">
      <x:c r="A20" s="34" t="n">
        <x:v>45933.51666666667</x:v>
      </x:c>
      <x:c r="B20" s="36" t="n">
        <x:v>45933</x:v>
      </x:c>
      <x:c r="C20" s="34" t="n">
        <x:v>45933.51675925926</x:v>
      </x:c>
      <x:c r="D20" s="15" t="str">
        <x:v>Current a/c..512781</x:v>
      </x:c>
      <x:c r="E20" s="15" t="str"/>
      <x:c r="F20" s="15" t="str">
        <x:v>Payment Link created from Current a/c..512781 To Nightsbridge..593701 @ Smartapp. 3Oct 12:24 Call 087 575 9404 for help.</x:v>
      </x:c>
      <x:c r="G20" s="15" t="str">
        <x:v>Nightsbridge..593701</x:v>
      </x:c>
      <x:c r="H20" s="38"/>
      <x:c r="I20" s="15" t="str"/>
      <x:c r="J20" s="15" t="str">
        <x:v>Neutral/Information Only</x:v>
      </x:c>
      <x:c r="K20" s="15" t="str">
        <x:v>Other</x:v>
      </x:c>
      <x:c r="L20" s="15" t="str">
        <x:v>Other</x:v>
      </x:c>
      <x:c r="M20" s="38"/>
      <x:c r="N20" s="38"/>
      <x:c r="O20" s="15" t="str"/>
      <x:c r="P20" s="15" t="str">
        <x:v>eml_ALL_currentac__512781 (2).zip &gt; eml12currentac__512781.zip</x:v>
      </x:c>
      <x:c r="Q20" s="15" t="str">
        <x:v>FNB _-) Payment Link created from Current a_c..512781 To Nightsbridge..593701 @ Smartapp.  3Oct 12_24 Call 087 575 9404  for help..eml</x:v>
      </x:c>
      <x:c r="R20" s="15" t="str">
        <x:v>High</x:v>
      </x:c>
      <x:c r="S20" s="15" t="str">
        <x:v>Payment link creation only; no money movement indicated. Category confidence Low: Unable to map confidently.</x:v>
      </x:c>
      <x:c r="T20" s="15" t="str">
        <x:v>Current a/c..512781</x:v>
      </x:c>
      <x:c r="U20" s="15" t="str">
        <x:v>Nightsbridge..593701</x:v>
      </x:c>
      <x:c r="V20" s="15" t="str"/>
      <x:c r="W20" s="15" t="str">
        <x:v>Smartapp</x:v>
      </x:c>
      <x:c r="X20" s="15" t="str">
        <x:v>FNB :-) Payment Link created from Current a/c..512781 To Nightsbridge..593701 @ Smartapp. 3Oct 12:24 Call 087 575 9404 for help.</x:v>
      </x:c>
      <x:c r="Y20" s="15" t="str">
        <x:v>ba18ad04312c15de</x:v>
      </x:c>
    </x:row>
    <x:row r="21">
      <x:c r="A21" s="34" t="n">
        <x:v>45933.518055555556</x:v>
      </x:c>
      <x:c r="B21" s="36" t="n">
        <x:v>45933</x:v>
      </x:c>
      <x:c r="C21" s="34" t="n">
        <x:v>45933.51814814815</x:v>
      </x:c>
      <x:c r="D21" s="15" t="str">
        <x:v>Current a/c..512781</x:v>
      </x:c>
      <x:c r="E21" s="15" t="str"/>
      <x:c r="F21" s="15" t="str">
        <x:v>R1414.50 paid from Current a/c..512781 @ Smartapp. Avail R70819. Ref.Nb N992820 + 983772. 3Oct 12:26</x:v>
      </x:c>
      <x:c r="G21" s="15" t="str">
        <x:v>Nb N992820 + 983772</x:v>
      </x:c>
      <x:c r="H21" s="38" t="n">
        <x:v>1414.5</x:v>
      </x:c>
      <x:c r="I21" s="15" t="str">
        <x:v>ZAR</x:v>
      </x:c>
      <x:c r="J21" s="15" t="str">
        <x:v>Outflow</x:v>
      </x:c>
      <x:c r="K21" s="15" t="str">
        <x:v>EFT payment</x:v>
      </x:c>
      <x:c r="L21" s="15" t="str">
        <x:v>Supplier payments</x:v>
      </x:c>
      <x:c r="M21" s="38"/>
      <x:c r="N21" s="38" t="n">
        <x:v>70819</x:v>
      </x:c>
      <x:c r="O21" s="15" t="str"/>
      <x:c r="P21" s="15" t="str">
        <x:v>eml_ALL_currentac__512781 (2).zip &gt; eml12currentac__512781.zip</x:v>
      </x:c>
      <x:c r="Q21" s="15" t="str">
        <x:v>FNB _-) R1414.50 paid from Current a_c..512781 @ Smartapp. Ref.Nb N992820 + 983772.  3Oct 12_26.eml</x:v>
      </x:c>
      <x:c r="R21" s="15" t="str">
        <x:v>High</x:v>
      </x:c>
      <x:c r="S21" s="15" t="str">
        <x:v>Category confidence Low: Default outflow category; review counterparty/reference.</x:v>
      </x:c>
      <x:c r="T21" s="15" t="str"/>
      <x:c r="U21" s="15" t="str"/>
      <x:c r="V21" s="15" t="str">
        <x:v>Nb N992820 + 983772</x:v>
      </x:c>
      <x:c r="W21" s="15" t="str">
        <x:v>Smartapp</x:v>
      </x:c>
      <x:c r="X21" s="15" t="str">
        <x:v>FNB :-) R1414.50 paid from Current a/c..512781 @ Smartapp. Avail R70819. Ref.Nb N992820 + 983772. 3Oct 12:26</x:v>
      </x:c>
      <x:c r="Y21" s="15" t="str">
        <x:v>c1b4ed34aede407c</x:v>
      </x:c>
    </x:row>
    <x:row r="22">
      <x:c r="A22" s="34" t="n">
        <x:v>45934.40625</x:v>
      </x:c>
      <x:c r="B22" s="36" t="n">
        <x:v>45934</x:v>
      </x:c>
      <x:c r="C22" s="34" t="n">
        <x:v>45934.40642361111</x:v>
      </x:c>
      <x:c r="D22" s="15" t="str">
        <x:v>Current a/c..512781</x:v>
      </x:c>
      <x:c r="E22" s="15" t="str">
        <x:v>card..2924</x:v>
      </x:c>
      <x:c r="F22" s="15" t="str">
        <x:v>R114.36 reserved for purchase @ Savemor Marloth from Current a/c..512781 using card..2924. Avail R69439. 4Oct 09:45</x:v>
      </x:c>
      <x:c r="G22" s="15" t="str">
        <x:v>Savemor Marloth</x:v>
      </x:c>
      <x:c r="H22" s="38" t="n">
        <x:v>114.36</x:v>
      </x:c>
      <x:c r="I22" s="15" t="str">
        <x:v>ZAR</x:v>
      </x:c>
      <x:c r="J22" s="15" t="str">
        <x:v>Outflow</x:v>
      </x:c>
      <x:c r="K22" s="15" t="str">
        <x:v>Card purchase</x:v>
      </x:c>
      <x:c r="L22" s="15" t="str">
        <x:v>Supplier payments</x:v>
      </x:c>
      <x:c r="M22" s="38"/>
      <x:c r="N22" s="38" t="n">
        <x:v>69439</x:v>
      </x:c>
      <x:c r="O22" s="15" t="str"/>
      <x:c r="P22" s="15" t="str">
        <x:v>eml_ALL_currentac__512781 (2).zip &gt; eml12currentac__512781.zip</x:v>
      </x:c>
      <x:c r="Q22" s="15" t="str">
        <x:v>FNB _-) R114.36 reserved for purchase @ Savemor Marloth from Current a_c..512781 using card..2924.  4Oct 09_45.eml</x:v>
      </x:c>
      <x:c r="R22" s="15" t="str">
        <x:v>High</x:v>
      </x:c>
      <x:c r="S22" s="15" t="str">
        <x:v>Category confidence Medium: Retail/supplier merchant keyword.</x:v>
      </x:c>
      <x:c r="T22" s="15" t="str"/>
      <x:c r="U22" s="15" t="str"/>
      <x:c r="V22" s="15" t="str"/>
      <x:c r="W22" s="15" t="str"/>
      <x:c r="X22" s="15" t="str">
        <x:v>FNB :-) R114.36 reserved for purchase @ Savemor Marloth from Current a/c..512781 using card..2924. Avail R69439. 4Oct 09:45</x:v>
      </x:c>
      <x:c r="Y22" s="15" t="str">
        <x:v>57fefd038ad03b3b</x:v>
      </x:c>
    </x:row>
    <x:row r="23">
      <x:c r="A23" s="34" t="n">
        <x:v>45934.49444444444</x:v>
      </x:c>
      <x:c r="B23" s="36" t="n">
        <x:v>45934</x:v>
      </x:c>
      <x:c r="C23" s="34" t="n">
        <x:v>45934.49505787037</x:v>
      </x:c>
      <x:c r="D23" s="15" t="str">
        <x:v>Current a/c..512781</x:v>
      </x:c>
      <x:c r="E23" s="15" t="str"/>
      <x:c r="F23" s="15" t="str">
        <x:v>Payment Link created from Current a/c..512781 To Nason Staff..860933 @ Smartapp. 4Oct 11:52 Call 087 575 9404 for help.</x:v>
      </x:c>
      <x:c r="G23" s="15" t="str">
        <x:v>Nason Staff..860933</x:v>
      </x:c>
      <x:c r="H23" s="38"/>
      <x:c r="I23" s="15" t="str"/>
      <x:c r="J23" s="15" t="str">
        <x:v>Neutral/Information Only</x:v>
      </x:c>
      <x:c r="K23" s="15" t="str">
        <x:v>Other</x:v>
      </x:c>
      <x:c r="L23" s="15" t="str">
        <x:v>Other</x:v>
      </x:c>
      <x:c r="M23" s="38"/>
      <x:c r="N23" s="38"/>
      <x:c r="O23" s="15" t="str"/>
      <x:c r="P23" s="15" t="str">
        <x:v>eml_ALL_currentac__512781 (2).zip &gt; eml12currentac__512781.zip</x:v>
      </x:c>
      <x:c r="Q23" s="15" t="str">
        <x:v>FNB _-) Payment Link created from Current a_c..512781 To Nason Staff..860933 @ Smartapp.  4Oct 11_52 Call 087 575 9404  for help..eml</x:v>
      </x:c>
      <x:c r="R23" s="15" t="str">
        <x:v>High</x:v>
      </x:c>
      <x:c r="S23" s="15" t="str">
        <x:v>Payment link creation only; no money movement indicated. Category confidence Low: Unable to map confidently.</x:v>
      </x:c>
      <x:c r="T23" s="15" t="str">
        <x:v>Current a/c..512781</x:v>
      </x:c>
      <x:c r="U23" s="15" t="str">
        <x:v>Nason Staff..860933</x:v>
      </x:c>
      <x:c r="V23" s="15" t="str"/>
      <x:c r="W23" s="15" t="str">
        <x:v>Smartapp</x:v>
      </x:c>
      <x:c r="X23" s="15" t="str">
        <x:v>FNB :-) Payment Link created from Current a/c..512781 To Nason Staff..860933 @ Smartapp. 4Oct 11:52 Call 087 575 9404 for help.</x:v>
      </x:c>
      <x:c r="Y23" s="15" t="str">
        <x:v>32ddf7ce3aae6f9f</x:v>
      </x:c>
    </x:row>
    <x:row r="24">
      <x:c r="A24" s="34" t="n">
        <x:v>45934.495833333334</x:v>
      </x:c>
      <x:c r="B24" s="36" t="n">
        <x:v>45934</x:v>
      </x:c>
      <x:c r="C24" s="34" t="n">
        <x:v>45934.49601851852</x:v>
      </x:c>
      <x:c r="D24" s="15" t="str">
        <x:v>Current a/c..512781</x:v>
      </x:c>
      <x:c r="E24" s="15" t="str"/>
      <x:c r="F24" s="15" t="str">
        <x:v>Payment Link created from Current a/c..512781 To Annemarie Hoffman..346294 @ Smartapp. 4Oct 11:54 Call 087 575 9404 for help.</x:v>
      </x:c>
      <x:c r="G24" s="15" t="str">
        <x:v>Annemarie Hoffman..346294</x:v>
      </x:c>
      <x:c r="H24" s="38"/>
      <x:c r="I24" s="15" t="str"/>
      <x:c r="J24" s="15" t="str">
        <x:v>Neutral/Information Only</x:v>
      </x:c>
      <x:c r="K24" s="15" t="str">
        <x:v>Other</x:v>
      </x:c>
      <x:c r="L24" s="15" t="str">
        <x:v>Other</x:v>
      </x:c>
      <x:c r="M24" s="38"/>
      <x:c r="N24" s="38"/>
      <x:c r="O24" s="15" t="str"/>
      <x:c r="P24" s="15" t="str">
        <x:v>eml_ALL_currentac__512781 (2).zip &gt; eml12currentac__512781.zip</x:v>
      </x:c>
      <x:c r="Q24" s="15" t="str">
        <x:v>FNB _-) Payment Link created from Current a_c..512781 To Annemarie Hoffman..346294 @ Smartapp.  4Oct 11_54 Call 087 575 9404  for help..eml</x:v>
      </x:c>
      <x:c r="R24" s="15" t="str">
        <x:v>High</x:v>
      </x:c>
      <x:c r="S24" s="15" t="str">
        <x:v>Payment link creation only; no money movement indicated. Category confidence Low: Unable to map confidently.</x:v>
      </x:c>
      <x:c r="T24" s="15" t="str">
        <x:v>Current a/c..512781</x:v>
      </x:c>
      <x:c r="U24" s="15" t="str">
        <x:v>Annemarie Hoffman..346294</x:v>
      </x:c>
      <x:c r="V24" s="15" t="str"/>
      <x:c r="W24" s="15" t="str">
        <x:v>Smartapp</x:v>
      </x:c>
      <x:c r="X24" s="15" t="str">
        <x:v>FNB :-) Payment Link created from Current a/c..512781 To Annemarie Hoffman..346294 @ Smartapp. 4Oct 11:54 Call 087 575 9404 for help.</x:v>
      </x:c>
      <x:c r="Y24" s="15" t="str">
        <x:v>7ee11ce4a150d2a4</x:v>
      </x:c>
    </x:row>
    <x:row r="25">
      <x:c r="A25" s="34" t="n">
        <x:v>45934.495833333334</x:v>
      </x:c>
      <x:c r="B25" s="36" t="n">
        <x:v>45934</x:v>
      </x:c>
      <x:c r="C25" s="34" t="n">
        <x:v>45934.49612268519</x:v>
      </x:c>
      <x:c r="D25" s="15" t="str">
        <x:v>Current a/c..512781</x:v>
      </x:c>
      <x:c r="E25" s="15" t="str"/>
      <x:c r="F25" s="15" t="str">
        <x:v>R1400.00 paid from Current a/c..512781 @ Smartapp. Avail R66639. Ref.Staff Tips For Aug. 4Oct 11:54</x:v>
      </x:c>
      <x:c r="G25" s="15" t="str">
        <x:v>Staff Tips For Aug</x:v>
      </x:c>
      <x:c r="H25" s="38" t="n">
        <x:v>1400</x:v>
      </x:c>
      <x:c r="I25" s="15" t="str">
        <x:v>ZAR</x:v>
      </x:c>
      <x:c r="J25" s="15" t="str">
        <x:v>Outflow</x:v>
      </x:c>
      <x:c r="K25" s="15" t="str">
        <x:v>EFT payment</x:v>
      </x:c>
      <x:c r="L25" s="15" t="str">
        <x:v>Salary / wages</x:v>
      </x:c>
      <x:c r="M25" s="38"/>
      <x:c r="N25" s="38" t="n">
        <x:v>66639</x:v>
      </x:c>
      <x:c r="O25" s="15" t="str"/>
      <x:c r="P25" s="15" t="str">
        <x:v>eml_ALL_currentac__512781 (2).zip &gt; eml12currentac__512781.zip</x:v>
      </x:c>
      <x:c r="Q25" s="15" t="str">
        <x:v>FNB _-) R1400.00 paid from Current a_c..512781 @ Smartapp. Ref.Staff Tips For Aug.  4Oct 11_54.eml</x:v>
      </x:c>
      <x:c r="R25" s="15" t="str">
        <x:v>High</x:v>
      </x:c>
      <x:c r="S25" s="15" t="str"/>
      <x:c r="T25" s="15" t="str"/>
      <x:c r="U25" s="15" t="str"/>
      <x:c r="V25" s="15" t="str">
        <x:v>Staff Tips For Aug</x:v>
      </x:c>
      <x:c r="W25" s="15" t="str">
        <x:v>Smartapp</x:v>
      </x:c>
      <x:c r="X25" s="15" t="str">
        <x:v>FNB :-) R1400.00 paid from Current a/c..512781 @ Smartapp. Avail R66639. Ref.Staff Tips For Aug. 4Oct 11:54</x:v>
      </x:c>
      <x:c r="Y25" s="15" t="str">
        <x:v>4c2829bd041e044d</x:v>
      </x:c>
    </x:row>
    <x:row r="26">
      <x:c r="A26" s="34" t="n">
        <x:v>45934.49652777778</x:v>
      </x:c>
      <x:c r="B26" s="36" t="n">
        <x:v>45934</x:v>
      </x:c>
      <x:c r="C26" s="34" t="n">
        <x:v>45934.49700231481</x:v>
      </x:c>
      <x:c r="D26" s="15" t="str">
        <x:v>Current a/c..512781</x:v>
      </x:c>
      <x:c r="E26" s="15" t="str"/>
      <x:c r="F26" s="15" t="str">
        <x:v>Payment Link created from Current a/c..512781 To Dreyer Hoffman..465222 @ Smartapp. 4Oct 11:55 Call 087 575 9404 for help.</x:v>
      </x:c>
      <x:c r="G26" s="15" t="str">
        <x:v>Dreyer Hoffman..465222</x:v>
      </x:c>
      <x:c r="H26" s="38"/>
      <x:c r="I26" s="15" t="str"/>
      <x:c r="J26" s="15" t="str">
        <x:v>Neutral/Information Only</x:v>
      </x:c>
      <x:c r="K26" s="15" t="str">
        <x:v>Other</x:v>
      </x:c>
      <x:c r="L26" s="15" t="str">
        <x:v>Other</x:v>
      </x:c>
      <x:c r="M26" s="38"/>
      <x:c r="N26" s="38"/>
      <x:c r="O26" s="15" t="str"/>
      <x:c r="P26" s="15" t="str">
        <x:v>eml_ALL_currentac__512781 (2).zip &gt; eml12currentac__512781.zip</x:v>
      </x:c>
      <x:c r="Q26" s="15" t="str">
        <x:v>FNB _-) Payment Link created from Current a_c..512781 To Dreyer Hoffman..465222 @ Smartapp.  4Oct 11_55 Call 087 575 9404  for help..eml</x:v>
      </x:c>
      <x:c r="R26" s="15" t="str">
        <x:v>High</x:v>
      </x:c>
      <x:c r="S26" s="15" t="str">
        <x:v>Payment link creation only; no money movement indicated. Category confidence Low: Unable to map confidently.</x:v>
      </x:c>
      <x:c r="T26" s="15" t="str">
        <x:v>Current a/c..512781</x:v>
      </x:c>
      <x:c r="U26" s="15" t="str">
        <x:v>Dreyer Hoffman..465222</x:v>
      </x:c>
      <x:c r="V26" s="15" t="str"/>
      <x:c r="W26" s="15" t="str">
        <x:v>Smartapp</x:v>
      </x:c>
      <x:c r="X26" s="15" t="str">
        <x:v>FNB :-) Payment Link created from Current a/c..512781 To Dreyer Hoffman..465222 @ Smartapp. 4Oct 11:55 Call 087 575 9404 for help.</x:v>
      </x:c>
      <x:c r="Y26" s="15" t="str">
        <x:v>610bce238b093cf4</x:v>
      </x:c>
    </x:row>
    <x:row r="27">
      <x:c r="A27" s="34" t="n">
        <x:v>45934.49652777778</x:v>
      </x:c>
      <x:c r="B27" s="36" t="n">
        <x:v>45934</x:v>
      </x:c>
      <x:c r="C27" s="34" t="n">
        <x:v>45934.497083333335</x:v>
      </x:c>
      <x:c r="D27" s="15" t="str">
        <x:v>Current a/c..512781</x:v>
      </x:c>
      <x:c r="E27" s="15" t="str"/>
      <x:c r="F27" s="15" t="str">
        <x:v>R1400.00 paid from Current a/c..512781 @ Smartapp. Avail R65239. Ref.Staff Tips For Aug. 4Oct 11:55</x:v>
      </x:c>
      <x:c r="G27" s="15" t="str">
        <x:v>Staff Tips For Aug</x:v>
      </x:c>
      <x:c r="H27" s="38" t="n">
        <x:v>1400</x:v>
      </x:c>
      <x:c r="I27" s="15" t="str">
        <x:v>ZAR</x:v>
      </x:c>
      <x:c r="J27" s="15" t="str">
        <x:v>Outflow</x:v>
      </x:c>
      <x:c r="K27" s="15" t="str">
        <x:v>EFT payment</x:v>
      </x:c>
      <x:c r="L27" s="15" t="str">
        <x:v>Salary / wages</x:v>
      </x:c>
      <x:c r="M27" s="38"/>
      <x:c r="N27" s="38" t="n">
        <x:v>65239</x:v>
      </x:c>
      <x:c r="O27" s="15" t="str"/>
      <x:c r="P27" s="15" t="str">
        <x:v>eml_ALL_currentac__512781 (2).zip &gt; eml12currentac__512781.zip</x:v>
      </x:c>
      <x:c r="Q27" s="15" t="str">
        <x:v>FNB _-) R1400.00 paid from Current a_c..512781 @ Smartapp. Ref.Staff Tips For Aug.  4Oct 11_55.eml</x:v>
      </x:c>
      <x:c r="R27" s="15" t="str">
        <x:v>High</x:v>
      </x:c>
      <x:c r="S27" s="15" t="str"/>
      <x:c r="T27" s="15" t="str"/>
      <x:c r="U27" s="15" t="str"/>
      <x:c r="V27" s="15" t="str">
        <x:v>Staff Tips For Aug</x:v>
      </x:c>
      <x:c r="W27" s="15" t="str">
        <x:v>Smartapp</x:v>
      </x:c>
      <x:c r="X27" s="15" t="str">
        <x:v>FNB :-) R1400.00 paid from Current a/c..512781 @ Smartapp. Avail R65239. Ref.Staff Tips For Aug. 4Oct 11:55</x:v>
      </x:c>
      <x:c r="Y27" s="15" t="str">
        <x:v>806284f5886e1971</x:v>
      </x:c>
    </x:row>
    <x:row r="28">
      <x:c r="A28" s="34" t="n">
        <x:v>45935.41458333333</x:v>
      </x:c>
      <x:c r="B28" s="36" t="n">
        <x:v>45935</x:v>
      </x:c>
      <x:c r="C28" s="34" t="n">
        <x:v>45935.415034722224</x:v>
      </x:c>
      <x:c r="D28" s="15" t="str">
        <x:v>Current a/c..512781</x:v>
      </x:c>
      <x:c r="E28" s="15" t="str"/>
      <x:c r="F28" s="15" t="str">
        <x:v>Payment Link created from Current a/c..512781 To Nyala Luxury Safari..395895 @ Smartapp. 5Oct 09:57 Call 087 575 9404 for help.</x:v>
      </x:c>
      <x:c r="G28" s="15" t="str">
        <x:v>Nyala Luxury Safari..395895</x:v>
      </x:c>
      <x:c r="H28" s="38"/>
      <x:c r="I28" s="15" t="str"/>
      <x:c r="J28" s="15" t="str">
        <x:v>Neutral/Information Only</x:v>
      </x:c>
      <x:c r="K28" s="15" t="str">
        <x:v>Other</x:v>
      </x:c>
      <x:c r="L28" s="15" t="str">
        <x:v>Other</x:v>
      </x:c>
      <x:c r="M28" s="38"/>
      <x:c r="N28" s="38"/>
      <x:c r="O28" s="15" t="str"/>
      <x:c r="P28" s="15" t="str">
        <x:v>eml_ALL_currentac__512781 (2).zip &gt; eml12currentac__512781.zip</x:v>
      </x:c>
      <x:c r="Q28" s="15" t="str">
        <x:v>FNB _-) Payment Link created from Current a_c..512781 To Nyala Luxury Safari..395895 @ Smartapp.  5Oct 09_57 Call 087 575 9404  for help..eml</x:v>
      </x:c>
      <x:c r="R28" s="15" t="str">
        <x:v>High</x:v>
      </x:c>
      <x:c r="S28" s="15" t="str">
        <x:v>Payment link creation only; no money movement indicated. Category confidence Low: Unable to map confidently.</x:v>
      </x:c>
      <x:c r="T28" s="15" t="str">
        <x:v>Current a/c..512781</x:v>
      </x:c>
      <x:c r="U28" s="15" t="str">
        <x:v>Nyala Luxury Safari..395895</x:v>
      </x:c>
      <x:c r="V28" s="15" t="str"/>
      <x:c r="W28" s="15" t="str">
        <x:v>Smartapp</x:v>
      </x:c>
      <x:c r="X28" s="15" t="str">
        <x:v>FNB :-) Payment Link created from Current a/c..512781 To Nyala Luxury Safari..395895 @ Smartapp. 5Oct 09:57 Call 087 575 9404 for help.</x:v>
      </x:c>
      <x:c r="Y28" s="15" t="str">
        <x:v>de83d6cb68e40f3d</x:v>
      </x:c>
    </x:row>
    <x:row r="29">
      <x:c r="A29" s="34" t="n">
        <x:v>45935.41458333333</x:v>
      </x:c>
      <x:c r="B29" s="36" t="n">
        <x:v>45935</x:v>
      </x:c>
      <x:c r="C29" s="34" t="n">
        <x:v>45935.415243055555</x:v>
      </x:c>
      <x:c r="D29" s="15" t="str">
        <x:v>Current a/c..512781</x:v>
      </x:c>
      <x:c r="E29" s="15" t="str"/>
      <x:c r="F29" s="15" t="str">
        <x:v>R10080.00 paid from Current a/c..512781 @ Smartapp. Avail R55159. Ref.Nyala Safari 145. 5Oct 09:57</x:v>
      </x:c>
      <x:c r="G29" s="15" t="str">
        <x:v>Nyala Safari 145</x:v>
      </x:c>
      <x:c r="H29" s="38" t="n">
        <x:v>10080</x:v>
      </x:c>
      <x:c r="I29" s="15" t="str">
        <x:v>ZAR</x:v>
      </x:c>
      <x:c r="J29" s="15" t="str">
        <x:v>Outflow</x:v>
      </x:c>
      <x:c r="K29" s="15" t="str">
        <x:v>EFT payment</x:v>
      </x:c>
      <x:c r="L29" s="15" t="str">
        <x:v>Supplier payments</x:v>
      </x:c>
      <x:c r="M29" s="38"/>
      <x:c r="N29" s="38" t="n">
        <x:v>55159</x:v>
      </x:c>
      <x:c r="O29" s="15" t="str"/>
      <x:c r="P29" s="15" t="str">
        <x:v>eml_ALL_currentac__512781 (2).zip &gt; eml12currentac__512781.zip</x:v>
      </x:c>
      <x:c r="Q29" s="15" t="str">
        <x:v>FNB _-) R10080.00 paid from Current a_c..512781 @ Smartapp. Ref.Nyala Safari 145.  5Oct 09_57.eml</x:v>
      </x:c>
      <x:c r="R29" s="15" t="str">
        <x:v>High</x:v>
      </x:c>
      <x:c r="S29" s="15" t="str">
        <x:v>Category confidence Low: Default outflow category; review counterparty/reference.</x:v>
      </x:c>
      <x:c r="T29" s="15" t="str"/>
      <x:c r="U29" s="15" t="str"/>
      <x:c r="V29" s="15" t="str">
        <x:v>Nyala Safari 145</x:v>
      </x:c>
      <x:c r="W29" s="15" t="str">
        <x:v>Smartapp</x:v>
      </x:c>
      <x:c r="X29" s="15" t="str">
        <x:v>FNB :-) R10080.00 paid from Current a/c..512781 @ Smartapp. Avail R55159. Ref.Nyala Safari 145. 5Oct 09:57</x:v>
      </x:c>
      <x:c r="Y29" s="15" t="str">
        <x:v>1b4cd6958447f758</x:v>
      </x:c>
    </x:row>
    <x:row r="30">
      <x:c r="A30" s="34" t="n">
        <x:v>45935.45625</x:v>
      </x:c>
      <x:c r="B30" s="36" t="n">
        <x:v>45935</x:v>
      </x:c>
      <x:c r="C30" s="34" t="n">
        <x:v>45935.45625</x:v>
      </x:c>
      <x:c r="D30" s="15" t="str">
        <x:v>Current a/c..512781</x:v>
      </x:c>
      <x:c r="E30" s="15" t="str">
        <x:v>card..2924</x:v>
      </x:c>
      <x:c r="F30" s="15" t="str">
        <x:v>R400.00 reserved for purchase @ Giraffe Pub And Gril from Current a/c..512781 using card..2924. Avail R54759. 5Oct 10:57</x:v>
      </x:c>
      <x:c r="G30" s="15" t="str">
        <x:v>Giraffe Pub And Gril</x:v>
      </x:c>
      <x:c r="H30" s="38" t="n">
        <x:v>400</x:v>
      </x:c>
      <x:c r="I30" s="15" t="str">
        <x:v>ZAR</x:v>
      </x:c>
      <x:c r="J30" s="15" t="str">
        <x:v>Outflow</x:v>
      </x:c>
      <x:c r="K30" s="15" t="str">
        <x:v>Card purchase</x:v>
      </x:c>
      <x:c r="L30" s="15" t="str">
        <x:v>Meals / restaurants / entertainment</x:v>
      </x:c>
      <x:c r="M30" s="38"/>
      <x:c r="N30" s="38" t="n">
        <x:v>54759</x:v>
      </x:c>
      <x:c r="O30" s="15" t="str"/>
      <x:c r="P30" s="15" t="str">
        <x:v>eml_ALL_currentac__512781 (2).zip &gt; eml12currentac__512781.zip</x:v>
      </x:c>
      <x:c r="Q30" s="15" t="str">
        <x:v>FNB _-) R400.00 reserved for purchase @ Giraffe Pub And Gril from Current a_c..512781 using card..2924.  5Oct 10_57.eml</x:v>
      </x:c>
      <x:c r="R30" s="15" t="str">
        <x:v>High</x:v>
      </x:c>
      <x:c r="S30" s="15" t="str"/>
      <x:c r="T30" s="15" t="str"/>
      <x:c r="U30" s="15" t="str"/>
      <x:c r="V30" s="15" t="str"/>
      <x:c r="W30" s="15" t="str"/>
      <x:c r="X30" s="15" t="str">
        <x:v>FNB :-) R400.00 reserved for purchase @ Giraffe Pub And Gril from Current a/c..512781 using card..2924. Avail R54759. 5Oct 10:57</x:v>
      </x:c>
      <x:c r="Y30" s="15" t="str">
        <x:v>740c59b481041b1f</x:v>
      </x:c>
    </x:row>
    <x:row r="31">
      <x:c r="A31" s="34" t="n">
        <x:v>45935.46944444445</x:v>
      </x:c>
      <x:c r="B31" s="36" t="n">
        <x:v>45935</x:v>
      </x:c>
      <x:c r="C31" s="34" t="n">
        <x:v>45935.469560185185</x:v>
      </x:c>
      <x:c r="D31" s="15" t="str">
        <x:v>Current a/c..512781</x:v>
      </x:c>
      <x:c r="E31" s="15" t="str">
        <x:v>card..2924</x:v>
      </x:c>
      <x:c r="F31" s="15" t="str">
        <x:v>R1821.97 reserved for purchase @ Savemor Marloth from Current a/c..512781 using card..2924. Avail R52937. 5Oct 11:16</x:v>
      </x:c>
      <x:c r="G31" s="15" t="str">
        <x:v>Savemor Marloth</x:v>
      </x:c>
      <x:c r="H31" s="38" t="n">
        <x:v>1821.97</x:v>
      </x:c>
      <x:c r="I31" s="15" t="str">
        <x:v>ZAR</x:v>
      </x:c>
      <x:c r="J31" s="15" t="str">
        <x:v>Outflow</x:v>
      </x:c>
      <x:c r="K31" s="15" t="str">
        <x:v>Card purchase</x:v>
      </x:c>
      <x:c r="L31" s="15" t="str">
        <x:v>Supplier payments</x:v>
      </x:c>
      <x:c r="M31" s="38"/>
      <x:c r="N31" s="38" t="n">
        <x:v>52937</x:v>
      </x:c>
      <x:c r="O31" s="15" t="str"/>
      <x:c r="P31" s="15" t="str">
        <x:v>eml_ALL_currentac__512781 (2).zip &gt; eml12currentac__512781.zip</x:v>
      </x:c>
      <x:c r="Q31" s="15" t="str">
        <x:v>FNB _-) R1821.97 reserved for purchase @ Savemor Marloth from Current a_c..512781 using card..2924.  5Oct 11_16.eml</x:v>
      </x:c>
      <x:c r="R31" s="15" t="str">
        <x:v>High</x:v>
      </x:c>
      <x:c r="S31" s="15" t="str">
        <x:v>Category confidence Medium: Retail/supplier merchant keyword.</x:v>
      </x:c>
      <x:c r="T31" s="15" t="str"/>
      <x:c r="U31" s="15" t="str"/>
      <x:c r="V31" s="15" t="str"/>
      <x:c r="W31" s="15" t="str"/>
      <x:c r="X31" s="15" t="str">
        <x:v>FNB :-) R1821.97 reserved for purchase @ Savemor Marloth from Current a/c..512781 using card..2924. Avail R52937. 5Oct 11:16</x:v>
      </x:c>
      <x:c r="Y31" s="15" t="str">
        <x:v>94df7ab8798712d4</x:v>
      </x:c>
    </x:row>
    <x:row r="32">
      <x:c r="A32" s="34" t="n">
        <x:v>45936.31736111111</x:v>
      </x:c>
      <x:c r="B32" s="36" t="n">
        <x:v>45936</x:v>
      </x:c>
      <x:c r="C32" s="34" t="n">
        <x:v>45936.31778935185</x:v>
      </x:c>
      <x:c r="D32" s="15" t="str">
        <x:v>Current a/c..512781</x:v>
      </x:c>
      <x:c r="E32" s="15" t="str">
        <x:v>card..2924</x:v>
      </x:c>
      <x:c r="F32" s="15" t="str">
        <x:v>R124.34 reserved for purchase @ Savemor Marloth from Current a/c..512781 using card..2924. Avail R52802. 6Oct 07:37</x:v>
      </x:c>
      <x:c r="G32" s="15" t="str">
        <x:v>Savemor Marloth</x:v>
      </x:c>
      <x:c r="H32" s="38" t="n">
        <x:v>124.34</x:v>
      </x:c>
      <x:c r="I32" s="15" t="str">
        <x:v>ZAR</x:v>
      </x:c>
      <x:c r="J32" s="15" t="str">
        <x:v>Outflow</x:v>
      </x:c>
      <x:c r="K32" s="15" t="str">
        <x:v>Card purchase</x:v>
      </x:c>
      <x:c r="L32" s="15" t="str">
        <x:v>Supplier payments</x:v>
      </x:c>
      <x:c r="M32" s="38"/>
      <x:c r="N32" s="38" t="n">
        <x:v>52802</x:v>
      </x:c>
      <x:c r="O32" s="15" t="str"/>
      <x:c r="P32" s="15" t="str">
        <x:v>eml_ALL_currentac__512781 (2).zip &gt; eml12currentac__512781.zip</x:v>
      </x:c>
      <x:c r="Q32" s="15" t="str">
        <x:v>FNB _-) R124.34 reserved for purchase @ Savemor Marloth from Current a_c..512781 using card..2924.  6Oct 07_37.eml</x:v>
      </x:c>
      <x:c r="R32" s="15" t="str">
        <x:v>High</x:v>
      </x:c>
      <x:c r="S32" s="15" t="str">
        <x:v>Category confidence Medium: Retail/supplier merchant keyword.</x:v>
      </x:c>
      <x:c r="T32" s="15" t="str"/>
      <x:c r="U32" s="15" t="str"/>
      <x:c r="V32" s="15" t="str"/>
      <x:c r="W32" s="15" t="str"/>
      <x:c r="X32" s="15" t="str">
        <x:v>FNB :-) R124.34 reserved for purchase @ Savemor Marloth from Current a/c..512781 using card..2924. Avail R52802. 6Oct 07:37</x:v>
      </x:c>
      <x:c r="Y32" s="15" t="str">
        <x:v>d8f196b163054e2b</x:v>
      </x:c>
    </x:row>
    <x:row r="33">
      <x:c r="A33" s="34" t="n">
        <x:v>45938.438888888886</x:v>
      </x:c>
      <x:c r="B33" s="36" t="n">
        <x:v>45938</x:v>
      </x:c>
      <x:c r="C33" s="34" t="n">
        <x:v>45938.439155092594</x:v>
      </x:c>
      <x:c r="D33" s="15" t="str">
        <x:v>Current a/c..512781</x:v>
      </x:c>
      <x:c r="E33" s="15" t="str">
        <x:v>card..2924</x:v>
      </x:c>
      <x:c r="F33" s="15" t="str">
        <x:v>R5670.36 reserved for purchase @ Nkomazi Local Munici from Current a/c..512781 using card..2924. Avail R47112. 8Oct 10:32</x:v>
      </x:c>
      <x:c r="G33" s="15" t="str">
        <x:v>Nkomazi Local Munici</x:v>
      </x:c>
      <x:c r="H33" s="38" t="n">
        <x:v>5670.36</x:v>
      </x:c>
      <x:c r="I33" s="15" t="str">
        <x:v>ZAR</x:v>
      </x:c>
      <x:c r="J33" s="15" t="str">
        <x:v>Outflow</x:v>
      </x:c>
      <x:c r="K33" s="15" t="str">
        <x:v>Card purchase</x:v>
      </x:c>
      <x:c r="L33" s="15" t="str">
        <x:v>Card spend</x:v>
      </x:c>
      <x:c r="M33" s="38"/>
      <x:c r="N33" s="38" t="n">
        <x:v>47112</x:v>
      </x:c>
      <x:c r="O33" s="15" t="str"/>
      <x:c r="P33" s="15" t="str">
        <x:v>eml_ALL_currentac__512781 (2).zip &gt; eml12currentac__512781.zip</x:v>
      </x:c>
      <x:c r="Q33" s="15" t="str">
        <x:v>FNB _-) R5670.36 reserved for purchase @ Nkomazi Local Munici from Current a_c..512781 using card..2924.  8Oct 10_32.eml</x:v>
      </x:c>
      <x:c r="R33" s="15" t="str">
        <x:v>High</x:v>
      </x:c>
      <x:c r="S33" s="15" t="str">
        <x:v>Category confidence Low: Default card-spend category; merchant not confidently mapped.</x:v>
      </x:c>
      <x:c r="T33" s="15" t="str"/>
      <x:c r="U33" s="15" t="str"/>
      <x:c r="V33" s="15" t="str"/>
      <x:c r="W33" s="15" t="str"/>
      <x:c r="X33" s="15" t="str">
        <x:v>FNB :-) R5670.36 reserved for purchase @ Nkomazi Local Munici from Current a/c..512781 using card..2924. Avail R47112. 8Oct 10:32</x:v>
      </x:c>
      <x:c r="Y33" s="15" t="str">
        <x:v>f57623785ae89bb2</x:v>
      </x:c>
    </x:row>
    <x:row r="34">
      <x:c r="A34" s="34" t="n">
        <x:v>45938.569444444445</x:v>
      </x:c>
      <x:c r="B34" s="36" t="n">
        <x:v>45938</x:v>
      </x:c>
      <x:c r="C34" s="34" t="n">
        <x:v>45938.569560185184</x:v>
      </x:c>
      <x:c r="D34" s="15" t="str">
        <x:v>Current a/c..512781</x:v>
      </x:c>
      <x:c r="E34" s="15" t="str"/>
      <x:c r="F34" s="15" t="str">
        <x:v>Payment Link created from Current a/c..512781 To Bon Express - Bacon..109612 @ Smartapp. 8Oct 13:40 Call 087 575 9404 for help.</x:v>
      </x:c>
      <x:c r="G34" s="15" t="str">
        <x:v>Bon Express - Bacon..109612</x:v>
      </x:c>
      <x:c r="H34" s="38"/>
      <x:c r="I34" s="15" t="str"/>
      <x:c r="J34" s="15" t="str">
        <x:v>Neutral/Information Only</x:v>
      </x:c>
      <x:c r="K34" s="15" t="str">
        <x:v>Other</x:v>
      </x:c>
      <x:c r="L34" s="15" t="str">
        <x:v>Other</x:v>
      </x:c>
      <x:c r="M34" s="38"/>
      <x:c r="N34" s="38"/>
      <x:c r="O34" s="15" t="str"/>
      <x:c r="P34" s="15" t="str">
        <x:v>eml_ALL_currentac__512781 (2).zip &gt; eml12currentac__512781.zip</x:v>
      </x:c>
      <x:c r="Q34" s="15" t="str">
        <x:v>FNB _-) Payment Link created from Current a_c..512781 To Bon Express - Bacon..109612 @ Smartapp.  8Oct 13_40 Call 087 575 9404  for help..eml</x:v>
      </x:c>
      <x:c r="R34" s="15" t="str">
        <x:v>High</x:v>
      </x:c>
      <x:c r="S34" s="15" t="str">
        <x:v>Payment link creation only; no money movement indicated. Category confidence Low: Unable to map confidently.</x:v>
      </x:c>
      <x:c r="T34" s="15" t="str">
        <x:v>Current a/c..512781</x:v>
      </x:c>
      <x:c r="U34" s="15" t="str">
        <x:v>Bon Express - Bacon..109612</x:v>
      </x:c>
      <x:c r="V34" s="15" t="str"/>
      <x:c r="W34" s="15" t="str">
        <x:v>Smartapp</x:v>
      </x:c>
      <x:c r="X34" s="15" t="str">
        <x:v>FNB :-) Payment Link created from Current a/c..512781 To Bon Express - Bacon..109612 @ Smartapp. 8Oct 13:40 Call 087 575 9404 for help.</x:v>
      </x:c>
      <x:c r="Y34" s="15" t="str">
        <x:v>aa094b36834fd67b</x:v>
      </x:c>
    </x:row>
    <x:row r="35">
      <x:c r="A35" s="34" t="n">
        <x:v>45938.569444444445</x:v>
      </x:c>
      <x:c r="B35" s="36" t="n">
        <x:v>45938</x:v>
      </x:c>
      <x:c r="C35" s="34" t="n">
        <x:v>45938.5697337963</x:v>
      </x:c>
      <x:c r="D35" s="15" t="str">
        <x:v>Current a/c..512781</x:v>
      </x:c>
      <x:c r="E35" s="15" t="str"/>
      <x:c r="F35" s="15" t="str">
        <x:v>R127.88 paid from Current a/c..512781 @ Smartapp. Avail R46976. Ref.Bon Express 006708. 8Oct 13:40</x:v>
      </x:c>
      <x:c r="G35" s="15" t="str">
        <x:v>Bon Express 006708</x:v>
      </x:c>
      <x:c r="H35" s="38" t="n">
        <x:v>127.88</x:v>
      </x:c>
      <x:c r="I35" s="15" t="str">
        <x:v>ZAR</x:v>
      </x:c>
      <x:c r="J35" s="15" t="str">
        <x:v>Outflow</x:v>
      </x:c>
      <x:c r="K35" s="15" t="str">
        <x:v>EFT payment</x:v>
      </x:c>
      <x:c r="L35" s="15" t="str">
        <x:v>Supplier payments</x:v>
      </x:c>
      <x:c r="M35" s="38"/>
      <x:c r="N35" s="38" t="n">
        <x:v>46976</x:v>
      </x:c>
      <x:c r="O35" s="15" t="str"/>
      <x:c r="P35" s="15" t="str">
        <x:v>eml_ALL_currentac__512781 (2).zip &gt; eml12currentac__512781.zip</x:v>
      </x:c>
      <x:c r="Q35" s="15" t="str">
        <x:v>FNB _-) R127.88 paid from Current a_c..512781 @ Smartapp. Ref.Bon Express 006708.  8Oct 13_40.eml</x:v>
      </x:c>
      <x:c r="R35" s="15" t="str">
        <x:v>High</x:v>
      </x:c>
      <x:c r="S35" s="15" t="str">
        <x:v>Category confidence Low: Default outflow category; review counterparty/reference.</x:v>
      </x:c>
      <x:c r="T35" s="15" t="str"/>
      <x:c r="U35" s="15" t="str"/>
      <x:c r="V35" s="15" t="str">
        <x:v>Bon Express 006708</x:v>
      </x:c>
      <x:c r="W35" s="15" t="str">
        <x:v>Smartapp</x:v>
      </x:c>
      <x:c r="X35" s="15" t="str">
        <x:v>FNB :-) R127.88 paid from Current a/c..512781 @ Smartapp. Avail R46976. Ref.Bon Express 006708. 8Oct 13:40</x:v>
      </x:c>
      <x:c r="Y35" s="15" t="str">
        <x:v>e7dd8164cd8f5714</x:v>
      </x:c>
    </x:row>
    <x:row r="36">
      <x:c r="A36" s="34" t="n">
        <x:v>45938.57013888889</x:v>
      </x:c>
      <x:c r="B36" s="36" t="n">
        <x:v>45938</x:v>
      </x:c>
      <x:c r="C36" s="34" t="n">
        <x:v>45938.5705787037</x:v>
      </x:c>
      <x:c r="D36" s="15" t="str">
        <x:v>Current a/c..512781</x:v>
      </x:c>
      <x:c r="E36" s="15" t="str"/>
      <x:c r="F36" s="15" t="str">
        <x:v>R2776.00 paid from Current a/c..512781 @ Smartapp. Avail R44192. Ref.Kruger Safari 1658. 8Oct 13:41</x:v>
      </x:c>
      <x:c r="G36" s="15" t="str">
        <x:v>Kruger Safari 1658</x:v>
      </x:c>
      <x:c r="H36" s="38" t="n">
        <x:v>2776</x:v>
      </x:c>
      <x:c r="I36" s="15" t="str">
        <x:v>ZAR</x:v>
      </x:c>
      <x:c r="J36" s="15" t="str">
        <x:v>Outflow</x:v>
      </x:c>
      <x:c r="K36" s="15" t="str">
        <x:v>EFT payment</x:v>
      </x:c>
      <x:c r="L36" s="15" t="str">
        <x:v>Supplier payments</x:v>
      </x:c>
      <x:c r="M36" s="38"/>
      <x:c r="N36" s="38" t="n">
        <x:v>44192</x:v>
      </x:c>
      <x:c r="O36" s="15" t="str"/>
      <x:c r="P36" s="15" t="str">
        <x:v>eml_ALL_currentac__512781 (2).zip &gt; eml12currentac__512781.zip</x:v>
      </x:c>
      <x:c r="Q36" s="15" t="str">
        <x:v>FNB _-) R2776.00 paid from Current a_c..512781 @ Smartapp. Ref.Kruger Safari 1658.  8Oct 13_41.eml</x:v>
      </x:c>
      <x:c r="R36" s="15" t="str">
        <x:v>High</x:v>
      </x:c>
      <x:c r="S36" s="15" t="str">
        <x:v>Category confidence Low: Default outflow category; review counterparty/reference.</x:v>
      </x:c>
      <x:c r="T36" s="15" t="str"/>
      <x:c r="U36" s="15" t="str"/>
      <x:c r="V36" s="15" t="str">
        <x:v>Kruger Safari 1658</x:v>
      </x:c>
      <x:c r="W36" s="15" t="str">
        <x:v>Smartapp</x:v>
      </x:c>
      <x:c r="X36" s="15" t="str">
        <x:v>FNB :-) R2776.00 paid from Current a/c..512781 @ Smartapp. Avail R44192. Ref.Kruger Safari 1658. 8Oct 13:41</x:v>
      </x:c>
      <x:c r="Y36" s="15" t="str">
        <x:v>00968bbc6c036c2b</x:v>
      </x:c>
    </x:row>
    <x:row r="37">
      <x:c r="A37" s="34" t="n">
        <x:v>45938.59652777778</x:v>
      </x:c>
      <x:c r="B37" s="36" t="n">
        <x:v>45938</x:v>
      </x:c>
      <x:c r="C37" s="34" t="n">
        <x:v>45938.596921296295</x:v>
      </x:c>
      <x:c r="D37" s="15" t="str">
        <x:v>Current a/c..512781</x:v>
      </x:c>
      <x:c r="E37" s="15" t="str">
        <x:v>card..2924</x:v>
      </x:c>
      <x:c r="F37" s="15" t="str">
        <x:v>R150.00 reserved for purchase @ Temu from Current a/c..512781 using card..2924. Avail R44042. 8Oct 14:19</x:v>
      </x:c>
      <x:c r="G37" s="15" t="str">
        <x:v>Temu</x:v>
      </x:c>
      <x:c r="H37" s="38" t="n">
        <x:v>150</x:v>
      </x:c>
      <x:c r="I37" s="15" t="str">
        <x:v>ZAR</x:v>
      </x:c>
      <x:c r="J37" s="15" t="str">
        <x:v>Outflow</x:v>
      </x:c>
      <x:c r="K37" s="15" t="str">
        <x:v>Card purchase</x:v>
      </x:c>
      <x:c r="L37" s="15" t="str">
        <x:v>Card spend</x:v>
      </x:c>
      <x:c r="M37" s="38"/>
      <x:c r="N37" s="38" t="n">
        <x:v>44042</x:v>
      </x:c>
      <x:c r="O37" s="15" t="str"/>
      <x:c r="P37" s="15" t="str">
        <x:v>eml_ALL_currentac__512781 (2).zip &gt; eml12currentac__512781.zip</x:v>
      </x:c>
      <x:c r="Q37" s="15" t="str">
        <x:v>FNB _-) R150.00 reserved for purchase @ Temu from Current a_c..512781 using card..2924.  8Oct 14_19.eml</x:v>
      </x:c>
      <x:c r="R37" s="15" t="str">
        <x:v>High</x:v>
      </x:c>
      <x:c r="S37" s="15" t="str">
        <x:v>Category confidence Low: Default card-spend category; merchant not confidently mapped.</x:v>
      </x:c>
      <x:c r="T37" s="15" t="str"/>
      <x:c r="U37" s="15" t="str"/>
      <x:c r="V37" s="15" t="str"/>
      <x:c r="W37" s="15" t="str"/>
      <x:c r="X37" s="15" t="str">
        <x:v>FNB :-) R150.00 reserved for purchase @ Temu from Current a/c..512781 using card..2924. Avail R44042. 8Oct 14:19</x:v>
      </x:c>
      <x:c r="Y37" s="15" t="str">
        <x:v>fc9fd2dfe89ae16e</x:v>
      </x:c>
    </x:row>
    <x:row r="38">
      <x:c r="A38" s="34" t="n">
        <x:v>45938.603472222225</x:v>
      </x:c>
      <x:c r="B38" s="36" t="n">
        <x:v>45938</x:v>
      </x:c>
      <x:c r="C38" s="34" t="n">
        <x:v>45938.60391203704</x:v>
      </x:c>
      <x:c r="D38" s="15" t="str">
        <x:v>Current a/c..512781</x:v>
      </x:c>
      <x:c r="E38" s="15" t="str">
        <x:v>card..2924</x:v>
      </x:c>
      <x:c r="F38" s="15" t="str">
        <x:v>R234.00 reserved for purchase @ Temu from Current a/c..512781 using card..2924. Avail R43808. 8Oct 14:29</x:v>
      </x:c>
      <x:c r="G38" s="15" t="str">
        <x:v>Temu</x:v>
      </x:c>
      <x:c r="H38" s="38" t="n">
        <x:v>234</x:v>
      </x:c>
      <x:c r="I38" s="15" t="str">
        <x:v>ZAR</x:v>
      </x:c>
      <x:c r="J38" s="15" t="str">
        <x:v>Outflow</x:v>
      </x:c>
      <x:c r="K38" s="15" t="str">
        <x:v>Card purchase</x:v>
      </x:c>
      <x:c r="L38" s="15" t="str">
        <x:v>Card spend</x:v>
      </x:c>
      <x:c r="M38" s="38"/>
      <x:c r="N38" s="38" t="n">
        <x:v>43808</x:v>
      </x:c>
      <x:c r="O38" s="15" t="str"/>
      <x:c r="P38" s="15" t="str">
        <x:v>eml_ALL_currentac__512781 (2).zip &gt; eml12currentac__512781.zip</x:v>
      </x:c>
      <x:c r="Q38" s="15" t="str">
        <x:v>FNB _-) R234.00 reserved for purchase @ Temu from Current a_c..512781 using card..2924.  8Oct 14_29.eml</x:v>
      </x:c>
      <x:c r="R38" s="15" t="str">
        <x:v>High</x:v>
      </x:c>
      <x:c r="S38" s="15" t="str">
        <x:v>Category confidence Low: Default card-spend category; merchant not confidently mapped.</x:v>
      </x:c>
      <x:c r="T38" s="15" t="str"/>
      <x:c r="U38" s="15" t="str"/>
      <x:c r="V38" s="15" t="str"/>
      <x:c r="W38" s="15" t="str"/>
      <x:c r="X38" s="15" t="str">
        <x:v>FNB :-) R234.00 reserved for purchase @ Temu from Current a/c..512781 using card..2924. Avail R43808. 8Oct 14:29</x:v>
      </x:c>
      <x:c r="Y38" s="15" t="str">
        <x:v>ccea6a0ea58c02d4</x:v>
      </x:c>
    </x:row>
    <x:row r="39">
      <x:c r="A39" s="34" t="n">
        <x:v>45938.60763888889</x:v>
      </x:c>
      <x:c r="B39" s="36" t="n">
        <x:v>45938</x:v>
      </x:c>
      <x:c r="C39" s="34" t="n">
        <x:v>45938.60833333333</x:v>
      </x:c>
      <x:c r="D39" s="15" t="str">
        <x:v>Current a/c..512781</x:v>
      </x:c>
      <x:c r="E39" s="15" t="str">
        <x:v>card..2924</x:v>
      </x:c>
      <x:c r="F39" s="15" t="str">
        <x:v>R152.00 reserved for purchase @ Temu from Current a/c..512781 using card..2924. Avail R43656. 8Oct 14:35</x:v>
      </x:c>
      <x:c r="G39" s="15" t="str">
        <x:v>Temu</x:v>
      </x:c>
      <x:c r="H39" s="38" t="n">
        <x:v>152</x:v>
      </x:c>
      <x:c r="I39" s="15" t="str">
        <x:v>ZAR</x:v>
      </x:c>
      <x:c r="J39" s="15" t="str">
        <x:v>Outflow</x:v>
      </x:c>
      <x:c r="K39" s="15" t="str">
        <x:v>Card purchase</x:v>
      </x:c>
      <x:c r="L39" s="15" t="str">
        <x:v>Card spend</x:v>
      </x:c>
      <x:c r="M39" s="38"/>
      <x:c r="N39" s="38" t="n">
        <x:v>43656</x:v>
      </x:c>
      <x:c r="O39" s="15" t="str"/>
      <x:c r="P39" s="15" t="str">
        <x:v>eml_ALL_currentac__512781 (2).zip &gt; eml12currentac__512781.zip</x:v>
      </x:c>
      <x:c r="Q39" s="15" t="str">
        <x:v>FNB _-) R152.00 reserved for purchase @ Temu from Current a_c..512781 using card..2924.  8Oct 14_35.eml</x:v>
      </x:c>
      <x:c r="R39" s="15" t="str">
        <x:v>High</x:v>
      </x:c>
      <x:c r="S39" s="15" t="str">
        <x:v>Category confidence Low: Default card-spend category; merchant not confidently mapped.</x:v>
      </x:c>
      <x:c r="T39" s="15" t="str"/>
      <x:c r="U39" s="15" t="str"/>
      <x:c r="V39" s="15" t="str"/>
      <x:c r="W39" s="15" t="str"/>
      <x:c r="X39" s="15" t="str">
        <x:v>FNB :-) R152.00 reserved for purchase @ Temu from Current a/c..512781 using card..2924. Avail R43656. 8Oct 14:35</x:v>
      </x:c>
      <x:c r="Y39" s="15" t="str">
        <x:v>7f004fee5311faa7</x:v>
      </x:c>
    </x:row>
    <x:row r="40">
      <x:c r="A40" s="34" t="n">
        <x:v>45938.620833333334</x:v>
      </x:c>
      <x:c r="B40" s="36" t="n">
        <x:v>45938</x:v>
      </x:c>
      <x:c r="C40" s="34" t="n">
        <x:v>45938.62085648148</x:v>
      </x:c>
      <x:c r="D40" s="15" t="str">
        <x:v>Current a/c..512781</x:v>
      </x:c>
      <x:c r="E40" s="15" t="str">
        <x:v>card..2924</x:v>
      </x:c>
      <x:c r="F40" s="15" t="str">
        <x:v>R170.00 reserved for purchase @ Temu from Current a/c..512781 using card..2924. Avail R43486. 8Oct 14:54</x:v>
      </x:c>
      <x:c r="G40" s="15" t="str">
        <x:v>Temu</x:v>
      </x:c>
      <x:c r="H40" s="38" t="n">
        <x:v>170</x:v>
      </x:c>
      <x:c r="I40" s="15" t="str">
        <x:v>ZAR</x:v>
      </x:c>
      <x:c r="J40" s="15" t="str">
        <x:v>Outflow</x:v>
      </x:c>
      <x:c r="K40" s="15" t="str">
        <x:v>Card purchase</x:v>
      </x:c>
      <x:c r="L40" s="15" t="str">
        <x:v>Card spend</x:v>
      </x:c>
      <x:c r="M40" s="38"/>
      <x:c r="N40" s="38" t="n">
        <x:v>43486</x:v>
      </x:c>
      <x:c r="O40" s="15" t="str"/>
      <x:c r="P40" s="15" t="str">
        <x:v>eml_ALL_currentac__512781 (2).zip &gt; eml12currentac__512781.zip</x:v>
      </x:c>
      <x:c r="Q40" s="15" t="str">
        <x:v>FNB _-) R170.00 reserved for purchase @ Temu from Current a_c..512781 using card..2924.  8Oct 14_54.eml</x:v>
      </x:c>
      <x:c r="R40" s="15" t="str">
        <x:v>High</x:v>
      </x:c>
      <x:c r="S40" s="15" t="str">
        <x:v>Category confidence Low: Default card-spend category; merchant not confidently mapped.</x:v>
      </x:c>
      <x:c r="T40" s="15" t="str"/>
      <x:c r="U40" s="15" t="str"/>
      <x:c r="V40" s="15" t="str"/>
      <x:c r="W40" s="15" t="str"/>
      <x:c r="X40" s="15" t="str">
        <x:v>FNB :-) R170.00 reserved for purchase @ Temu from Current a/c..512781 using card..2924. Avail R43486. 8Oct 14:54</x:v>
      </x:c>
      <x:c r="Y40" s="15" t="str">
        <x:v>1bbeeb21b393b14b</x:v>
      </x:c>
    </x:row>
    <x:row r="41">
      <x:c r="A41" s="34" t="n">
        <x:v>45939.458333333336</x:v>
      </x:c>
      <x:c r="B41" s="36" t="n">
        <x:v>45939</x:v>
      </x:c>
      <x:c r="C41" s="34" t="n">
        <x:v>45939.4584375</x:v>
      </x:c>
      <x:c r="D41" s="15" t="str">
        <x:v>Current a/c..512781</x:v>
      </x:c>
      <x:c r="E41" s="15" t="str"/>
      <x:c r="F41" s="15" t="str">
        <x:v>Payment Link created from Current a/c..512781 To Sf Mndlovu..646958 @ Smartapp. 9Oct 11:00 Call 087 575 9404 for help.</x:v>
      </x:c>
      <x:c r="G41" s="15" t="str">
        <x:v>Sf Mndlovu..646958</x:v>
      </x:c>
      <x:c r="H41" s="38"/>
      <x:c r="I41" s="15" t="str"/>
      <x:c r="J41" s="15" t="str">
        <x:v>Neutral/Information Only</x:v>
      </x:c>
      <x:c r="K41" s="15" t="str">
        <x:v>Other</x:v>
      </x:c>
      <x:c r="L41" s="15" t="str">
        <x:v>Other</x:v>
      </x:c>
      <x:c r="M41" s="38"/>
      <x:c r="N41" s="38"/>
      <x:c r="O41" s="15" t="str"/>
      <x:c r="P41" s="15" t="str">
        <x:v>eml_ALL_currentac__512781 (2).zip &gt; eml12currentac__512781.zip</x:v>
      </x:c>
      <x:c r="Q41" s="15" t="str">
        <x:v>FNB _-) Payment Link created from Current a_c..512781 To Sf Mndlovu..646958 @ Smartapp.  9Oct 11_00 Call 087 575 9404  for help..eml</x:v>
      </x:c>
      <x:c r="R41" s="15" t="str">
        <x:v>High</x:v>
      </x:c>
      <x:c r="S41" s="15" t="str">
        <x:v>Payment link creation only; no money movement indicated. Category confidence Low: Unable to map confidently.</x:v>
      </x:c>
      <x:c r="T41" s="15" t="str">
        <x:v>Current a/c..512781</x:v>
      </x:c>
      <x:c r="U41" s="15" t="str">
        <x:v>Sf Mndlovu..646958</x:v>
      </x:c>
      <x:c r="V41" s="15" t="str"/>
      <x:c r="W41" s="15" t="str">
        <x:v>Smartapp</x:v>
      </x:c>
      <x:c r="X41" s="15" t="str">
        <x:v>FNB :-) Payment Link created from Current a/c..512781 To Sf Mndlovu..646958 @ Smartapp. 9Oct 11:00 Call 087 575 9404 for help.</x:v>
      </x:c>
      <x:c r="Y41" s="15" t="str">
        <x:v>7a350ba4d51bf4ac</x:v>
      </x:c>
    </x:row>
    <x:row r="42">
      <x:c r="A42" s="34" t="n">
        <x:v>45939.458333333336</x:v>
      </x:c>
      <x:c r="B42" s="36" t="n">
        <x:v>45939</x:v>
      </x:c>
      <x:c r="C42" s="34" t="n">
        <x:v>45939.45854166667</x:v>
      </x:c>
      <x:c r="D42" s="15" t="str">
        <x:v>Current a/c..512781</x:v>
      </x:c>
      <x:c r="E42" s="15" t="str"/>
      <x:c r="F42" s="15" t="str">
        <x:v>R450.00 paid from Current a/c..512781 @ Smartapp. Avail R43012. Ref.Cindy Wages. 9Oct 11:00</x:v>
      </x:c>
      <x:c r="G42" s="15" t="str">
        <x:v>Cindy Wages</x:v>
      </x:c>
      <x:c r="H42" s="38" t="n">
        <x:v>450</x:v>
      </x:c>
      <x:c r="I42" s="15" t="str">
        <x:v>ZAR</x:v>
      </x:c>
      <x:c r="J42" s="15" t="str">
        <x:v>Outflow</x:v>
      </x:c>
      <x:c r="K42" s="15" t="str">
        <x:v>EFT payment</x:v>
      </x:c>
      <x:c r="L42" s="15" t="str">
        <x:v>Salary / wages</x:v>
      </x:c>
      <x:c r="M42" s="38"/>
      <x:c r="N42" s="38" t="n">
        <x:v>43012</x:v>
      </x:c>
      <x:c r="O42" s="15" t="str"/>
      <x:c r="P42" s="15" t="str">
        <x:v>eml_ALL_currentac__512781 (2).zip &gt; eml12currentac__512781.zip</x:v>
      </x:c>
      <x:c r="Q42" s="15" t="str">
        <x:v>FNB _-) R450.00 paid from Current a_c..512781 @ Smartapp. Ref.Cindy Wages.  9Oct 11_00.eml</x:v>
      </x:c>
      <x:c r="R42" s="15" t="str">
        <x:v>High</x:v>
      </x:c>
      <x:c r="S42" s="15" t="str"/>
      <x:c r="T42" s="15" t="str"/>
      <x:c r="U42" s="15" t="str"/>
      <x:c r="V42" s="15" t="str">
        <x:v>Cindy Wages</x:v>
      </x:c>
      <x:c r="W42" s="15" t="str">
        <x:v>Smartapp</x:v>
      </x:c>
      <x:c r="X42" s="15" t="str">
        <x:v>FNB :-) R450.00 paid from Current a/c..512781 @ Smartapp. Avail R43012. Ref.Cindy Wages. 9Oct 11:00</x:v>
      </x:c>
      <x:c r="Y42" s="15" t="str">
        <x:v>82706d5830f95f6e</x:v>
      </x:c>
    </x:row>
    <x:row r="43">
      <x:c r="A43" s="34" t="n">
        <x:v>45939.48055555556</x:v>
      </x:c>
      <x:c r="B43" s="36" t="n">
        <x:v>45939</x:v>
      </x:c>
      <x:c r="C43" s="34" t="n">
        <x:v>45939.48074074074</x:v>
      </x:c>
      <x:c r="D43" s="15" t="str">
        <x:v>Current a/c..512781</x:v>
      </x:c>
      <x:c r="E43" s="15" t="str">
        <x:v>card..2924</x:v>
      </x:c>
      <x:c r="F43" s="15" t="str">
        <x:v>R912.79 reserved for purchase @ Agrico Pty Ltd from Current a/c..512781 using card..2924. Avail R42099. 9Oct 11:32</x:v>
      </x:c>
      <x:c r="G43" s="15" t="str">
        <x:v>Agrico Pty Ltd</x:v>
      </x:c>
      <x:c r="H43" s="38" t="n">
        <x:v>912.79</x:v>
      </x:c>
      <x:c r="I43" s="15" t="str">
        <x:v>ZAR</x:v>
      </x:c>
      <x:c r="J43" s="15" t="str">
        <x:v>Outflow</x:v>
      </x:c>
      <x:c r="K43" s="15" t="str">
        <x:v>Card purchase</x:v>
      </x:c>
      <x:c r="L43" s="15" t="str">
        <x:v>Supplier payments</x:v>
      </x:c>
      <x:c r="M43" s="38"/>
      <x:c r="N43" s="38" t="n">
        <x:v>42099</x:v>
      </x:c>
      <x:c r="O43" s="15" t="str"/>
      <x:c r="P43" s="15" t="str">
        <x:v>eml_ALL_currentac__512781 (2).zip &gt; eml12currentac__512781.zip</x:v>
      </x:c>
      <x:c r="Q43" s="15" t="str">
        <x:v>FNB _-) R912.79 reserved for purchase @ Agrico Pty Ltd from Current a_c..512781 using card..2924.  9Oct 11_32.eml</x:v>
      </x:c>
      <x:c r="R43" s="15" t="str">
        <x:v>High</x:v>
      </x:c>
      <x:c r="S43" s="15" t="str">
        <x:v>Category confidence Medium: Retail/supplier merchant keyword.</x:v>
      </x:c>
      <x:c r="T43" s="15" t="str"/>
      <x:c r="U43" s="15" t="str"/>
      <x:c r="V43" s="15" t="str"/>
      <x:c r="W43" s="15" t="str"/>
      <x:c r="X43" s="15" t="str">
        <x:v>FNB :-) R912.79 reserved for purchase @ Agrico Pty Ltd from Current a/c..512781 using card..2924. Avail R42099. 9Oct 11:32</x:v>
      </x:c>
      <x:c r="Y43" s="15" t="str">
        <x:v>8d82e617580f2d0d</x:v>
      </x:c>
    </x:row>
    <x:row r="44">
      <x:c r="A44" s="34" t="n">
        <x:v>45939.49930555555</x:v>
      </x:c>
      <x:c r="B44" s="36" t="n">
        <x:v>45939</x:v>
      </x:c>
      <x:c r="C44" s="34" t="n">
        <x:v>45939.49996527778</x:v>
      </x:c>
      <x:c r="D44" s="15" t="str">
        <x:v>Current a/c..512781</x:v>
      </x:c>
      <x:c r="E44" s="15" t="str">
        <x:v>card..2924</x:v>
      </x:c>
      <x:c r="F44" s="15" t="str">
        <x:v>R981.50 reserved for purchase @ S2s*sa Liquors Komat from Current a/c..512781 using card..2924. Avail R41117. 9Oct 11:59</x:v>
      </x:c>
      <x:c r="G44" s="15" t="str">
        <x:v>S2s*sa Liquors Komat</x:v>
      </x:c>
      <x:c r="H44" s="38" t="n">
        <x:v>981.5</x:v>
      </x:c>
      <x:c r="I44" s="15" t="str">
        <x:v>ZAR</x:v>
      </x:c>
      <x:c r="J44" s="15" t="str">
        <x:v>Outflow</x:v>
      </x:c>
      <x:c r="K44" s="15" t="str">
        <x:v>Card purchase</x:v>
      </x:c>
      <x:c r="L44" s="15" t="str">
        <x:v>Meals / restaurants / entertainment</x:v>
      </x:c>
      <x:c r="M44" s="38"/>
      <x:c r="N44" s="38" t="n">
        <x:v>41117</x:v>
      </x:c>
      <x:c r="O44" s="15" t="str"/>
      <x:c r="P44" s="15" t="str">
        <x:v>eml_ALL_currentac__512781 (2).zip &gt; eml12currentac__512781.zip</x:v>
      </x:c>
      <x:c r="Q44" s="15" t="str">
        <x:v>FNB _-) R981.50 reserved for purchase @ S2s_sa Liquors Komat from Current a_c..512781 using card..2924.  9Oct 11_59.eml</x:v>
      </x:c>
      <x:c r="R44" s="15" t="str">
        <x:v>High</x:v>
      </x:c>
      <x:c r="S44" s="15" t="str"/>
      <x:c r="T44" s="15" t="str"/>
      <x:c r="U44" s="15" t="str"/>
      <x:c r="V44" s="15" t="str"/>
      <x:c r="W44" s="15" t="str"/>
      <x:c r="X44" s="15" t="str">
        <x:v>FNB :-) R981.50 reserved for purchase @ S2s*sa Liquors Komat from Current a/c..512781 using card..2924. Avail R41117. 9Oct 11:59</x:v>
      </x:c>
      <x:c r="Y44" s="15" t="str">
        <x:v>4264872f62b8a186</x:v>
      </x:c>
    </x:row>
    <x:row r="45">
      <x:c r="A45" s="34" t="n">
        <x:v>45939.53611111111</x:v>
      </x:c>
      <x:c r="B45" s="36" t="n">
        <x:v>45939</x:v>
      </x:c>
      <x:c r="C45" s="34" t="n">
        <x:v>45939.53633101852</x:v>
      </x:c>
      <x:c r="D45" s="15" t="str">
        <x:v>Current a/c..512781</x:v>
      </x:c>
      <x:c r="E45" s="15" t="str">
        <x:v>card..2924</x:v>
      </x:c>
      <x:c r="F45" s="15" t="str">
        <x:v>R1096.67 reserved for purchase @ Superspar Komatipoor from Current a/c..512781 using card..2924. Avail R40021. 9Oct 12:52</x:v>
      </x:c>
      <x:c r="G45" s="15" t="str">
        <x:v>Superspar Komatipoor</x:v>
      </x:c>
      <x:c r="H45" s="38" t="n">
        <x:v>1096.67</x:v>
      </x:c>
      <x:c r="I45" s="15" t="str">
        <x:v>ZAR</x:v>
      </x:c>
      <x:c r="J45" s="15" t="str">
        <x:v>Outflow</x:v>
      </x:c>
      <x:c r="K45" s="15" t="str">
        <x:v>Card purchase</x:v>
      </x:c>
      <x:c r="L45" s="15" t="str">
        <x:v>Supplier payments</x:v>
      </x:c>
      <x:c r="M45" s="38"/>
      <x:c r="N45" s="38" t="n">
        <x:v>40021</x:v>
      </x:c>
      <x:c r="O45" s="15" t="str"/>
      <x:c r="P45" s="15" t="str">
        <x:v>eml_ALL_currentac__512781 (2).zip &gt; eml12currentac__512781.zip</x:v>
      </x:c>
      <x:c r="Q45" s="15" t="str">
        <x:v>FNB _-) R1096.67 reserved for purchase @ Superspar Komatipoor from Current a_c..512781 using card..2924.  9Oct 12_52.eml</x:v>
      </x:c>
      <x:c r="R45" s="15" t="str">
        <x:v>High</x:v>
      </x:c>
      <x:c r="S45" s="15" t="str">
        <x:v>Category confidence Medium: Retail/supplier merchant keyword.</x:v>
      </x:c>
      <x:c r="T45" s="15" t="str"/>
      <x:c r="U45" s="15" t="str"/>
      <x:c r="V45" s="15" t="str"/>
      <x:c r="W45" s="15" t="str"/>
      <x:c r="X45" s="15" t="str">
        <x:v>FNB :-) R1096.67 reserved for purchase @ Superspar Komatipoor from Current a/c..512781 using card..2924. Avail R40021. 9Oct 12:52</x:v>
      </x:c>
      <x:c r="Y45" s="15" t="str">
        <x:v>c6e812423c297110</x:v>
      </x:c>
    </x:row>
    <x:row r="46">
      <x:c r="A46" s="34" t="n">
        <x:v>45939.55069444444</x:v>
      </x:c>
      <x:c r="B46" s="36" t="n">
        <x:v>45939</x:v>
      </x:c>
      <x:c r="C46" s="34" t="n">
        <x:v>45939.550775462965</x:v>
      </x:c>
      <x:c r="D46" s="15" t="str">
        <x:v>Current a/c..512781</x:v>
      </x:c>
      <x:c r="E46" s="15" t="str">
        <x:v>card..2924</x:v>
      </x:c>
      <x:c r="F46" s="15" t="str">
        <x:v>R216.00 reserved for purchase @ Oasis Water Komatipo from Current a/c..512781 using card..2924. Avail R39805. 9Oct 13:13</x:v>
      </x:c>
      <x:c r="G46" s="15" t="str">
        <x:v>Oasis Water Komatipo</x:v>
      </x:c>
      <x:c r="H46" s="38" t="n">
        <x:v>216</x:v>
      </x:c>
      <x:c r="I46" s="15" t="str">
        <x:v>ZAR</x:v>
      </x:c>
      <x:c r="J46" s="15" t="str">
        <x:v>Outflow</x:v>
      </x:c>
      <x:c r="K46" s="15" t="str">
        <x:v>Card purchase</x:v>
      </x:c>
      <x:c r="L46" s="15" t="str">
        <x:v>Supplier payments</x:v>
      </x:c>
      <x:c r="M46" s="38"/>
      <x:c r="N46" s="38" t="n">
        <x:v>39805</x:v>
      </x:c>
      <x:c r="O46" s="15" t="str"/>
      <x:c r="P46" s="15" t="str">
        <x:v>eml_ALL_currentac__512781 (2).zip &gt; eml12currentac__512781.zip</x:v>
      </x:c>
      <x:c r="Q46" s="15" t="str">
        <x:v>FNB _-) R216.00 reserved for purchase @ Oasis Water Komatipo from Current a_c..512781 using card..2924.  9Oct 13_13.eml</x:v>
      </x:c>
      <x:c r="R46" s="15" t="str">
        <x:v>High</x:v>
      </x:c>
      <x:c r="S46" s="15" t="str">
        <x:v>Category confidence Medium: Retail/supplier merchant keyword.</x:v>
      </x:c>
      <x:c r="T46" s="15" t="str"/>
      <x:c r="U46" s="15" t="str"/>
      <x:c r="V46" s="15" t="str"/>
      <x:c r="W46" s="15" t="str"/>
      <x:c r="X46" s="15" t="str">
        <x:v>FNB :-) R216.00 reserved for purchase @ Oasis Water Komatipo from Current a/c..512781 using card..2924. Avail R39805. 9Oct 13:13</x:v>
      </x:c>
      <x:c r="Y46" s="15" t="str">
        <x:v>a33e2b429c7a2dd8</x:v>
      </x:c>
    </x:row>
    <x:row r="47">
      <x:c r="A47" s="34" t="n">
        <x:v>45939.566666666666</x:v>
      </x:c>
      <x:c r="B47" s="36" t="n">
        <x:v>45939</x:v>
      </x:c>
      <x:c r="C47" s="34" t="n">
        <x:v>45939.56712962963</x:v>
      </x:c>
      <x:c r="D47" s="15" t="str">
        <x:v>Current a/c..512781</x:v>
      </x:c>
      <x:c r="E47" s="15" t="str">
        <x:v>card..2924</x:v>
      </x:c>
      <x:c r="F47" s="15" t="str">
        <x:v>R115.00 reserved for purchase @ Gfc Whisky Packhouse from Current a/c..512781 using card..2924. Avail R39690. 9Oct 13:36</x:v>
      </x:c>
      <x:c r="G47" s="15" t="str">
        <x:v>Gfc Whisky Packhouse</x:v>
      </x:c>
      <x:c r="H47" s="38" t="n">
        <x:v>115</x:v>
      </x:c>
      <x:c r="I47" s="15" t="str">
        <x:v>ZAR</x:v>
      </x:c>
      <x:c r="J47" s="15" t="str">
        <x:v>Outflow</x:v>
      </x:c>
      <x:c r="K47" s="15" t="str">
        <x:v>Card purchase</x:v>
      </x:c>
      <x:c r="L47" s="15" t="str">
        <x:v>Card spend</x:v>
      </x:c>
      <x:c r="M47" s="38"/>
      <x:c r="N47" s="38" t="n">
        <x:v>39690</x:v>
      </x:c>
      <x:c r="O47" s="15" t="str"/>
      <x:c r="P47" s="15" t="str">
        <x:v>eml_ALL_currentac__512781 (2).zip &gt; eml12currentac__512781.zip</x:v>
      </x:c>
      <x:c r="Q47" s="15" t="str">
        <x:v>FNB _-) R115.00 reserved for purchase @ Gfc Whisky Packhouse from Current a_c..512781 using card..2924.  9Oct 13_36.eml</x:v>
      </x:c>
      <x:c r="R47" s="15" t="str">
        <x:v>High</x:v>
      </x:c>
      <x:c r="S47" s="15" t="str">
        <x:v>Category confidence Low: Default card-spend category; merchant not confidently mapped.</x:v>
      </x:c>
      <x:c r="T47" s="15" t="str"/>
      <x:c r="U47" s="15" t="str"/>
      <x:c r="V47" s="15" t="str"/>
      <x:c r="W47" s="15" t="str"/>
      <x:c r="X47" s="15" t="str">
        <x:v>FNB :-) R115.00 reserved for purchase @ Gfc Whisky Packhouse from Current a/c..512781 using card..2924. Avail R39690. 9Oct 13:36</x:v>
      </x:c>
      <x:c r="Y47" s="15" t="str">
        <x:v>127ae177aa0fda76</x:v>
      </x:c>
    </x:row>
    <x:row r="48">
      <x:c r="A48" s="34" t="n">
        <x:v>45940.36666666667</x:v>
      </x:c>
      <x:c r="B48" s="36" t="n">
        <x:v>45940</x:v>
      </x:c>
      <x:c r="C48" s="34" t="n">
        <x:v>45940.3671875</x:v>
      </x:c>
      <x:c r="D48" s="15" t="str">
        <x:v>Current a/c..512781</x:v>
      </x:c>
      <x:c r="E48" s="15" t="str"/>
      <x:c r="F48" s="15" t="str">
        <x:v>R27423.36 paid to Current a/c..512781 @ Retail Forex. Ref.R025mdszb0 Booking.c. 10Oct 08:48</x:v>
      </x:c>
      <x:c r="G48" s="15" t="str">
        <x:v>R025mdszb0 Booking.c</x:v>
      </x:c>
      <x:c r="H48" s="38" t="n">
        <x:v>27423.36</x:v>
      </x:c>
      <x:c r="I48" s="15" t="str">
        <x:v>ZAR</x:v>
      </x:c>
      <x:c r="J48" s="15" t="str">
        <x:v>Inflow</x:v>
      </x:c>
      <x:c r="K48" s="15" t="str">
        <x:v>EFT receipt</x:v>
      </x:c>
      <x:c r="L48" s="15" t="str">
        <x:v>Sales / customer receipts</x:v>
      </x:c>
      <x:c r="M48" s="38"/>
      <x:c r="N48" s="38"/>
      <x:c r="O48" s="15" t="str"/>
      <x:c r="P48" s="15" t="str">
        <x:v>eml_ALL_currentac__512781 (2).zip &gt; eml12currentac__512781.zip</x:v>
      </x:c>
      <x:c r="Q48" s="15" t="str">
        <x:v>FNB _-) R27423.36 paid to Current a_c..512781 @ Retail Forex. Ref.R025mdszb0 Booking.c. 10Oct 08_48.eml</x:v>
      </x:c>
      <x:c r="R48" s="15" t="str">
        <x:v>High</x:v>
      </x:c>
      <x:c r="S48" s="15" t="str">
        <x:v>Category confidence Medium: Default for incoming EFT/PayShap/online receipt.</x:v>
      </x:c>
      <x:c r="T48" s="15" t="str"/>
      <x:c r="U48" s="15" t="str"/>
      <x:c r="V48" s="15" t="str">
        <x:v>R025mdszb0 Booking.c</x:v>
      </x:c>
      <x:c r="W48" s="15" t="str">
        <x:v>Retail Forex</x:v>
      </x:c>
      <x:c r="X48" s="15" t="str">
        <x:v>FNB :-) R27423.36 paid to Current a/c..512781 @ Retail Forex. Ref.R025mdszb0 Booking.c. 10Oct 08:48</x:v>
      </x:c>
      <x:c r="Y48" s="15" t="str">
        <x:v>bd54975f8f17a5b8</x:v>
      </x:c>
    </x:row>
    <x:row r="49">
      <x:c r="A49" s="34" t="n">
        <x:v>45940.43819444445</x:v>
      </x:c>
      <x:c r="B49" s="36" t="n">
        <x:v>45940</x:v>
      </x:c>
      <x:c r="C49" s="34" t="n">
        <x:v>45940.438784722224</x:v>
      </x:c>
      <x:c r="D49" s="15" t="str">
        <x:v>Current a/c..512781</x:v>
      </x:c>
      <x:c r="E49" s="15" t="str"/>
      <x:c r="F49" s="15" t="str">
        <x:v>R20000.00 t/fer from Current a/c..512781 to Current a/c..261544 @ Smartapp. Avail R47113. 10Oct 10:31</x:v>
      </x:c>
      <x:c r="G49" s="15" t="str">
        <x:v>Current a/c..261544</x:v>
      </x:c>
      <x:c r="H49" s="38" t="n">
        <x:v>20000</x:v>
      </x:c>
      <x:c r="I49" s="15" t="str">
        <x:v>ZAR</x:v>
      </x:c>
      <x:c r="J49" s="15" t="str">
        <x:v>Internal Transfer</x:v>
      </x:c>
      <x:c r="K49" s="15" t="str">
        <x:v>Internal transfer</x:v>
      </x:c>
      <x:c r="L49" s="15" t="str">
        <x:v>Inter-account transfer</x:v>
      </x:c>
      <x:c r="M49" s="38"/>
      <x:c r="N49" s="38" t="n">
        <x:v>47113</x:v>
      </x:c>
      <x:c r="O49" s="15" t="str"/>
      <x:c r="P49" s="15" t="str">
        <x:v>eml_ALL_currentac__512781 (2).zip &gt; eml12currentac__512781.zip</x:v>
      </x:c>
      <x:c r="Q49" s="15" t="str">
        <x:v>FNB _-) R20000.00 t_fer from Current a_c..512781 to Current a_c..261544 @ Smartapp. 10Oct 10_31.eml</x:v>
      </x:c>
      <x:c r="R49" s="15" t="str">
        <x:v>High</x:v>
      </x:c>
      <x:c r="S49" s="15" t="str">
        <x:v>Classified as internal/inter-account transfer and excluded from operating cashflow.</x:v>
      </x:c>
      <x:c r="T49" s="15" t="str">
        <x:v>Current a/c..512781</x:v>
      </x:c>
      <x:c r="U49" s="15" t="str">
        <x:v>Current a/c..261544</x:v>
      </x:c>
      <x:c r="V49" s="15" t="str"/>
      <x:c r="W49" s="15" t="str">
        <x:v>Smartapp</x:v>
      </x:c>
      <x:c r="X49" s="15" t="str">
        <x:v>FNB :-) R20000.00 t/fer from Current a/c..512781 to Current a/c..261544 @ Smartapp. Avail R47113. 10Oct 10:31</x:v>
      </x:c>
      <x:c r="Y49" s="15" t="str">
        <x:v>b2737cfe292f0d96</x:v>
      </x:c>
    </x:row>
    <x:row r="50">
      <x:c r="A50" s="34" t="n">
        <x:v>45940.561111111114</x:v>
      </x:c>
      <x:c r="B50" s="36" t="n">
        <x:v>45940</x:v>
      </x:c>
      <x:c r="C50" s="34" t="n">
        <x:v>45940.56136574074</x:v>
      </x:c>
      <x:c r="D50" s="15" t="str">
        <x:v>Current a/c..512781</x:v>
      </x:c>
      <x:c r="E50" s="15" t="str"/>
      <x:c r="F50" s="15" t="str">
        <x:v>Payment Link created from Current a/c..512781 To R + A Project..990460 @ Smartapp. 10Oct 13:28 Call 087 575 9404 for help.</x:v>
      </x:c>
      <x:c r="G50" s="15" t="str">
        <x:v>R + A Project..990460</x:v>
      </x:c>
      <x:c r="H50" s="38"/>
      <x:c r="I50" s="15" t="str"/>
      <x:c r="J50" s="15" t="str">
        <x:v>Neutral/Information Only</x:v>
      </x:c>
      <x:c r="K50" s="15" t="str">
        <x:v>Other</x:v>
      </x:c>
      <x:c r="L50" s="15" t="str">
        <x:v>Other</x:v>
      </x:c>
      <x:c r="M50" s="38"/>
      <x:c r="N50" s="38"/>
      <x:c r="O50" s="15" t="str"/>
      <x:c r="P50" s="15" t="str">
        <x:v>eml_ALL_currentac__512781 (2).zip &gt; eml12currentac__512781.zip</x:v>
      </x:c>
      <x:c r="Q50" s="15" t="str">
        <x:v>FNB _-) Payment Link created from Current a_c..512781 To R + A Project..990460 @ Smartapp. 10Oct 13_28 Call 087 575 9404  for help..eml</x:v>
      </x:c>
      <x:c r="R50" s="15" t="str">
        <x:v>High</x:v>
      </x:c>
      <x:c r="S50" s="15" t="str">
        <x:v>Payment link creation only; no money movement indicated. Category confidence Low: Unable to map confidently.</x:v>
      </x:c>
      <x:c r="T50" s="15" t="str">
        <x:v>Current a/c..512781</x:v>
      </x:c>
      <x:c r="U50" s="15" t="str">
        <x:v>R + A Project..990460</x:v>
      </x:c>
      <x:c r="V50" s="15" t="str"/>
      <x:c r="W50" s="15" t="str">
        <x:v>Smartapp</x:v>
      </x:c>
      <x:c r="X50" s="15" t="str">
        <x:v>FNB :-) Payment Link created from Current a/c..512781 To R + A Project..990460 @ Smartapp. 10Oct 13:28 Call 087 575 9404 for help.</x:v>
      </x:c>
      <x:c r="Y50" s="15" t="str">
        <x:v>7072176c0f7b5b4b</x:v>
      </x:c>
    </x:row>
    <x:row r="51">
      <x:c r="A51" s="34" t="n">
        <x:v>45940.561111111114</x:v>
      </x:c>
      <x:c r="B51" s="36" t="n">
        <x:v>45940</x:v>
      </x:c>
      <x:c r="C51" s="34" t="n">
        <x:v>45940.56155092592</x:v>
      </x:c>
      <x:c r="D51" s="15" t="str">
        <x:v>Current a/c..512781</x:v>
      </x:c>
      <x:c r="E51" s="15" t="str"/>
      <x:c r="F51" s="15" t="str">
        <x:v>R1950.00 paid from Current a/c..512781 @ Smartapp. Avail R45155. Ref.R + A Projects. 10Oct 13:28</x:v>
      </x:c>
      <x:c r="G51" s="15" t="str">
        <x:v>R + A Projects</x:v>
      </x:c>
      <x:c r="H51" s="38" t="n">
        <x:v>1950</x:v>
      </x:c>
      <x:c r="I51" s="15" t="str">
        <x:v>ZAR</x:v>
      </x:c>
      <x:c r="J51" s="15" t="str">
        <x:v>Outflow</x:v>
      </x:c>
      <x:c r="K51" s="15" t="str">
        <x:v>EFT payment</x:v>
      </x:c>
      <x:c r="L51" s="15" t="str">
        <x:v>Supplier payments</x:v>
      </x:c>
      <x:c r="M51" s="38"/>
      <x:c r="N51" s="38" t="n">
        <x:v>45155</x:v>
      </x:c>
      <x:c r="O51" s="15" t="str"/>
      <x:c r="P51" s="15" t="str">
        <x:v>eml_ALL_currentac__512781 (2).zip &gt; eml12currentac__512781.zip</x:v>
      </x:c>
      <x:c r="Q51" s="15" t="str">
        <x:v>FNB _-) R1950.00 paid from Current a_c..512781 @ Smartapp. Ref.R + A Projects. 10Oct 13_28.eml</x:v>
      </x:c>
      <x:c r="R51" s="15" t="str">
        <x:v>High</x:v>
      </x:c>
      <x:c r="S51" s="15" t="str">
        <x:v>Category confidence Low: Default outflow category; review counterparty/reference.</x:v>
      </x:c>
      <x:c r="T51" s="15" t="str"/>
      <x:c r="U51" s="15" t="str"/>
      <x:c r="V51" s="15" t="str">
        <x:v>R + A Projects</x:v>
      </x:c>
      <x:c r="W51" s="15" t="str">
        <x:v>Smartapp</x:v>
      </x:c>
      <x:c r="X51" s="15" t="str">
        <x:v>FNB :-) R1950.00 paid from Current a/c..512781 @ Smartapp. Avail R45155. Ref.R + A Projects. 10Oct 13:28</x:v>
      </x:c>
      <x:c r="Y51" s="15" t="str">
        <x:v>3e32505984fd3d0c</x:v>
      </x:c>
    </x:row>
    <x:row r="52">
      <x:c r="A52" s="34" t="n">
        <x:v>45940.56180555555</x:v>
      </x:c>
      <x:c r="B52" s="36" t="n">
        <x:v>45940</x:v>
      </x:c>
      <x:c r="C52" s="34" t="n">
        <x:v>45940.562372685185</x:v>
      </x:c>
      <x:c r="D52" s="15" t="str">
        <x:v>Current a/c..512781</x:v>
      </x:c>
      <x:c r="E52" s="15" t="str"/>
      <x:c r="F52" s="15" t="str">
        <x:v>R2244.00 paid from Current a/c..512781 @ Smartapp. Avail R42903. Ref.Nyala Safari 146. 10Oct 13:29</x:v>
      </x:c>
      <x:c r="G52" s="15" t="str">
        <x:v>Nyala Safari 146</x:v>
      </x:c>
      <x:c r="H52" s="38" t="n">
        <x:v>2244</x:v>
      </x:c>
      <x:c r="I52" s="15" t="str">
        <x:v>ZAR</x:v>
      </x:c>
      <x:c r="J52" s="15" t="str">
        <x:v>Outflow</x:v>
      </x:c>
      <x:c r="K52" s="15" t="str">
        <x:v>EFT payment</x:v>
      </x:c>
      <x:c r="L52" s="15" t="str">
        <x:v>Supplier payments</x:v>
      </x:c>
      <x:c r="M52" s="38"/>
      <x:c r="N52" s="38" t="n">
        <x:v>42903</x:v>
      </x:c>
      <x:c r="O52" s="15" t="str"/>
      <x:c r="P52" s="15" t="str">
        <x:v>eml_ALL_currentac__512781 (2).zip &gt; eml12currentac__512781.zip</x:v>
      </x:c>
      <x:c r="Q52" s="15" t="str">
        <x:v>FNB _-) R2244.00 paid from Current a_c..512781 @ Smartapp. Ref.Nyala Safari 146. 10Oct 13_29.eml</x:v>
      </x:c>
      <x:c r="R52" s="15" t="str">
        <x:v>High</x:v>
      </x:c>
      <x:c r="S52" s="15" t="str">
        <x:v>Category confidence Low: Default outflow category; review counterparty/reference.</x:v>
      </x:c>
      <x:c r="T52" s="15" t="str"/>
      <x:c r="U52" s="15" t="str"/>
      <x:c r="V52" s="15" t="str">
        <x:v>Nyala Safari 146</x:v>
      </x:c>
      <x:c r="W52" s="15" t="str">
        <x:v>Smartapp</x:v>
      </x:c>
      <x:c r="X52" s="15" t="str">
        <x:v>FNB :-) R2244.00 paid from Current a/c..512781 @ Smartapp. Avail R42903. Ref.Nyala Safari 146. 10Oct 13:29</x:v>
      </x:c>
      <x:c r="Y52" s="15" t="str">
        <x:v>bf265dedc6e7f578</x:v>
      </x:c>
    </x:row>
    <x:row r="53">
      <x:c r="A53" s="34" t="n">
        <x:v>45941.489583333336</x:v>
      </x:c>
      <x:c r="B53" s="36" t="n">
        <x:v>45941</x:v>
      </x:c>
      <x:c r="C53" s="34" t="n">
        <x:v>45941.48998842593</x:v>
      </x:c>
      <x:c r="D53" s="15" t="str">
        <x:v>Current a/c..512781</x:v>
      </x:c>
      <x:c r="E53" s="15" t="str"/>
      <x:c r="F53" s="15" t="str">
        <x:v>R1000.00 paid from Current a/c..512781 @ Smartapp. Avail R41731. Ref.Electricity 04294887. 11Oct 11:45</x:v>
      </x:c>
      <x:c r="G53" s="15" t="str">
        <x:v>Electricity 04294887</x:v>
      </x:c>
      <x:c r="H53" s="38" t="n">
        <x:v>1000</x:v>
      </x:c>
      <x:c r="I53" s="15" t="str">
        <x:v>ZAR</x:v>
      </x:c>
      <x:c r="J53" s="15" t="str">
        <x:v>Outflow</x:v>
      </x:c>
      <x:c r="K53" s="15" t="str">
        <x:v>EFT payment</x:v>
      </x:c>
      <x:c r="L53" s="15" t="str">
        <x:v>Telecom / utilities</x:v>
      </x:c>
      <x:c r="M53" s="38"/>
      <x:c r="N53" s="38" t="n">
        <x:v>41731</x:v>
      </x:c>
      <x:c r="O53" s="15" t="str"/>
      <x:c r="P53" s="15" t="str">
        <x:v>eml_ALL_currentac__512781 (2).zip &gt; eml12currentac__512781.zip</x:v>
      </x:c>
      <x:c r="Q53" s="15" t="str">
        <x:v>FNB _-) R1000.00 paid from Current a_c..512781 @ Smartapp. Ref.Electricity 04294887. 11Oct 11_45.eml</x:v>
      </x:c>
      <x:c r="R53" s="15" t="str">
        <x:v>High</x:v>
      </x:c>
      <x:c r="S53" s="15" t="str"/>
      <x:c r="T53" s="15" t="str"/>
      <x:c r="U53" s="15" t="str"/>
      <x:c r="V53" s="15" t="str">
        <x:v>Electricity 04294887</x:v>
      </x:c>
      <x:c r="W53" s="15" t="str">
        <x:v>Smartapp</x:v>
      </x:c>
      <x:c r="X53" s="15" t="str">
        <x:v>FNB :-) R1000.00 paid from Current a/c..512781 @ Smartapp. Avail R41731. Ref.Electricity 04294887. 11Oct 11:45</x:v>
      </x:c>
      <x:c r="Y53" s="15" t="str">
        <x:v>4d04ab5ddecdb94c</x:v>
      </x:c>
    </x:row>
    <x:row r="54">
      <x:c r="A54" s="34" t="n">
        <x:v>45941.600694444445</x:v>
      </x:c>
      <x:c r="B54" s="36" t="n">
        <x:v>45941</x:v>
      </x:c>
      <x:c r="C54" s="34" t="n">
        <x:v>45941.60135416667</x:v>
      </x:c>
      <x:c r="D54" s="15" t="str">
        <x:v>Current a/c..512781</x:v>
      </x:c>
      <x:c r="E54" s="15" t="str"/>
      <x:c r="F54" s="15" t="str">
        <x:v>R15000.00 t/fer from Current a/c..512781 to Current a/c..261544 @ Smartapp. Avail R23947. 11Oct 14:25</x:v>
      </x:c>
      <x:c r="G54" s="15" t="str">
        <x:v>Current a/c..261544</x:v>
      </x:c>
      <x:c r="H54" s="38" t="n">
        <x:v>15000</x:v>
      </x:c>
      <x:c r="I54" s="15" t="str">
        <x:v>ZAR</x:v>
      </x:c>
      <x:c r="J54" s="15" t="str">
        <x:v>Internal Transfer</x:v>
      </x:c>
      <x:c r="K54" s="15" t="str">
        <x:v>Internal transfer</x:v>
      </x:c>
      <x:c r="L54" s="15" t="str">
        <x:v>Inter-account transfer</x:v>
      </x:c>
      <x:c r="M54" s="38"/>
      <x:c r="N54" s="38" t="n">
        <x:v>23947</x:v>
      </x:c>
      <x:c r="O54" s="15" t="str"/>
      <x:c r="P54" s="15" t="str">
        <x:v>eml_ALL_currentac__512781 (2).zip &gt; eml12currentac__512781.zip</x:v>
      </x:c>
      <x:c r="Q54" s="15" t="str">
        <x:v>FNB _-) R15000.00 t_fer from Current a_c..512781 to Current a_c..261544 @ Smartapp. 11Oct 14_25.eml</x:v>
      </x:c>
      <x:c r="R54" s="15" t="str">
        <x:v>High</x:v>
      </x:c>
      <x:c r="S54" s="15" t="str">
        <x:v>Classified as internal/inter-account transfer and excluded from operating cashflow.</x:v>
      </x:c>
      <x:c r="T54" s="15" t="str">
        <x:v>Current a/c..512781</x:v>
      </x:c>
      <x:c r="U54" s="15" t="str">
        <x:v>Current a/c..261544</x:v>
      </x:c>
      <x:c r="V54" s="15" t="str"/>
      <x:c r="W54" s="15" t="str">
        <x:v>Smartapp</x:v>
      </x:c>
      <x:c r="X54" s="15" t="str">
        <x:v>FNB :-) R15000.00 t/fer from Current a/c..512781 to Current a/c..261544 @ Smartapp. Avail R23947. 11Oct 14:25</x:v>
      </x:c>
      <x:c r="Y54" s="15" t="str">
        <x:v>547f807180afdd01</x:v>
      </x:c>
    </x:row>
    <x:row r="55">
      <x:c r="A55" s="34" t="n">
        <x:v>45942</x:v>
      </x:c>
      <x:c r="B55" s="36" t="n">
        <x:v>45942</x:v>
      </x:c>
      <x:c r="C55" s="34" t="n">
        <x:v>45942.830034722225</x:v>
      </x:c>
      <x:c r="D55" s="15" t="str">
        <x:v>Current a/c..512781</x:v>
      </x:c>
      <x:c r="E55" s="15" t="str"/>
      <x:c r="F55" s="15" t="str">
        <x:v>REVERSAL of R150.00 for goods purchased from Current a/c..512781. Ref.Cr Vc Temu. 12Oct 00:00</x:v>
      </x:c>
      <x:c r="G55" s="15" t="str">
        <x:v>Cr Vc Temu</x:v>
      </x:c>
      <x:c r="H55" s="38" t="n">
        <x:v>150</x:v>
      </x:c>
      <x:c r="I55" s="15" t="str">
        <x:v>ZAR</x:v>
      </x:c>
      <x:c r="J55" s="15" t="str">
        <x:v>Inflow</x:v>
      </x:c>
      <x:c r="K55" s="15" t="str">
        <x:v>Reversal</x:v>
      </x:c>
      <x:c r="L55" s="15" t="str">
        <x:v>Refunds / reversals</x:v>
      </x:c>
      <x:c r="M55" s="38"/>
      <x:c r="N55" s="38"/>
      <x:c r="O55" s="15" t="str"/>
      <x:c r="P55" s="15" t="str">
        <x:v>eml_ALL_currentac__512781 (2).zip &gt; eml12currentac__512781.zip</x:v>
      </x:c>
      <x:c r="Q55" s="15" t="str">
        <x:v>FNB _-) REVERSAL of R150.00 for goods purchased from Current a_c..512781. Ref.Cr Vc Temu. 12Oct 00_00.eml</x:v>
      </x:c>
      <x:c r="R55" s="15" t="str">
        <x:v>High</x:v>
      </x:c>
      <x:c r="S55" s="15" t="str">
        <x:v>Reversal/refund cashflow separated from regular income.</x:v>
      </x:c>
      <x:c r="T55" s="15" t="str"/>
      <x:c r="U55" s="15" t="str"/>
      <x:c r="V55" s="15" t="str">
        <x:v>Cr Vc Temu</x:v>
      </x:c>
      <x:c r="W55" s="15" t="str"/>
      <x:c r="X55" s="15" t="str">
        <x:v>FNB :-) REVERSAL of R150.00 for goods purchased from Current a/c..512781. Ref.Cr Vc Temu. 12Oct 00:00</x:v>
      </x:c>
      <x:c r="Y55" s="15" t="str">
        <x:v>277f0b56c624289d</x:v>
      </x:c>
    </x:row>
    <x:row r="56">
      <x:c r="A56" s="34" t="n">
        <x:v>45942</x:v>
      </x:c>
      <x:c r="B56" s="36" t="n">
        <x:v>45942</x:v>
      </x:c>
      <x:c r="C56" s="34" t="n">
        <x:v>45942.830034722225</x:v>
      </x:c>
      <x:c r="D56" s="15" t="str">
        <x:v>Current a/c..512781</x:v>
      </x:c>
      <x:c r="E56" s="15" t="str"/>
      <x:c r="F56" s="15" t="str">
        <x:v>REVERSAL of R152.00 for goods purchased from Current a/c..512781. Ref.Cr Vc Temu. 12Oct 00:00</x:v>
      </x:c>
      <x:c r="G56" s="15" t="str">
        <x:v>Cr Vc Temu</x:v>
      </x:c>
      <x:c r="H56" s="38" t="n">
        <x:v>152</x:v>
      </x:c>
      <x:c r="I56" s="15" t="str">
        <x:v>ZAR</x:v>
      </x:c>
      <x:c r="J56" s="15" t="str">
        <x:v>Inflow</x:v>
      </x:c>
      <x:c r="K56" s="15" t="str">
        <x:v>Reversal</x:v>
      </x:c>
      <x:c r="L56" s="15" t="str">
        <x:v>Refunds / reversals</x:v>
      </x:c>
      <x:c r="M56" s="38"/>
      <x:c r="N56" s="38"/>
      <x:c r="O56" s="15" t="str"/>
      <x:c r="P56" s="15" t="str">
        <x:v>eml_ALL_currentac__512781 (2).zip &gt; eml12currentac__512781.zip</x:v>
      </x:c>
      <x:c r="Q56" s="15" t="str">
        <x:v>FNB _-) REVERSAL of R152.00 for goods purchased from Current a_c..512781. Ref.Cr Vc Temu. 12Oct 00_00.eml</x:v>
      </x:c>
      <x:c r="R56" s="15" t="str">
        <x:v>High</x:v>
      </x:c>
      <x:c r="S56" s="15" t="str">
        <x:v>Reversal/refund cashflow separated from regular income.</x:v>
      </x:c>
      <x:c r="T56" s="15" t="str"/>
      <x:c r="U56" s="15" t="str"/>
      <x:c r="V56" s="15" t="str">
        <x:v>Cr Vc Temu</x:v>
      </x:c>
      <x:c r="W56" s="15" t="str"/>
      <x:c r="X56" s="15" t="str">
        <x:v>FNB :-) REVERSAL of R152.00 for goods purchased from Current a/c..512781. Ref.Cr Vc Temu. 12Oct 00:00</x:v>
      </x:c>
      <x:c r="Y56" s="15" t="str">
        <x:v>205b9f9105b2f158</x:v>
      </x:c>
    </x:row>
    <x:row r="57">
      <x:c r="A57" s="34" t="n">
        <x:v>45942</x:v>
      </x:c>
      <x:c r="B57" s="36" t="n">
        <x:v>45942</x:v>
      </x:c>
      <x:c r="C57" s="34" t="n">
        <x:v>45942.830034722225</x:v>
      </x:c>
      <x:c r="D57" s="15" t="str">
        <x:v>Current a/c..512781</x:v>
      </x:c>
      <x:c r="E57" s="15" t="str"/>
      <x:c r="F57" s="15" t="str">
        <x:v>REVERSAL of R234.00 for goods purchased from Current a/c..512781. Ref.Cr Vc Temu. 12Oct 00:00</x:v>
      </x:c>
      <x:c r="G57" s="15" t="str">
        <x:v>Cr Vc Temu</x:v>
      </x:c>
      <x:c r="H57" s="38" t="n">
        <x:v>234</x:v>
      </x:c>
      <x:c r="I57" s="15" t="str">
        <x:v>ZAR</x:v>
      </x:c>
      <x:c r="J57" s="15" t="str">
        <x:v>Inflow</x:v>
      </x:c>
      <x:c r="K57" s="15" t="str">
        <x:v>Reversal</x:v>
      </x:c>
      <x:c r="L57" s="15" t="str">
        <x:v>Refunds / reversals</x:v>
      </x:c>
      <x:c r="M57" s="38"/>
      <x:c r="N57" s="38"/>
      <x:c r="O57" s="15" t="str"/>
      <x:c r="P57" s="15" t="str">
        <x:v>eml_ALL_currentac__512781 (2).zip &gt; eml12currentac__512781.zip</x:v>
      </x:c>
      <x:c r="Q57" s="15" t="str">
        <x:v>FNB _-) REVERSAL of R234.00 for goods purchased from Current a_c..512781. Ref.Cr Vc Temu. 12Oct 00_00.eml</x:v>
      </x:c>
      <x:c r="R57" s="15" t="str">
        <x:v>High</x:v>
      </x:c>
      <x:c r="S57" s="15" t="str">
        <x:v>Reversal/refund cashflow separated from regular income.</x:v>
      </x:c>
      <x:c r="T57" s="15" t="str"/>
      <x:c r="U57" s="15" t="str"/>
      <x:c r="V57" s="15" t="str">
        <x:v>Cr Vc Temu</x:v>
      </x:c>
      <x:c r="W57" s="15" t="str"/>
      <x:c r="X57" s="15" t="str">
        <x:v>FNB :-) REVERSAL of R234.00 for goods purchased from Current a/c..512781. Ref.Cr Vc Temu. 12Oct 00:00</x:v>
      </x:c>
      <x:c r="Y57" s="15" t="str">
        <x:v>b48a48e683437063</x:v>
      </x:c>
    </x:row>
    <x:row r="58">
      <x:c r="A58" s="34" t="n">
        <x:v>45942.486805555556</x:v>
      </x:c>
      <x:c r="B58" s="36" t="n">
        <x:v>45942</x:v>
      </x:c>
      <x:c r="C58" s="34" t="n">
        <x:v>45942.486979166664</x:v>
      </x:c>
      <x:c r="D58" s="15" t="str">
        <x:v>Current a/c..512781</x:v>
      </x:c>
      <x:c r="E58" s="15" t="str">
        <x:v>card..2924</x:v>
      </x:c>
      <x:c r="F58" s="15" t="str">
        <x:v>R547.36 reserved for purchase @ Savemor Marloth from Current a/c..512781 using card..2924. Avail R23399. 12Oct 11:41</x:v>
      </x:c>
      <x:c r="G58" s="15" t="str">
        <x:v>Savemor Marloth</x:v>
      </x:c>
      <x:c r="H58" s="38" t="n">
        <x:v>547.36</x:v>
      </x:c>
      <x:c r="I58" s="15" t="str">
        <x:v>ZAR</x:v>
      </x:c>
      <x:c r="J58" s="15" t="str">
        <x:v>Outflow</x:v>
      </x:c>
      <x:c r="K58" s="15" t="str">
        <x:v>Card purchase</x:v>
      </x:c>
      <x:c r="L58" s="15" t="str">
        <x:v>Supplier payments</x:v>
      </x:c>
      <x:c r="M58" s="38"/>
      <x:c r="N58" s="38" t="n">
        <x:v>23399</x:v>
      </x:c>
      <x:c r="O58" s="15" t="str"/>
      <x:c r="P58" s="15" t="str">
        <x:v>eml_ALL_currentac__512781 (2).zip &gt; eml12currentac__512781.zip</x:v>
      </x:c>
      <x:c r="Q58" s="15" t="str">
        <x:v>FNB _-) R547.36 reserved for purchase @ Savemor Marloth from Current a_c..512781 using card..2924. 12Oct 11_41.eml</x:v>
      </x:c>
      <x:c r="R58" s="15" t="str">
        <x:v>High</x:v>
      </x:c>
      <x:c r="S58" s="15" t="str">
        <x:v>Category confidence Medium: Retail/supplier merchant keyword.</x:v>
      </x:c>
      <x:c r="T58" s="15" t="str"/>
      <x:c r="U58" s="15" t="str"/>
      <x:c r="V58" s="15" t="str"/>
      <x:c r="W58" s="15" t="str"/>
      <x:c r="X58" s="15" t="str">
        <x:v>FNB :-) R547.36 reserved for purchase @ Savemor Marloth from Current a/c..512781 using card..2924. Avail R23399. 12Oct 11:41</x:v>
      </x:c>
      <x:c r="Y58" s="15" t="str">
        <x:v>f04d2605379117e2</x:v>
      </x:c>
    </x:row>
    <x:row r="59">
      <x:c r="A59" s="34" t="n">
        <x:v>45943.57708333333</x:v>
      </x:c>
      <x:c r="B59" s="36" t="n">
        <x:v>45943</x:v>
      </x:c>
      <x:c r="C59" s="34" t="n">
        <x:v>45943.57774305555</x:v>
      </x:c>
      <x:c r="D59" s="15" t="str">
        <x:v>Current a/c..512781</x:v>
      </x:c>
      <x:c r="E59" s="15" t="str">
        <x:v>card..2924</x:v>
      </x:c>
      <x:c r="F59" s="15" t="str">
        <x:v>R142.00 reserved for purchase @ Ingwe Liquors 146 from Current a/c..512781 using card..2924. Avail R23890. 13Oct 13:51</x:v>
      </x:c>
      <x:c r="G59" s="15" t="str">
        <x:v>Ingwe Liquors 146</x:v>
      </x:c>
      <x:c r="H59" s="38" t="n">
        <x:v>142</x:v>
      </x:c>
      <x:c r="I59" s="15" t="str">
        <x:v>ZAR</x:v>
      </x:c>
      <x:c r="J59" s="15" t="str">
        <x:v>Outflow</x:v>
      </x:c>
      <x:c r="K59" s="15" t="str">
        <x:v>Card purchase</x:v>
      </x:c>
      <x:c r="L59" s="15" t="str">
        <x:v>Meals / restaurants / entertainment</x:v>
      </x:c>
      <x:c r="M59" s="38"/>
      <x:c r="N59" s="38" t="n">
        <x:v>23890</x:v>
      </x:c>
      <x:c r="O59" s="15" t="str"/>
      <x:c r="P59" s="15" t="str">
        <x:v>eml_ALL_currentac__512781 (2).zip &gt; eml12currentac__512781.zip</x:v>
      </x:c>
      <x:c r="Q59" s="15" t="str">
        <x:v>FNB _-) R142.00 reserved for purchase @ Ingwe Liquors 146 from Current a_c..512781 using card..2924. 13Oct 13_51.eml</x:v>
      </x:c>
      <x:c r="R59" s="15" t="str">
        <x:v>High</x:v>
      </x:c>
      <x:c r="S59" s="15" t="str"/>
      <x:c r="T59" s="15" t="str"/>
      <x:c r="U59" s="15" t="str"/>
      <x:c r="V59" s="15" t="str"/>
      <x:c r="W59" s="15" t="str"/>
      <x:c r="X59" s="15" t="str">
        <x:v>FNB :-) R142.00 reserved for purchase @ Ingwe Liquors 146 from Current a/c..512781 using card..2924. Avail R23890. 13Oct 13:51</x:v>
      </x:c>
      <x:c r="Y59" s="15" t="str">
        <x:v>1537c85ac9edce7a</x:v>
      </x:c>
    </x:row>
    <x:row r="60">
      <x:c r="A60" s="34" t="n">
        <x:v>45944.41875</x:v>
      </x:c>
      <x:c r="B60" s="36" t="n">
        <x:v>45944</x:v>
      </x:c>
      <x:c r="C60" s="34" t="n">
        <x:v>45944.41894675926</x:v>
      </x:c>
      <x:c r="D60" s="15" t="str">
        <x:v>Current a/c..512781</x:v>
      </x:c>
      <x:c r="E60" s="15" t="str"/>
      <x:c r="F60" s="15" t="str">
        <x:v>R1870.75 paid from Current a/c..512781 @ Smartapp. Avail R21997. Ref.Dinner Box 100542. 14Oct 10:03</x:v>
      </x:c>
      <x:c r="G60" s="15" t="str">
        <x:v>Dinner Box 100542</x:v>
      </x:c>
      <x:c r="H60" s="38" t="n">
        <x:v>1870.75</x:v>
      </x:c>
      <x:c r="I60" s="15" t="str">
        <x:v>ZAR</x:v>
      </x:c>
      <x:c r="J60" s="15" t="str">
        <x:v>Outflow</x:v>
      </x:c>
      <x:c r="K60" s="15" t="str">
        <x:v>EFT payment</x:v>
      </x:c>
      <x:c r="L60" s="15" t="str">
        <x:v>Meals / restaurants / entertainment</x:v>
      </x:c>
      <x:c r="M60" s="38"/>
      <x:c r="N60" s="38" t="n">
        <x:v>21997</x:v>
      </x:c>
      <x:c r="O60" s="15" t="str"/>
      <x:c r="P60" s="15" t="str">
        <x:v>eml_ALL_currentac__512781 (2).zip &gt; eml12currentac__512781.zip</x:v>
      </x:c>
      <x:c r="Q60" s="15" t="str">
        <x:v>FNB _-) R1870.75 paid from Current a_c..512781 @ Smartapp. Ref.Dinner Box 100542. 14Oct 10_03.eml</x:v>
      </x:c>
      <x:c r="R60" s="15" t="str">
        <x:v>High</x:v>
      </x:c>
      <x:c r="S60" s="15" t="str"/>
      <x:c r="T60" s="15" t="str"/>
      <x:c r="U60" s="15" t="str"/>
      <x:c r="V60" s="15" t="str">
        <x:v>Dinner Box 100542</x:v>
      </x:c>
      <x:c r="W60" s="15" t="str">
        <x:v>Smartapp</x:v>
      </x:c>
      <x:c r="X60" s="15" t="str">
        <x:v>FNB :-) R1870.75 paid from Current a/c..512781 @ Smartapp. Avail R21997. Ref.Dinner Box 100542. 14Oct 10:03</x:v>
      </x:c>
      <x:c r="Y60" s="15" t="str">
        <x:v>27e1ad34ca65e198</x:v>
      </x:c>
    </x:row>
    <x:row r="61">
      <x:c r="A61" s="34" t="n">
        <x:v>45944.42013888889</x:v>
      </x:c>
      <x:c r="B61" s="36" t="n">
        <x:v>45944</x:v>
      </x:c>
      <x:c r="C61" s="34" t="n">
        <x:v>45944.420486111114</x:v>
      </x:c>
      <x:c r="D61" s="15" t="str">
        <x:v>Current a/c..512781</x:v>
      </x:c>
      <x:c r="E61" s="15" t="str"/>
      <x:c r="F61" s="15" t="str">
        <x:v>R255.76 paid from Current a/c..512781 @ Smartapp. Avail R21733. Ref.Bon Express 006772. 14Oct 10:05</x:v>
      </x:c>
      <x:c r="G61" s="15" t="str">
        <x:v>Bon Express 006772</x:v>
      </x:c>
      <x:c r="H61" s="38" t="n">
        <x:v>255.76</x:v>
      </x:c>
      <x:c r="I61" s="15" t="str">
        <x:v>ZAR</x:v>
      </x:c>
      <x:c r="J61" s="15" t="str">
        <x:v>Outflow</x:v>
      </x:c>
      <x:c r="K61" s="15" t="str">
        <x:v>EFT payment</x:v>
      </x:c>
      <x:c r="L61" s="15" t="str">
        <x:v>Supplier payments</x:v>
      </x:c>
      <x:c r="M61" s="38"/>
      <x:c r="N61" s="38" t="n">
        <x:v>21733</x:v>
      </x:c>
      <x:c r="O61" s="15" t="str"/>
      <x:c r="P61" s="15" t="str">
        <x:v>eml_ALL_currentac__512781 (2).zip &gt; eml12currentac__512781.zip</x:v>
      </x:c>
      <x:c r="Q61" s="15" t="str">
        <x:v>FNB _-) R255.76 paid from Current a_c..512781 @ Smartapp. Ref.Bon Express 006772. 14Oct 10_05.eml</x:v>
      </x:c>
      <x:c r="R61" s="15" t="str">
        <x:v>High</x:v>
      </x:c>
      <x:c r="S61" s="15" t="str">
        <x:v>Category confidence Low: Default outflow category; review counterparty/reference.</x:v>
      </x:c>
      <x:c r="T61" s="15" t="str"/>
      <x:c r="U61" s="15" t="str"/>
      <x:c r="V61" s="15" t="str">
        <x:v>Bon Express 006772</x:v>
      </x:c>
      <x:c r="W61" s="15" t="str">
        <x:v>Smartapp</x:v>
      </x:c>
      <x:c r="X61" s="15" t="str">
        <x:v>FNB :-) R255.76 paid from Current a/c..512781 @ Smartapp. Avail R21733. Ref.Bon Express 006772. 14Oct 10:05</x:v>
      </x:c>
      <x:c r="Y61" s="15" t="str">
        <x:v>cad39ac62d80f1de</x:v>
      </x:c>
    </x:row>
    <x:row r="62">
      <x:c r="A62" s="34" t="n">
        <x:v>45944.620833333334</x:v>
      </x:c>
      <x:c r="B62" s="36" t="n">
        <x:v>45944</x:v>
      </x:c>
      <x:c r="C62" s="34" t="n">
        <x:v>45944.621516203704</x:v>
      </x:c>
      <x:c r="D62" s="15" t="str">
        <x:v>Current a/c..512781</x:v>
      </x:c>
      <x:c r="E62" s="15" t="str">
        <x:v>card..2924</x:v>
      </x:c>
      <x:c r="F62" s="15" t="str">
        <x:v>R184.98 reserved for purchase @ Shoprite Komatipoort from Current a/c..512781 using card..2924. Avail R20555. 14Oct 14:54</x:v>
      </x:c>
      <x:c r="G62" s="15" t="str">
        <x:v>Shoprite Komatipoort</x:v>
      </x:c>
      <x:c r="H62" s="38" t="n">
        <x:v>184.98</x:v>
      </x:c>
      <x:c r="I62" s="15" t="str">
        <x:v>ZAR</x:v>
      </x:c>
      <x:c r="J62" s="15" t="str">
        <x:v>Outflow</x:v>
      </x:c>
      <x:c r="K62" s="15" t="str">
        <x:v>Card purchase</x:v>
      </x:c>
      <x:c r="L62" s="15" t="str">
        <x:v>Supplier payments</x:v>
      </x:c>
      <x:c r="M62" s="38"/>
      <x:c r="N62" s="38" t="n">
        <x:v>20555</x:v>
      </x:c>
      <x:c r="O62" s="15" t="str"/>
      <x:c r="P62" s="15" t="str">
        <x:v>eml_ALL_currentac__512781 (2).zip &gt; eml12currentac__512781.zip</x:v>
      </x:c>
      <x:c r="Q62" s="15" t="str">
        <x:v>FNB _-) R184.98 reserved for purchase @ Shoprite Komatipoort from Current a_c..512781 using card..2924. 14Oct 14_54.eml</x:v>
      </x:c>
      <x:c r="R62" s="15" t="str">
        <x:v>High</x:v>
      </x:c>
      <x:c r="S62" s="15" t="str">
        <x:v>Category confidence Medium: Retail/supplier merchant keyword.</x:v>
      </x:c>
      <x:c r="T62" s="15" t="str"/>
      <x:c r="U62" s="15" t="str"/>
      <x:c r="V62" s="15" t="str"/>
      <x:c r="W62" s="15" t="str"/>
      <x:c r="X62" s="15" t="str">
        <x:v>FNB :-) R184.98 reserved for purchase @ Shoprite Komatipoort from Current a/c..512781 using card..2924. Avail R20555. 14Oct 14:54</x:v>
      </x:c>
      <x:c r="Y62" s="15" t="str">
        <x:v>141b96071238cb09</x:v>
      </x:c>
    </x:row>
    <x:row r="63">
      <x:c r="A63" s="34" t="n">
        <x:v>45945.60138888889</x:v>
      </x:c>
      <x:c r="B63" s="36" t="n">
        <x:v>45945</x:v>
      </x:c>
      <x:c r="C63" s="34" t="n">
        <x:v>45945.601956018516</x:v>
      </x:c>
      <x:c r="D63" s="15" t="str">
        <x:v>Current a/c..512781</x:v>
      </x:c>
      <x:c r="E63" s="15" t="str"/>
      <x:c r="F63" s="15" t="str">
        <x:v>R108.00 paid from Current a/c..512781 @ Smartapp. Avail R20439. Ref.Oasis Water 7745. 15Oct 14:26</x:v>
      </x:c>
      <x:c r="G63" s="15" t="str">
        <x:v>Oasis Water 7745</x:v>
      </x:c>
      <x:c r="H63" s="38" t="n">
        <x:v>108</x:v>
      </x:c>
      <x:c r="I63" s="15" t="str">
        <x:v>ZAR</x:v>
      </x:c>
      <x:c r="J63" s="15" t="str">
        <x:v>Outflow</x:v>
      </x:c>
      <x:c r="K63" s="15" t="str">
        <x:v>EFT payment</x:v>
      </x:c>
      <x:c r="L63" s="15" t="str">
        <x:v>Supplier payments</x:v>
      </x:c>
      <x:c r="M63" s="38"/>
      <x:c r="N63" s="38" t="n">
        <x:v>20439</x:v>
      </x:c>
      <x:c r="O63" s="15" t="str"/>
      <x:c r="P63" s="15" t="str">
        <x:v>eml_ALL_currentac__512781 (2).zip &gt; eml12currentac__512781.zip</x:v>
      </x:c>
      <x:c r="Q63" s="15" t="str">
        <x:v>FNB _-) R108.00 paid from Current a_c..512781 @ Smartapp. Ref.Oasis Water 7745. 15Oct 14_26.eml</x:v>
      </x:c>
      <x:c r="R63" s="15" t="str">
        <x:v>High</x:v>
      </x:c>
      <x:c r="S63" s="15" t="str">
        <x:v>Category confidence Medium: Retail/supplier merchant keyword.</x:v>
      </x:c>
      <x:c r="T63" s="15" t="str"/>
      <x:c r="U63" s="15" t="str"/>
      <x:c r="V63" s="15" t="str">
        <x:v>Oasis Water 7745</x:v>
      </x:c>
      <x:c r="W63" s="15" t="str">
        <x:v>Smartapp</x:v>
      </x:c>
      <x:c r="X63" s="15" t="str">
        <x:v>FNB :-) R108.00 paid from Current a/c..512781 @ Smartapp. Avail R20439. Ref.Oasis Water 7745. 15Oct 14:26</x:v>
      </x:c>
      <x:c r="Y63" s="15" t="str">
        <x:v>a77f53cead8f8153</x:v>
      </x:c>
    </x:row>
    <x:row r="64">
      <x:c r="A64" s="34" t="n">
        <x:v>45945.61875</x:v>
      </x:c>
      <x:c r="B64" s="36" t="n">
        <x:v>45945</x:v>
      </x:c>
      <x:c r="C64" s="34" t="n">
        <x:v>45945.618784722225</x:v>
      </x:c>
      <x:c r="D64" s="15" t="str">
        <x:v>Current a/c..512781</x:v>
      </x:c>
      <x:c r="E64" s="15" t="str">
        <x:v>card..2924</x:v>
      </x:c>
      <x:c r="F64" s="15" t="str">
        <x:v>R280.95 reserved for purchase @ Savemor Marloth from Current a/c..512781 using card..2924. Avail R20158. 15Oct 14:51</x:v>
      </x:c>
      <x:c r="G64" s="15" t="str">
        <x:v>Savemor Marloth</x:v>
      </x:c>
      <x:c r="H64" s="38" t="n">
        <x:v>280.95</x:v>
      </x:c>
      <x:c r="I64" s="15" t="str">
        <x:v>ZAR</x:v>
      </x:c>
      <x:c r="J64" s="15" t="str">
        <x:v>Outflow</x:v>
      </x:c>
      <x:c r="K64" s="15" t="str">
        <x:v>Card purchase</x:v>
      </x:c>
      <x:c r="L64" s="15" t="str">
        <x:v>Supplier payments</x:v>
      </x:c>
      <x:c r="M64" s="38"/>
      <x:c r="N64" s="38" t="n">
        <x:v>20158</x:v>
      </x:c>
      <x:c r="O64" s="15" t="str"/>
      <x:c r="P64" s="15" t="str">
        <x:v>eml_ALL_currentac__512781 (2).zip &gt; eml12currentac__512781.zip</x:v>
      </x:c>
      <x:c r="Q64" s="15" t="str">
        <x:v>FNB _-) R280.95 reserved for purchase @ Savemor Marloth from Current a_c..512781 using card..2924. 15Oct 14_51.eml</x:v>
      </x:c>
      <x:c r="R64" s="15" t="str">
        <x:v>High</x:v>
      </x:c>
      <x:c r="S64" s="15" t="str">
        <x:v>Category confidence Medium: Retail/supplier merchant keyword.</x:v>
      </x:c>
      <x:c r="T64" s="15" t="str"/>
      <x:c r="U64" s="15" t="str"/>
      <x:c r="V64" s="15" t="str"/>
      <x:c r="W64" s="15" t="str"/>
      <x:c r="X64" s="15" t="str">
        <x:v>FNB :-) R280.95 reserved for purchase @ Savemor Marloth from Current a/c..512781 using card..2924. Avail R20158. 15Oct 14:51</x:v>
      </x:c>
      <x:c r="Y64" s="15" t="str">
        <x:v>8552cf1edf190f3c</x:v>
      </x:c>
    </x:row>
    <x:row r="65">
      <x:c r="A65" s="34" t="n">
        <x:v>45945.62152777778</x:v>
      </x:c>
      <x:c r="B65" s="36" t="n">
        <x:v>45945</x:v>
      </x:c>
      <x:c r="C65" s="34" t="n">
        <x:v>45945.62167824074</x:v>
      </x:c>
      <x:c r="D65" s="15" t="str">
        <x:v>Current a/c..512781</x:v>
      </x:c>
      <x:c r="E65" s="15" t="str">
        <x:v>card..2924</x:v>
      </x:c>
      <x:c r="F65" s="15" t="str">
        <x:v>R400.00 reserved for purchase @ Marlothi Petrol Stat from Current a/c..512781 using card..2924. Avail R19758. 15Oct 14:55</x:v>
      </x:c>
      <x:c r="G65" s="15" t="str">
        <x:v>Marlothi Petrol Stat</x:v>
      </x:c>
      <x:c r="H65" s="38" t="n">
        <x:v>400</x:v>
      </x:c>
      <x:c r="I65" s="15" t="str">
        <x:v>ZAR</x:v>
      </x:c>
      <x:c r="J65" s="15" t="str">
        <x:v>Outflow</x:v>
      </x:c>
      <x:c r="K65" s="15" t="str">
        <x:v>Card purchase</x:v>
      </x:c>
      <x:c r="L65" s="15" t="str">
        <x:v>Fuel / transport</x:v>
      </x:c>
      <x:c r="M65" s="38"/>
      <x:c r="N65" s="38" t="n">
        <x:v>19758</x:v>
      </x:c>
      <x:c r="O65" s="15" t="str"/>
      <x:c r="P65" s="15" t="str">
        <x:v>eml_ALL_currentac__512781 (2).zip &gt; eml12currentac__512781.zip</x:v>
      </x:c>
      <x:c r="Q65" s="15" t="str">
        <x:v>FNB _-) R400.00 reserved for purchase @ Marlothi Petrol Stat from Current a_c..512781 using card..2924. 15Oct 14_55.eml</x:v>
      </x:c>
      <x:c r="R65" s="15" t="str">
        <x:v>High</x:v>
      </x:c>
      <x:c r="S65" s="15" t="str"/>
      <x:c r="T65" s="15" t="str"/>
      <x:c r="U65" s="15" t="str"/>
      <x:c r="V65" s="15" t="str"/>
      <x:c r="W65" s="15" t="str"/>
      <x:c r="X65" s="15" t="str">
        <x:v>FNB :-) R400.00 reserved for purchase @ Marlothi Petrol Stat from Current a/c..512781 using card..2924. Avail R19758. 15Oct 14:55</x:v>
      </x:c>
      <x:c r="Y65" s="15" t="str">
        <x:v>565e1cb55e24e82f</x:v>
      </x:c>
    </x:row>
    <x:row r="66">
      <x:c r="A66" s="34" t="n">
        <x:v>45946.415972222225</x:v>
      </x:c>
      <x:c r="B66" s="36" t="n">
        <x:v>45946</x:v>
      </x:c>
      <x:c r="C66" s="34" t="n">
        <x:v>45946.41658564815</x:v>
      </x:c>
      <x:c r="D66" s="15" t="str">
        <x:v>Current a/c..512781</x:v>
      </x:c>
      <x:c r="E66" s="15" t="str">
        <x:v>card..2924</x:v>
      </x:c>
      <x:c r="F66" s="15" t="str">
        <x:v>R101.37 reserved for purchase @ Savemor Marloth from Current a/c..512781 using card..2924. Avail R19606. 16Oct 09:59</x:v>
      </x:c>
      <x:c r="G66" s="15" t="str">
        <x:v>Savemor Marloth</x:v>
      </x:c>
      <x:c r="H66" s="38" t="n">
        <x:v>101.37</x:v>
      </x:c>
      <x:c r="I66" s="15" t="str">
        <x:v>ZAR</x:v>
      </x:c>
      <x:c r="J66" s="15" t="str">
        <x:v>Outflow</x:v>
      </x:c>
      <x:c r="K66" s="15" t="str">
        <x:v>Card purchase</x:v>
      </x:c>
      <x:c r="L66" s="15" t="str">
        <x:v>Supplier payments</x:v>
      </x:c>
      <x:c r="M66" s="38"/>
      <x:c r="N66" s="38" t="n">
        <x:v>19606</x:v>
      </x:c>
      <x:c r="O66" s="15" t="str"/>
      <x:c r="P66" s="15" t="str">
        <x:v>eml_ALL_currentac__512781 (2).zip &gt; eml12currentac__512781.zip</x:v>
      </x:c>
      <x:c r="Q66" s="15" t="str">
        <x:v>FNB _-) R101.37 reserved for purchase @ Savemor Marloth from Current a_c..512781 using card..2924. 16Oct 09_59.eml</x:v>
      </x:c>
      <x:c r="R66" s="15" t="str">
        <x:v>High</x:v>
      </x:c>
      <x:c r="S66" s="15" t="str">
        <x:v>Category confidence Medium: Retail/supplier merchant keyword.</x:v>
      </x:c>
      <x:c r="T66" s="15" t="str"/>
      <x:c r="U66" s="15" t="str"/>
      <x:c r="V66" s="15" t="str"/>
      <x:c r="W66" s="15" t="str"/>
      <x:c r="X66" s="15" t="str">
        <x:v>FNB :-) R101.37 reserved for purchase @ Savemor Marloth from Current a/c..512781 using card..2924. Avail R19606. 16Oct 09:59</x:v>
      </x:c>
      <x:c r="Y66" s="15" t="str">
        <x:v>6785e85490ce9a43</x:v>
      </x:c>
    </x:row>
    <x:row r="67">
      <x:c r="A67" s="34" t="n">
        <x:v>45969.790972222225</x:v>
      </x:c>
      <x:c r="B67" s="36" t="n">
        <x:v>45969</x:v>
      </x:c>
      <x:c r="C67" s="34" t="n">
        <x:v>45969.791597222225</x:v>
      </x:c>
      <x:c r="D67" s="15" t="str">
        <x:v>Current a/c..512781</x:v>
      </x:c>
      <x:c r="E67" s="15" t="str">
        <x:v>card..2924</x:v>
      </x:c>
      <x:c r="F67" s="15" t="str">
        <x:v>R360.00 reserved for purchase @ The Tin Shack from Current a/c..512781 using card..2924. Avail R57629. 8Nov 18:59</x:v>
      </x:c>
      <x:c r="G67" s="15" t="str">
        <x:v>The Tin Shack</x:v>
      </x:c>
      <x:c r="H67" s="38" t="n">
        <x:v>360</x:v>
      </x:c>
      <x:c r="I67" s="15" t="str">
        <x:v>ZAR</x:v>
      </x:c>
      <x:c r="J67" s="15" t="str">
        <x:v>Outflow</x:v>
      </x:c>
      <x:c r="K67" s="15" t="str">
        <x:v>Card purchase</x:v>
      </x:c>
      <x:c r="L67" s="15" t="str">
        <x:v>Meals / restaurants / entertainment</x:v>
      </x:c>
      <x:c r="M67" s="38"/>
      <x:c r="N67" s="38" t="n">
        <x:v>57629</x:v>
      </x:c>
      <x:c r="O67" s="15" t="str"/>
      <x:c r="P67" s="15" t="str">
        <x:v>eml_ALL_currentac__512781 (2).zip &gt; eml10currentac__512781.zip</x:v>
      </x:c>
      <x:c r="Q67" s="15" t="str">
        <x:v>FNB _-) R360.00 reserved for purchase @ The Tin Shack from Current a_c..512781 using card..2924.  8Nov 18_59.eml</x:v>
      </x:c>
      <x:c r="R67" s="15" t="str">
        <x:v>High</x:v>
      </x:c>
      <x:c r="S67" s="15" t="str"/>
      <x:c r="T67" s="15" t="str"/>
      <x:c r="U67" s="15" t="str"/>
      <x:c r="V67" s="15" t="str"/>
      <x:c r="W67" s="15" t="str"/>
      <x:c r="X67" s="15" t="str">
        <x:v>FNB :-) R360.00 reserved for purchase @ The Tin Shack from Current a/c..512781 using card..2924. Avail R57629. 8Nov 18:59</x:v>
      </x:c>
      <x:c r="Y67" s="15" t="str">
        <x:v>e53c4082bed8650a</x:v>
      </x:c>
    </x:row>
    <x:row r="68">
      <x:c r="A68" s="34" t="n">
        <x:v>45970.36041666667</x:v>
      </x:c>
      <x:c r="B68" s="36" t="n">
        <x:v>45970</x:v>
      </x:c>
      <x:c r="C68" s="34" t="n">
        <x:v>45970.361030092594</x:v>
      </x:c>
      <x:c r="D68" s="15" t="str">
        <x:v>Current a/c..512781</x:v>
      </x:c>
      <x:c r="E68" s="15" t="str"/>
      <x:c r="F68" s="15" t="str">
        <x:v>R500.00 paid from Current a/c..512781 @ Smartapp. Avail R57129. Ref.Cindy Wages. 9Nov 08:39</x:v>
      </x:c>
      <x:c r="G68" s="15" t="str">
        <x:v>Cindy Wages</x:v>
      </x:c>
      <x:c r="H68" s="38" t="n">
        <x:v>500</x:v>
      </x:c>
      <x:c r="I68" s="15" t="str">
        <x:v>ZAR</x:v>
      </x:c>
      <x:c r="J68" s="15" t="str">
        <x:v>Outflow</x:v>
      </x:c>
      <x:c r="K68" s="15" t="str">
        <x:v>EFT payment</x:v>
      </x:c>
      <x:c r="L68" s="15" t="str">
        <x:v>Salary / wages</x:v>
      </x:c>
      <x:c r="M68" s="38"/>
      <x:c r="N68" s="38" t="n">
        <x:v>57129</x:v>
      </x:c>
      <x:c r="O68" s="15" t="str"/>
      <x:c r="P68" s="15" t="str">
        <x:v>eml_ALL_currentac__512781 (2).zip &gt; eml10currentac__512781.zip</x:v>
      </x:c>
      <x:c r="Q68" s="15" t="str">
        <x:v>FNB _-) R500.00 paid from Current a_c..512781 @ Smartapp. Ref.Cindy Wages.  9Nov 08_39.eml</x:v>
      </x:c>
      <x:c r="R68" s="15" t="str">
        <x:v>High</x:v>
      </x:c>
      <x:c r="S68" s="15" t="str"/>
      <x:c r="T68" s="15" t="str"/>
      <x:c r="U68" s="15" t="str"/>
      <x:c r="V68" s="15" t="str">
        <x:v>Cindy Wages</x:v>
      </x:c>
      <x:c r="W68" s="15" t="str">
        <x:v>Smartapp</x:v>
      </x:c>
      <x:c r="X68" s="15" t="str">
        <x:v>FNB :-) R500.00 paid from Current a/c..512781 @ Smartapp. Avail R57129. Ref.Cindy Wages. 9Nov 08:39</x:v>
      </x:c>
      <x:c r="Y68" s="15" t="str">
        <x:v>77918fbc3678b550</x:v>
      </x:c>
    </x:row>
    <x:row r="69">
      <x:c r="A69" s="34" t="n">
        <x:v>45970.561111111114</x:v>
      </x:c>
      <x:c r="B69" s="36" t="n">
        <x:v>45970</x:v>
      </x:c>
      <x:c r="C69" s="34" t="n">
        <x:v>45970.56128472222</x:v>
      </x:c>
      <x:c r="D69" s="15" t="str">
        <x:v>Current a/c..512781</x:v>
      </x:c>
      <x:c r="E69" s="15" t="str">
        <x:v>card..2924</x:v>
      </x:c>
      <x:c r="F69" s="15" t="str">
        <x:v>R263.92 reserved for purchase @ Savemor Marloth from Current a/c..512781 using card..2924. Avail R56652. 9Nov 13:28</x:v>
      </x:c>
      <x:c r="G69" s="15" t="str">
        <x:v>Savemor Marloth</x:v>
      </x:c>
      <x:c r="H69" s="38" t="n">
        <x:v>263.92</x:v>
      </x:c>
      <x:c r="I69" s="15" t="str">
        <x:v>ZAR</x:v>
      </x:c>
      <x:c r="J69" s="15" t="str">
        <x:v>Outflow</x:v>
      </x:c>
      <x:c r="K69" s="15" t="str">
        <x:v>Card purchase</x:v>
      </x:c>
      <x:c r="L69" s="15" t="str">
        <x:v>Supplier payments</x:v>
      </x:c>
      <x:c r="M69" s="38"/>
      <x:c r="N69" s="38" t="n">
        <x:v>56652</x:v>
      </x:c>
      <x:c r="O69" s="15" t="str"/>
      <x:c r="P69" s="15" t="str">
        <x:v>eml_ALL_currentac__512781 (2).zip &gt; eml10currentac__512781.zip</x:v>
      </x:c>
      <x:c r="Q69" s="15" t="str">
        <x:v>FNB _-) R263.92 reserved for purchase @ Savemor Marloth from Current a_c..512781 using card..2924.  9Nov 13_28.eml</x:v>
      </x:c>
      <x:c r="R69" s="15" t="str">
        <x:v>High</x:v>
      </x:c>
      <x:c r="S69" s="15" t="str">
        <x:v>Category confidence Medium: Retail/supplier merchant keyword.</x:v>
      </x:c>
      <x:c r="T69" s="15" t="str"/>
      <x:c r="U69" s="15" t="str"/>
      <x:c r="V69" s="15" t="str"/>
      <x:c r="W69" s="15" t="str"/>
      <x:c r="X69" s="15" t="str">
        <x:v>FNB :-) R263.92 reserved for purchase @ Savemor Marloth from Current a/c..512781 using card..2924. Avail R56652. 9Nov 13:28</x:v>
      </x:c>
      <x:c r="Y69" s="15" t="str">
        <x:v>74eee273bbe3918d</x:v>
      </x:c>
    </x:row>
    <x:row r="70">
      <x:c r="A70" s="34" t="n">
        <x:v>45971.23402777778</x:v>
      </x:c>
      <x:c r="B70" s="36" t="n">
        <x:v>45971</x:v>
      </x:c>
      <x:c r="C70" s="34" t="n">
        <x:v>45971.234247685185</x:v>
      </x:c>
      <x:c r="D70" s="15" t="str">
        <x:v>Current a/c..512781</x:v>
      </x:c>
      <x:c r="E70" s="15" t="str">
        <x:v>card..2924</x:v>
      </x:c>
      <x:c r="F70" s="15" t="str">
        <x:v>R13332.00 reserved for purchase @ Sanparks Crocodile B from Current a/c..512781 using card..2924. Avail R43237. 10Nov 05:37</x:v>
      </x:c>
      <x:c r="G70" s="15" t="str">
        <x:v>Sanparks Crocodile B</x:v>
      </x:c>
      <x:c r="H70" s="38" t="n">
        <x:v>13332</x:v>
      </x:c>
      <x:c r="I70" s="15" t="str">
        <x:v>ZAR</x:v>
      </x:c>
      <x:c r="J70" s="15" t="str">
        <x:v>Outflow</x:v>
      </x:c>
      <x:c r="K70" s="15" t="str">
        <x:v>Card purchase</x:v>
      </x:c>
      <x:c r="L70" s="15" t="str">
        <x:v>Card spend</x:v>
      </x:c>
      <x:c r="M70" s="38"/>
      <x:c r="N70" s="38" t="n">
        <x:v>43237</x:v>
      </x:c>
      <x:c r="O70" s="15" t="str"/>
      <x:c r="P70" s="15" t="str">
        <x:v>eml_ALL_currentac__512781 (2).zip &gt; eml10currentac__512781.zip</x:v>
      </x:c>
      <x:c r="Q70" s="15" t="str">
        <x:v>FNB _-) R13332.00 reserved for purchase @ Sanparks Crocodile B from Current a_c..512781 using card..2924. 10Nov 05_37.eml</x:v>
      </x:c>
      <x:c r="R70" s="15" t="str">
        <x:v>High</x:v>
      </x:c>
      <x:c r="S70" s="15" t="str">
        <x:v>Category confidence Low: Default card-spend category; merchant not confidently mapped.</x:v>
      </x:c>
      <x:c r="T70" s="15" t="str"/>
      <x:c r="U70" s="15" t="str"/>
      <x:c r="V70" s="15" t="str"/>
      <x:c r="W70" s="15" t="str"/>
      <x:c r="X70" s="15" t="str">
        <x:v>FNB :-) R13332.00 reserved for purchase @ Sanparks Crocodile B from Current a/c..512781 using card..2924. Avail R43237. 10Nov 05:37</x:v>
      </x:c>
      <x:c r="Y70" s="15" t="str">
        <x:v>890e79e1bfb02018</x:v>
      </x:c>
    </x:row>
    <x:row r="71">
      <x:c r="A71" s="34" t="n">
        <x:v>45971.36736111111</x:v>
      </x:c>
      <x:c r="B71" s="36" t="n">
        <x:v>45971</x:v>
      </x:c>
      <x:c r="C71" s="34" t="n">
        <x:v>45971.367939814816</x:v>
      </x:c>
      <x:c r="D71" s="15" t="str">
        <x:v>Current a/c..512781</x:v>
      </x:c>
      <x:c r="E71" s="15" t="str"/>
      <x:c r="F71" s="15" t="str">
        <x:v>R7500.00 paid from Current a/c..512781 @ Smartapp. Avail R35729. Ref.Kruger Safari 1664. 10Nov 08:49</x:v>
      </x:c>
      <x:c r="G71" s="15" t="str">
        <x:v>Kruger Safari 1664</x:v>
      </x:c>
      <x:c r="H71" s="38" t="n">
        <x:v>7500</x:v>
      </x:c>
      <x:c r="I71" s="15" t="str">
        <x:v>ZAR</x:v>
      </x:c>
      <x:c r="J71" s="15" t="str">
        <x:v>Outflow</x:v>
      </x:c>
      <x:c r="K71" s="15" t="str">
        <x:v>EFT payment</x:v>
      </x:c>
      <x:c r="L71" s="15" t="str">
        <x:v>Supplier payments</x:v>
      </x:c>
      <x:c r="M71" s="38"/>
      <x:c r="N71" s="38" t="n">
        <x:v>35729</x:v>
      </x:c>
      <x:c r="O71" s="15" t="str"/>
      <x:c r="P71" s="15" t="str">
        <x:v>eml_ALL_currentac__512781 (2).zip &gt; eml10currentac__512781.zip</x:v>
      </x:c>
      <x:c r="Q71" s="15" t="str">
        <x:v>FNB _-) R7500.00 paid from Current a_c..512781 @ Smartapp. Ref.Kruger Safari 1664. 10Nov 08_49.eml</x:v>
      </x:c>
      <x:c r="R71" s="15" t="str">
        <x:v>High</x:v>
      </x:c>
      <x:c r="S71" s="15" t="str">
        <x:v>Category confidence Low: Default outflow category; review counterparty/reference.</x:v>
      </x:c>
      <x:c r="T71" s="15" t="str"/>
      <x:c r="U71" s="15" t="str"/>
      <x:c r="V71" s="15" t="str">
        <x:v>Kruger Safari 1664</x:v>
      </x:c>
      <x:c r="W71" s="15" t="str">
        <x:v>Smartapp</x:v>
      </x:c>
      <x:c r="X71" s="15" t="str">
        <x:v>FNB :-) R7500.00 paid from Current a/c..512781 @ Smartapp. Avail R35729. Ref.Kruger Safari 1664. 10Nov 08:49</x:v>
      </x:c>
      <x:c r="Y71" s="15" t="str">
        <x:v>229d07e49de3a18d</x:v>
      </x:c>
    </x:row>
    <x:row r="72">
      <x:c r="A72" s="34" t="n">
        <x:v>45971.552777777775</x:v>
      </x:c>
      <x:c r="B72" s="36" t="n">
        <x:v>45971</x:v>
      </x:c>
      <x:c r="C72" s="34" t="n">
        <x:v>45971.55320601852</x:v>
      </x:c>
      <x:c r="D72" s="15" t="str">
        <x:v>Current a/c..512781</x:v>
      </x:c>
      <x:c r="E72" s="15" t="str">
        <x:v>card..2924</x:v>
      </x:c>
      <x:c r="F72" s="15" t="str">
        <x:v>R248.85 reserved for purchase @ Buco Komatipoort 116 from Current a/c..512781 using card..2924. Avail R35480. 10Nov 13:16</x:v>
      </x:c>
      <x:c r="G72" s="15" t="str">
        <x:v>Buco Komatipoort 116</x:v>
      </x:c>
      <x:c r="H72" s="38" t="n">
        <x:v>248.85</x:v>
      </x:c>
      <x:c r="I72" s="15" t="str">
        <x:v>ZAR</x:v>
      </x:c>
      <x:c r="J72" s="15" t="str">
        <x:v>Outflow</x:v>
      </x:c>
      <x:c r="K72" s="15" t="str">
        <x:v>Card purchase</x:v>
      </x:c>
      <x:c r="L72" s="15" t="str">
        <x:v>Supplier payments</x:v>
      </x:c>
      <x:c r="M72" s="38"/>
      <x:c r="N72" s="38" t="n">
        <x:v>35480</x:v>
      </x:c>
      <x:c r="O72" s="15" t="str"/>
      <x:c r="P72" s="15" t="str">
        <x:v>eml_ALL_currentac__512781 (2).zip &gt; eml10currentac__512781.zip</x:v>
      </x:c>
      <x:c r="Q72" s="15" t="str">
        <x:v>FNB _-) R248.85 reserved for purchase @ Buco Komatipoort 116 from Current a_c..512781 using card..2924. 10Nov 13_16.eml</x:v>
      </x:c>
      <x:c r="R72" s="15" t="str">
        <x:v>High</x:v>
      </x:c>
      <x:c r="S72" s="15" t="str">
        <x:v>Category confidence Medium: Retail/supplier merchant keyword.</x:v>
      </x:c>
      <x:c r="T72" s="15" t="str"/>
      <x:c r="U72" s="15" t="str"/>
      <x:c r="V72" s="15" t="str"/>
      <x:c r="W72" s="15" t="str"/>
      <x:c r="X72" s="15" t="str">
        <x:v>FNB :-) R248.85 reserved for purchase @ Buco Komatipoort 116 from Current a/c..512781 using card..2924. Avail R35480. 10Nov 13:16</x:v>
      </x:c>
      <x:c r="Y72" s="15" t="str">
        <x:v>162aba2d376f5567</x:v>
      </x:c>
    </x:row>
    <x:row r="73">
      <x:c r="A73" s="34" t="n">
        <x:v>45971.57013888889</x:v>
      </x:c>
      <x:c r="B73" s="36" t="n">
        <x:v>45971</x:v>
      </x:c>
      <x:c r="C73" s="34" t="n">
        <x:v>45971.57046296296</x:v>
      </x:c>
      <x:c r="D73" s="15" t="str">
        <x:v>Current a/c..512781</x:v>
      </x:c>
      <x:c r="E73" s="15" t="str">
        <x:v>card..2924</x:v>
      </x:c>
      <x:c r="F73" s="15" t="str">
        <x:v>R461.86 reserved for purchase @ Pep Home 5771 Komati from Current a/c..512781 using card..2924. Avail R35018. 10Nov 13:41</x:v>
      </x:c>
      <x:c r="G73" s="15" t="str">
        <x:v>Pep Home 5771 Komati</x:v>
      </x:c>
      <x:c r="H73" s="38" t="n">
        <x:v>461.86</x:v>
      </x:c>
      <x:c r="I73" s="15" t="str">
        <x:v>ZAR</x:v>
      </x:c>
      <x:c r="J73" s="15" t="str">
        <x:v>Outflow</x:v>
      </x:c>
      <x:c r="K73" s="15" t="str">
        <x:v>Card purchase</x:v>
      </x:c>
      <x:c r="L73" s="15" t="str">
        <x:v>Supplier payments</x:v>
      </x:c>
      <x:c r="M73" s="38"/>
      <x:c r="N73" s="38" t="n">
        <x:v>35018</x:v>
      </x:c>
      <x:c r="O73" s="15" t="str"/>
      <x:c r="P73" s="15" t="str">
        <x:v>eml_ALL_currentac__512781 (2).zip &gt; eml10currentac__512781.zip</x:v>
      </x:c>
      <x:c r="Q73" s="15" t="str">
        <x:v>FNB _-) R461.86 reserved for purchase @ Pep Home 5771 Komati from Current a_c..512781 using card..2924. 10Nov 13_41.eml</x:v>
      </x:c>
      <x:c r="R73" s="15" t="str">
        <x:v>High</x:v>
      </x:c>
      <x:c r="S73" s="15" t="str">
        <x:v>Category confidence Medium: Retail/supplier merchant keyword.</x:v>
      </x:c>
      <x:c r="T73" s="15" t="str"/>
      <x:c r="U73" s="15" t="str"/>
      <x:c r="V73" s="15" t="str"/>
      <x:c r="W73" s="15" t="str"/>
      <x:c r="X73" s="15" t="str">
        <x:v>FNB :-) R461.86 reserved for purchase @ Pep Home 5771 Komati from Current a/c..512781 using card..2924. Avail R35018. 10Nov 13:41</x:v>
      </x:c>
      <x:c r="Y73" s="15" t="str">
        <x:v>45109d65a21d88d0</x:v>
      </x:c>
    </x:row>
    <x:row r="74">
      <x:c r="A74" s="34" t="n">
        <x:v>45971.57083333333</x:v>
      </x:c>
      <x:c r="B74" s="36" t="n">
        <x:v>45971</x:v>
      </x:c>
      <x:c r="C74" s="34" t="n">
        <x:v>45971.57129629629</x:v>
      </x:c>
      <x:c r="D74" s="15" t="str">
        <x:v>Current a/c..512781</x:v>
      </x:c>
      <x:c r="E74" s="15" t="str"/>
      <x:c r="F74" s="15" t="str">
        <x:v>R255.76 paid from Current a/c..512781 @ Smartapp. Avail R34754. Ref.Bon Express 006962. 10Nov 13:42</x:v>
      </x:c>
      <x:c r="G74" s="15" t="str">
        <x:v>Bon Express 006962</x:v>
      </x:c>
      <x:c r="H74" s="38" t="n">
        <x:v>255.76</x:v>
      </x:c>
      <x:c r="I74" s="15" t="str">
        <x:v>ZAR</x:v>
      </x:c>
      <x:c r="J74" s="15" t="str">
        <x:v>Outflow</x:v>
      </x:c>
      <x:c r="K74" s="15" t="str">
        <x:v>EFT payment</x:v>
      </x:c>
      <x:c r="L74" s="15" t="str">
        <x:v>Supplier payments</x:v>
      </x:c>
      <x:c r="M74" s="38"/>
      <x:c r="N74" s="38" t="n">
        <x:v>34754</x:v>
      </x:c>
      <x:c r="O74" s="15" t="str"/>
      <x:c r="P74" s="15" t="str">
        <x:v>eml_ALL_currentac__512781 (2).zip &gt; eml10currentac__512781.zip</x:v>
      </x:c>
      <x:c r="Q74" s="15" t="str">
        <x:v>FNB _-) R255.76 paid from Current a_c..512781 @ Smartapp. Ref.Bon Express 006962. 10Nov 13_42.eml</x:v>
      </x:c>
      <x:c r="R74" s="15" t="str">
        <x:v>High</x:v>
      </x:c>
      <x:c r="S74" s="15" t="str">
        <x:v>Category confidence Low: Default outflow category; review counterparty/reference.</x:v>
      </x:c>
      <x:c r="T74" s="15" t="str"/>
      <x:c r="U74" s="15" t="str"/>
      <x:c r="V74" s="15" t="str">
        <x:v>Bon Express 006962</x:v>
      </x:c>
      <x:c r="W74" s="15" t="str">
        <x:v>Smartapp</x:v>
      </x:c>
      <x:c r="X74" s="15" t="str">
        <x:v>FNB :-) R255.76 paid from Current a/c..512781 @ Smartapp. Avail R34754. Ref.Bon Express 006962. 10Nov 13:42</x:v>
      </x:c>
      <x:c r="Y74" s="15" t="str">
        <x:v>d7b0c36edf3e634e</x:v>
      </x:c>
    </x:row>
    <x:row r="75">
      <x:c r="A75" s="34" t="n">
        <x:v>45971.57152777778</x:v>
      </x:c>
      <x:c r="B75" s="36" t="n">
        <x:v>45971</x:v>
      </x:c>
      <x:c r="C75" s="34" t="n">
        <x:v>45971.57171296296</x:v>
      </x:c>
      <x:c r="D75" s="15" t="str">
        <x:v>Current a/c..512781</x:v>
      </x:c>
      <x:c r="E75" s="15" t="str"/>
      <x:c r="F75" s="15" t="str">
        <x:v>R12511.62 paid to Current a/c..512781 @ Payshap. Ref.Ik Pay 487882. 10Nov 13:43</x:v>
      </x:c>
      <x:c r="G75" s="15" t="str">
        <x:v>Ik Pay 487882</x:v>
      </x:c>
      <x:c r="H75" s="38" t="n">
        <x:v>12511.62</x:v>
      </x:c>
      <x:c r="I75" s="15" t="str">
        <x:v>ZAR</x:v>
      </x:c>
      <x:c r="J75" s="15" t="str">
        <x:v>Inflow</x:v>
      </x:c>
      <x:c r="K75" s="15" t="str">
        <x:v>EFT receipt</x:v>
      </x:c>
      <x:c r="L75" s="15" t="str">
        <x:v>Sales / customer receipts</x:v>
      </x:c>
      <x:c r="M75" s="38"/>
      <x:c r="N75" s="38"/>
      <x:c r="O75" s="15" t="str"/>
      <x:c r="P75" s="15" t="str">
        <x:v>eml_ALL_currentac__512781 (2).zip &gt; eml10currentac__512781.zip</x:v>
      </x:c>
      <x:c r="Q75" s="15" t="str">
        <x:v>FNB _-) R12511.62 paid to Current a_c..512781 @ Payshap. Ref.Ik Pay 487882. 10Nov 13_43.eml</x:v>
      </x:c>
      <x:c r="R75" s="15" t="str">
        <x:v>High</x:v>
      </x:c>
      <x:c r="S75" s="15" t="str">
        <x:v>Category confidence Medium: Default for incoming EFT/PayShap/online receipt.</x:v>
      </x:c>
      <x:c r="T75" s="15" t="str"/>
      <x:c r="U75" s="15" t="str"/>
      <x:c r="V75" s="15" t="str">
        <x:v>Ik Pay 487882</x:v>
      </x:c>
      <x:c r="W75" s="15" t="str">
        <x:v>Payshap</x:v>
      </x:c>
      <x:c r="X75" s="15" t="str">
        <x:v>FNB :-) R12511.62 paid to Current a/c..512781 @ Payshap. Ref.Ik Pay 487882. 10Nov 13:43</x:v>
      </x:c>
      <x:c r="Y75" s="15" t="str">
        <x:v>7353853dd538091f</x:v>
      </x:c>
    </x:row>
    <x:row r="76">
      <x:c r="A76" s="34" t="n">
        <x:v>45971.60625</x:v>
      </x:c>
      <x:c r="B76" s="36" t="n">
        <x:v>45971</x:v>
      </x:c>
      <x:c r="C76" s="34" t="n">
        <x:v>45971.6062962963</x:v>
      </x:c>
      <x:c r="D76" s="15" t="str">
        <x:v>Current a/c..512781</x:v>
      </x:c>
      <x:c r="E76" s="15" t="str">
        <x:v>card..2924</x:v>
      </x:c>
      <x:c r="F76" s="15" t="str">
        <x:v>R1005.71 reserved for purchase @ Superspar Komatipoor from Current a/c..512781 using card..2924. Avail R46260. 10Nov 14:33</x:v>
      </x:c>
      <x:c r="G76" s="15" t="str">
        <x:v>Superspar Komatipoor</x:v>
      </x:c>
      <x:c r="H76" s="38" t="n">
        <x:v>1005.71</x:v>
      </x:c>
      <x:c r="I76" s="15" t="str">
        <x:v>ZAR</x:v>
      </x:c>
      <x:c r="J76" s="15" t="str">
        <x:v>Outflow</x:v>
      </x:c>
      <x:c r="K76" s="15" t="str">
        <x:v>Card purchase</x:v>
      </x:c>
      <x:c r="L76" s="15" t="str">
        <x:v>Supplier payments</x:v>
      </x:c>
      <x:c r="M76" s="38"/>
      <x:c r="N76" s="38" t="n">
        <x:v>46260</x:v>
      </x:c>
      <x:c r="O76" s="15" t="str"/>
      <x:c r="P76" s="15" t="str">
        <x:v>eml_ALL_currentac__512781 (2).zip &gt; eml10currentac__512781.zip</x:v>
      </x:c>
      <x:c r="Q76" s="15" t="str">
        <x:v>FNB _-) R1005.71 reserved for purchase @ Superspar Komatipoor from Current a_c..512781 using card..2924. 10Nov 14_33.eml</x:v>
      </x:c>
      <x:c r="R76" s="15" t="str">
        <x:v>High</x:v>
      </x:c>
      <x:c r="S76" s="15" t="str">
        <x:v>Category confidence Medium: Retail/supplier merchant keyword.</x:v>
      </x:c>
      <x:c r="T76" s="15" t="str"/>
      <x:c r="U76" s="15" t="str"/>
      <x:c r="V76" s="15" t="str"/>
      <x:c r="W76" s="15" t="str"/>
      <x:c r="X76" s="15" t="str">
        <x:v>FNB :-) R1005.71 reserved for purchase @ Superspar Komatipoor from Current a/c..512781 using card..2924. Avail R46260. 10Nov 14:33</x:v>
      </x:c>
      <x:c r="Y76" s="15" t="str">
        <x:v>f66424852a72e742</x:v>
      </x:c>
    </x:row>
    <x:row r="77">
      <x:c r="A77" s="34" t="n">
        <x:v>45972.461805555555</x:v>
      </x:c>
      <x:c r="B77" s="36" t="n">
        <x:v>45972</x:v>
      </x:c>
      <x:c r="C77" s="34" t="n">
        <x:v>45972.46231481482</x:v>
      </x:c>
      <x:c r="D77" s="15" t="str">
        <x:v>Current a/c..512781</x:v>
      </x:c>
      <x:c r="E77" s="15" t="str"/>
      <x:c r="F77" s="15" t="str">
        <x:v>Payment Link created from Current a/c..512781 To Waterkloof Gas..850097 @ Smartapp. 11Nov 11:05 Call 087 575 9404 for help.</x:v>
      </x:c>
      <x:c r="G77" s="15" t="str">
        <x:v>Waterkloof Gas..850097</x:v>
      </x:c>
      <x:c r="H77" s="38"/>
      <x:c r="I77" s="15" t="str"/>
      <x:c r="J77" s="15" t="str">
        <x:v>Neutral/Information Only</x:v>
      </x:c>
      <x:c r="K77" s="15" t="str">
        <x:v>Other</x:v>
      </x:c>
      <x:c r="L77" s="15" t="str">
        <x:v>Other</x:v>
      </x:c>
      <x:c r="M77" s="38"/>
      <x:c r="N77" s="38"/>
      <x:c r="O77" s="15" t="str"/>
      <x:c r="P77" s="15" t="str">
        <x:v>eml_ALL_currentac__512781 (2).zip &gt; eml10currentac__512781.zip</x:v>
      </x:c>
      <x:c r="Q77" s="15" t="str">
        <x:v>FNB _-) Payment Link created from Current a_c..512781 To Waterkloof Gas..850097 @ Smartapp. 11Nov 11_05 Call 087 575 9404  for help..eml</x:v>
      </x:c>
      <x:c r="R77" s="15" t="str">
        <x:v>High</x:v>
      </x:c>
      <x:c r="S77" s="15" t="str">
        <x:v>Payment link creation only; no money movement indicated. Category confidence Low: Unable to map confidently.</x:v>
      </x:c>
      <x:c r="T77" s="15" t="str">
        <x:v>Current a/c..512781</x:v>
      </x:c>
      <x:c r="U77" s="15" t="str">
        <x:v>Waterkloof Gas..850097</x:v>
      </x:c>
      <x:c r="V77" s="15" t="str"/>
      <x:c r="W77" s="15" t="str">
        <x:v>Smartapp</x:v>
      </x:c>
      <x:c r="X77" s="15" t="str">
        <x:v>FNB :-) Payment Link created from Current a/c..512781 To Waterkloof Gas..850097 @ Smartapp. 11Nov 11:05 Call 087 575 9404 for help.</x:v>
      </x:c>
      <x:c r="Y77" s="15" t="str">
        <x:v>168d6f6ed5e2d3cf</x:v>
      </x:c>
    </x:row>
    <x:row r="78">
      <x:c r="A78" s="34" t="n">
        <x:v>45972.4625</x:v>
      </x:c>
      <x:c r="B78" s="36" t="n">
        <x:v>45972</x:v>
      </x:c>
      <x:c r="C78" s="34" t="n">
        <x:v>45972.46252314815</x:v>
      </x:c>
      <x:c r="D78" s="15" t="str">
        <x:v>Current a/c..512781</x:v>
      </x:c>
      <x:c r="E78" s="15" t="str"/>
      <x:c r="F78" s="15" t="str">
        <x:v>R1258.00 paid from Current a/c..512781 @ Smartapp. Avail R44984. Ref.Waterkloof Gas 9632. 11Nov 11:06</x:v>
      </x:c>
      <x:c r="G78" s="15" t="str">
        <x:v>Waterkloof Gas 9632</x:v>
      </x:c>
      <x:c r="H78" s="38" t="n">
        <x:v>1258</x:v>
      </x:c>
      <x:c r="I78" s="15" t="str">
        <x:v>ZAR</x:v>
      </x:c>
      <x:c r="J78" s="15" t="str">
        <x:v>Outflow</x:v>
      </x:c>
      <x:c r="K78" s="15" t="str">
        <x:v>EFT payment</x:v>
      </x:c>
      <x:c r="L78" s="15" t="str">
        <x:v>Supplier payments</x:v>
      </x:c>
      <x:c r="M78" s="38"/>
      <x:c r="N78" s="38" t="n">
        <x:v>44984</x:v>
      </x:c>
      <x:c r="O78" s="15" t="str"/>
      <x:c r="P78" s="15" t="str">
        <x:v>eml_ALL_currentac__512781 (2).zip &gt; eml10currentac__512781.zip</x:v>
      </x:c>
      <x:c r="Q78" s="15" t="str">
        <x:v>FNB _-) R1258.00 paid from Current a_c..512781 @ Smartapp. Ref.Waterkloof Gas 9632. 11Nov 11_06.eml</x:v>
      </x:c>
      <x:c r="R78" s="15" t="str">
        <x:v>High</x:v>
      </x:c>
      <x:c r="S78" s="15" t="str">
        <x:v>Category confidence Low: Default outflow category; review counterparty/reference.</x:v>
      </x:c>
      <x:c r="T78" s="15" t="str"/>
      <x:c r="U78" s="15" t="str"/>
      <x:c r="V78" s="15" t="str">
        <x:v>Waterkloof Gas 9632</x:v>
      </x:c>
      <x:c r="W78" s="15" t="str">
        <x:v>Smartapp</x:v>
      </x:c>
      <x:c r="X78" s="15" t="str">
        <x:v>FNB :-) R1258.00 paid from Current a/c..512781 @ Smartapp. Avail R44984. Ref.Waterkloof Gas 9632. 11Nov 11:06</x:v>
      </x:c>
      <x:c r="Y78" s="15" t="str">
        <x:v>9fd8f06f43fee563</x:v>
      </x:c>
    </x:row>
    <x:row r="79">
      <x:c r="A79" s="34" t="n">
        <x:v>45972.4875</x:v>
      </x:c>
      <x:c r="B79" s="36" t="n">
        <x:v>45972</x:v>
      </x:c>
      <x:c r="C79" s="34" t="n">
        <x:v>45972.48783564815</x:v>
      </x:c>
      <x:c r="D79" s="15" t="str">
        <x:v>Current a/c..512781</x:v>
      </x:c>
      <x:c r="E79" s="15" t="str"/>
      <x:c r="F79" s="15" t="str">
        <x:v>R1202.00 paid from Current a/c..512781 @ Smartapp. Avail R43774. Ref.Dinner Box 102116. 11Nov 11:42</x:v>
      </x:c>
      <x:c r="G79" s="15" t="str">
        <x:v>Dinner Box 102116</x:v>
      </x:c>
      <x:c r="H79" s="38" t="n">
        <x:v>1202</x:v>
      </x:c>
      <x:c r="I79" s="15" t="str">
        <x:v>ZAR</x:v>
      </x:c>
      <x:c r="J79" s="15" t="str">
        <x:v>Outflow</x:v>
      </x:c>
      <x:c r="K79" s="15" t="str">
        <x:v>EFT payment</x:v>
      </x:c>
      <x:c r="L79" s="15" t="str">
        <x:v>Meals / restaurants / entertainment</x:v>
      </x:c>
      <x:c r="M79" s="38"/>
      <x:c r="N79" s="38" t="n">
        <x:v>43774</x:v>
      </x:c>
      <x:c r="O79" s="15" t="str"/>
      <x:c r="P79" s="15" t="str">
        <x:v>eml_ALL_currentac__512781 (2).zip &gt; eml10currentac__512781.zip</x:v>
      </x:c>
      <x:c r="Q79" s="15" t="str">
        <x:v>FNB _-) R1202.00 paid from Current a_c..512781 @ Smartapp. Ref.Dinner Box 102116. 11Nov 11_42.eml</x:v>
      </x:c>
      <x:c r="R79" s="15" t="str">
        <x:v>High</x:v>
      </x:c>
      <x:c r="S79" s="15" t="str"/>
      <x:c r="T79" s="15" t="str"/>
      <x:c r="U79" s="15" t="str"/>
      <x:c r="V79" s="15" t="str">
        <x:v>Dinner Box 102116</x:v>
      </x:c>
      <x:c r="W79" s="15" t="str">
        <x:v>Smartapp</x:v>
      </x:c>
      <x:c r="X79" s="15" t="str">
        <x:v>FNB :-) R1202.00 paid from Current a/c..512781 @ Smartapp. Avail R43774. Ref.Dinner Box 102116. 11Nov 11:42</x:v>
      </x:c>
      <x:c r="Y79" s="15" t="str">
        <x:v>6857c32c38692fe8</x:v>
      </x:c>
    </x:row>
    <x:row r="80">
      <x:c r="A80" s="34" t="n">
        <x:v>45972.58819444444</x:v>
      </x:c>
      <x:c r="B80" s="36" t="n">
        <x:v>45972</x:v>
      </x:c>
      <x:c r="C80" s="34" t="n">
        <x:v>45972.58887731482</x:v>
      </x:c>
      <x:c r="D80" s="15" t="str">
        <x:v>Current a/c..512781</x:v>
      </x:c>
      <x:c r="E80" s="15" t="str">
        <x:v>card..2924</x:v>
      </x:c>
      <x:c r="F80" s="15" t="str">
        <x:v>R250.27 reserved for purchase @ Superspar Komatipoor from Current a/c..512781 using card..2924. Avail R43523. 11Nov 14:07</x:v>
      </x:c>
      <x:c r="G80" s="15" t="str">
        <x:v>Superspar Komatipoor</x:v>
      </x:c>
      <x:c r="H80" s="38" t="n">
        <x:v>250.27</x:v>
      </x:c>
      <x:c r="I80" s="15" t="str">
        <x:v>ZAR</x:v>
      </x:c>
      <x:c r="J80" s="15" t="str">
        <x:v>Outflow</x:v>
      </x:c>
      <x:c r="K80" s="15" t="str">
        <x:v>Card purchase</x:v>
      </x:c>
      <x:c r="L80" s="15" t="str">
        <x:v>Supplier payments</x:v>
      </x:c>
      <x:c r="M80" s="38"/>
      <x:c r="N80" s="38" t="n">
        <x:v>43523</x:v>
      </x:c>
      <x:c r="O80" s="15" t="str"/>
      <x:c r="P80" s="15" t="str">
        <x:v>eml_ALL_currentac__512781 (2).zip &gt; eml10currentac__512781.zip</x:v>
      </x:c>
      <x:c r="Q80" s="15" t="str">
        <x:v>FNB _-) R250.27 reserved for purchase @ Superspar Komatipoor from Current a_c..512781 using card..2924. 11Nov 14_07.eml</x:v>
      </x:c>
      <x:c r="R80" s="15" t="str">
        <x:v>High</x:v>
      </x:c>
      <x:c r="S80" s="15" t="str">
        <x:v>Category confidence Medium: Retail/supplier merchant keyword.</x:v>
      </x:c>
      <x:c r="T80" s="15" t="str"/>
      <x:c r="U80" s="15" t="str"/>
      <x:c r="V80" s="15" t="str"/>
      <x:c r="W80" s="15" t="str"/>
      <x:c r="X80" s="15" t="str">
        <x:v>FNB :-) R250.27 reserved for purchase @ Superspar Komatipoor from Current a/c..512781 using card..2924. Avail R43523. 11Nov 14:07</x:v>
      </x:c>
      <x:c r="Y80" s="15" t="str">
        <x:v>8cb580e9f3e2dabc</x:v>
      </x:c>
    </x:row>
    <x:row r="81">
      <x:c r="A81" s="34" t="n">
        <x:v>45972.59652777778</x:v>
      </x:c>
      <x:c r="B81" s="36" t="n">
        <x:v>45972</x:v>
      </x:c>
      <x:c r="C81" s="34" t="n">
        <x:v>45972.596597222226</x:v>
      </x:c>
      <x:c r="D81" s="15" t="str">
        <x:v>Current a/c..512781</x:v>
      </x:c>
      <x:c r="E81" s="15" t="str">
        <x:v>card..2924</x:v>
      </x:c>
      <x:c r="F81" s="15" t="str">
        <x:v>R800.00 reserved for purchase @ Frontier Fuels from Current a/c..512781 using card..2924. Avail R42723. 11Nov 14:19</x:v>
      </x:c>
      <x:c r="G81" s="15" t="str">
        <x:v>Frontier Fuels</x:v>
      </x:c>
      <x:c r="H81" s="38" t="n">
        <x:v>800</x:v>
      </x:c>
      <x:c r="I81" s="15" t="str">
        <x:v>ZAR</x:v>
      </x:c>
      <x:c r="J81" s="15" t="str">
        <x:v>Outflow</x:v>
      </x:c>
      <x:c r="K81" s="15" t="str">
        <x:v>Card purchase</x:v>
      </x:c>
      <x:c r="L81" s="15" t="str">
        <x:v>Fuel / transport</x:v>
      </x:c>
      <x:c r="M81" s="38"/>
      <x:c r="N81" s="38" t="n">
        <x:v>42723</x:v>
      </x:c>
      <x:c r="O81" s="15" t="str"/>
      <x:c r="P81" s="15" t="str">
        <x:v>eml_ALL_currentac__512781 (2).zip &gt; eml10currentac__512781.zip</x:v>
      </x:c>
      <x:c r="Q81" s="15" t="str">
        <x:v>FNB _-) R800.00 reserved for purchase @ Frontier Fuels from Current a_c..512781 using card..2924. 11Nov 14_19.eml</x:v>
      </x:c>
      <x:c r="R81" s="15" t="str">
        <x:v>High</x:v>
      </x:c>
      <x:c r="S81" s="15" t="str"/>
      <x:c r="T81" s="15" t="str"/>
      <x:c r="U81" s="15" t="str"/>
      <x:c r="V81" s="15" t="str"/>
      <x:c r="W81" s="15" t="str"/>
      <x:c r="X81" s="15" t="str">
        <x:v>FNB :-) R800.00 reserved for purchase @ Frontier Fuels from Current a/c..512781 using card..2924. Avail R42723. 11Nov 14:19</x:v>
      </x:c>
      <x:c r="Y81" s="15" t="str">
        <x:v>f8f0392523c3d0f7</x:v>
      </x:c>
    </x:row>
    <x:row r="82">
      <x:c r="A82" s="34" t="n">
        <x:v>45972.606944444444</x:v>
      </x:c>
      <x:c r="B82" s="36" t="n">
        <x:v>45972</x:v>
      </x:c>
      <x:c r="C82" s="34" t="n">
        <x:v>45972.6075</x:v>
      </x:c>
      <x:c r="D82" s="15" t="str">
        <x:v>Current a/c..512781</x:v>
      </x:c>
      <x:c r="E82" s="15" t="str"/>
      <x:c r="F82" s="15" t="str">
        <x:v>Payment Link created from Current a/c..512781 To Royal Safari Company..309283 @ Smartapp. 11Nov 14:34 Call 087 575 9404 for help.</x:v>
      </x:c>
      <x:c r="G82" s="15" t="str">
        <x:v>Royal Safari Company..309283</x:v>
      </x:c>
      <x:c r="H82" s="38"/>
      <x:c r="I82" s="15" t="str"/>
      <x:c r="J82" s="15" t="str">
        <x:v>Neutral/Information Only</x:v>
      </x:c>
      <x:c r="K82" s="15" t="str">
        <x:v>Other</x:v>
      </x:c>
      <x:c r="L82" s="15" t="str">
        <x:v>Other</x:v>
      </x:c>
      <x:c r="M82" s="38"/>
      <x:c r="N82" s="38"/>
      <x:c r="O82" s="15" t="str"/>
      <x:c r="P82" s="15" t="str">
        <x:v>eml_ALL_currentac__512781 (2).zip &gt; eml10currentac__512781.zip</x:v>
      </x:c>
      <x:c r="Q82" s="15" t="str">
        <x:v>FNB _-) Payment Link created from Current a_c..512781 To Royal Safari Company..309283 @ Smartapp. 11Nov 14_34 Call 087 575 9404  for help..eml</x:v>
      </x:c>
      <x:c r="R82" s="15" t="str">
        <x:v>High</x:v>
      </x:c>
      <x:c r="S82" s="15" t="str">
        <x:v>Payment link creation only; no money movement indicated. Category confidence Low: Unable to map confidently.</x:v>
      </x:c>
      <x:c r="T82" s="15" t="str">
        <x:v>Current a/c..512781</x:v>
      </x:c>
      <x:c r="U82" s="15" t="str">
        <x:v>Royal Safari Company..309283</x:v>
      </x:c>
      <x:c r="V82" s="15" t="str"/>
      <x:c r="W82" s="15" t="str">
        <x:v>Smartapp</x:v>
      </x:c>
      <x:c r="X82" s="15" t="str">
        <x:v>FNB :-) Payment Link created from Current a/c..512781 To Royal Safari Company..309283 @ Smartapp. 11Nov 14:34 Call 087 575 9404 for help.</x:v>
      </x:c>
      <x:c r="Y82" s="15" t="str">
        <x:v>238d5493ea4bee51</x:v>
      </x:c>
    </x:row>
    <x:row r="83">
      <x:c r="A83" s="34" t="n">
        <x:v>45972.60763888889</x:v>
      </x:c>
      <x:c r="B83" s="36" t="n">
        <x:v>45972</x:v>
      </x:c>
      <x:c r="C83" s="34" t="n">
        <x:v>45972.60811342593</x:v>
      </x:c>
      <x:c r="D83" s="15" t="str">
        <x:v>Current a/c..512781</x:v>
      </x:c>
      <x:c r="E83" s="15" t="str"/>
      <x:c r="F83" s="15" t="str">
        <x:v>R21945.00 paid from Current a/c..512781 @ Gen Ph. Avail R20763. Ref.Royal Bush 3380 50%. 11Nov 14:35</x:v>
      </x:c>
      <x:c r="G83" s="15" t="str">
        <x:v>Royal Bush 3380 50%</x:v>
      </x:c>
      <x:c r="H83" s="38" t="n">
        <x:v>21945</x:v>
      </x:c>
      <x:c r="I83" s="15" t="str">
        <x:v>ZAR</x:v>
      </x:c>
      <x:c r="J83" s="15" t="str">
        <x:v>Outflow</x:v>
      </x:c>
      <x:c r="K83" s="15" t="str">
        <x:v>EFT payment</x:v>
      </x:c>
      <x:c r="L83" s="15" t="str">
        <x:v>Supplier payments</x:v>
      </x:c>
      <x:c r="M83" s="38"/>
      <x:c r="N83" s="38" t="n">
        <x:v>20763</x:v>
      </x:c>
      <x:c r="O83" s="15" t="str"/>
      <x:c r="P83" s="15" t="str">
        <x:v>eml_ALL_currentac__512781 (2).zip &gt; eml10currentac__512781.zip</x:v>
      </x:c>
      <x:c r="Q83" s="15" t="str">
        <x:v>FNB _-) R21945.00 paid from Current a_c..512781 @ Gen Ph. Ref.Royal Bush 3380 50%. 11Nov 14_35.eml</x:v>
      </x:c>
      <x:c r="R83" s="15" t="str">
        <x:v>High</x:v>
      </x:c>
      <x:c r="S83" s="15" t="str">
        <x:v>Category confidence Low: Default outflow category; review counterparty/reference.</x:v>
      </x:c>
      <x:c r="T83" s="15" t="str"/>
      <x:c r="U83" s="15" t="str"/>
      <x:c r="V83" s="15" t="str">
        <x:v>Royal Bush 3380 50%</x:v>
      </x:c>
      <x:c r="W83" s="15" t="str">
        <x:v>Gen Ph</x:v>
      </x:c>
      <x:c r="X83" s="15" t="str">
        <x:v>FNB :-) R21945.00 paid from Current a/c..512781 @ Gen Ph. Avail R20763. Ref.Royal Bush 3380 50%. 11Nov 14:35</x:v>
      </x:c>
      <x:c r="Y83" s="15" t="str">
        <x:v>c1db4f4e9c8b46e2</x:v>
      </x:c>
    </x:row>
    <x:row r="84">
      <x:c r="A84" s="34" t="n">
        <x:v>45973.510416666664</x:v>
      </x:c>
      <x:c r="B84" s="36" t="n">
        <x:v>45973</x:v>
      </x:c>
      <x:c r="C84" s="34" t="n">
        <x:v>45973.51048611111</x:v>
      </x:c>
      <x:c r="D84" s="15" t="str">
        <x:v>Current a/c..512781</x:v>
      </x:c>
      <x:c r="E84" s="15" t="str">
        <x:v>card..2924</x:v>
      </x:c>
      <x:c r="F84" s="15" t="str">
        <x:v>R1099.79 reserved for purchase @ Impala Electrical Wh from Current a/c..512781 using card..2924. Avail R19181. 12Nov 12:15</x:v>
      </x:c>
      <x:c r="G84" s="15" t="str">
        <x:v>Impala Electrical Wh</x:v>
      </x:c>
      <x:c r="H84" s="38" t="n">
        <x:v>1099.79</x:v>
      </x:c>
      <x:c r="I84" s="15" t="str">
        <x:v>ZAR</x:v>
      </x:c>
      <x:c r="J84" s="15" t="str">
        <x:v>Outflow</x:v>
      </x:c>
      <x:c r="K84" s="15" t="str">
        <x:v>Card purchase</x:v>
      </x:c>
      <x:c r="L84" s="15" t="str">
        <x:v>Telecom / utilities</x:v>
      </x:c>
      <x:c r="M84" s="38"/>
      <x:c r="N84" s="38" t="n">
        <x:v>19181</x:v>
      </x:c>
      <x:c r="O84" s="15" t="str"/>
      <x:c r="P84" s="15" t="str">
        <x:v>eml_ALL_currentac__512781 (2).zip &gt; eml10currentac__512781.zip</x:v>
      </x:c>
      <x:c r="Q84" s="15" t="str">
        <x:v>FNB _-) R1099.79 reserved for purchase @ Impala Electrical Wh from Current a_c..512781 using card..2924. 12Nov 12_15.eml</x:v>
      </x:c>
      <x:c r="R84" s="15" t="str">
        <x:v>High</x:v>
      </x:c>
      <x:c r="S84" s="15" t="str"/>
      <x:c r="T84" s="15" t="str"/>
      <x:c r="U84" s="15" t="str"/>
      <x:c r="V84" s="15" t="str"/>
      <x:c r="W84" s="15" t="str"/>
      <x:c r="X84" s="15" t="str">
        <x:v>FNB :-) R1099.79 reserved for purchase @ Impala Electrical Wh from Current a/c..512781 using card..2924. Avail R19181. 12Nov 12:15</x:v>
      </x:c>
      <x:c r="Y84" s="15" t="str">
        <x:v>8007c9b1f088fb4c</x:v>
      </x:c>
    </x:row>
    <x:row r="85">
      <x:c r="A85" s="34" t="n">
        <x:v>45973.51736111111</x:v>
      </x:c>
      <x:c r="B85" s="36" t="n">
        <x:v>45973</x:v>
      </x:c>
      <x:c r="C85" s="34" t="n">
        <x:v>45973.517488425925</x:v>
      </x:c>
      <x:c r="D85" s="15" t="str">
        <x:v>Current a/c..512781</x:v>
      </x:c>
      <x:c r="E85" s="15" t="str">
        <x:v>card..2924</x:v>
      </x:c>
      <x:c r="F85" s="15" t="str">
        <x:v>R444.00 reserved for purchase @ Tops Malelane from Current a/c..512781 using card..2924. Avail R18737. 12Nov 12:25</x:v>
      </x:c>
      <x:c r="G85" s="15" t="str">
        <x:v>Tops Malelane</x:v>
      </x:c>
      <x:c r="H85" s="38" t="n">
        <x:v>444</x:v>
      </x:c>
      <x:c r="I85" s="15" t="str">
        <x:v>ZAR</x:v>
      </x:c>
      <x:c r="J85" s="15" t="str">
        <x:v>Outflow</x:v>
      </x:c>
      <x:c r="K85" s="15" t="str">
        <x:v>Card purchase</x:v>
      </x:c>
      <x:c r="L85" s="15" t="str">
        <x:v>Meals / restaurants / entertainment</x:v>
      </x:c>
      <x:c r="M85" s="38"/>
      <x:c r="N85" s="38" t="n">
        <x:v>18737</x:v>
      </x:c>
      <x:c r="O85" s="15" t="str"/>
      <x:c r="P85" s="15" t="str">
        <x:v>eml_ALL_currentac__512781 (2).zip &gt; eml10currentac__512781.zip</x:v>
      </x:c>
      <x:c r="Q85" s="15" t="str">
        <x:v>FNB _-) R444.00 reserved for purchase @ Tops Malelane from Current a_c..512781 using card..2924. 12Nov 12_25.eml</x:v>
      </x:c>
      <x:c r="R85" s="15" t="str">
        <x:v>High</x:v>
      </x:c>
      <x:c r="S85" s="15" t="str"/>
      <x:c r="T85" s="15" t="str"/>
      <x:c r="U85" s="15" t="str"/>
      <x:c r="V85" s="15" t="str"/>
      <x:c r="W85" s="15" t="str"/>
      <x:c r="X85" s="15" t="str">
        <x:v>FNB :-) R444.00 reserved for purchase @ Tops Malelane from Current a/c..512781 using card..2924. Avail R18737. 12Nov 12:25</x:v>
      </x:c>
      <x:c r="Y85" s="15" t="str">
        <x:v>12b8edaa55554fdb</x:v>
      </x:c>
    </x:row>
    <x:row r="86">
      <x:c r="A86" s="34" t="n">
        <x:v>45974.35138888889</x:v>
      </x:c>
      <x:c r="B86" s="36" t="n">
        <x:v>45974</x:v>
      </x:c>
      <x:c r="C86" s="34" t="n">
        <x:v>45974.351643518516</x:v>
      </x:c>
      <x:c r="D86" s="15" t="str">
        <x:v>Current a/c..512781</x:v>
      </x:c>
      <x:c r="E86" s="15" t="str"/>
      <x:c r="F86" s="15" t="str">
        <x:v>R590.00 paid from Current a/c..512781 @ Smartapp. Avail R18026. Ref.Mr Plumber- Inv 5053. 13Nov 08:26</x:v>
      </x:c>
      <x:c r="G86" s="15" t="str">
        <x:v>Mr Plumber- Inv 5053</x:v>
      </x:c>
      <x:c r="H86" s="38" t="n">
        <x:v>590</x:v>
      </x:c>
      <x:c r="I86" s="15" t="str">
        <x:v>ZAR</x:v>
      </x:c>
      <x:c r="J86" s="15" t="str">
        <x:v>Outflow</x:v>
      </x:c>
      <x:c r="K86" s="15" t="str">
        <x:v>EFT payment</x:v>
      </x:c>
      <x:c r="L86" s="15" t="str">
        <x:v>Supplier payments</x:v>
      </x:c>
      <x:c r="M86" s="38"/>
      <x:c r="N86" s="38" t="n">
        <x:v>18026</x:v>
      </x:c>
      <x:c r="O86" s="15" t="str"/>
      <x:c r="P86" s="15" t="str">
        <x:v>eml_ALL_currentac__512781 (2).zip &gt; eml10currentac__512781.zip</x:v>
      </x:c>
      <x:c r="Q86" s="15" t="str">
        <x:v>FNB _-) R590.00 paid from Current a_c..512781 @ Smartapp. Ref.Mr Plumber- Inv 5053. 13Nov 08_26.eml</x:v>
      </x:c>
      <x:c r="R86" s="15" t="str">
        <x:v>High</x:v>
      </x:c>
      <x:c r="S86" s="15" t="str">
        <x:v>Category confidence Low: Default outflow category; review counterparty/reference.</x:v>
      </x:c>
      <x:c r="T86" s="15" t="str"/>
      <x:c r="U86" s="15" t="str"/>
      <x:c r="V86" s="15" t="str">
        <x:v>Mr Plumber- Inv 5053</x:v>
      </x:c>
      <x:c r="W86" s="15" t="str">
        <x:v>Smartapp</x:v>
      </x:c>
      <x:c r="X86" s="15" t="str">
        <x:v>FNB :-) R590.00 paid from Current a/c..512781 @ Smartapp. Avail R18026. Ref.Mr Plumber- Inv 5053. 13Nov 08:26</x:v>
      </x:c>
      <x:c r="Y86" s="15" t="str">
        <x:v>0e98fb3e9b960f13</x:v>
      </x:c>
    </x:row>
    <x:row r="87">
      <x:c r="A87" s="34" t="n">
        <x:v>45974.57013888889</x:v>
      </x:c>
      <x:c r="B87" s="36" t="n">
        <x:v>45974</x:v>
      </x:c>
      <x:c r="C87" s="34" t="n">
        <x:v>45974.57020833333</x:v>
      </x:c>
      <x:c r="D87" s="15" t="str">
        <x:v>Current a/c..512781</x:v>
      </x:c>
      <x:c r="E87" s="15" t="str"/>
      <x:c r="F87" s="15" t="str">
        <x:v>R2148.00 paid to Current a/c..512781 @ Payshap. Ref.Ik Pay 487882. 13Nov 13:41</x:v>
      </x:c>
      <x:c r="G87" s="15" t="str">
        <x:v>Ik Pay 487882</x:v>
      </x:c>
      <x:c r="H87" s="38" t="n">
        <x:v>2148</x:v>
      </x:c>
      <x:c r="I87" s="15" t="str">
        <x:v>ZAR</x:v>
      </x:c>
      <x:c r="J87" s="15" t="str">
        <x:v>Inflow</x:v>
      </x:c>
      <x:c r="K87" s="15" t="str">
        <x:v>EFT receipt</x:v>
      </x:c>
      <x:c r="L87" s="15" t="str">
        <x:v>Sales / customer receipts</x:v>
      </x:c>
      <x:c r="M87" s="38"/>
      <x:c r="N87" s="38"/>
      <x:c r="O87" s="15" t="str"/>
      <x:c r="P87" s="15" t="str">
        <x:v>eml_ALL_currentac__512781 (2).zip &gt; eml10currentac__512781.zip</x:v>
      </x:c>
      <x:c r="Q87" s="15" t="str">
        <x:v>FNB _-) R2148.00 paid to Current a_c..512781 @ Payshap. Ref.Ik Pay 487882. 13Nov 13_41.eml</x:v>
      </x:c>
      <x:c r="R87" s="15" t="str">
        <x:v>High</x:v>
      </x:c>
      <x:c r="S87" s="15" t="str">
        <x:v>Category confidence Medium: Default for incoming EFT/PayShap/online receipt.</x:v>
      </x:c>
      <x:c r="T87" s="15" t="str"/>
      <x:c r="U87" s="15" t="str"/>
      <x:c r="V87" s="15" t="str">
        <x:v>Ik Pay 487882</x:v>
      </x:c>
      <x:c r="W87" s="15" t="str">
        <x:v>Payshap</x:v>
      </x:c>
      <x:c r="X87" s="15" t="str">
        <x:v>FNB :-) R2148.00 paid to Current a/c..512781 @ Payshap. Ref.Ik Pay 487882. 13Nov 13:41</x:v>
      </x:c>
      <x:c r="Y87" s="15" t="str">
        <x:v>d808677866122920</x:v>
      </x:c>
    </x:row>
    <x:row r="88">
      <x:c r="A88" s="34" t="n">
        <x:v>45974.58263888889</x:v>
      </x:c>
      <x:c r="B88" s="36" t="n">
        <x:v>45974</x:v>
      </x:c>
      <x:c r="C88" s="34" t="n">
        <x:v>45974.58288194444</x:v>
      </x:c>
      <x:c r="D88" s="15" t="str">
        <x:v>Current a/c..512781</x:v>
      </x:c>
      <x:c r="E88" s="15" t="str">
        <x:v>card..2924</x:v>
      </x:c>
      <x:c r="F88" s="15" t="str">
        <x:v>R134.02 reserved for purchase @ Savemor Marloth from Current a/c..512781 using card..2924. Avail R20040. 13Nov 13:59</x:v>
      </x:c>
      <x:c r="G88" s="15" t="str">
        <x:v>Savemor Marloth</x:v>
      </x:c>
      <x:c r="H88" s="38" t="n">
        <x:v>134.02</x:v>
      </x:c>
      <x:c r="I88" s="15" t="str">
        <x:v>ZAR</x:v>
      </x:c>
      <x:c r="J88" s="15" t="str">
        <x:v>Outflow</x:v>
      </x:c>
      <x:c r="K88" s="15" t="str">
        <x:v>Card purchase</x:v>
      </x:c>
      <x:c r="L88" s="15" t="str">
        <x:v>Supplier payments</x:v>
      </x:c>
      <x:c r="M88" s="38"/>
      <x:c r="N88" s="38" t="n">
        <x:v>20040</x:v>
      </x:c>
      <x:c r="O88" s="15" t="str"/>
      <x:c r="P88" s="15" t="str">
        <x:v>eml_ALL_currentac__512781 (2).zip &gt; eml10currentac__512781.zip</x:v>
      </x:c>
      <x:c r="Q88" s="15" t="str">
        <x:v>FNB _-) R134.02 reserved for purchase @ Savemor Marloth from Current a_c..512781 using card..2924. 13Nov 13_59.eml</x:v>
      </x:c>
      <x:c r="R88" s="15" t="str">
        <x:v>High</x:v>
      </x:c>
      <x:c r="S88" s="15" t="str">
        <x:v>Category confidence Medium: Retail/supplier merchant keyword.</x:v>
      </x:c>
      <x:c r="T88" s="15" t="str"/>
      <x:c r="U88" s="15" t="str"/>
      <x:c r="V88" s="15" t="str"/>
      <x:c r="W88" s="15" t="str"/>
      <x:c r="X88" s="15" t="str">
        <x:v>FNB :-) R134.02 reserved for purchase @ Savemor Marloth from Current a/c..512781 using card..2924. Avail R20040. 13Nov 13:59</x:v>
      </x:c>
      <x:c r="Y88" s="15" t="str">
        <x:v>8f210c27dd21bf38</x:v>
      </x:c>
    </x:row>
    <x:row r="89">
      <x:c r="A89" s="34" t="n">
        <x:v>45975.37847222222</x:v>
      </x:c>
      <x:c r="B89" s="36" t="n">
        <x:v>45975</x:v>
      </x:c>
      <x:c r="C89" s="34" t="n">
        <x:v>45975.37862268519</x:v>
      </x:c>
      <x:c r="D89" s="15" t="str">
        <x:v>Current a/c..512781</x:v>
      </x:c>
      <x:c r="E89" s="15" t="str"/>
      <x:c r="F89" s="15" t="str">
        <x:v>Payment Link created from Current a/c..512781 To R Vedder Horse Back..369915 @ Smartapp. 14Nov 09:05 Call 087 575 9404 for help.</x:v>
      </x:c>
      <x:c r="G89" s="15" t="str">
        <x:v>R Vedder Horse Back..369915</x:v>
      </x:c>
      <x:c r="H89" s="38"/>
      <x:c r="I89" s="15" t="str"/>
      <x:c r="J89" s="15" t="str">
        <x:v>Neutral/Information Only</x:v>
      </x:c>
      <x:c r="K89" s="15" t="str">
        <x:v>Other</x:v>
      </x:c>
      <x:c r="L89" s="15" t="str">
        <x:v>Other</x:v>
      </x:c>
      <x:c r="M89" s="38"/>
      <x:c r="N89" s="38"/>
      <x:c r="O89" s="15" t="str"/>
      <x:c r="P89" s="15" t="str">
        <x:v>eml_ALL_currentac__512781 (2).zip &gt; eml10currentac__512781.zip</x:v>
      </x:c>
      <x:c r="Q89" s="15" t="str">
        <x:v>FNB _-) Payment Link created from Current a_c..512781 To R Vedder Horse Back..369915 @ Smartapp. 14Nov 09_05 Call 087 575 9404  for help..eml</x:v>
      </x:c>
      <x:c r="R89" s="15" t="str">
        <x:v>High</x:v>
      </x:c>
      <x:c r="S89" s="15" t="str">
        <x:v>Payment link creation only; no money movement indicated. Category confidence Low: Unable to map confidently.</x:v>
      </x:c>
      <x:c r="T89" s="15" t="str">
        <x:v>Current a/c..512781</x:v>
      </x:c>
      <x:c r="U89" s="15" t="str">
        <x:v>R Vedder Horse Back..369915</x:v>
      </x:c>
      <x:c r="V89" s="15" t="str"/>
      <x:c r="W89" s="15" t="str">
        <x:v>Smartapp</x:v>
      </x:c>
      <x:c r="X89" s="15" t="str">
        <x:v>FNB :-) Payment Link created from Current a/c..512781 To R Vedder Horse Back..369915 @ Smartapp. 14Nov 09:05 Call 087 575 9404 for help.</x:v>
      </x:c>
      <x:c r="Y89" s="15" t="str">
        <x:v>a8d6c0438fe97ad9</x:v>
      </x:c>
    </x:row>
    <x:row r="90">
      <x:c r="A90" s="34" t="n">
        <x:v>45975.37847222222</x:v>
      </x:c>
      <x:c r="B90" s="36" t="n">
        <x:v>45975</x:v>
      </x:c>
      <x:c r="C90" s="34" t="n">
        <x:v>45975.37872685185</x:v>
      </x:c>
      <x:c r="D90" s="15" t="str">
        <x:v>Current a/c..512781</x:v>
      </x:c>
      <x:c r="E90" s="15" t="str"/>
      <x:c r="F90" s="15" t="str">
        <x:v>R1400.00 paid from Current a/c..512781 @ Smartapp. Avail R17622. Ref.Horse Af2hr2011. 14Nov 09:05</x:v>
      </x:c>
      <x:c r="G90" s="15" t="str">
        <x:v>Horse Af2hr2011</x:v>
      </x:c>
      <x:c r="H90" s="38" t="n">
        <x:v>1400</x:v>
      </x:c>
      <x:c r="I90" s="15" t="str">
        <x:v>ZAR</x:v>
      </x:c>
      <x:c r="J90" s="15" t="str">
        <x:v>Outflow</x:v>
      </x:c>
      <x:c r="K90" s="15" t="str">
        <x:v>EFT payment</x:v>
      </x:c>
      <x:c r="L90" s="15" t="str">
        <x:v>Supplier payments</x:v>
      </x:c>
      <x:c r="M90" s="38"/>
      <x:c r="N90" s="38" t="n">
        <x:v>17622</x:v>
      </x:c>
      <x:c r="O90" s="15" t="str"/>
      <x:c r="P90" s="15" t="str">
        <x:v>eml_ALL_currentac__512781 (2).zip &gt; eml10currentac__512781.zip</x:v>
      </x:c>
      <x:c r="Q90" s="15" t="str">
        <x:v>FNB _-) R1400.00 paid from Current a_c..512781 @ Smartapp. Ref.Horse Af2hr2011. 14Nov 09_05.eml</x:v>
      </x:c>
      <x:c r="R90" s="15" t="str">
        <x:v>High</x:v>
      </x:c>
      <x:c r="S90" s="15" t="str">
        <x:v>Category confidence Low: Default outflow category; review counterparty/reference.</x:v>
      </x:c>
      <x:c r="T90" s="15" t="str"/>
      <x:c r="U90" s="15" t="str"/>
      <x:c r="V90" s="15" t="str">
        <x:v>Horse Af2hr2011</x:v>
      </x:c>
      <x:c r="W90" s="15" t="str">
        <x:v>Smartapp</x:v>
      </x:c>
      <x:c r="X90" s="15" t="str">
        <x:v>FNB :-) R1400.00 paid from Current a/c..512781 @ Smartapp. Avail R17622. Ref.Horse Af2hr2011. 14Nov 09:05</x:v>
      </x:c>
      <x:c r="Y90" s="15" t="str">
        <x:v>cc3afb9672bb5703</x:v>
      </x:c>
    </x:row>
    <x:row r="91">
      <x:c r="A91" s="34" t="n">
        <x:v>45975.44583333333</x:v>
      </x:c>
      <x:c r="B91" s="36" t="n">
        <x:v>45975</x:v>
      </x:c>
      <x:c r="C91" s="34" t="n">
        <x:v>45975.44609953704</x:v>
      </x:c>
      <x:c r="D91" s="15" t="str">
        <x:v>Current a/c..512781</x:v>
      </x:c>
      <x:c r="E91" s="15" t="str"/>
      <x:c r="F91" s="15" t="str">
        <x:v>R18242.98 paid to Current a/c..512781 @ Retail Forex. Ref.R025kw5cs0 Booking.c. 14Nov 10:42</x:v>
      </x:c>
      <x:c r="G91" s="15" t="str">
        <x:v>R025kw5cs0 Booking.c</x:v>
      </x:c>
      <x:c r="H91" s="38" t="n">
        <x:v>18242.98</x:v>
      </x:c>
      <x:c r="I91" s="15" t="str">
        <x:v>ZAR</x:v>
      </x:c>
      <x:c r="J91" s="15" t="str">
        <x:v>Inflow</x:v>
      </x:c>
      <x:c r="K91" s="15" t="str">
        <x:v>EFT receipt</x:v>
      </x:c>
      <x:c r="L91" s="15" t="str">
        <x:v>Sales / customer receipts</x:v>
      </x:c>
      <x:c r="M91" s="38"/>
      <x:c r="N91" s="38"/>
      <x:c r="O91" s="15" t="str"/>
      <x:c r="P91" s="15" t="str">
        <x:v>eml_ALL_currentac__512781 (2).zip &gt; eml10currentac__512781.zip</x:v>
      </x:c>
      <x:c r="Q91" s="15" t="str">
        <x:v>FNB _-) R18242.98 paid to Current a_c..512781 @ Retail Forex. Ref.R025kw5cs0 Booking.c. 14Nov 10_42.eml</x:v>
      </x:c>
      <x:c r="R91" s="15" t="str">
        <x:v>High</x:v>
      </x:c>
      <x:c r="S91" s="15" t="str">
        <x:v>Category confidence Medium: Default for incoming EFT/PayShap/online receipt.</x:v>
      </x:c>
      <x:c r="T91" s="15" t="str"/>
      <x:c r="U91" s="15" t="str"/>
      <x:c r="V91" s="15" t="str">
        <x:v>R025kw5cs0 Booking.c</x:v>
      </x:c>
      <x:c r="W91" s="15" t="str">
        <x:v>Retail Forex</x:v>
      </x:c>
      <x:c r="X91" s="15" t="str">
        <x:v>FNB :-) R18242.98 paid to Current a/c..512781 @ Retail Forex. Ref.R025kw5cs0 Booking.c. 14Nov 10:42</x:v>
      </x:c>
      <x:c r="Y91" s="15" t="str">
        <x:v>96ec0cbb127f82d0</x:v>
      </x:c>
    </x:row>
    <x:row r="92">
      <x:c r="A92" s="34" t="n">
        <x:v>45975.45416666667</x:v>
      </x:c>
      <x:c r="B92" s="36" t="n">
        <x:v>45975</x:v>
      </x:c>
      <x:c r="C92" s="34" t="n">
        <x:v>45975.45474537037</x:v>
      </x:c>
      <x:c r="D92" s="15" t="str">
        <x:v>Current a/c..512781</x:v>
      </x:c>
      <x:c r="E92" s="15" t="str"/>
      <x:c r="F92" s="15" t="str">
        <x:v>R26185.00 paid from Current a/c..512781 @ Smartapp. Avail R9672. Ref.Royal 3380 + 3463. 14Nov 10:54</x:v>
      </x:c>
      <x:c r="G92" s="15" t="str">
        <x:v>Royal 3380 + 3463</x:v>
      </x:c>
      <x:c r="H92" s="38" t="n">
        <x:v>26185</x:v>
      </x:c>
      <x:c r="I92" s="15" t="str">
        <x:v>ZAR</x:v>
      </x:c>
      <x:c r="J92" s="15" t="str">
        <x:v>Outflow</x:v>
      </x:c>
      <x:c r="K92" s="15" t="str">
        <x:v>EFT payment</x:v>
      </x:c>
      <x:c r="L92" s="15" t="str">
        <x:v>Supplier payments</x:v>
      </x:c>
      <x:c r="M92" s="38"/>
      <x:c r="N92" s="38" t="n">
        <x:v>9672</x:v>
      </x:c>
      <x:c r="O92" s="15" t="str"/>
      <x:c r="P92" s="15" t="str">
        <x:v>eml_ALL_currentac__512781 (2).zip &gt; eml10currentac__512781.zip</x:v>
      </x:c>
      <x:c r="Q92" s="15" t="str">
        <x:v>FNB _-) R26185.00 paid from Current a_c..512781 @ Smartapp. Ref.Royal 3380 + 3463. 14Nov 10_54.eml</x:v>
      </x:c>
      <x:c r="R92" s="15" t="str">
        <x:v>High</x:v>
      </x:c>
      <x:c r="S92" s="15" t="str">
        <x:v>Category confidence Low: Default outflow category; review counterparty/reference.</x:v>
      </x:c>
      <x:c r="T92" s="15" t="str"/>
      <x:c r="U92" s="15" t="str"/>
      <x:c r="V92" s="15" t="str">
        <x:v>Royal 3380 + 3463</x:v>
      </x:c>
      <x:c r="W92" s="15" t="str">
        <x:v>Smartapp</x:v>
      </x:c>
      <x:c r="X92" s="15" t="str">
        <x:v>FNB :-) R26185.00 paid from Current a/c..512781 @ Smartapp. Avail R9672. Ref.Royal 3380 + 3463. 14Nov 10:54</x:v>
      </x:c>
      <x:c r="Y92" s="15" t="str">
        <x:v>ba5ba2f11c863793</x:v>
      </x:c>
    </x:row>
    <x:row r="93">
      <x:c r="A93" s="34" t="n">
        <x:v>45975.459027777775</x:v>
      </x:c>
      <x:c r="B93" s="36" t="n">
        <x:v>45975</x:v>
      </x:c>
      <x:c r="C93" s="34" t="n">
        <x:v>45975.4590625</x:v>
      </x:c>
      <x:c r="D93" s="15" t="str">
        <x:v>Current a/c..512781</x:v>
      </x:c>
      <x:c r="E93" s="15" t="str"/>
      <x:c r="F93" s="15" t="str">
        <x:v>R5074.00 paid from Current a/c..512781 @ Smartapp. Avail R4590. Ref.Kruger Safari 1665. 14Nov 11:01</x:v>
      </x:c>
      <x:c r="G93" s="15" t="str">
        <x:v>Kruger Safari 1665</x:v>
      </x:c>
      <x:c r="H93" s="38" t="n">
        <x:v>5074</x:v>
      </x:c>
      <x:c r="I93" s="15" t="str">
        <x:v>ZAR</x:v>
      </x:c>
      <x:c r="J93" s="15" t="str">
        <x:v>Outflow</x:v>
      </x:c>
      <x:c r="K93" s="15" t="str">
        <x:v>EFT payment</x:v>
      </x:c>
      <x:c r="L93" s="15" t="str">
        <x:v>Supplier payments</x:v>
      </x:c>
      <x:c r="M93" s="38"/>
      <x:c r="N93" s="38" t="n">
        <x:v>4590</x:v>
      </x:c>
      <x:c r="O93" s="15" t="str"/>
      <x:c r="P93" s="15" t="str">
        <x:v>eml_ALL_currentac__512781 (2).zip &gt; eml10currentac__512781.zip</x:v>
      </x:c>
      <x:c r="Q93" s="15" t="str">
        <x:v>FNB _-) R5074.00 paid from Current a_c..512781 @ Smartapp. Ref.Kruger Safari 1665. 14Nov 11_01.eml</x:v>
      </x:c>
      <x:c r="R93" s="15" t="str">
        <x:v>High</x:v>
      </x:c>
      <x:c r="S93" s="15" t="str">
        <x:v>Category confidence Low: Default outflow category; review counterparty/reference.</x:v>
      </x:c>
      <x:c r="T93" s="15" t="str"/>
      <x:c r="U93" s="15" t="str"/>
      <x:c r="V93" s="15" t="str">
        <x:v>Kruger Safari 1665</x:v>
      </x:c>
      <x:c r="W93" s="15" t="str">
        <x:v>Smartapp</x:v>
      </x:c>
      <x:c r="X93" s="15" t="str">
        <x:v>FNB :-) R5074.00 paid from Current a/c..512781 @ Smartapp. Avail R4590. Ref.Kruger Safari 1665. 14Nov 11:01</x:v>
      </x:c>
      <x:c r="Y93" s="15" t="str">
        <x:v>179980e74dca8e88</x:v>
      </x:c>
    </x:row>
    <x:row r="94">
      <x:c r="A94" s="34" t="n">
        <x:v>45975.47777777778</x:v>
      </x:c>
      <x:c r="B94" s="36" t="n">
        <x:v>45975</x:v>
      </x:c>
      <x:c r="C94" s="34" t="n">
        <x:v>45975.47820601852</x:v>
      </x:c>
      <x:c r="D94" s="15" t="str">
        <x:v>Current a/c..512781</x:v>
      </x:c>
      <x:c r="E94" s="15" t="str">
        <x:v>card..2924</x:v>
      </x:c>
      <x:c r="F94" s="15" t="str">
        <x:v>R220.00 reserved for purchase @ Smart Home from Current a/c..512781 using card..2924. Avail R4370. 14Nov 11:28</x:v>
      </x:c>
      <x:c r="G94" s="15" t="str">
        <x:v>Smart Home</x:v>
      </x:c>
      <x:c r="H94" s="38" t="n">
        <x:v>220</x:v>
      </x:c>
      <x:c r="I94" s="15" t="str">
        <x:v>ZAR</x:v>
      </x:c>
      <x:c r="J94" s="15" t="str">
        <x:v>Outflow</x:v>
      </x:c>
      <x:c r="K94" s="15" t="str">
        <x:v>Card purchase</x:v>
      </x:c>
      <x:c r="L94" s="15" t="str">
        <x:v>Card spend</x:v>
      </x:c>
      <x:c r="M94" s="38"/>
      <x:c r="N94" s="38" t="n">
        <x:v>4370</x:v>
      </x:c>
      <x:c r="O94" s="15" t="str"/>
      <x:c r="P94" s="15" t="str">
        <x:v>eml_ALL_currentac__512781 (2).zip &gt; eml10currentac__512781.zip</x:v>
      </x:c>
      <x:c r="Q94" s="15" t="str">
        <x:v>FNB _-) R220.00 reserved for purchase @ Smart Home from Current a_c..512781 using card..2924. 14Nov 11_28.eml</x:v>
      </x:c>
      <x:c r="R94" s="15" t="str">
        <x:v>High</x:v>
      </x:c>
      <x:c r="S94" s="15" t="str">
        <x:v>Category confidence Low: Default card-spend category; merchant not confidently mapped.</x:v>
      </x:c>
      <x:c r="T94" s="15" t="str"/>
      <x:c r="U94" s="15" t="str"/>
      <x:c r="V94" s="15" t="str"/>
      <x:c r="W94" s="15" t="str"/>
      <x:c r="X94" s="15" t="str">
        <x:v>FNB :-) R220.00 reserved for purchase @ Smart Home from Current a/c..512781 using card..2924. Avail R4370. 14Nov 11:28</x:v>
      </x:c>
      <x:c r="Y94" s="15" t="str">
        <x:v>394048d0dbd5d497</x:v>
      </x:c>
    </x:row>
    <x:row r="95">
      <x:c r="A95" s="34" t="n">
        <x:v>45975.49166666667</x:v>
      </x:c>
      <x:c r="B95" s="36" t="n">
        <x:v>45975</x:v>
      </x:c>
      <x:c r="C95" s="34" t="n">
        <x:v>45975.49185185185</x:v>
      </x:c>
      <x:c r="D95" s="15" t="str">
        <x:v>Current a/c..512781</x:v>
      </x:c>
      <x:c r="E95" s="15" t="str">
        <x:v>card..2924</x:v>
      </x:c>
      <x:c r="F95" s="15" t="str">
        <x:v>R223.00 reserved for purchase @ Dream Lucky from Current a/c..512781 using card..2924. Avail R4147. 14Nov 11:48</x:v>
      </x:c>
      <x:c r="G95" s="15" t="str">
        <x:v>Dream Lucky</x:v>
      </x:c>
      <x:c r="H95" s="38" t="n">
        <x:v>223</x:v>
      </x:c>
      <x:c r="I95" s="15" t="str">
        <x:v>ZAR</x:v>
      </x:c>
      <x:c r="J95" s="15" t="str">
        <x:v>Outflow</x:v>
      </x:c>
      <x:c r="K95" s="15" t="str">
        <x:v>Card purchase</x:v>
      </x:c>
      <x:c r="L95" s="15" t="str">
        <x:v>Card spend</x:v>
      </x:c>
      <x:c r="M95" s="38"/>
      <x:c r="N95" s="38" t="n">
        <x:v>4147</x:v>
      </x:c>
      <x:c r="O95" s="15" t="str"/>
      <x:c r="P95" s="15" t="str">
        <x:v>eml_ALL_currentac__512781 (2).zip &gt; eml10currentac__512781.zip</x:v>
      </x:c>
      <x:c r="Q95" s="15" t="str">
        <x:v>FNB _-) R223.00 reserved for purchase @ Dream Lucky from Current a_c..512781 using card..2924. 14Nov 11_48.eml</x:v>
      </x:c>
      <x:c r="R95" s="15" t="str">
        <x:v>High</x:v>
      </x:c>
      <x:c r="S95" s="15" t="str">
        <x:v>Category confidence Low: Default card-spend category; merchant not confidently mapped.</x:v>
      </x:c>
      <x:c r="T95" s="15" t="str"/>
      <x:c r="U95" s="15" t="str"/>
      <x:c r="V95" s="15" t="str"/>
      <x:c r="W95" s="15" t="str"/>
      <x:c r="X95" s="15" t="str">
        <x:v>FNB :-) R223.00 reserved for purchase @ Dream Lucky from Current a/c..512781 using card..2924. Avail R4147. 14Nov 11:48</x:v>
      </x:c>
      <x:c r="Y95" s="15" t="str">
        <x:v>28b1c5b48bce24f3</x:v>
      </x:c>
    </x:row>
    <x:row r="96">
      <x:c r="A96" s="34" t="n">
        <x:v>45975.50833333333</x:v>
      </x:c>
      <x:c r="B96" s="36" t="n">
        <x:v>45975</x:v>
      </x:c>
      <x:c r="C96" s="34" t="n">
        <x:v>45975.50884259259</x:v>
      </x:c>
      <x:c r="D96" s="15" t="str">
        <x:v>Current a/c..512781</x:v>
      </x:c>
      <x:c r="E96" s="15" t="str">
        <x:v>card..2924</x:v>
      </x:c>
      <x:c r="F96" s="15" t="str">
        <x:v>R369.94 reserved for purchase @ Riviera Cash N Carry from Current a/c..512781 using card..2924. Avail R3777. 14Nov 12:12</x:v>
      </x:c>
      <x:c r="G96" s="15" t="str">
        <x:v>Riviera Cash N Carry</x:v>
      </x:c>
      <x:c r="H96" s="38" t="n">
        <x:v>369.94</x:v>
      </x:c>
      <x:c r="I96" s="15" t="str">
        <x:v>ZAR</x:v>
      </x:c>
      <x:c r="J96" s="15" t="str">
        <x:v>Outflow</x:v>
      </x:c>
      <x:c r="K96" s="15" t="str">
        <x:v>Card purchase</x:v>
      </x:c>
      <x:c r="L96" s="15" t="str">
        <x:v>Cash withdrawal</x:v>
      </x:c>
      <x:c r="M96" s="38"/>
      <x:c r="N96" s="38" t="n">
        <x:v>3777</x:v>
      </x:c>
      <x:c r="O96" s="15" t="str"/>
      <x:c r="P96" s="15" t="str">
        <x:v>eml_ALL_currentac__512781 (2).zip &gt; eml10currentac__512781.zip</x:v>
      </x:c>
      <x:c r="Q96" s="15" t="str">
        <x:v>FNB _-) R369.94 reserved for purchase @ Riviera Cash N Carry from Current a_c..512781 using card..2924. 14Nov 12_12.eml</x:v>
      </x:c>
      <x:c r="R96" s="15" t="str">
        <x:v>High</x:v>
      </x:c>
      <x:c r="S96" s="15" t="str">
        <x:v>Category confidence Medium: Cash keyword in payment reference; verify manually.</x:v>
      </x:c>
      <x:c r="T96" s="15" t="str"/>
      <x:c r="U96" s="15" t="str"/>
      <x:c r="V96" s="15" t="str"/>
      <x:c r="W96" s="15" t="str"/>
      <x:c r="X96" s="15" t="str">
        <x:v>FNB :-) R369.94 reserved for purchase @ Riviera Cash N Carry from Current a/c..512781 using card..2924. Avail R3777. 14Nov 12:12</x:v>
      </x:c>
      <x:c r="Y96" s="15" t="str">
        <x:v>c8f2cfaceed8fe5c</x:v>
      </x:c>
    </x:row>
    <x:row r="97">
      <x:c r="A97" s="34" t="n">
        <x:v>45975.55694444444</x:v>
      </x:c>
      <x:c r="B97" s="36" t="n">
        <x:v>45975</x:v>
      </x:c>
      <x:c r="C97" s="34" t="n">
        <x:v>45975.55743055556</x:v>
      </x:c>
      <x:c r="D97" s="15" t="str">
        <x:v>Current a/c..512781</x:v>
      </x:c>
      <x:c r="E97" s="15" t="str">
        <x:v>card..2924</x:v>
      </x:c>
      <x:c r="F97" s="15" t="str">
        <x:v>R853.87 reserved for purchase @ Shoprite Malelane from Current a/c..512781 using card..2924. Avail R2861. 14Nov 13:22</x:v>
      </x:c>
      <x:c r="G97" s="15" t="str">
        <x:v>Shoprite Malelane</x:v>
      </x:c>
      <x:c r="H97" s="38" t="n">
        <x:v>853.87</x:v>
      </x:c>
      <x:c r="I97" s="15" t="str">
        <x:v>ZAR</x:v>
      </x:c>
      <x:c r="J97" s="15" t="str">
        <x:v>Outflow</x:v>
      </x:c>
      <x:c r="K97" s="15" t="str">
        <x:v>Card purchase</x:v>
      </x:c>
      <x:c r="L97" s="15" t="str">
        <x:v>Supplier payments</x:v>
      </x:c>
      <x:c r="M97" s="38"/>
      <x:c r="N97" s="38" t="n">
        <x:v>2861</x:v>
      </x:c>
      <x:c r="O97" s="15" t="str"/>
      <x:c r="P97" s="15" t="str">
        <x:v>eml_ALL_currentac__512781 (2).zip &gt; eml10currentac__512781.zip</x:v>
      </x:c>
      <x:c r="Q97" s="15" t="str">
        <x:v>FNB _-) R853.87 reserved for purchase @ Shoprite Malelane from Current a_c..512781 using card..2924. 14Nov 13_22.eml</x:v>
      </x:c>
      <x:c r="R97" s="15" t="str">
        <x:v>High</x:v>
      </x:c>
      <x:c r="S97" s="15" t="str">
        <x:v>Category confidence Medium: Retail/supplier merchant keyword.</x:v>
      </x:c>
      <x:c r="T97" s="15" t="str"/>
      <x:c r="U97" s="15" t="str"/>
      <x:c r="V97" s="15" t="str"/>
      <x:c r="W97" s="15" t="str"/>
      <x:c r="X97" s="15" t="str">
        <x:v>FNB :-) R853.87 reserved for purchase @ Shoprite Malelane from Current a/c..512781 using card..2924. Avail R2861. 14Nov 13:22</x:v>
      </x:c>
      <x:c r="Y97" s="15" t="str">
        <x:v>d93c2d5b17ca1016</x:v>
      </x:c>
    </x:row>
    <x:row r="98">
      <x:c r="A98" s="34" t="n">
        <x:v>45975.58472222222</x:v>
      </x:c>
      <x:c r="B98" s="36" t="n">
        <x:v>45975</x:v>
      </x:c>
      <x:c r="C98" s="34" t="n">
        <x:v>45975.58498842592</x:v>
      </x:c>
      <x:c r="D98" s="15" t="str">
        <x:v>Current a/c..512781</x:v>
      </x:c>
      <x:c r="E98" s="15" t="str">
        <x:v>card..2924</x:v>
      </x:c>
      <x:c r="F98" s="15" t="str">
        <x:v>R563.89 reserved for purchase @ Woolworths from Current a/c..512781 using card..2924. Avail R2297. 14Nov 14:02</x:v>
      </x:c>
      <x:c r="G98" s="15" t="str">
        <x:v>Woolworths</x:v>
      </x:c>
      <x:c r="H98" s="38" t="n">
        <x:v>563.89</x:v>
      </x:c>
      <x:c r="I98" s="15" t="str">
        <x:v>ZAR</x:v>
      </x:c>
      <x:c r="J98" s="15" t="str">
        <x:v>Outflow</x:v>
      </x:c>
      <x:c r="K98" s="15" t="str">
        <x:v>Card purchase</x:v>
      </x:c>
      <x:c r="L98" s="15" t="str">
        <x:v>Supplier payments</x:v>
      </x:c>
      <x:c r="M98" s="38"/>
      <x:c r="N98" s="38" t="n">
        <x:v>2297</x:v>
      </x:c>
      <x:c r="O98" s="15" t="str"/>
      <x:c r="P98" s="15" t="str">
        <x:v>eml_ALL_currentac__512781 (2).zip &gt; eml10currentac__512781.zip</x:v>
      </x:c>
      <x:c r="Q98" s="15" t="str">
        <x:v>FNB _-) R563.89 reserved for purchase @ Woolworths from Current a_c..512781 using card..2924. 14Nov 14_02.eml</x:v>
      </x:c>
      <x:c r="R98" s="15" t="str">
        <x:v>High</x:v>
      </x:c>
      <x:c r="S98" s="15" t="str">
        <x:v>Category confidence Medium: Retail/supplier merchant keyword.</x:v>
      </x:c>
      <x:c r="T98" s="15" t="str"/>
      <x:c r="U98" s="15" t="str"/>
      <x:c r="V98" s="15" t="str"/>
      <x:c r="W98" s="15" t="str"/>
      <x:c r="X98" s="15" t="str">
        <x:v>FNB :-) R563.89 reserved for purchase @ Woolworths from Current a/c..512781 using card..2924. Avail R2297. 14Nov 14:02</x:v>
      </x:c>
      <x:c r="Y98" s="15" t="str">
        <x:v>7cdf631a179e0a9c</x:v>
      </x:c>
    </x:row>
    <x:row r="99">
      <x:c r="A99" s="34" t="n">
        <x:v>45975.638194444444</x:v>
      </x:c>
      <x:c r="B99" s="36" t="n">
        <x:v>45975</x:v>
      </x:c>
      <x:c r="C99" s="34" t="n">
        <x:v>45975.63858796296</x:v>
      </x:c>
      <x:c r="D99" s="15" t="str">
        <x:v>Current a/c..512781</x:v>
      </x:c>
      <x:c r="E99" s="15" t="str">
        <x:v>card..2924</x:v>
      </x:c>
      <x:c r="F99" s="15" t="str">
        <x:v>R1034.52 reserved for purchase @ Superspar Malelane from Current a/c..512781 using card..2924. Avail R1262. 14Nov 15:19</x:v>
      </x:c>
      <x:c r="G99" s="15" t="str">
        <x:v>Superspar Malelane</x:v>
      </x:c>
      <x:c r="H99" s="38" t="n">
        <x:v>1034.52</x:v>
      </x:c>
      <x:c r="I99" s="15" t="str">
        <x:v>ZAR</x:v>
      </x:c>
      <x:c r="J99" s="15" t="str">
        <x:v>Outflow</x:v>
      </x:c>
      <x:c r="K99" s="15" t="str">
        <x:v>Card purchase</x:v>
      </x:c>
      <x:c r="L99" s="15" t="str">
        <x:v>Supplier payments</x:v>
      </x:c>
      <x:c r="M99" s="38"/>
      <x:c r="N99" s="38" t="n">
        <x:v>1262</x:v>
      </x:c>
      <x:c r="O99" s="15" t="str"/>
      <x:c r="P99" s="15" t="str">
        <x:v>eml_ALL_currentac__512781 (2).zip &gt; eml10currentac__512781.zip</x:v>
      </x:c>
      <x:c r="Q99" s="15" t="str">
        <x:v>FNB _-) R1034.52 reserved for purchase @ Superspar Malelane from Current a_c..512781 using card..2924. 14Nov 15_19.eml</x:v>
      </x:c>
      <x:c r="R99" s="15" t="str">
        <x:v>High</x:v>
      </x:c>
      <x:c r="S99" s="15" t="str">
        <x:v>Category confidence Medium: Retail/supplier merchant keyword.</x:v>
      </x:c>
      <x:c r="T99" s="15" t="str"/>
      <x:c r="U99" s="15" t="str"/>
      <x:c r="V99" s="15" t="str"/>
      <x:c r="W99" s="15" t="str"/>
      <x:c r="X99" s="15" t="str">
        <x:v>FNB :-) R1034.52 reserved for purchase @ Superspar Malelane from Current a/c..512781 using card..2924. Avail R1262. 14Nov 15:19</x:v>
      </x:c>
      <x:c r="Y99" s="15" t="str">
        <x:v>22429d3cd2113547</x:v>
      </x:c>
    </x:row>
    <x:row r="100">
      <x:c r="A100" s="34" t="n">
        <x:v>45977.51458333333</x:v>
      </x:c>
      <x:c r="B100" s="36" t="n">
        <x:v>45977</x:v>
      </x:c>
      <x:c r="C100" s="34" t="n">
        <x:v>45977.51519675926</x:v>
      </x:c>
      <x:c r="D100" s="15" t="str">
        <x:v>Current a/c..512781</x:v>
      </x:c>
      <x:c r="E100" s="15" t="str">
        <x:v>card..2924</x:v>
      </x:c>
      <x:c r="F100" s="15" t="str">
        <x:v>R218.85 reserved for purchase @ Savemor Marloth from Current a/c..512781 using card..2924. Avail R1029. 16Nov 12:21</x:v>
      </x:c>
      <x:c r="G100" s="15" t="str">
        <x:v>Savemor Marloth</x:v>
      </x:c>
      <x:c r="H100" s="38" t="n">
        <x:v>218.85</x:v>
      </x:c>
      <x:c r="I100" s="15" t="str">
        <x:v>ZAR</x:v>
      </x:c>
      <x:c r="J100" s="15" t="str">
        <x:v>Outflow</x:v>
      </x:c>
      <x:c r="K100" s="15" t="str">
        <x:v>Card purchase</x:v>
      </x:c>
      <x:c r="L100" s="15" t="str">
        <x:v>Supplier payments</x:v>
      </x:c>
      <x:c r="M100" s="38"/>
      <x:c r="N100" s="38" t="n">
        <x:v>1029</x:v>
      </x:c>
      <x:c r="O100" s="15" t="str"/>
      <x:c r="P100" s="15" t="str">
        <x:v>eml_ALL_currentac__512781 (2).zip &gt; eml10currentac__512781.zip</x:v>
      </x:c>
      <x:c r="Q100" s="15" t="str">
        <x:v>FNB _-) R218.85 reserved for purchase @ Savemor Marloth from Current a_c..512781 using card..2924. 16Nov 12_21.eml</x:v>
      </x:c>
      <x:c r="R100" s="15" t="str">
        <x:v>High</x:v>
      </x:c>
      <x:c r="S100" s="15" t="str">
        <x:v>Category confidence Medium: Retail/supplier merchant keyword.</x:v>
      </x:c>
      <x:c r="T100" s="15" t="str"/>
      <x:c r="U100" s="15" t="str"/>
      <x:c r="V100" s="15" t="str"/>
      <x:c r="W100" s="15" t="str"/>
      <x:c r="X100" s="15" t="str">
        <x:v>FNB :-) R218.85 reserved for purchase @ Savemor Marloth from Current a/c..512781 using card..2924. Avail R1029. 16Nov 12:21</x:v>
      </x:c>
      <x:c r="Y100" s="15" t="str">
        <x:v>09dc579023cf15ab</x:v>
      </x:c>
    </x:row>
    <x:row r="101">
      <x:c r="A101" s="34" t="n">
        <x:v>45977.57152777778</x:v>
      </x:c>
      <x:c r="B101" s="36" t="n">
        <x:v>45977</x:v>
      </x:c>
      <x:c r="C101" s="34" t="n">
        <x:v>45977.5718287037</x:v>
      </x:c>
      <x:c r="D101" s="15" t="str">
        <x:v>Current a/c..261544</x:v>
      </x:c>
      <x:c r="E101" s="15" t="str"/>
      <x:c r="F101" s="15" t="str">
        <x:v>R18000.00 t/fer from Current a/c..261544 to Current a/c..512781 @ Smartapp. Avail R4448. 16Nov 13:43</x:v>
      </x:c>
      <x:c r="G101" s="15" t="str">
        <x:v>Current a/c..261544</x:v>
      </x:c>
      <x:c r="H101" s="38" t="n">
        <x:v>18000</x:v>
      </x:c>
      <x:c r="I101" s="15" t="str">
        <x:v>ZAR</x:v>
      </x:c>
      <x:c r="J101" s="15" t="str">
        <x:v>Internal Transfer</x:v>
      </x:c>
      <x:c r="K101" s="15" t="str">
        <x:v>Internal transfer</x:v>
      </x:c>
      <x:c r="L101" s="15" t="str">
        <x:v>Inter-account transfer</x:v>
      </x:c>
      <x:c r="M101" s="38"/>
      <x:c r="N101" s="38" t="n">
        <x:v>4448</x:v>
      </x:c>
      <x:c r="O101" s="15" t="str"/>
      <x:c r="P101" s="15" t="str">
        <x:v>eml_ALL_currentac__512781 (2).zip &gt; eml10currentac__512781.zip</x:v>
      </x:c>
      <x:c r="Q101" s="15" t="str">
        <x:v>FNB _-) R18000.00 t_fer from Current a_c..261544 to Current a_c..512781 @ Smartapp. 16Nov 13_43.eml</x:v>
      </x:c>
      <x:c r="R101" s="15" t="str">
        <x:v>High</x:v>
      </x:c>
      <x:c r="S101" s="15" t="str">
        <x:v>Classified as internal/inter-account transfer and excluded from operating cashflow.</x:v>
      </x:c>
      <x:c r="T101" s="15" t="str">
        <x:v>Current a/c..261544</x:v>
      </x:c>
      <x:c r="U101" s="15" t="str">
        <x:v>Current a/c..512781</x:v>
      </x:c>
      <x:c r="V101" s="15" t="str"/>
      <x:c r="W101" s="15" t="str">
        <x:v>Smartapp</x:v>
      </x:c>
      <x:c r="X101" s="15" t="str">
        <x:v>FNB :-) R18000.00 t/fer from Current a/c..261544 to Current a/c..512781 @ Smartapp. Avail R4448. 16Nov 13:43</x:v>
      </x:c>
      <x:c r="Y101" s="15" t="str">
        <x:v>7dded18554ba3586</x:v>
      </x:c>
    </x:row>
    <x:row r="102">
      <x:c r="A102" s="34" t="n">
        <x:v>45978.2125</x:v>
      </x:c>
      <x:c r="B102" s="36" t="n">
        <x:v>45978</x:v>
      </x:c>
      <x:c r="C102" s="34" t="n">
        <x:v>45978.212905092594</x:v>
      </x:c>
      <x:c r="D102" s="15" t="str">
        <x:v>Current a/c..512781</x:v>
      </x:c>
      <x:c r="E102" s="15" t="str"/>
      <x:c r="F102" s="15" t="str">
        <x:v>R11016.00 paid from Current a/c..512781 @ Gen Ph. Avail R7942. Ref.Kruger Saf 1662/1663. 17Nov 05:06</x:v>
      </x:c>
      <x:c r="G102" s="15" t="str">
        <x:v>Kruger Saf 1662/1663</x:v>
      </x:c>
      <x:c r="H102" s="38" t="n">
        <x:v>11016</x:v>
      </x:c>
      <x:c r="I102" s="15" t="str">
        <x:v>ZAR</x:v>
      </x:c>
      <x:c r="J102" s="15" t="str">
        <x:v>Outflow</x:v>
      </x:c>
      <x:c r="K102" s="15" t="str">
        <x:v>EFT payment</x:v>
      </x:c>
      <x:c r="L102" s="15" t="str">
        <x:v>Supplier payments</x:v>
      </x:c>
      <x:c r="M102" s="38"/>
      <x:c r="N102" s="38" t="n">
        <x:v>7942</x:v>
      </x:c>
      <x:c r="O102" s="15" t="str"/>
      <x:c r="P102" s="15" t="str">
        <x:v>eml_ALL_currentac__512781 (2).zip &gt; eml10currentac__512781.zip</x:v>
      </x:c>
      <x:c r="Q102" s="15" t="str">
        <x:v>FNB _-) R11016.00 paid from Current a_c..512781 @ Gen Ph. Ref.Kruger Saf 1662_1663. 17Nov 05_06.eml</x:v>
      </x:c>
      <x:c r="R102" s="15" t="str">
        <x:v>High</x:v>
      </x:c>
      <x:c r="S102" s="15" t="str">
        <x:v>Category confidence Low: Default outflow category; review counterparty/reference.</x:v>
      </x:c>
      <x:c r="T102" s="15" t="str"/>
      <x:c r="U102" s="15" t="str"/>
      <x:c r="V102" s="15" t="str">
        <x:v>Kruger Saf 1662/1663</x:v>
      </x:c>
      <x:c r="W102" s="15" t="str">
        <x:v>Gen Ph</x:v>
      </x:c>
      <x:c r="X102" s="15" t="str">
        <x:v>FNB :-) R11016.00 paid from Current a/c..512781 @ Gen Ph. Avail R7942. Ref.Kruger Saf 1662/1663. 17Nov 05:06</x:v>
      </x:c>
      <x:c r="Y102" s="15" t="str">
        <x:v>fe0911d7a646ceda</x:v>
      </x:c>
    </x:row>
    <x:row r="103">
      <x:c r="A103" s="34" t="n">
        <x:v>45978.45277777778</x:v>
      </x:c>
      <x:c r="B103" s="36" t="n">
        <x:v>45978</x:v>
      </x:c>
      <x:c r="C103" s="34" t="n">
        <x:v>45978.453043981484</x:v>
      </x:c>
      <x:c r="D103" s="15" t="str">
        <x:v>Current a/c..512781</x:v>
      </x:c>
      <x:c r="E103" s="15" t="str">
        <x:v>card..2924</x:v>
      </x:c>
      <x:c r="F103" s="15" t="str">
        <x:v>R815.37 reserved for purchase @ Superspar Komatipoor from Current a/c..512781 using card..2924. Avail R7127. 17Nov 10:52</x:v>
      </x:c>
      <x:c r="G103" s="15" t="str">
        <x:v>Superspar Komatipoor</x:v>
      </x:c>
      <x:c r="H103" s="38" t="n">
        <x:v>815.37</x:v>
      </x:c>
      <x:c r="I103" s="15" t="str">
        <x:v>ZAR</x:v>
      </x:c>
      <x:c r="J103" s="15" t="str">
        <x:v>Outflow</x:v>
      </x:c>
      <x:c r="K103" s="15" t="str">
        <x:v>Card purchase</x:v>
      </x:c>
      <x:c r="L103" s="15" t="str">
        <x:v>Supplier payments</x:v>
      </x:c>
      <x:c r="M103" s="38"/>
      <x:c r="N103" s="38" t="n">
        <x:v>7127</x:v>
      </x:c>
      <x:c r="O103" s="15" t="str"/>
      <x:c r="P103" s="15" t="str">
        <x:v>eml_ALL_currentac__512781 (2).zip &gt; eml10currentac__512781.zip</x:v>
      </x:c>
      <x:c r="Q103" s="15" t="str">
        <x:v>FNB _-) R815.37 reserved for purchase @ Superspar Komatipoor from Current a_c..512781 using card..2924. 17Nov 10_52.eml</x:v>
      </x:c>
      <x:c r="R103" s="15" t="str">
        <x:v>High</x:v>
      </x:c>
      <x:c r="S103" s="15" t="str">
        <x:v>Category confidence Medium: Retail/supplier merchant keyword.</x:v>
      </x:c>
      <x:c r="T103" s="15" t="str"/>
      <x:c r="U103" s="15" t="str"/>
      <x:c r="V103" s="15" t="str"/>
      <x:c r="W103" s="15" t="str"/>
      <x:c r="X103" s="15" t="str">
        <x:v>FNB :-) R815.37 reserved for purchase @ Superspar Komatipoor from Current a/c..512781 using card..2924. Avail R7127. 17Nov 10:52</x:v>
      </x:c>
      <x:c r="Y103" s="15" t="str">
        <x:v>e3323147aa310c76</x:v>
      </x:c>
    </x:row>
    <x:row r="104">
      <x:c r="A104" s="34" t="n">
        <x:v>45978.46041666667</x:v>
      </x:c>
      <x:c r="B104" s="36" t="n">
        <x:v>45978</x:v>
      </x:c>
      <x:c r="C104" s="34" t="n">
        <x:v>45978.460856481484</x:v>
      </x:c>
      <x:c r="D104" s="15" t="str">
        <x:v>Current a/c..512781</x:v>
      </x:c>
      <x:c r="E104" s="15" t="str">
        <x:v>card..2924</x:v>
      </x:c>
      <x:c r="F104" s="15" t="str">
        <x:v>R225.60 reserved for purchase @ Oasis Water Komatipo from Current a/c..512781 using card..2924. Avail R6901. 17Nov 11:03</x:v>
      </x:c>
      <x:c r="G104" s="15" t="str">
        <x:v>Oasis Water Komatipo</x:v>
      </x:c>
      <x:c r="H104" s="38" t="n">
        <x:v>225.6</x:v>
      </x:c>
      <x:c r="I104" s="15" t="str">
        <x:v>ZAR</x:v>
      </x:c>
      <x:c r="J104" s="15" t="str">
        <x:v>Outflow</x:v>
      </x:c>
      <x:c r="K104" s="15" t="str">
        <x:v>Card purchase</x:v>
      </x:c>
      <x:c r="L104" s="15" t="str">
        <x:v>Supplier payments</x:v>
      </x:c>
      <x:c r="M104" s="38"/>
      <x:c r="N104" s="38" t="n">
        <x:v>6901</x:v>
      </x:c>
      <x:c r="O104" s="15" t="str"/>
      <x:c r="P104" s="15" t="str">
        <x:v>eml_ALL_currentac__512781 (2).zip &gt; eml10currentac__512781.zip</x:v>
      </x:c>
      <x:c r="Q104" s="15" t="str">
        <x:v>FNB _-) R225.60 reserved for purchase @ Oasis Water Komatipo from Current a_c..512781 using card..2924. 17Nov 11_03.eml</x:v>
      </x:c>
      <x:c r="R104" s="15" t="str">
        <x:v>High</x:v>
      </x:c>
      <x:c r="S104" s="15" t="str">
        <x:v>Category confidence Medium: Retail/supplier merchant keyword.</x:v>
      </x:c>
      <x:c r="T104" s="15" t="str"/>
      <x:c r="U104" s="15" t="str"/>
      <x:c r="V104" s="15" t="str"/>
      <x:c r="W104" s="15" t="str"/>
      <x:c r="X104" s="15" t="str">
        <x:v>FNB :-) R225.60 reserved for purchase @ Oasis Water Komatipo from Current a/c..512781 using card..2924. Avail R6901. 17Nov 11:03</x:v>
      </x:c>
      <x:c r="Y104" s="15" t="str">
        <x:v>665df6dee59746e8</x:v>
      </x:c>
    </x:row>
    <x:row r="105">
      <x:c r="A105" s="34" t="n">
        <x:v>45978.49722222222</x:v>
      </x:c>
      <x:c r="B105" s="36" t="n">
        <x:v>45978</x:v>
      </x:c>
      <x:c r="C105" s="34" t="n">
        <x:v>45978.497453703705</x:v>
      </x:c>
      <x:c r="D105" s="15" t="str">
        <x:v>Current a/c..512781</x:v>
      </x:c>
      <x:c r="E105" s="15" t="str">
        <x:v>card..2924</x:v>
      </x:c>
      <x:c r="F105" s="15" t="str">
        <x:v>R228.85 reserved for purchase @ Paystack *zoho Co from Current a/c..512781 using card..2924. Avail R6673. 17Nov 11:56</x:v>
      </x:c>
      <x:c r="G105" s="15" t="str">
        <x:v>Paystack *zoho Co</x:v>
      </x:c>
      <x:c r="H105" s="38" t="n">
        <x:v>228.85</x:v>
      </x:c>
      <x:c r="I105" s="15" t="str">
        <x:v>ZAR</x:v>
      </x:c>
      <x:c r="J105" s="15" t="str">
        <x:v>Outflow</x:v>
      </x:c>
      <x:c r="K105" s="15" t="str">
        <x:v>Card purchase</x:v>
      </x:c>
      <x:c r="L105" s="15" t="str">
        <x:v>Software / subscriptions</x:v>
      </x:c>
      <x:c r="M105" s="38"/>
      <x:c r="N105" s="38" t="n">
        <x:v>6673</x:v>
      </x:c>
      <x:c r="O105" s="15" t="str"/>
      <x:c r="P105" s="15" t="str">
        <x:v>eml_ALL_currentac__512781 (2).zip &gt; eml10currentac__512781.zip</x:v>
      </x:c>
      <x:c r="Q105" s="15" t="str">
        <x:v>FNB _-) R228.85 reserved for purchase @ Paystack _zoho Co from Current a_c..512781 using card..2924. 17Nov 11_56.eml</x:v>
      </x:c>
      <x:c r="R105" s="15" t="str">
        <x:v>High</x:v>
      </x:c>
      <x:c r="S105" s="15" t="str"/>
      <x:c r="T105" s="15" t="str"/>
      <x:c r="U105" s="15" t="str"/>
      <x:c r="V105" s="15" t="str"/>
      <x:c r="W105" s="15" t="str"/>
      <x:c r="X105" s="15" t="str">
        <x:v>FNB :-) R228.85 reserved for purchase @ Paystack *zoho Co from Current a/c..512781 using card..2924. Avail R6673. 17Nov 11:56</x:v>
      </x:c>
      <x:c r="Y105" s="15" t="str">
        <x:v>ad45a0dc0ec456ac</x:v>
      </x:c>
    </x:row>
    <x:row r="106">
      <x:c r="A106" s="34" t="n">
        <x:v>45978.57152777778</x:v>
      </x:c>
      <x:c r="B106" s="36" t="n">
        <x:v>45978</x:v>
      </x:c>
      <x:c r="C106" s="34" t="n">
        <x:v>45978.57171296296</x:v>
      </x:c>
      <x:c r="D106" s="15" t="str">
        <x:v>Current a/c..512781</x:v>
      </x:c>
      <x:c r="E106" s="15" t="str"/>
      <x:c r="F106" s="15" t="str">
        <x:v>R5985.73 paid to Current a/c..512781 @ Payshap. Ref.Ik Pay 487882. 17Nov 13:43</x:v>
      </x:c>
      <x:c r="G106" s="15" t="str">
        <x:v>Ik Pay 487882</x:v>
      </x:c>
      <x:c r="H106" s="38" t="n">
        <x:v>5985.73</x:v>
      </x:c>
      <x:c r="I106" s="15" t="str">
        <x:v>ZAR</x:v>
      </x:c>
      <x:c r="J106" s="15" t="str">
        <x:v>Inflow</x:v>
      </x:c>
      <x:c r="K106" s="15" t="str">
        <x:v>EFT receipt</x:v>
      </x:c>
      <x:c r="L106" s="15" t="str">
        <x:v>Sales / customer receipts</x:v>
      </x:c>
      <x:c r="M106" s="38"/>
      <x:c r="N106" s="38"/>
      <x:c r="O106" s="15" t="str"/>
      <x:c r="P106" s="15" t="str">
        <x:v>eml_ALL_currentac__512781 (2).zip &gt; eml10currentac__512781.zip</x:v>
      </x:c>
      <x:c r="Q106" s="15" t="str">
        <x:v>FNB _-) R5985.73 paid to Current a_c..512781 @ Payshap. Ref.Ik Pay 487882. 17Nov 13_43.eml</x:v>
      </x:c>
      <x:c r="R106" s="15" t="str">
        <x:v>High</x:v>
      </x:c>
      <x:c r="S106" s="15" t="str">
        <x:v>Category confidence Medium: Default for incoming EFT/PayShap/online receipt.</x:v>
      </x:c>
      <x:c r="T106" s="15" t="str"/>
      <x:c r="U106" s="15" t="str"/>
      <x:c r="V106" s="15" t="str">
        <x:v>Ik Pay 487882</x:v>
      </x:c>
      <x:c r="W106" s="15" t="str">
        <x:v>Payshap</x:v>
      </x:c>
      <x:c r="X106" s="15" t="str">
        <x:v>FNB :-) R5985.73 paid to Current a/c..512781 @ Payshap. Ref.Ik Pay 487882. 17Nov 13:43</x:v>
      </x:c>
      <x:c r="Y106" s="15" t="str">
        <x:v>8b595700fcd627e1</x:v>
      </x:c>
    </x:row>
    <x:row r="107">
      <x:c r="A107" s="34" t="n">
        <x:v>45978.62708333333</x:v>
      </x:c>
      <x:c r="B107" s="36" t="n">
        <x:v>45978</x:v>
      </x:c>
      <x:c r="C107" s="34" t="n">
        <x:v>45978.62725694444</x:v>
      </x:c>
      <x:c r="D107" s="15" t="str">
        <x:v>Current a/c..512781</x:v>
      </x:c>
      <x:c r="E107" s="15" t="str">
        <x:v>card..2924</x:v>
      </x:c>
      <x:c r="F107" s="15" t="str">
        <x:v>R145.85 reserved for purchase @ Savemor Marloth from Current a/c..512781 using card..2924. Avail R12512. 17Nov 15:03</x:v>
      </x:c>
      <x:c r="G107" s="15" t="str">
        <x:v>Savemor Marloth</x:v>
      </x:c>
      <x:c r="H107" s="38" t="n">
        <x:v>145.85</x:v>
      </x:c>
      <x:c r="I107" s="15" t="str">
        <x:v>ZAR</x:v>
      </x:c>
      <x:c r="J107" s="15" t="str">
        <x:v>Outflow</x:v>
      </x:c>
      <x:c r="K107" s="15" t="str">
        <x:v>Card purchase</x:v>
      </x:c>
      <x:c r="L107" s="15" t="str">
        <x:v>Supplier payments</x:v>
      </x:c>
      <x:c r="M107" s="38"/>
      <x:c r="N107" s="38" t="n">
        <x:v>12512</x:v>
      </x:c>
      <x:c r="O107" s="15" t="str"/>
      <x:c r="P107" s="15" t="str">
        <x:v>eml_ALL_currentac__512781 (2).zip &gt; eml10currentac__512781.zip</x:v>
      </x:c>
      <x:c r="Q107" s="15" t="str">
        <x:v>FNB _-) R145.85 reserved for purchase @ Savemor Marloth from Current a_c..512781 using card..2924. 17Nov 15_03.eml</x:v>
      </x:c>
      <x:c r="R107" s="15" t="str">
        <x:v>High</x:v>
      </x:c>
      <x:c r="S107" s="15" t="str">
        <x:v>Category confidence Medium: Retail/supplier merchant keyword.</x:v>
      </x:c>
      <x:c r="T107" s="15" t="str"/>
      <x:c r="U107" s="15" t="str"/>
      <x:c r="V107" s="15" t="str"/>
      <x:c r="W107" s="15" t="str"/>
      <x:c r="X107" s="15" t="str">
        <x:v>FNB :-) R145.85 reserved for purchase @ Savemor Marloth from Current a/c..512781 using card..2924. Avail R12512. 17Nov 15:03</x:v>
      </x:c>
      <x:c r="Y107" s="15" t="str">
        <x:v>064a9cbdd64cea91</x:v>
      </x:c>
    </x:row>
    <x:row r="108">
      <x:c r="A108" s="34" t="n">
        <x:v>45978.85208333333</x:v>
      </x:c>
      <x:c r="B108" s="36" t="n">
        <x:v>45978</x:v>
      </x:c>
      <x:c r="C108" s="34" t="n">
        <x:v>45978.852638888886</x:v>
      </x:c>
      <x:c r="D108" s="15" t="str">
        <x:v>Current a/c..512781</x:v>
      </x:c>
      <x:c r="E108" s="15" t="str"/>
      <x:c r="F108" s="15" t="str">
        <x:v>Payment Link created from Current a/c..512781 To Ntonwasi (pty) Ltd..390477 @ Smartapp. 17Nov 20:27 Call 087 575 9404 for help.</x:v>
      </x:c>
      <x:c r="G108" s="15" t="str">
        <x:v>Ntonwasi (pty) Ltd..390477</x:v>
      </x:c>
      <x:c r="H108" s="38"/>
      <x:c r="I108" s="15" t="str"/>
      <x:c r="J108" s="15" t="str">
        <x:v>Neutral/Information Only</x:v>
      </x:c>
      <x:c r="K108" s="15" t="str">
        <x:v>Other</x:v>
      </x:c>
      <x:c r="L108" s="15" t="str">
        <x:v>Other</x:v>
      </x:c>
      <x:c r="M108" s="38"/>
      <x:c r="N108" s="38"/>
      <x:c r="O108" s="15" t="str"/>
      <x:c r="P108" s="15" t="str">
        <x:v>eml_ALL_currentac__512781 (2).zip &gt; eml10currentac__512781.zip</x:v>
      </x:c>
      <x:c r="Q108" s="15" t="str">
        <x:v>FNB _-) Payment Link created from Current a_c..512781 To Ntonwasi (pty) Ltd..390477 @ Smartapp. 17Nov 20_27 Call 087 575 9404  for help..eml</x:v>
      </x:c>
      <x:c r="R108" s="15" t="str">
        <x:v>High</x:v>
      </x:c>
      <x:c r="S108" s="15" t="str">
        <x:v>Payment link creation only; no money movement indicated. Category confidence Low: Unable to map confidently.</x:v>
      </x:c>
      <x:c r="T108" s="15" t="str">
        <x:v>Current a/c..512781</x:v>
      </x:c>
      <x:c r="U108" s="15" t="str">
        <x:v>Ntonwasi (pty) Ltd..390477</x:v>
      </x:c>
      <x:c r="V108" s="15" t="str"/>
      <x:c r="W108" s="15" t="str">
        <x:v>Smartapp</x:v>
      </x:c>
      <x:c r="X108" s="15" t="str">
        <x:v>FNB :-) Payment Link created from Current a/c..512781 To Ntonwasi (pty) Ltd..390477 @ Smartapp. 17Nov 20:27 Call 087 575 9404 for help.</x:v>
      </x:c>
      <x:c r="Y108" s="15" t="str">
        <x:v>af67c12768685953</x:v>
      </x:c>
    </x:row>
    <x:row r="109">
      <x:c r="A109" s="34" t="n">
        <x:v>45978.85277777778</x:v>
      </x:c>
      <x:c r="B109" s="36" t="n">
        <x:v>45978</x:v>
      </x:c>
      <x:c r="C109" s="34" t="n">
        <x:v>45978.852951388886</x:v>
      </x:c>
      <x:c r="D109" s="15" t="str">
        <x:v>Current a/c..512781</x:v>
      </x:c>
      <x:c r="E109" s="15" t="str"/>
      <x:c r="F109" s="15" t="str">
        <x:v>R2770.00 paid from Current a/c..512781 @ Smartapp. Avail R9734. Ref.Ntonwasi Saf Inv476. 17Nov 20:28</x:v>
      </x:c>
      <x:c r="G109" s="15" t="str">
        <x:v>Ntonwasi Saf Inv476</x:v>
      </x:c>
      <x:c r="H109" s="38" t="n">
        <x:v>2770</x:v>
      </x:c>
      <x:c r="I109" s="15" t="str">
        <x:v>ZAR</x:v>
      </x:c>
      <x:c r="J109" s="15" t="str">
        <x:v>Outflow</x:v>
      </x:c>
      <x:c r="K109" s="15" t="str">
        <x:v>EFT payment</x:v>
      </x:c>
      <x:c r="L109" s="15" t="str">
        <x:v>Supplier payments</x:v>
      </x:c>
      <x:c r="M109" s="38"/>
      <x:c r="N109" s="38" t="n">
        <x:v>9734</x:v>
      </x:c>
      <x:c r="O109" s="15" t="str"/>
      <x:c r="P109" s="15" t="str">
        <x:v>eml_ALL_currentac__512781 (2).zip &gt; eml10currentac__512781.zip</x:v>
      </x:c>
      <x:c r="Q109" s="15" t="str">
        <x:v>FNB _-) R2770.00 paid from Current a_c..512781 @ Smartapp. Ref.Ntonwasi Saf Inv476. 17Nov 20_28.eml</x:v>
      </x:c>
      <x:c r="R109" s="15" t="str">
        <x:v>High</x:v>
      </x:c>
      <x:c r="S109" s="15" t="str">
        <x:v>Category confidence Low: Default outflow category; review counterparty/reference.</x:v>
      </x:c>
      <x:c r="T109" s="15" t="str"/>
      <x:c r="U109" s="15" t="str"/>
      <x:c r="V109" s="15" t="str">
        <x:v>Ntonwasi Saf Inv476</x:v>
      </x:c>
      <x:c r="W109" s="15" t="str">
        <x:v>Smartapp</x:v>
      </x:c>
      <x:c r="X109" s="15" t="str">
        <x:v>FNB :-) R2770.00 paid from Current a/c..512781 @ Smartapp. Avail R9734. Ref.Ntonwasi Saf Inv476. 17Nov 20:28</x:v>
      </x:c>
      <x:c r="Y109" s="15" t="str">
        <x:v>93f76a5b6b261cc5</x:v>
      </x:c>
    </x:row>
    <x:row r="110">
      <x:c r="A110" s="34" t="n">
        <x:v>45979.40069444444</x:v>
      </x:c>
      <x:c r="B110" s="36" t="n">
        <x:v>45979</x:v>
      </x:c>
      <x:c r="C110" s="34" t="n">
        <x:v>45979.40116898148</x:v>
      </x:c>
      <x:c r="D110" s="15" t="str">
        <x:v>Current a/c..512781</x:v>
      </x:c>
      <x:c r="E110" s="15" t="str"/>
      <x:c r="F110" s="15" t="str">
        <x:v>R5000.00 t/fer from Current a/c..512781 to Current a/c..261544 @ Smartapp. Avail R4712. 18Nov 09:37</x:v>
      </x:c>
      <x:c r="G110" s="15" t="str">
        <x:v>Current a/c..261544</x:v>
      </x:c>
      <x:c r="H110" s="38" t="n">
        <x:v>5000</x:v>
      </x:c>
      <x:c r="I110" s="15" t="str">
        <x:v>ZAR</x:v>
      </x:c>
      <x:c r="J110" s="15" t="str">
        <x:v>Internal Transfer</x:v>
      </x:c>
      <x:c r="K110" s="15" t="str">
        <x:v>Internal transfer</x:v>
      </x:c>
      <x:c r="L110" s="15" t="str">
        <x:v>Inter-account transfer</x:v>
      </x:c>
      <x:c r="M110" s="38"/>
      <x:c r="N110" s="38" t="n">
        <x:v>4712</x:v>
      </x:c>
      <x:c r="O110" s="15" t="str"/>
      <x:c r="P110" s="15" t="str">
        <x:v>eml_ALL_currentac__512781 (2).zip &gt; eml10currentac__512781.zip</x:v>
      </x:c>
      <x:c r="Q110" s="15" t="str">
        <x:v>FNB _-) R5000.00 t_fer from Current a_c..512781 to Current a_c..261544 @ Smartapp. 18Nov 09_37.eml</x:v>
      </x:c>
      <x:c r="R110" s="15" t="str">
        <x:v>High</x:v>
      </x:c>
      <x:c r="S110" s="15" t="str">
        <x:v>Classified as internal/inter-account transfer and excluded from operating cashflow.</x:v>
      </x:c>
      <x:c r="T110" s="15" t="str">
        <x:v>Current a/c..512781</x:v>
      </x:c>
      <x:c r="U110" s="15" t="str">
        <x:v>Current a/c..261544</x:v>
      </x:c>
      <x:c r="V110" s="15" t="str"/>
      <x:c r="W110" s="15" t="str">
        <x:v>Smartapp</x:v>
      </x:c>
      <x:c r="X110" s="15" t="str">
        <x:v>FNB :-) R5000.00 t/fer from Current a/c..512781 to Current a/c..261544 @ Smartapp. Avail R4712. 18Nov 09:37</x:v>
      </x:c>
      <x:c r="Y110" s="15" t="str">
        <x:v>05112b89574ac18e</x:v>
      </x:c>
    </x:row>
    <x:row r="111">
      <x:c r="A111" s="34" t="n">
        <x:v>45979.47986111111</x:v>
      </x:c>
      <x:c r="B111" s="36" t="n">
        <x:v>45979</x:v>
      </x:c>
      <x:c r="C111" s="34" t="n">
        <x:v>45979.480046296296</x:v>
      </x:c>
      <x:c r="D111" s="15" t="str">
        <x:v>Current a/c..512781</x:v>
      </x:c>
      <x:c r="E111" s="15" t="str">
        <x:v>card..2924</x:v>
      </x:c>
      <x:c r="F111" s="15" t="str">
        <x:v>R846.99 reserved for purchase @ Superspar Komatipoor from Current a/c..512781 using card..2924. Avail R3865. 18Nov 11:31</x:v>
      </x:c>
      <x:c r="G111" s="15" t="str">
        <x:v>Superspar Komatipoor</x:v>
      </x:c>
      <x:c r="H111" s="38" t="n">
        <x:v>846.99</x:v>
      </x:c>
      <x:c r="I111" s="15" t="str">
        <x:v>ZAR</x:v>
      </x:c>
      <x:c r="J111" s="15" t="str">
        <x:v>Outflow</x:v>
      </x:c>
      <x:c r="K111" s="15" t="str">
        <x:v>Card purchase</x:v>
      </x:c>
      <x:c r="L111" s="15" t="str">
        <x:v>Supplier payments</x:v>
      </x:c>
      <x:c r="M111" s="38"/>
      <x:c r="N111" s="38" t="n">
        <x:v>3865</x:v>
      </x:c>
      <x:c r="O111" s="15" t="str"/>
      <x:c r="P111" s="15" t="str">
        <x:v>eml_ALL_currentac__512781 (2).zip &gt; eml10currentac__512781.zip</x:v>
      </x:c>
      <x:c r="Q111" s="15" t="str">
        <x:v>FNB _-) R846.99 reserved for purchase @ Superspar Komatipoor from Current a_c..512781 using card..2924. 18Nov 11_31.eml</x:v>
      </x:c>
      <x:c r="R111" s="15" t="str">
        <x:v>High</x:v>
      </x:c>
      <x:c r="S111" s="15" t="str">
        <x:v>Category confidence Medium: Retail/supplier merchant keyword.</x:v>
      </x:c>
      <x:c r="T111" s="15" t="str"/>
      <x:c r="U111" s="15" t="str"/>
      <x:c r="V111" s="15" t="str"/>
      <x:c r="W111" s="15" t="str"/>
      <x:c r="X111" s="15" t="str">
        <x:v>FNB :-) R846.99 reserved for purchase @ Superspar Komatipoor from Current a/c..512781 using card..2924. Avail R3865. 18Nov 11:31</x:v>
      </x:c>
      <x:c r="Y111" s="15" t="str">
        <x:v>caa191f15a2b726a</x:v>
      </x:c>
    </x:row>
    <x:row r="112">
      <x:c r="A112" s="34" t="n">
        <x:v>45979.4875</x:v>
      </x:c>
      <x:c r="B112" s="36" t="n">
        <x:v>45979</x:v>
      </x:c>
      <x:c r="C112" s="34" t="n">
        <x:v>45979.488020833334</x:v>
      </x:c>
      <x:c r="D112" s="15" t="str">
        <x:v>Current a/c..512781</x:v>
      </x:c>
      <x:c r="E112" s="15" t="str">
        <x:v>card..2924</x:v>
      </x:c>
      <x:c r="F112" s="15" t="str">
        <x:v>R246.47 reserved for purchase @ Tops Komatipoort from Current a/c..512781 using card..2924. Avail R3619. 18Nov 11:42</x:v>
      </x:c>
      <x:c r="G112" s="15" t="str">
        <x:v>Tops Komatipoort</x:v>
      </x:c>
      <x:c r="H112" s="38" t="n">
        <x:v>246.47</x:v>
      </x:c>
      <x:c r="I112" s="15" t="str">
        <x:v>ZAR</x:v>
      </x:c>
      <x:c r="J112" s="15" t="str">
        <x:v>Outflow</x:v>
      </x:c>
      <x:c r="K112" s="15" t="str">
        <x:v>Card purchase</x:v>
      </x:c>
      <x:c r="L112" s="15" t="str">
        <x:v>Meals / restaurants / entertainment</x:v>
      </x:c>
      <x:c r="M112" s="38"/>
      <x:c r="N112" s="38" t="n">
        <x:v>3619</x:v>
      </x:c>
      <x:c r="O112" s="15" t="str"/>
      <x:c r="P112" s="15" t="str">
        <x:v>eml_ALL_currentac__512781 (2).zip &gt; eml10currentac__512781.zip</x:v>
      </x:c>
      <x:c r="Q112" s="15" t="str">
        <x:v>FNB _-) R246.47 reserved for purchase @ Tops Komatipoort from Current a_c..512781 using card..2924. 18Nov 11_42.eml</x:v>
      </x:c>
      <x:c r="R112" s="15" t="str">
        <x:v>High</x:v>
      </x:c>
      <x:c r="S112" s="15" t="str"/>
      <x:c r="T112" s="15" t="str"/>
      <x:c r="U112" s="15" t="str"/>
      <x:c r="V112" s="15" t="str"/>
      <x:c r="W112" s="15" t="str"/>
      <x:c r="X112" s="15" t="str">
        <x:v>FNB :-) R246.47 reserved for purchase @ Tops Komatipoort from Current a/c..512781 using card..2924. Avail R3619. 18Nov 11:42</x:v>
      </x:c>
      <x:c r="Y112" s="15" t="str">
        <x:v>bf1580135efe5199</x:v>
      </x:c>
    </x:row>
    <x:row r="113">
      <x:c r="A113" s="34" t="n">
        <x:v>45979.506944444445</x:v>
      </x:c>
      <x:c r="B113" s="36" t="n">
        <x:v>45979</x:v>
      </x:c>
      <x:c r="C113" s="34" t="n">
        <x:v>45979.50748842592</x:v>
      </x:c>
      <x:c r="D113" s="15" t="str">
        <x:v>Current a/c..512781</x:v>
      </x:c>
      <x:c r="E113" s="15" t="str">
        <x:v>card..2924</x:v>
      </x:c>
      <x:c r="F113" s="15" t="str">
        <x:v>R237.35 reserved for purchase @ Border Butchery 265 from Current a/c..512781 using card..2924. Avail R3382. 18Nov 12:10</x:v>
      </x:c>
      <x:c r="G113" s="15" t="str">
        <x:v>Border Butchery 265</x:v>
      </x:c>
      <x:c r="H113" s="38" t="n">
        <x:v>237.35</x:v>
      </x:c>
      <x:c r="I113" s="15" t="str">
        <x:v>ZAR</x:v>
      </x:c>
      <x:c r="J113" s="15" t="str">
        <x:v>Outflow</x:v>
      </x:c>
      <x:c r="K113" s="15" t="str">
        <x:v>Card purchase</x:v>
      </x:c>
      <x:c r="L113" s="15" t="str">
        <x:v>Supplier payments</x:v>
      </x:c>
      <x:c r="M113" s="38"/>
      <x:c r="N113" s="38" t="n">
        <x:v>3382</x:v>
      </x:c>
      <x:c r="O113" s="15" t="str"/>
      <x:c r="P113" s="15" t="str">
        <x:v>eml_ALL_currentac__512781 (2).zip &gt; eml10currentac__512781.zip</x:v>
      </x:c>
      <x:c r="Q113" s="15" t="str">
        <x:v>FNB _-) R237.35 reserved for purchase @ Border Butchery 265 from Current a_c..512781 using card..2924. 18Nov 12_10.eml</x:v>
      </x:c>
      <x:c r="R113" s="15" t="str">
        <x:v>High</x:v>
      </x:c>
      <x:c r="S113" s="15" t="str">
        <x:v>Category confidence Medium: Retail/supplier merchant keyword.</x:v>
      </x:c>
      <x:c r="T113" s="15" t="str"/>
      <x:c r="U113" s="15" t="str"/>
      <x:c r="V113" s="15" t="str"/>
      <x:c r="W113" s="15" t="str"/>
      <x:c r="X113" s="15" t="str">
        <x:v>FNB :-) R237.35 reserved for purchase @ Border Butchery 265 from Current a/c..512781 using card..2924. Avail R3382. 18Nov 12:10</x:v>
      </x:c>
      <x:c r="Y113" s="15" t="str">
        <x:v>2a241a49193969a9</x:v>
      </x:c>
    </x:row>
    <x:row r="114">
      <x:c r="A114" s="34" t="n">
        <x:v>45980.49652777778</x:v>
      </x:c>
      <x:c r="B114" s="36" t="n">
        <x:v>45980</x:v>
      </x:c>
      <x:c r="C114" s="34" t="n">
        <x:v>45980.49664351852</x:v>
      </x:c>
      <x:c r="D114" s="15" t="str">
        <x:v>Current a/c..512781</x:v>
      </x:c>
      <x:c r="E114" s="15" t="str"/>
      <x:c r="F114" s="15" t="str">
        <x:v>R1543.00 paid from Current a/c..512781 @ Smartapp. Avail R1752. Ref.Dinner Box 102430. 19Nov 11:55</x:v>
      </x:c>
      <x:c r="G114" s="15" t="str">
        <x:v>Dinner Box 102430</x:v>
      </x:c>
      <x:c r="H114" s="38" t="n">
        <x:v>1543</x:v>
      </x:c>
      <x:c r="I114" s="15" t="str">
        <x:v>ZAR</x:v>
      </x:c>
      <x:c r="J114" s="15" t="str">
        <x:v>Outflow</x:v>
      </x:c>
      <x:c r="K114" s="15" t="str">
        <x:v>EFT payment</x:v>
      </x:c>
      <x:c r="L114" s="15" t="str">
        <x:v>Meals / restaurants / entertainment</x:v>
      </x:c>
      <x:c r="M114" s="38"/>
      <x:c r="N114" s="38" t="n">
        <x:v>1752</x:v>
      </x:c>
      <x:c r="O114" s="15" t="str"/>
      <x:c r="P114" s="15" t="str">
        <x:v>eml_ALL_currentac__512781 (2).zip &gt; eml10currentac__512781.zip</x:v>
      </x:c>
      <x:c r="Q114" s="15" t="str">
        <x:v>FNB _-) R1543.00 paid from Current a_c..512781 @ Smartapp. Ref.Dinner Box 102430. 19Nov 11_55.eml</x:v>
      </x:c>
      <x:c r="R114" s="15" t="str">
        <x:v>High</x:v>
      </x:c>
      <x:c r="S114" s="15" t="str"/>
      <x:c r="T114" s="15" t="str"/>
      <x:c r="U114" s="15" t="str"/>
      <x:c r="V114" s="15" t="str">
        <x:v>Dinner Box 102430</x:v>
      </x:c>
      <x:c r="W114" s="15" t="str">
        <x:v>Smartapp</x:v>
      </x:c>
      <x:c r="X114" s="15" t="str">
        <x:v>FNB :-) R1543.00 paid from Current a/c..512781 @ Smartapp. Avail R1752. Ref.Dinner Box 102430. 19Nov 11:55</x:v>
      </x:c>
      <x:c r="Y114" s="15" t="str">
        <x:v>25012ddf14844459</x:v>
      </x:c>
    </x:row>
    <x:row r="115">
      <x:c r="A115" s="34" t="n">
        <x:v>45980.55763888889</x:v>
      </x:c>
      <x:c r="B115" s="36" t="n">
        <x:v>45980</x:v>
      </x:c>
      <x:c r="C115" s="34" t="n">
        <x:v>45980.5577662037</x:v>
      </x:c>
      <x:c r="D115" s="15" t="str">
        <x:v>Current a/c..512781</x:v>
      </x:c>
      <x:c r="E115" s="15" t="str">
        <x:v>card..2924</x:v>
      </x:c>
      <x:c r="F115" s="15" t="str">
        <x:v>R569.00 reserved for purchase @ S2s*sa Liquors Komat from Current a/c..512781 using card..2924. Avail R1183. 19Nov 13:23</x:v>
      </x:c>
      <x:c r="G115" s="15" t="str">
        <x:v>S2s*sa Liquors Komat</x:v>
      </x:c>
      <x:c r="H115" s="38" t="n">
        <x:v>569</x:v>
      </x:c>
      <x:c r="I115" s="15" t="str">
        <x:v>ZAR</x:v>
      </x:c>
      <x:c r="J115" s="15" t="str">
        <x:v>Outflow</x:v>
      </x:c>
      <x:c r="K115" s="15" t="str">
        <x:v>Card purchase</x:v>
      </x:c>
      <x:c r="L115" s="15" t="str">
        <x:v>Meals / restaurants / entertainment</x:v>
      </x:c>
      <x:c r="M115" s="38"/>
      <x:c r="N115" s="38" t="n">
        <x:v>1183</x:v>
      </x:c>
      <x:c r="O115" s="15" t="str"/>
      <x:c r="P115" s="15" t="str">
        <x:v>eml_ALL_currentac__512781 (2).zip &gt; eml10currentac__512781.zip</x:v>
      </x:c>
      <x:c r="Q115" s="15" t="str">
        <x:v>FNB _-) R569.00 reserved for purchase @ S2s_sa Liquors Komat from Current a_c..512781 using card..2924. 19Nov 13_23.eml</x:v>
      </x:c>
      <x:c r="R115" s="15" t="str">
        <x:v>High</x:v>
      </x:c>
      <x:c r="S115" s="15" t="str"/>
      <x:c r="T115" s="15" t="str"/>
      <x:c r="U115" s="15" t="str"/>
      <x:c r="V115" s="15" t="str"/>
      <x:c r="W115" s="15" t="str"/>
      <x:c r="X115" s="15" t="str">
        <x:v>FNB :-) R569.00 reserved for purchase @ S2s*sa Liquors Komat from Current a/c..512781 using card..2924. Avail R1183. 19Nov 13:23</x:v>
      </x:c>
      <x:c r="Y115" s="15" t="str">
        <x:v>8b078b6333e7cf52</x:v>
      </x:c>
    </x:row>
    <x:row r="116">
      <x:c r="A116" s="34" t="n">
        <x:v>45980.60208333333</x:v>
      </x:c>
      <x:c r="B116" s="36" t="n">
        <x:v>45980</x:v>
      </x:c>
      <x:c r="C116" s="34" t="n">
        <x:v>45980.602627314816</x:v>
      </x:c>
      <x:c r="D116" s="15" t="str">
        <x:v>Current a/c..512781</x:v>
      </x:c>
      <x:c r="E116" s="15" t="str">
        <x:v>card..2924</x:v>
      </x:c>
      <x:c r="F116" s="15" t="str">
        <x:v>R572.97 reserved for purchase @ Savemor Marloth from Current a/c..512781 using card..2924. Avail R9810. 19Nov 14:27</x:v>
      </x:c>
      <x:c r="G116" s="15" t="str">
        <x:v>Savemor Marloth</x:v>
      </x:c>
      <x:c r="H116" s="38" t="n">
        <x:v>572.97</x:v>
      </x:c>
      <x:c r="I116" s="15" t="str">
        <x:v>ZAR</x:v>
      </x:c>
      <x:c r="J116" s="15" t="str">
        <x:v>Outflow</x:v>
      </x:c>
      <x:c r="K116" s="15" t="str">
        <x:v>Card purchase</x:v>
      </x:c>
      <x:c r="L116" s="15" t="str">
        <x:v>Supplier payments</x:v>
      </x:c>
      <x:c r="M116" s="38"/>
      <x:c r="N116" s="38" t="n">
        <x:v>9810</x:v>
      </x:c>
      <x:c r="O116" s="15" t="str"/>
      <x:c r="P116" s="15" t="str">
        <x:v>eml_ALL_currentac__512781 (2).zip &gt; eml10currentac__512781.zip</x:v>
      </x:c>
      <x:c r="Q116" s="15" t="str">
        <x:v>FNB _-) R572.97 reserved for purchase @ Savemor Marloth from Current a_c..512781 using card..2924. 19Nov 14_27.eml</x:v>
      </x:c>
      <x:c r="R116" s="15" t="str">
        <x:v>High</x:v>
      </x:c>
      <x:c r="S116" s="15" t="str">
        <x:v>Category confidence Medium: Retail/supplier merchant keyword.</x:v>
      </x:c>
      <x:c r="T116" s="15" t="str"/>
      <x:c r="U116" s="15" t="str"/>
      <x:c r="V116" s="15" t="str"/>
      <x:c r="W116" s="15" t="str"/>
      <x:c r="X116" s="15" t="str">
        <x:v>FNB :-) R572.97 reserved for purchase @ Savemor Marloth from Current a/c..512781 using card..2924. Avail R9810. 19Nov 14:27</x:v>
      </x:c>
      <x:c r="Y116" s="15" t="str">
        <x:v>f8dc989fbf9e9e6c</x:v>
      </x:c>
    </x:row>
    <x:row r="117">
      <x:c r="A117" s="34" t="n">
        <x:v>45980.74652777778</x:v>
      </x:c>
      <x:c r="B117" s="36" t="n">
        <x:v>45980</x:v>
      </x:c>
      <x:c r="C117" s="34" t="n">
        <x:v>45980.74679398148</x:v>
      </x:c>
      <x:c r="D117" s="15" t="str">
        <x:v>Current a/c..512781</x:v>
      </x:c>
      <x:c r="E117" s="15" t="str">
        <x:v>card..2924</x:v>
      </x:c>
      <x:c r="F117" s="15" t="str">
        <x:v>R125.00 reserved for purchase @ The Tin Shack from Current a/c..512781 using card..2924. Avail R9685. 19Nov 17:55</x:v>
      </x:c>
      <x:c r="G117" s="15" t="str">
        <x:v>The Tin Shack</x:v>
      </x:c>
      <x:c r="H117" s="38" t="n">
        <x:v>125</x:v>
      </x:c>
      <x:c r="I117" s="15" t="str">
        <x:v>ZAR</x:v>
      </x:c>
      <x:c r="J117" s="15" t="str">
        <x:v>Outflow</x:v>
      </x:c>
      <x:c r="K117" s="15" t="str">
        <x:v>Card purchase</x:v>
      </x:c>
      <x:c r="L117" s="15" t="str">
        <x:v>Meals / restaurants / entertainment</x:v>
      </x:c>
      <x:c r="M117" s="38"/>
      <x:c r="N117" s="38" t="n">
        <x:v>9685</x:v>
      </x:c>
      <x:c r="O117" s="15" t="str"/>
      <x:c r="P117" s="15" t="str">
        <x:v>eml_ALL_currentac__512781 (2).zip &gt; eml10currentac__512781.zip</x:v>
      </x:c>
      <x:c r="Q117" s="15" t="str">
        <x:v>FNB _-) R125.00 reserved for purchase @ The Tin Shack from Current a_c..512781 using card..2924. 19Nov 17_55.eml</x:v>
      </x:c>
      <x:c r="R117" s="15" t="str">
        <x:v>High</x:v>
      </x:c>
      <x:c r="S117" s="15" t="str"/>
      <x:c r="T117" s="15" t="str"/>
      <x:c r="U117" s="15" t="str"/>
      <x:c r="V117" s="15" t="str"/>
      <x:c r="W117" s="15" t="str"/>
      <x:c r="X117" s="15" t="str">
        <x:v>FNB :-) R125.00 reserved for purchase @ The Tin Shack from Current a/c..512781 using card..2924. Avail R9685. 19Nov 17:55</x:v>
      </x:c>
      <x:c r="Y117" s="15" t="str">
        <x:v>dc2266ac8de615d2</x:v>
      </x:c>
    </x:row>
    <x:row r="118">
      <x:c r="A118" s="34" t="n">
        <x:v>45981.42916666667</x:v>
      </x:c>
      <x:c r="B118" s="36" t="n">
        <x:v>45981</x:v>
      </x:c>
      <x:c r="C118" s="34" t="n">
        <x:v>45981.42959490741</x:v>
      </x:c>
      <x:c r="D118" s="15" t="str">
        <x:v>Current a/c..512781</x:v>
      </x:c>
      <x:c r="E118" s="15" t="str">
        <x:v>card..2924</x:v>
      </x:c>
      <x:c r="F118" s="15" t="str">
        <x:v>R170.00 reserved for purchase @ Sparkling Auto Nelsp from Current a/c..512781 using card..2924. Avail R9410. 20Nov 10:18</x:v>
      </x:c>
      <x:c r="G118" s="15" t="str">
        <x:v>Sparkling Auto Nelsp</x:v>
      </x:c>
      <x:c r="H118" s="38" t="n">
        <x:v>170</x:v>
      </x:c>
      <x:c r="I118" s="15" t="str">
        <x:v>ZAR</x:v>
      </x:c>
      <x:c r="J118" s="15" t="str">
        <x:v>Outflow</x:v>
      </x:c>
      <x:c r="K118" s="15" t="str">
        <x:v>Card purchase</x:v>
      </x:c>
      <x:c r="L118" s="15" t="str">
        <x:v>Supplier payments</x:v>
      </x:c>
      <x:c r="M118" s="38"/>
      <x:c r="N118" s="38" t="n">
        <x:v>9410</x:v>
      </x:c>
      <x:c r="O118" s="15" t="str"/>
      <x:c r="P118" s="15" t="str">
        <x:v>eml_ALL_currentac__512781 (2).zip &gt; eml10currentac__512781.zip</x:v>
      </x:c>
      <x:c r="Q118" s="15" t="str">
        <x:v>FNB _-) R170.00 reserved for purchase @ Sparkling Auto Nelsp from Current a_c..512781 using card..2924. 20Nov 10_18.eml</x:v>
      </x:c>
      <x:c r="R118" s="15" t="str">
        <x:v>High</x:v>
      </x:c>
      <x:c r="S118" s="15" t="str">
        <x:v>Category confidence Medium: Retail/supplier merchant keyword.</x:v>
      </x:c>
      <x:c r="T118" s="15" t="str"/>
      <x:c r="U118" s="15" t="str"/>
      <x:c r="V118" s="15" t="str"/>
      <x:c r="W118" s="15" t="str"/>
      <x:c r="X118" s="15" t="str">
        <x:v>FNB :-) R170.00 reserved for purchase @ Sparkling Auto Nelsp from Current a/c..512781 using card..2924. Avail R9410. 20Nov 10:18</x:v>
      </x:c>
      <x:c r="Y118" s="15" t="str">
        <x:v>7d5ba35230555350</x:v>
      </x:c>
    </x:row>
    <x:row r="119">
      <x:c r="A119" s="34" t="n">
        <x:v>45981.47361111111</x:v>
      </x:c>
      <x:c r="B119" s="36" t="n">
        <x:v>45981</x:v>
      </x:c>
      <x:c r="C119" s="34" t="n">
        <x:v>45981.47423611111</x:v>
      </x:c>
      <x:c r="D119" s="15" t="str">
        <x:v>Current a/c..512781</x:v>
      </x:c>
      <x:c r="E119" s="15" t="str">
        <x:v>card..2924</x:v>
      </x:c>
      <x:c r="F119" s="15" t="str">
        <x:v>R125.00 reserved for purchase @ Bossa Nelspruit from Current a/c..512781 using card..2924. Avail R9285. 20Nov 11:22</x:v>
      </x:c>
      <x:c r="G119" s="15" t="str">
        <x:v>Bossa Nelspruit</x:v>
      </x:c>
      <x:c r="H119" s="38" t="n">
        <x:v>125</x:v>
      </x:c>
      <x:c r="I119" s="15" t="str">
        <x:v>ZAR</x:v>
      </x:c>
      <x:c r="J119" s="15" t="str">
        <x:v>Outflow</x:v>
      </x:c>
      <x:c r="K119" s="15" t="str">
        <x:v>Card purchase</x:v>
      </x:c>
      <x:c r="L119" s="15" t="str">
        <x:v>Card spend</x:v>
      </x:c>
      <x:c r="M119" s="38"/>
      <x:c r="N119" s="38" t="n">
        <x:v>9285</x:v>
      </x:c>
      <x:c r="O119" s="15" t="str"/>
      <x:c r="P119" s="15" t="str">
        <x:v>eml_ALL_currentac__512781 (2).zip &gt; eml10currentac__512781.zip</x:v>
      </x:c>
      <x:c r="Q119" s="15" t="str">
        <x:v>FNB _-) R125.00 reserved for purchase @ Bossa Nelspruit from Current a_c..512781 using card..2924. 20Nov 11_22.eml</x:v>
      </x:c>
      <x:c r="R119" s="15" t="str">
        <x:v>High</x:v>
      </x:c>
      <x:c r="S119" s="15" t="str">
        <x:v>Category confidence Low: Default card-spend category; merchant not confidently mapped.</x:v>
      </x:c>
      <x:c r="T119" s="15" t="str"/>
      <x:c r="U119" s="15" t="str"/>
      <x:c r="V119" s="15" t="str"/>
      <x:c r="W119" s="15" t="str"/>
      <x:c r="X119" s="15" t="str">
        <x:v>FNB :-) R125.00 reserved for purchase @ Bossa Nelspruit from Current a/c..512781 using card..2924. Avail R9285. 20Nov 11:22</x:v>
      </x:c>
      <x:c r="Y119" s="15" t="str">
        <x:v>a49431f822526777</x:v>
      </x:c>
    </x:row>
    <x:row r="120">
      <x:c r="A120" s="34" t="n">
        <x:v>45981.50277777778</x:v>
      </x:c>
      <x:c r="B120" s="36" t="n">
        <x:v>45981</x:v>
      </x:c>
      <x:c r="C120" s="34" t="n">
        <x:v>45981.503217592595</x:v>
      </x:c>
      <x:c r="D120" s="15" t="str">
        <x:v>Current a/c..512781</x:v>
      </x:c>
      <x:c r="E120" s="15" t="str">
        <x:v>card..2924</x:v>
      </x:c>
      <x:c r="F120" s="15" t="str">
        <x:v>R778.98 reserved for purchase @ Superspar The Grove from Current a/c..512781 using card..2924. Avail R7706. 20Nov 12:04</x:v>
      </x:c>
      <x:c r="G120" s="15" t="str">
        <x:v>Superspar The Grove</x:v>
      </x:c>
      <x:c r="H120" s="38" t="n">
        <x:v>778.98</x:v>
      </x:c>
      <x:c r="I120" s="15" t="str">
        <x:v>ZAR</x:v>
      </x:c>
      <x:c r="J120" s="15" t="str">
        <x:v>Outflow</x:v>
      </x:c>
      <x:c r="K120" s="15" t="str">
        <x:v>Card purchase</x:v>
      </x:c>
      <x:c r="L120" s="15" t="str">
        <x:v>Supplier payments</x:v>
      </x:c>
      <x:c r="M120" s="38"/>
      <x:c r="N120" s="38" t="n">
        <x:v>7706</x:v>
      </x:c>
      <x:c r="O120" s="15" t="str"/>
      <x:c r="P120" s="15" t="str">
        <x:v>eml_ALL_currentac__512781 (2).zip &gt; eml10currentac__512781.zip</x:v>
      </x:c>
      <x:c r="Q120" s="15" t="str">
        <x:v>FNB _-) R778.98 reserved for purchase @ Superspar The Grove from Current a_c..512781 using card..2924. 20Nov 12_04.eml</x:v>
      </x:c>
      <x:c r="R120" s="15" t="str">
        <x:v>High</x:v>
      </x:c>
      <x:c r="S120" s="15" t="str">
        <x:v>Category confidence Medium: Retail/supplier merchant keyword.</x:v>
      </x:c>
      <x:c r="T120" s="15" t="str"/>
      <x:c r="U120" s="15" t="str"/>
      <x:c r="V120" s="15" t="str"/>
      <x:c r="W120" s="15" t="str"/>
      <x:c r="X120" s="15" t="str">
        <x:v>FNB :-) R778.98 reserved for purchase @ Superspar The Grove from Current a/c..512781 using card..2924. Avail R7706. 20Nov 12:04</x:v>
      </x:c>
      <x:c r="Y120" s="15" t="str">
        <x:v>784fe72f175cbdbf</x:v>
      </x:c>
    </x:row>
    <x:row r="121">
      <x:c r="A121" s="34" t="n">
        <x:v>45981.50277777778</x:v>
      </x:c>
      <x:c r="B121" s="36" t="n">
        <x:v>45981</x:v>
      </x:c>
      <x:c r="C121" s="34" t="n">
        <x:v>45981.50295138889</x:v>
      </x:c>
      <x:c r="D121" s="15" t="str">
        <x:v>Current a/c..512781</x:v>
      </x:c>
      <x:c r="E121" s="15" t="str">
        <x:v>card..2924</x:v>
      </x:c>
      <x:c r="F121" s="15" t="str">
        <x:v>R778.98 reserved for purchase @ Superspar The Grove from Current a/c..512781 using card..2924. Avail R8485. 20Nov 12:04</x:v>
      </x:c>
      <x:c r="G121" s="15" t="str">
        <x:v>Superspar The Grove</x:v>
      </x:c>
      <x:c r="H121" s="38" t="n">
        <x:v>778.98</x:v>
      </x:c>
      <x:c r="I121" s="15" t="str">
        <x:v>ZAR</x:v>
      </x:c>
      <x:c r="J121" s="15" t="str">
        <x:v>Outflow</x:v>
      </x:c>
      <x:c r="K121" s="15" t="str">
        <x:v>Card purchase</x:v>
      </x:c>
      <x:c r="L121" s="15" t="str">
        <x:v>Supplier payments</x:v>
      </x:c>
      <x:c r="M121" s="38"/>
      <x:c r="N121" s="38" t="n">
        <x:v>8485</x:v>
      </x:c>
      <x:c r="O121" s="15" t="str"/>
      <x:c r="P121" s="15" t="str">
        <x:v>eml_ALL_currentac__512781 (2).zip &gt; eml10currentac__512781.zip</x:v>
      </x:c>
      <x:c r="Q121" s="15" t="str">
        <x:v>FNB _-) R778.98 reserved for purchase @ Superspar The Grove from Current a_c..512781 using card..2924. 20Nov 12_04_1.eml</x:v>
      </x:c>
      <x:c r="R121" s="15" t="str">
        <x:v>High</x:v>
      </x:c>
      <x:c r="S121" s="15" t="str">
        <x:v>Category confidence Medium: Retail/supplier merchant keyword.</x:v>
      </x:c>
      <x:c r="T121" s="15" t="str"/>
      <x:c r="U121" s="15" t="str"/>
      <x:c r="V121" s="15" t="str"/>
      <x:c r="W121" s="15" t="str"/>
      <x:c r="X121" s="15" t="str">
        <x:v>FNB :-) R778.98 reserved for purchase @ Superspar The Grove from Current a/c..512781 using card..2924. Avail R8485. 20Nov 12:04</x:v>
      </x:c>
      <x:c r="Y121" s="15" t="str">
        <x:v>854978eeb6ce00a6</x:v>
      </x:c>
    </x:row>
    <x:row r="122">
      <x:c r="A122" s="34" t="n">
        <x:v>45981.50277777778</x:v>
      </x:c>
      <x:c r="B122" s="36" t="n">
        <x:v>45981</x:v>
      </x:c>
      <x:c r="C122" s="34" t="n">
        <x:v>45981.50334490741</x:v>
      </x:c>
      <x:c r="D122" s="15" t="str">
        <x:v>Current a/c..512781</x:v>
      </x:c>
      <x:c r="E122" s="15" t="str">
        <x:v>card..2924</x:v>
      </x:c>
      <x:c r="F122" s="15" t="str">
        <x:v>REVERSAL of R778.98 for goods purchased from Current a/c..512781 using card..2924. 20Nov 12:04</x:v>
      </x:c>
      <x:c r="G122" s="15" t="str">
        <x:v>Card purchase reversal</x:v>
      </x:c>
      <x:c r="H122" s="38" t="n">
        <x:v>778.98</x:v>
      </x:c>
      <x:c r="I122" s="15" t="str">
        <x:v>ZAR</x:v>
      </x:c>
      <x:c r="J122" s="15" t="str">
        <x:v>Inflow</x:v>
      </x:c>
      <x:c r="K122" s="15" t="str">
        <x:v>Reversal</x:v>
      </x:c>
      <x:c r="L122" s="15" t="str">
        <x:v>Refunds / reversals</x:v>
      </x:c>
      <x:c r="M122" s="38"/>
      <x:c r="N122" s="38"/>
      <x:c r="O122" s="15" t="str"/>
      <x:c r="P122" s="15" t="str">
        <x:v>eml_ALL_currentac__512781 (2).zip &gt; eml10currentac__512781.zip</x:v>
      </x:c>
      <x:c r="Q122" s="15" t="str">
        <x:v>FNB _-) REVERSAL of R778.98 for goods purchased from Current a_c..512781 using card..2924. 20Nov 12_04.eml</x:v>
      </x:c>
      <x:c r="R122" s="15" t="str">
        <x:v>High</x:v>
      </x:c>
      <x:c r="S122" s="15" t="str">
        <x:v>Reversal/refund cashflow separated from regular income.</x:v>
      </x:c>
      <x:c r="T122" s="15" t="str"/>
      <x:c r="U122" s="15" t="str"/>
      <x:c r="V122" s="15" t="str"/>
      <x:c r="W122" s="15" t="str"/>
      <x:c r="X122" s="15" t="str">
        <x:v>FNB :-) REVERSAL of R778.98 for goods purchased from Current a/c..512781 using card..2924. 20Nov 12:04</x:v>
      </x:c>
      <x:c r="Y122" s="15" t="str">
        <x:v>e49d5a76d0665c0b</x:v>
      </x:c>
    </x:row>
    <x:row r="123">
      <x:c r="A123" s="34" t="n">
        <x:v>45981.57013888889</x:v>
      </x:c>
      <x:c r="B123" s="36" t="n">
        <x:v>45981</x:v>
      </x:c>
      <x:c r="C123" s="34" t="n">
        <x:v>45981.57074074074</x:v>
      </x:c>
      <x:c r="D123" s="15" t="str">
        <x:v>Current a/c..512781</x:v>
      </x:c>
      <x:c r="E123" s="15" t="str"/>
      <x:c r="F123" s="15" t="str">
        <x:v>R12016.88 paid to Current a/c..512781 @ Payshap. Ref.Ik Pay 487882. 20Nov 13:41</x:v>
      </x:c>
      <x:c r="G123" s="15" t="str">
        <x:v>Ik Pay 487882</x:v>
      </x:c>
      <x:c r="H123" s="38" t="n">
        <x:v>12016.88</x:v>
      </x:c>
      <x:c r="I123" s="15" t="str">
        <x:v>ZAR</x:v>
      </x:c>
      <x:c r="J123" s="15" t="str">
        <x:v>Inflow</x:v>
      </x:c>
      <x:c r="K123" s="15" t="str">
        <x:v>EFT receipt</x:v>
      </x:c>
      <x:c r="L123" s="15" t="str">
        <x:v>Sales / customer receipts</x:v>
      </x:c>
      <x:c r="M123" s="38"/>
      <x:c r="N123" s="38"/>
      <x:c r="O123" s="15" t="str"/>
      <x:c r="P123" s="15" t="str">
        <x:v>eml_ALL_currentac__512781 (2).zip &gt; eml10currentac__512781.zip</x:v>
      </x:c>
      <x:c r="Q123" s="15" t="str">
        <x:v>FNB _-) R12016.88 paid to Current a_c..512781 @ Payshap. Ref.Ik Pay 487882. 20Nov 13_41.eml</x:v>
      </x:c>
      <x:c r="R123" s="15" t="str">
        <x:v>High</x:v>
      </x:c>
      <x:c r="S123" s="15" t="str">
        <x:v>Category confidence Medium: Default for incoming EFT/PayShap/online receipt.</x:v>
      </x:c>
      <x:c r="T123" s="15" t="str"/>
      <x:c r="U123" s="15" t="str"/>
      <x:c r="V123" s="15" t="str">
        <x:v>Ik Pay 487882</x:v>
      </x:c>
      <x:c r="W123" s="15" t="str">
        <x:v>Payshap</x:v>
      </x:c>
      <x:c r="X123" s="15" t="str">
        <x:v>FNB :-) R12016.88 paid to Current a/c..512781 @ Payshap. Ref.Ik Pay 487882. 20Nov 13:41</x:v>
      </x:c>
      <x:c r="Y123" s="15" t="str">
        <x:v>7a81dc87e1a2307b</x:v>
      </x:c>
    </x:row>
    <x:row r="124">
      <x:c r="A124" s="34" t="n">
        <x:v>45981.61388888889</x:v>
      </x:c>
      <x:c r="B124" s="36" t="n">
        <x:v>45981</x:v>
      </x:c>
      <x:c r="C124" s="34" t="n">
        <x:v>45981.613958333335</x:v>
      </x:c>
      <x:c r="D124" s="15" t="str">
        <x:v>Current a/c..512781</x:v>
      </x:c>
      <x:c r="E124" s="15" t="str"/>
      <x:c r="F124" s="15" t="str">
        <x:v>R8112.00 paid from Current a/c..512781 @ Gen Ph. Avail R12277. Ref.Kruger Safari 1666. 20Nov 14:44</x:v>
      </x:c>
      <x:c r="G124" s="15" t="str">
        <x:v>Kruger Safari 1666</x:v>
      </x:c>
      <x:c r="H124" s="38" t="n">
        <x:v>8112</x:v>
      </x:c>
      <x:c r="I124" s="15" t="str">
        <x:v>ZAR</x:v>
      </x:c>
      <x:c r="J124" s="15" t="str">
        <x:v>Outflow</x:v>
      </x:c>
      <x:c r="K124" s="15" t="str">
        <x:v>EFT payment</x:v>
      </x:c>
      <x:c r="L124" s="15" t="str">
        <x:v>Supplier payments</x:v>
      </x:c>
      <x:c r="M124" s="38"/>
      <x:c r="N124" s="38" t="n">
        <x:v>12277</x:v>
      </x:c>
      <x:c r="O124" s="15" t="str"/>
      <x:c r="P124" s="15" t="str">
        <x:v>eml_ALL_currentac__512781 (2).zip &gt; eml10currentac__512781.zip</x:v>
      </x:c>
      <x:c r="Q124" s="15" t="str">
        <x:v>FNB _-) R8112.00 paid from Current a_c..512781 @ Gen Ph. Ref.Kruger Safari 1666. 20Nov 14_44.eml</x:v>
      </x:c>
      <x:c r="R124" s="15" t="str">
        <x:v>High</x:v>
      </x:c>
      <x:c r="S124" s="15" t="str">
        <x:v>Category confidence Low: Default outflow category; review counterparty/reference.</x:v>
      </x:c>
      <x:c r="T124" s="15" t="str"/>
      <x:c r="U124" s="15" t="str"/>
      <x:c r="V124" s="15" t="str">
        <x:v>Kruger Safari 1666</x:v>
      </x:c>
      <x:c r="W124" s="15" t="str">
        <x:v>Gen Ph</x:v>
      </x:c>
      <x:c r="X124" s="15" t="str">
        <x:v>FNB :-) R8112.00 paid from Current a/c..512781 @ Gen Ph. Avail R12277. Ref.Kruger Safari 1666. 20Nov 14:44</x:v>
      </x:c>
      <x:c r="Y124" s="15" t="str">
        <x:v>cd102e2818835488</x:v>
      </x:c>
    </x:row>
    <x:row r="125">
      <x:c r="A125" s="34" t="n">
        <x:v>45981.74652777778</x:v>
      </x:c>
      <x:c r="B125" s="36" t="n">
        <x:v>45981</x:v>
      </x:c>
      <x:c r="C125" s="34" t="n">
        <x:v>45981.74721064815</x:v>
      </x:c>
      <x:c r="D125" s="15" t="str">
        <x:v>Current a/c..512781</x:v>
      </x:c>
      <x:c r="E125" s="15" t="str"/>
      <x:c r="F125" s="15" t="str">
        <x:v>Payment Link created from Current a/c..512781 To Ac De Jager Vleis..269640 @ Smartapp. 20Nov 17:55 Call 087 575 9404 for help.</x:v>
      </x:c>
      <x:c r="G125" s="15" t="str">
        <x:v>Ac De Jager Vleis..269640</x:v>
      </x:c>
      <x:c r="H125" s="38"/>
      <x:c r="I125" s="15" t="str"/>
      <x:c r="J125" s="15" t="str">
        <x:v>Neutral/Information Only</x:v>
      </x:c>
      <x:c r="K125" s="15" t="str">
        <x:v>Other</x:v>
      </x:c>
      <x:c r="L125" s="15" t="str">
        <x:v>Other</x:v>
      </x:c>
      <x:c r="M125" s="38"/>
      <x:c r="N125" s="38"/>
      <x:c r="O125" s="15" t="str"/>
      <x:c r="P125" s="15" t="str">
        <x:v>eml_ALL_currentac__512781 (2).zip &gt; eml10currentac__512781.zip</x:v>
      </x:c>
      <x:c r="Q125" s="15" t="str">
        <x:v>FNB _-) Payment Link created from Current a_c..512781 To Ac De Jager Vleis..269640 @ Smartapp. 20Nov 17_55 Call 087 575 9404  for help..eml</x:v>
      </x:c>
      <x:c r="R125" s="15" t="str">
        <x:v>High</x:v>
      </x:c>
      <x:c r="S125" s="15" t="str">
        <x:v>Payment link creation only; no money movement indicated. Category confidence Low: Unable to map confidently.</x:v>
      </x:c>
      <x:c r="T125" s="15" t="str">
        <x:v>Current a/c..512781</x:v>
      </x:c>
      <x:c r="U125" s="15" t="str">
        <x:v>Ac De Jager Vleis..269640</x:v>
      </x:c>
      <x:c r="V125" s="15" t="str"/>
      <x:c r="W125" s="15" t="str">
        <x:v>Smartapp</x:v>
      </x:c>
      <x:c r="X125" s="15" t="str">
        <x:v>FNB :-) Payment Link created from Current a/c..512781 To Ac De Jager Vleis..269640 @ Smartapp. 20Nov 17:55 Call 087 575 9404 for help.</x:v>
      </x:c>
      <x:c r="Y125" s="15" t="str">
        <x:v>9c2e708cb7942d0d</x:v>
      </x:c>
    </x:row>
    <x:row r="126">
      <x:c r="A126" s="34" t="n">
        <x:v>45981.74722222222</x:v>
      </x:c>
      <x:c r="B126" s="36" t="n">
        <x:v>45981</x:v>
      </x:c>
      <x:c r="C126" s="34" t="n">
        <x:v>45981.74743055556</x:v>
      </x:c>
      <x:c r="D126" s="15" t="str">
        <x:v>Current a/c..512781</x:v>
      </x:c>
      <x:c r="E126" s="15" t="str"/>
      <x:c r="F126" s="15" t="str">
        <x:v>R1842.04 paid from Current a/c..512781 @ Smartapp. Avail R10335. Ref.Ac De Jager Vleis. 20Nov 17:56</x:v>
      </x:c>
      <x:c r="G126" s="15" t="str">
        <x:v>Ac De Jager Vleis</x:v>
      </x:c>
      <x:c r="H126" s="38" t="n">
        <x:v>1842.04</x:v>
      </x:c>
      <x:c r="I126" s="15" t="str">
        <x:v>ZAR</x:v>
      </x:c>
      <x:c r="J126" s="15" t="str">
        <x:v>Outflow</x:v>
      </x:c>
      <x:c r="K126" s="15" t="str">
        <x:v>EFT payment</x:v>
      </x:c>
      <x:c r="L126" s="15" t="str">
        <x:v>Supplier payments</x:v>
      </x:c>
      <x:c r="M126" s="38"/>
      <x:c r="N126" s="38" t="n">
        <x:v>10335</x:v>
      </x:c>
      <x:c r="O126" s="15" t="str"/>
      <x:c r="P126" s="15" t="str">
        <x:v>eml_ALL_currentac__512781 (2).zip &gt; eml10currentac__512781.zip</x:v>
      </x:c>
      <x:c r="Q126" s="15" t="str">
        <x:v>FNB _-) R1842.04 paid from Current a_c..512781 @ Smartapp. Ref.Ac De Jager Vleis. 20Nov 17_56.eml</x:v>
      </x:c>
      <x:c r="R126" s="15" t="str">
        <x:v>High</x:v>
      </x:c>
      <x:c r="S126" s="15" t="str">
        <x:v>Category confidence Low: Default outflow category; review counterparty/reference.</x:v>
      </x:c>
      <x:c r="T126" s="15" t="str"/>
      <x:c r="U126" s="15" t="str"/>
      <x:c r="V126" s="15" t="str">
        <x:v>Ac De Jager Vleis</x:v>
      </x:c>
      <x:c r="W126" s="15" t="str">
        <x:v>Smartapp</x:v>
      </x:c>
      <x:c r="X126" s="15" t="str">
        <x:v>FNB :-) R1842.04 paid from Current a/c..512781 @ Smartapp. Avail R10335. Ref.Ac De Jager Vleis. 20Nov 17:56</x:v>
      </x:c>
      <x:c r="Y126" s="15" t="str">
        <x:v>f6dd0501d5527902</x:v>
      </x:c>
    </x:row>
    <x:row r="127">
      <x:c r="A127" s="34" t="n">
        <x:v>45982.40902777778</x:v>
      </x:c>
      <x:c r="B127" s="36" t="n">
        <x:v>45982</x:v>
      </x:c>
      <x:c r="C127" s="34" t="n">
        <x:v>45982.40924768519</x:v>
      </x:c>
      <x:c r="D127" s="15" t="str">
        <x:v>Current a/c..512781</x:v>
      </x:c>
      <x:c r="E127" s="15" t="str"/>
      <x:c r="F127" s="15" t="str">
        <x:v>R546.25 paid from Current a/c..512781 @ Smartapp. Avail R9759. Ref.Bon Express 007058. 21Nov 09:49</x:v>
      </x:c>
      <x:c r="G127" s="15" t="str">
        <x:v>Bon Express 007058</x:v>
      </x:c>
      <x:c r="H127" s="38" t="n">
        <x:v>546.25</x:v>
      </x:c>
      <x:c r="I127" s="15" t="str">
        <x:v>ZAR</x:v>
      </x:c>
      <x:c r="J127" s="15" t="str">
        <x:v>Outflow</x:v>
      </x:c>
      <x:c r="K127" s="15" t="str">
        <x:v>EFT payment</x:v>
      </x:c>
      <x:c r="L127" s="15" t="str">
        <x:v>Supplier payments</x:v>
      </x:c>
      <x:c r="M127" s="38"/>
      <x:c r="N127" s="38" t="n">
        <x:v>9759</x:v>
      </x:c>
      <x:c r="O127" s="15" t="str"/>
      <x:c r="P127" s="15" t="str">
        <x:v>eml_ALL_currentac__512781 (2).zip &gt; eml10currentac__512781.zip</x:v>
      </x:c>
      <x:c r="Q127" s="15" t="str">
        <x:v>FNB _-) R546.25 paid from Current a_c..512781 @ Smartapp. Ref.Bon Express 007058. 21Nov 09_49.eml</x:v>
      </x:c>
      <x:c r="R127" s="15" t="str">
        <x:v>High</x:v>
      </x:c>
      <x:c r="S127" s="15" t="str">
        <x:v>Category confidence Low: Default outflow category; review counterparty/reference.</x:v>
      </x:c>
      <x:c r="T127" s="15" t="str"/>
      <x:c r="U127" s="15" t="str"/>
      <x:c r="V127" s="15" t="str">
        <x:v>Bon Express 007058</x:v>
      </x:c>
      <x:c r="W127" s="15" t="str">
        <x:v>Smartapp</x:v>
      </x:c>
      <x:c r="X127" s="15" t="str">
        <x:v>FNB :-) R546.25 paid from Current a/c..512781 @ Smartapp. Avail R9759. Ref.Bon Express 007058. 21Nov 09:49</x:v>
      </x:c>
      <x:c r="Y127" s="15" t="str">
        <x:v>6442e1cc72dfb8bb</x:v>
      </x:c>
    </x:row>
    <x:row r="128">
      <x:c r="A128" s="34" t="n">
        <x:v>45982.424305555556</x:v>
      </x:c>
      <x:c r="B128" s="36" t="n">
        <x:v>45982</x:v>
      </x:c>
      <x:c r="C128" s="34" t="n">
        <x:v>45982.42449074074</x:v>
      </x:c>
      <x:c r="D128" s="15" t="str">
        <x:v>Current a/c..512781</x:v>
      </x:c>
      <x:c r="E128" s="15" t="str">
        <x:v>card..2924</x:v>
      </x:c>
      <x:c r="F128" s="15" t="str">
        <x:v>R250.00 reserved for purchase @ Marlothi Petrol Stat from Current a/c..512781 using card..2924. Avail R9509. 21Nov 10:11</x:v>
      </x:c>
      <x:c r="G128" s="15" t="str">
        <x:v>Marlothi Petrol Stat</x:v>
      </x:c>
      <x:c r="H128" s="38" t="n">
        <x:v>250</x:v>
      </x:c>
      <x:c r="I128" s="15" t="str">
        <x:v>ZAR</x:v>
      </x:c>
      <x:c r="J128" s="15" t="str">
        <x:v>Outflow</x:v>
      </x:c>
      <x:c r="K128" s="15" t="str">
        <x:v>Card purchase</x:v>
      </x:c>
      <x:c r="L128" s="15" t="str">
        <x:v>Fuel / transport</x:v>
      </x:c>
      <x:c r="M128" s="38"/>
      <x:c r="N128" s="38" t="n">
        <x:v>9509</x:v>
      </x:c>
      <x:c r="O128" s="15" t="str"/>
      <x:c r="P128" s="15" t="str">
        <x:v>eml_ALL_currentac__512781 (2).zip &gt; eml10currentac__512781.zip</x:v>
      </x:c>
      <x:c r="Q128" s="15" t="str">
        <x:v>FNB _-) R250.00 reserved for purchase @ Marlothi Petrol Stat from Current a_c..512781 using card..2924. 21Nov 10_11.eml</x:v>
      </x:c>
      <x:c r="R128" s="15" t="str">
        <x:v>High</x:v>
      </x:c>
      <x:c r="S128" s="15" t="str"/>
      <x:c r="T128" s="15" t="str"/>
      <x:c r="U128" s="15" t="str"/>
      <x:c r="V128" s="15" t="str"/>
      <x:c r="W128" s="15" t="str"/>
      <x:c r="X128" s="15" t="str">
        <x:v>FNB :-) R250.00 reserved for purchase @ Marlothi Petrol Stat from Current a/c..512781 using card..2924. Avail R9509. 21Nov 10:11</x:v>
      </x:c>
      <x:c r="Y128" s="15" t="str">
        <x:v>c0b0eafb8273b475</x:v>
      </x:c>
    </x:row>
    <x:row r="129">
      <x:c r="A129" s="34" t="n">
        <x:v>45982.552777777775</x:v>
      </x:c>
      <x:c r="B129" s="36" t="n">
        <x:v>45982</x:v>
      </x:c>
      <x:c r="C129" s="34" t="n">
        <x:v>45982.55328703704</x:v>
      </x:c>
      <x:c r="D129" s="15" t="str">
        <x:v>Current a/c..512781</x:v>
      </x:c>
      <x:c r="E129" s="15" t="str"/>
      <x:c r="F129" s="15" t="str">
        <x:v>R5000.00 t/fer from Current a/c..512781 to Private Cheq Acc..566332 @ Smartapp. Avail R4409. 21Nov 13:16</x:v>
      </x:c>
      <x:c r="G129" s="15" t="str">
        <x:v>Private Cheq Acc..566332</x:v>
      </x:c>
      <x:c r="H129" s="38" t="n">
        <x:v>5000</x:v>
      </x:c>
      <x:c r="I129" s="15" t="str">
        <x:v>ZAR</x:v>
      </x:c>
      <x:c r="J129" s="15" t="str">
        <x:v>Internal Transfer</x:v>
      </x:c>
      <x:c r="K129" s="15" t="str">
        <x:v>Internal transfer</x:v>
      </x:c>
      <x:c r="L129" s="15" t="str">
        <x:v>Inter-account transfer</x:v>
      </x:c>
      <x:c r="M129" s="38"/>
      <x:c r="N129" s="38" t="n">
        <x:v>4409</x:v>
      </x:c>
      <x:c r="O129" s="15" t="str"/>
      <x:c r="P129" s="15" t="str">
        <x:v>eml_ALL_currentac__512781 (2).zip &gt; eml10currentac__512781.zip</x:v>
      </x:c>
      <x:c r="Q129" s="15" t="str">
        <x:v>FNB _-) R5000.00 t_fer from Current a_c..512781 to Private Cheq Acc..566332 @ Smartapp. 21Nov 13_16.eml</x:v>
      </x:c>
      <x:c r="R129" s="15" t="str">
        <x:v>High</x:v>
      </x:c>
      <x:c r="S129" s="15" t="str">
        <x:v>Classified as internal/inter-account transfer and excluded from operating cashflow.</x:v>
      </x:c>
      <x:c r="T129" s="15" t="str">
        <x:v>Current a/c..512781</x:v>
      </x:c>
      <x:c r="U129" s="15" t="str">
        <x:v>Private Cheq Acc..566332</x:v>
      </x:c>
      <x:c r="V129" s="15" t="str"/>
      <x:c r="W129" s="15" t="str">
        <x:v>Smartapp</x:v>
      </x:c>
      <x:c r="X129" s="15" t="str">
        <x:v>FNB :-) R5000.00 t/fer from Current a/c..512781 to Private Cheq Acc..566332 @ Smartapp. Avail R4409. 21Nov 13:16</x:v>
      </x:c>
      <x:c r="Y129" s="15" t="str">
        <x:v>4647973790e13fdf</x:v>
      </x:c>
    </x:row>
    <x:row r="130">
      <x:c r="A130" s="34" t="n">
        <x:v>45982.56041666667</x:v>
      </x:c>
      <x:c r="B130" s="36" t="n">
        <x:v>45982</x:v>
      </x:c>
      <x:c r="C130" s="34" t="n">
        <x:v>45982.56085648148</x:v>
      </x:c>
      <x:c r="D130" s="15" t="str">
        <x:v>Current a/c..512781</x:v>
      </x:c>
      <x:c r="E130" s="15" t="str">
        <x:v>card..2924</x:v>
      </x:c>
      <x:c r="F130" s="15" t="str">
        <x:v>R1712.37 reserved for purchase @ Superspar Komatipoor from Current a/c..512781 using card..2924. Avail R2696. 21Nov 13:27</x:v>
      </x:c>
      <x:c r="G130" s="15" t="str">
        <x:v>Superspar Komatipoor</x:v>
      </x:c>
      <x:c r="H130" s="38" t="n">
        <x:v>1712.37</x:v>
      </x:c>
      <x:c r="I130" s="15" t="str">
        <x:v>ZAR</x:v>
      </x:c>
      <x:c r="J130" s="15" t="str">
        <x:v>Outflow</x:v>
      </x:c>
      <x:c r="K130" s="15" t="str">
        <x:v>Card purchase</x:v>
      </x:c>
      <x:c r="L130" s="15" t="str">
        <x:v>Supplier payments</x:v>
      </x:c>
      <x:c r="M130" s="38"/>
      <x:c r="N130" s="38" t="n">
        <x:v>2696</x:v>
      </x:c>
      <x:c r="O130" s="15" t="str"/>
      <x:c r="P130" s="15" t="str">
        <x:v>eml_ALL_currentac__512781 (2).zip &gt; eml10currentac__512781.zip</x:v>
      </x:c>
      <x:c r="Q130" s="15" t="str">
        <x:v>FNB _-) R1712.37 reserved for purchase @ Superspar Komatipoor from Current a_c..512781 using card..2924. 21Nov 13_27.eml</x:v>
      </x:c>
      <x:c r="R130" s="15" t="str">
        <x:v>High</x:v>
      </x:c>
      <x:c r="S130" s="15" t="str">
        <x:v>Category confidence Medium: Retail/supplier merchant keyword.</x:v>
      </x:c>
      <x:c r="T130" s="15" t="str"/>
      <x:c r="U130" s="15" t="str"/>
      <x:c r="V130" s="15" t="str"/>
      <x:c r="W130" s="15" t="str"/>
      <x:c r="X130" s="15" t="str">
        <x:v>FNB :-) R1712.37 reserved for purchase @ Superspar Komatipoor from Current a/c..512781 using card..2924. Avail R2696. 21Nov 13:27</x:v>
      </x:c>
      <x:c r="Y130" s="15" t="str">
        <x:v>fab21eb816776cb3</x:v>
      </x:c>
    </x:row>
    <x:row r="131">
      <x:c r="A131" s="34" t="n">
        <x:v>45982.575</x:v>
      </x:c>
      <x:c r="B131" s="36" t="n">
        <x:v>45982</x:v>
      </x:c>
      <x:c r="C131" s="34" t="n">
        <x:v>45982.57524305556</x:v>
      </x:c>
      <x:c r="D131" s="15" t="str">
        <x:v>Current a/c..512781</x:v>
      </x:c>
      <x:c r="E131" s="15" t="str">
        <x:v>card..2924</x:v>
      </x:c>
      <x:c r="F131" s="15" t="str">
        <x:v>R184.00 reserved for purchase @ Border Butchery 265 from Current a/c..512781 using card..2924. Avail R2512. 21Nov 13:48</x:v>
      </x:c>
      <x:c r="G131" s="15" t="str">
        <x:v>Border Butchery 265</x:v>
      </x:c>
      <x:c r="H131" s="38" t="n">
        <x:v>184</x:v>
      </x:c>
      <x:c r="I131" s="15" t="str">
        <x:v>ZAR</x:v>
      </x:c>
      <x:c r="J131" s="15" t="str">
        <x:v>Outflow</x:v>
      </x:c>
      <x:c r="K131" s="15" t="str">
        <x:v>Card purchase</x:v>
      </x:c>
      <x:c r="L131" s="15" t="str">
        <x:v>Supplier payments</x:v>
      </x:c>
      <x:c r="M131" s="38"/>
      <x:c r="N131" s="38" t="n">
        <x:v>2512</x:v>
      </x:c>
      <x:c r="O131" s="15" t="str"/>
      <x:c r="P131" s="15" t="str">
        <x:v>eml_ALL_currentac__512781 (2).zip &gt; eml10currentac__512781.zip</x:v>
      </x:c>
      <x:c r="Q131" s="15" t="str">
        <x:v>FNB _-) R184.00 reserved for purchase @ Border Butchery 265 from Current a_c..512781 using card..2924. 21Nov 13_48.eml</x:v>
      </x:c>
      <x:c r="R131" s="15" t="str">
        <x:v>High</x:v>
      </x:c>
      <x:c r="S131" s="15" t="str">
        <x:v>Category confidence Medium: Retail/supplier merchant keyword.</x:v>
      </x:c>
      <x:c r="T131" s="15" t="str"/>
      <x:c r="U131" s="15" t="str"/>
      <x:c r="V131" s="15" t="str"/>
      <x:c r="W131" s="15" t="str"/>
      <x:c r="X131" s="15" t="str">
        <x:v>FNB :-) R184.00 reserved for purchase @ Border Butchery 265 from Current a/c..512781 using card..2924. Avail R2512. 21Nov 13:48</x:v>
      </x:c>
      <x:c r="Y131" s="15" t="str">
        <x:v>1c461ad90a533ad5</x:v>
      </x:c>
    </x:row>
    <x:row r="132">
      <x:c r="A132" s="34" t="n">
        <x:v>45982.59375</x:v>
      </x:c>
      <x:c r="B132" s="36" t="n">
        <x:v>45982</x:v>
      </x:c>
      <x:c r="C132" s="34" t="n">
        <x:v>45982.59376157408</x:v>
      </x:c>
      <x:c r="D132" s="15" t="str">
        <x:v>Current a/c..512781</x:v>
      </x:c>
      <x:c r="E132" s="15" t="str">
        <x:v>card..2924</x:v>
      </x:c>
      <x:c r="F132" s="15" t="str">
        <x:v>R673.85 reserved for purchase @ Marlothi Petrol Stat from Current a/c..512781 using card..2924. Avail R1839. 21Nov 14:15</x:v>
      </x:c>
      <x:c r="G132" s="15" t="str">
        <x:v>Marlothi Petrol Stat</x:v>
      </x:c>
      <x:c r="H132" s="38" t="n">
        <x:v>673.85</x:v>
      </x:c>
      <x:c r="I132" s="15" t="str">
        <x:v>ZAR</x:v>
      </x:c>
      <x:c r="J132" s="15" t="str">
        <x:v>Outflow</x:v>
      </x:c>
      <x:c r="K132" s="15" t="str">
        <x:v>Card purchase</x:v>
      </x:c>
      <x:c r="L132" s="15" t="str">
        <x:v>Fuel / transport</x:v>
      </x:c>
      <x:c r="M132" s="38"/>
      <x:c r="N132" s="38" t="n">
        <x:v>1839</x:v>
      </x:c>
      <x:c r="O132" s="15" t="str"/>
      <x:c r="P132" s="15" t="str">
        <x:v>eml_ALL_currentac__512781 (2).zip &gt; eml10currentac__512781.zip</x:v>
      </x:c>
      <x:c r="Q132" s="15" t="str">
        <x:v>FNB _-) R673.85 reserved for purchase @ Marlothi Petrol Stat from Current a_c..512781 using card..2924. 21Nov 14_15.eml</x:v>
      </x:c>
      <x:c r="R132" s="15" t="str">
        <x:v>High</x:v>
      </x:c>
      <x:c r="S132" s="15" t="str"/>
      <x:c r="T132" s="15" t="str"/>
      <x:c r="U132" s="15" t="str"/>
      <x:c r="V132" s="15" t="str"/>
      <x:c r="W132" s="15" t="str"/>
      <x:c r="X132" s="15" t="str">
        <x:v>FNB :-) R673.85 reserved for purchase @ Marlothi Petrol Stat from Current a/c..512781 using card..2924. Avail R1839. 21Nov 14:15</x:v>
      </x:c>
      <x:c r="Y132" s="15" t="str">
        <x:v>7ccbd23f138e9261</x:v>
      </x:c>
    </x:row>
    <x:row r="133">
      <x:c r="A133" s="34" t="n">
        <x:v>45982.59930555556</x:v>
      </x:c>
      <x:c r="B133" s="36" t="n">
        <x:v>45982</x:v>
      </x:c>
      <x:c r="C133" s="34" t="n">
        <x:v>45982.59936342593</x:v>
      </x:c>
      <x:c r="D133" s="15" t="str">
        <x:v>Current a/c..512781</x:v>
      </x:c>
      <x:c r="E133" s="15" t="str"/>
      <x:c r="F133" s="15" t="str">
        <x:v>R27704.96 paid to Current a/c..512781 @ Retail Forex. Ref.R025klftk0 Booking.c. 21Nov 14:23</x:v>
      </x:c>
      <x:c r="G133" s="15" t="str">
        <x:v>R025klftk0 Booking.c</x:v>
      </x:c>
      <x:c r="H133" s="38" t="n">
        <x:v>27704.96</x:v>
      </x:c>
      <x:c r="I133" s="15" t="str">
        <x:v>ZAR</x:v>
      </x:c>
      <x:c r="J133" s="15" t="str">
        <x:v>Inflow</x:v>
      </x:c>
      <x:c r="K133" s="15" t="str">
        <x:v>EFT receipt</x:v>
      </x:c>
      <x:c r="L133" s="15" t="str">
        <x:v>Sales / customer receipts</x:v>
      </x:c>
      <x:c r="M133" s="38"/>
      <x:c r="N133" s="38"/>
      <x:c r="O133" s="15" t="str"/>
      <x:c r="P133" s="15" t="str">
        <x:v>eml_ALL_currentac__512781 (2).zip &gt; eml10currentac__512781.zip</x:v>
      </x:c>
      <x:c r="Q133" s="15" t="str">
        <x:v>FNB _-) R27704.96 paid to Current a_c..512781 @ Retail Forex. Ref.R025klftk0 Booking.c. 21Nov 14_23.eml</x:v>
      </x:c>
      <x:c r="R133" s="15" t="str">
        <x:v>High</x:v>
      </x:c>
      <x:c r="S133" s="15" t="str">
        <x:v>Category confidence Medium: Default for incoming EFT/PayShap/online receipt.</x:v>
      </x:c>
      <x:c r="T133" s="15" t="str"/>
      <x:c r="U133" s="15" t="str"/>
      <x:c r="V133" s="15" t="str">
        <x:v>R025klftk0 Booking.c</x:v>
      </x:c>
      <x:c r="W133" s="15" t="str">
        <x:v>Retail Forex</x:v>
      </x:c>
      <x:c r="X133" s="15" t="str">
        <x:v>FNB :-) R27704.96 paid to Current a/c..512781 @ Retail Forex. Ref.R025klftk0 Booking.c. 21Nov 14:23</x:v>
      </x:c>
      <x:c r="Y133" s="15" t="str">
        <x:v>37846fc167d2c991</x:v>
      </x:c>
    </x:row>
    <x:row r="134">
      <x:c r="A134" s="34" t="n">
        <x:v>45982.62986111111</x:v>
      </x:c>
      <x:c r="B134" s="36" t="n">
        <x:v>45982</x:v>
      </x:c>
      <x:c r="C134" s="34" t="n">
        <x:v>45982.63056712963</x:v>
      </x:c>
      <x:c r="D134" s="15" t="str">
        <x:v>Current a/c..512781</x:v>
      </x:c>
      <x:c r="E134" s="15" t="str"/>
      <x:c r="F134" s="15" t="str">
        <x:v>R5000.00 t/fer from Current a/c..512781 to Current a/c..261544 @ Smartapp. Avail R24261. 21Nov 15:07</x:v>
      </x:c>
      <x:c r="G134" s="15" t="str">
        <x:v>Current a/c..261544</x:v>
      </x:c>
      <x:c r="H134" s="38" t="n">
        <x:v>5000</x:v>
      </x:c>
      <x:c r="I134" s="15" t="str">
        <x:v>ZAR</x:v>
      </x:c>
      <x:c r="J134" s="15" t="str">
        <x:v>Internal Transfer</x:v>
      </x:c>
      <x:c r="K134" s="15" t="str">
        <x:v>Internal transfer</x:v>
      </x:c>
      <x:c r="L134" s="15" t="str">
        <x:v>Inter-account transfer</x:v>
      </x:c>
      <x:c r="M134" s="38"/>
      <x:c r="N134" s="38" t="n">
        <x:v>24261</x:v>
      </x:c>
      <x:c r="O134" s="15" t="str"/>
      <x:c r="P134" s="15" t="str">
        <x:v>eml_ALL_currentac__512781 (2).zip &gt; eml10currentac__512781.zip</x:v>
      </x:c>
      <x:c r="Q134" s="15" t="str">
        <x:v>FNB _-) R5000.00 t_fer from Current a_c..512781 to Current a_c..261544 @ Smartapp. 21Nov 15_07.eml</x:v>
      </x:c>
      <x:c r="R134" s="15" t="str">
        <x:v>High</x:v>
      </x:c>
      <x:c r="S134" s="15" t="str">
        <x:v>Classified as internal/inter-account transfer and excluded from operating cashflow.</x:v>
      </x:c>
      <x:c r="T134" s="15" t="str">
        <x:v>Current a/c..512781</x:v>
      </x:c>
      <x:c r="U134" s="15" t="str">
        <x:v>Current a/c..261544</x:v>
      </x:c>
      <x:c r="V134" s="15" t="str"/>
      <x:c r="W134" s="15" t="str">
        <x:v>Smartapp</x:v>
      </x:c>
      <x:c r="X134" s="15" t="str">
        <x:v>FNB :-) R5000.00 t/fer from Current a/c..512781 to Current a/c..261544 @ Smartapp. Avail R24261. 21Nov 15:07</x:v>
      </x:c>
      <x:c r="Y134" s="15" t="str">
        <x:v>d0408dc608344d94</x:v>
      </x:c>
    </x:row>
    <x:row r="135">
      <x:c r="A135" s="34" t="n">
        <x:v>45982.63333333333</x:v>
      </x:c>
      <x:c r="B135" s="36" t="n">
        <x:v>45982</x:v>
      </x:c>
      <x:c r="C135" s="34" t="n">
        <x:v>45982.63394675926</x:v>
      </x:c>
      <x:c r="D135" s="15" t="str">
        <x:v>Current a/c..512781</x:v>
      </x:c>
      <x:c r="E135" s="15" t="str"/>
      <x:c r="F135" s="15" t="str">
        <x:v>Payment Link created from Current a/c..512781 To African Dream Amenit..032135 @ Smartapp. 21Nov 15:12 Call 087 575 9404 for help.</x:v>
      </x:c>
      <x:c r="G135" s="15" t="str">
        <x:v>African Dream Amenit..032135</x:v>
      </x:c>
      <x:c r="H135" s="38"/>
      <x:c r="I135" s="15" t="str"/>
      <x:c r="J135" s="15" t="str">
        <x:v>Neutral/Information Only</x:v>
      </x:c>
      <x:c r="K135" s="15" t="str">
        <x:v>Other</x:v>
      </x:c>
      <x:c r="L135" s="15" t="str">
        <x:v>Other</x:v>
      </x:c>
      <x:c r="M135" s="38"/>
      <x:c r="N135" s="38"/>
      <x:c r="O135" s="15" t="str"/>
      <x:c r="P135" s="15" t="str">
        <x:v>eml_ALL_currentac__512781 (2).zip &gt; eml10currentac__512781.zip</x:v>
      </x:c>
      <x:c r="Q135" s="15" t="str">
        <x:v>FNB _-) Payment Link created from Current a_c..512781 To African Dream Amenit..032135 @ Smartapp. 21Nov 15_12 Call 087 575 9404  for help..eml</x:v>
      </x:c>
      <x:c r="R135" s="15" t="str">
        <x:v>High</x:v>
      </x:c>
      <x:c r="S135" s="15" t="str">
        <x:v>Payment link creation only; no money movement indicated. Category confidence Low: Unable to map confidently.</x:v>
      </x:c>
      <x:c r="T135" s="15" t="str">
        <x:v>Current a/c..512781</x:v>
      </x:c>
      <x:c r="U135" s="15" t="str">
        <x:v>African Dream Amenit..032135</x:v>
      </x:c>
      <x:c r="V135" s="15" t="str"/>
      <x:c r="W135" s="15" t="str">
        <x:v>Smartapp</x:v>
      </x:c>
      <x:c r="X135" s="15" t="str">
        <x:v>FNB :-) Payment Link created from Current a/c..512781 To African Dream Amenit..032135 @ Smartapp. 21Nov 15:12 Call 087 575 9404 for help.</x:v>
      </x:c>
      <x:c r="Y135" s="15" t="str">
        <x:v>f7cb7a65b9cd8da2</x:v>
      </x:c>
    </x:row>
    <x:row r="136">
      <x:c r="A136" s="34" t="n">
        <x:v>45982.63402777778</x:v>
      </x:c>
      <x:c r="B136" s="36" t="n">
        <x:v>45982</x:v>
      </x:c>
      <x:c r="C136" s="34" t="n">
        <x:v>45982.634108796294</x:v>
      </x:c>
      <x:c r="D136" s="15" t="str">
        <x:v>Current a/c..512781</x:v>
      </x:c>
      <x:c r="E136" s="15" t="str"/>
      <x:c r="F136" s="15" t="str">
        <x:v>R678.50 paid from Current a/c..512781 @ Smartapp. Avail R23574. Ref.Afr Dream In27814. 21Nov 15:13</x:v>
      </x:c>
      <x:c r="G136" s="15" t="str">
        <x:v>Afr Dream In27814</x:v>
      </x:c>
      <x:c r="H136" s="38" t="n">
        <x:v>678.5</x:v>
      </x:c>
      <x:c r="I136" s="15" t="str">
        <x:v>ZAR</x:v>
      </x:c>
      <x:c r="J136" s="15" t="str">
        <x:v>Outflow</x:v>
      </x:c>
      <x:c r="K136" s="15" t="str">
        <x:v>EFT payment</x:v>
      </x:c>
      <x:c r="L136" s="15" t="str">
        <x:v>Supplier payments</x:v>
      </x:c>
      <x:c r="M136" s="38"/>
      <x:c r="N136" s="38" t="n">
        <x:v>23574</x:v>
      </x:c>
      <x:c r="O136" s="15" t="str"/>
      <x:c r="P136" s="15" t="str">
        <x:v>eml_ALL_currentac__512781 (2).zip &gt; eml10currentac__512781.zip</x:v>
      </x:c>
      <x:c r="Q136" s="15" t="str">
        <x:v>FNB _-) R678.50 paid from Current a_c..512781 @ Smartapp. Ref.Afr Dream In27814. 21Nov 15_13.eml</x:v>
      </x:c>
      <x:c r="R136" s="15" t="str">
        <x:v>High</x:v>
      </x:c>
      <x:c r="S136" s="15" t="str">
        <x:v>Category confidence Low: Default outflow category; review counterparty/reference.</x:v>
      </x:c>
      <x:c r="T136" s="15" t="str"/>
      <x:c r="U136" s="15" t="str"/>
      <x:c r="V136" s="15" t="str">
        <x:v>Afr Dream In27814</x:v>
      </x:c>
      <x:c r="W136" s="15" t="str">
        <x:v>Smartapp</x:v>
      </x:c>
      <x:c r="X136" s="15" t="str">
        <x:v>FNB :-) R678.50 paid from Current a/c..512781 @ Smartapp. Avail R23574. Ref.Afr Dream In27814. 21Nov 15:13</x:v>
      </x:c>
      <x:c r="Y136" s="15" t="str">
        <x:v>07aa39ac98634424</x:v>
      </x:c>
    </x:row>
    <x:row r="137">
      <x:c r="A137" s="34" t="n">
        <x:v>45982.635416666664</x:v>
      </x:c>
      <x:c r="B137" s="36" t="n">
        <x:v>45982</x:v>
      </x:c>
      <x:c r="C137" s="34" t="n">
        <x:v>45982.63600694444</x:v>
      </x:c>
      <x:c r="D137" s="15" t="str">
        <x:v>Current a/c..512781</x:v>
      </x:c>
      <x:c r="E137" s="15" t="str"/>
      <x:c r="F137" s="15" t="str">
        <x:v>R13000.00 paid from Current a/c..512781 @ Smartapp. Avail R10566. Ref.Salary Portion Oct. 21Nov 15:15</x:v>
      </x:c>
      <x:c r="G137" s="15" t="str">
        <x:v>Salary Portion Oct</x:v>
      </x:c>
      <x:c r="H137" s="38" t="n">
        <x:v>13000</x:v>
      </x:c>
      <x:c r="I137" s="15" t="str">
        <x:v>ZAR</x:v>
      </x:c>
      <x:c r="J137" s="15" t="str">
        <x:v>Outflow</x:v>
      </x:c>
      <x:c r="K137" s="15" t="str">
        <x:v>EFT payment</x:v>
      </x:c>
      <x:c r="L137" s="15" t="str">
        <x:v>Salary / wages</x:v>
      </x:c>
      <x:c r="M137" s="38"/>
      <x:c r="N137" s="38" t="n">
        <x:v>10566</x:v>
      </x:c>
      <x:c r="O137" s="15" t="str"/>
      <x:c r="P137" s="15" t="str">
        <x:v>eml_ALL_currentac__512781 (2).zip &gt; eml10currentac__512781.zip</x:v>
      </x:c>
      <x:c r="Q137" s="15" t="str">
        <x:v>FNB _-) R13000.00 paid from Current a_c..512781 @ Smartapp. Ref.Salary Portion Oct. 21Nov 15_15.eml</x:v>
      </x:c>
      <x:c r="R137" s="15" t="str">
        <x:v>High</x:v>
      </x:c>
      <x:c r="S137" s="15" t="str"/>
      <x:c r="T137" s="15" t="str"/>
      <x:c r="U137" s="15" t="str"/>
      <x:c r="V137" s="15" t="str">
        <x:v>Salary Portion Oct</x:v>
      </x:c>
      <x:c r="W137" s="15" t="str">
        <x:v>Smartapp</x:v>
      </x:c>
      <x:c r="X137" s="15" t="str">
        <x:v>FNB :-) R13000.00 paid from Current a/c..512781 @ Smartapp. Avail R10566. Ref.Salary Portion Oct. 21Nov 15:15</x:v>
      </x:c>
      <x:c r="Y137" s="15" t="str">
        <x:v>a53253a903700c7e</x:v>
      </x:c>
    </x:row>
    <x:row r="138">
      <x:c r="A138" s="34" t="n">
        <x:v>45982.63680555556</x:v>
      </x:c>
      <x:c r="B138" s="36" t="n">
        <x:v>45982</x:v>
      </x:c>
      <x:c r="C138" s="34" t="n">
        <x:v>45982.637025462966</x:v>
      </x:c>
      <x:c r="D138" s="15" t="str">
        <x:v>Current a/c..512781</x:v>
      </x:c>
      <x:c r="E138" s="15" t="str"/>
      <x:c r="F138" s="15" t="str">
        <x:v>R5704.00 paid from Current a/c..512781 @ Smartapp. Avail R4854. Ref.Kruger Safari 1667. 21Nov 15:17</x:v>
      </x:c>
      <x:c r="G138" s="15" t="str">
        <x:v>Kruger Safari 1667</x:v>
      </x:c>
      <x:c r="H138" s="38" t="n">
        <x:v>5704</x:v>
      </x:c>
      <x:c r="I138" s="15" t="str">
        <x:v>ZAR</x:v>
      </x:c>
      <x:c r="J138" s="15" t="str">
        <x:v>Outflow</x:v>
      </x:c>
      <x:c r="K138" s="15" t="str">
        <x:v>EFT payment</x:v>
      </x:c>
      <x:c r="L138" s="15" t="str">
        <x:v>Supplier payments</x:v>
      </x:c>
      <x:c r="M138" s="38"/>
      <x:c r="N138" s="38" t="n">
        <x:v>4854</x:v>
      </x:c>
      <x:c r="O138" s="15" t="str"/>
      <x:c r="P138" s="15" t="str">
        <x:v>eml_ALL_currentac__512781 (2).zip &gt; eml10currentac__512781.zip</x:v>
      </x:c>
      <x:c r="Q138" s="15" t="str">
        <x:v>FNB _-) R5704.00 paid from Current a_c..512781 @ Smartapp. Ref.Kruger Safari 1667. 21Nov 15_17.eml</x:v>
      </x:c>
      <x:c r="R138" s="15" t="str">
        <x:v>High</x:v>
      </x:c>
      <x:c r="S138" s="15" t="str">
        <x:v>Category confidence Low: Default outflow category; review counterparty/reference.</x:v>
      </x:c>
      <x:c r="T138" s="15" t="str"/>
      <x:c r="U138" s="15" t="str"/>
      <x:c r="V138" s="15" t="str">
        <x:v>Kruger Safari 1667</x:v>
      </x:c>
      <x:c r="W138" s="15" t="str">
        <x:v>Smartapp</x:v>
      </x:c>
      <x:c r="X138" s="15" t="str">
        <x:v>FNB :-) R5704.00 paid from Current a/c..512781 @ Smartapp. Avail R4854. Ref.Kruger Safari 1667. 21Nov 15:17</x:v>
      </x:c>
      <x:c r="Y138" s="15" t="str">
        <x:v>e65b6aabcfbc6603</x:v>
      </x:c>
    </x:row>
    <x:row r="139">
      <x:c r="A139" s="34" t="n">
        <x:v>45983.54027777778</x:v>
      </x:c>
      <x:c r="B139" s="36" t="n">
        <x:v>45983</x:v>
      </x:c>
      <x:c r="C139" s="34" t="n">
        <x:v>45983.540347222224</x:v>
      </x:c>
      <x:c r="D139" s="15" t="str">
        <x:v>Current a/c..512781</x:v>
      </x:c>
      <x:c r="E139" s="15" t="str">
        <x:v>card..2924</x:v>
      </x:c>
      <x:c r="F139" s="15" t="str">
        <x:v>R493.41 reserved for purchase @ Tops Komatipoort from Current a/c..512781 using card..2924. Avail R4341. 22Nov 12:58</x:v>
      </x:c>
      <x:c r="G139" s="15" t="str">
        <x:v>Tops Komatipoort</x:v>
      </x:c>
      <x:c r="H139" s="38" t="n">
        <x:v>493.41</x:v>
      </x:c>
      <x:c r="I139" s="15" t="str">
        <x:v>ZAR</x:v>
      </x:c>
      <x:c r="J139" s="15" t="str">
        <x:v>Outflow</x:v>
      </x:c>
      <x:c r="K139" s="15" t="str">
        <x:v>Card purchase</x:v>
      </x:c>
      <x:c r="L139" s="15" t="str">
        <x:v>Meals / restaurants / entertainment</x:v>
      </x:c>
      <x:c r="M139" s="38"/>
      <x:c r="N139" s="38" t="n">
        <x:v>4341</x:v>
      </x:c>
      <x:c r="O139" s="15" t="str"/>
      <x:c r="P139" s="15" t="str">
        <x:v>eml_ALL_currentac__512781 (2).zip &gt; eml10currentac__512781.zip</x:v>
      </x:c>
      <x:c r="Q139" s="15" t="str">
        <x:v>FNB _-) R493.41 reserved for purchase @ Tops Komatipoort from Current a_c..512781 using card..2924. 22Nov 12_58.eml</x:v>
      </x:c>
      <x:c r="R139" s="15" t="str">
        <x:v>High</x:v>
      </x:c>
      <x:c r="S139" s="15" t="str"/>
      <x:c r="T139" s="15" t="str"/>
      <x:c r="U139" s="15" t="str"/>
      <x:c r="V139" s="15" t="str"/>
      <x:c r="W139" s="15" t="str"/>
      <x:c r="X139" s="15" t="str">
        <x:v>FNB :-) R493.41 reserved for purchase @ Tops Komatipoort from Current a/c..512781 using card..2924. Avail R4341. 22Nov 12:58</x:v>
      </x:c>
      <x:c r="Y139" s="15" t="str">
        <x:v>935831124194b5bf</x:v>
      </x:c>
    </x:row>
    <x:row r="140">
      <x:c r="A140" s="34" t="n">
        <x:v>45984.47638888889</x:v>
      </x:c>
      <x:c r="B140" s="36" t="n">
        <x:v>45984</x:v>
      </x:c>
      <x:c r="C140" s="34" t="n">
        <x:v>45984.47704861111</x:v>
      </x:c>
      <x:c r="D140" s="15" t="str">
        <x:v>Current a/c..512781</x:v>
      </x:c>
      <x:c r="E140" s="15" t="str"/>
      <x:c r="F140" s="15" t="str">
        <x:v>R2000.00 t/fer from Current a/c..512781 to Current a/c..261544 @ Smartapp. Avail R2291. 23Nov 11:26</x:v>
      </x:c>
      <x:c r="G140" s="15" t="str">
        <x:v>Current a/c..261544</x:v>
      </x:c>
      <x:c r="H140" s="38" t="n">
        <x:v>2000</x:v>
      </x:c>
      <x:c r="I140" s="15" t="str">
        <x:v>ZAR</x:v>
      </x:c>
      <x:c r="J140" s="15" t="str">
        <x:v>Internal Transfer</x:v>
      </x:c>
      <x:c r="K140" s="15" t="str">
        <x:v>Internal transfer</x:v>
      </x:c>
      <x:c r="L140" s="15" t="str">
        <x:v>Inter-account transfer</x:v>
      </x:c>
      <x:c r="M140" s="38"/>
      <x:c r="N140" s="38" t="n">
        <x:v>2291</x:v>
      </x:c>
      <x:c r="O140" s="15" t="str"/>
      <x:c r="P140" s="15" t="str">
        <x:v>eml_ALL_currentac__512781 (2).zip &gt; eml10currentac__512781.zip</x:v>
      </x:c>
      <x:c r="Q140" s="15" t="str">
        <x:v>FNB _-) R2000.00 t_fer from Current a_c..512781 to Current a_c..261544 @ Smartapp. 23Nov 11_26.eml</x:v>
      </x:c>
      <x:c r="R140" s="15" t="str">
        <x:v>High</x:v>
      </x:c>
      <x:c r="S140" s="15" t="str">
        <x:v>Classified as internal/inter-account transfer and excluded from operating cashflow.</x:v>
      </x:c>
      <x:c r="T140" s="15" t="str">
        <x:v>Current a/c..512781</x:v>
      </x:c>
      <x:c r="U140" s="15" t="str">
        <x:v>Current a/c..261544</x:v>
      </x:c>
      <x:c r="V140" s="15" t="str"/>
      <x:c r="W140" s="15" t="str">
        <x:v>Smartapp</x:v>
      </x:c>
      <x:c r="X140" s="15" t="str">
        <x:v>FNB :-) R2000.00 t/fer from Current a/c..512781 to Current a/c..261544 @ Smartapp. Avail R2291. 23Nov 11:26</x:v>
      </x:c>
      <x:c r="Y140" s="15" t="str">
        <x:v>819650a41a4c27ec</x:v>
      </x:c>
    </x:row>
    <x:row r="141">
      <x:c r="A141" s="34" t="n">
        <x:v>45985.44930555556</x:v>
      </x:c>
      <x:c r="B141" s="36" t="n">
        <x:v>45985</x:v>
      </x:c>
      <x:c r="C141" s="34" t="n">
        <x:v>45985.4497337963</x:v>
      </x:c>
      <x:c r="D141" s="15" t="str">
        <x:v>Current a/c..512781</x:v>
      </x:c>
      <x:c r="E141" s="15" t="str"/>
      <x:c r="F141" s="15" t="str">
        <x:v>R5000.00 paid to Current a/c..512781 @ Smartapp. Ref.Dreyer. 24Nov 10:47</x:v>
      </x:c>
      <x:c r="G141" s="15" t="str">
        <x:v>Dreyer</x:v>
      </x:c>
      <x:c r="H141" s="38" t="n">
        <x:v>5000</x:v>
      </x:c>
      <x:c r="I141" s="15" t="str">
        <x:v>ZAR</x:v>
      </x:c>
      <x:c r="J141" s="15" t="str">
        <x:v>Inflow</x:v>
      </x:c>
      <x:c r="K141" s="15" t="str">
        <x:v>EFT receipt</x:v>
      </x:c>
      <x:c r="L141" s="15" t="str">
        <x:v>Sales / customer receipts</x:v>
      </x:c>
      <x:c r="M141" s="38"/>
      <x:c r="N141" s="38"/>
      <x:c r="O141" s="15" t="str"/>
      <x:c r="P141" s="15" t="str">
        <x:v>eml_ALL_currentac__512781 (2).zip &gt; eml10currentac__512781.zip</x:v>
      </x:c>
      <x:c r="Q141" s="15" t="str">
        <x:v>FNB _-) R5000.00 paid to Current a_c..512781 @ Smartapp. Ref.Dreyer. 24Nov 10_47.eml</x:v>
      </x:c>
      <x:c r="R141" s="15" t="str">
        <x:v>High</x:v>
      </x:c>
      <x:c r="S141" s="15" t="str">
        <x:v>Category confidence Medium: Default for incoming EFT/PayShap/online receipt.</x:v>
      </x:c>
      <x:c r="T141" s="15" t="str"/>
      <x:c r="U141" s="15" t="str"/>
      <x:c r="V141" s="15" t="str">
        <x:v>Dreyer</x:v>
      </x:c>
      <x:c r="W141" s="15" t="str">
        <x:v>Smartapp</x:v>
      </x:c>
      <x:c r="X141" s="15" t="str">
        <x:v>FNB :-) R5000.00 paid to Current a/c..512781 @ Smartapp. Ref.Dreyer. 24Nov 10:47</x:v>
      </x:c>
      <x:c r="Y141" s="15" t="str">
        <x:v>0c114bd6d63b9a5c</x:v>
      </x:c>
    </x:row>
    <x:row r="142">
      <x:c r="A142" s="34" t="n">
        <x:v>45985.572916666664</x:v>
      </x:c>
      <x:c r="B142" s="36" t="n">
        <x:v>45985</x:v>
      </x:c>
      <x:c r="C142" s="34" t="n">
        <x:v>45985.57324074074</x:v>
      </x:c>
      <x:c r="D142" s="15" t="str">
        <x:v>Current a/c..512781</x:v>
      </x:c>
      <x:c r="E142" s="15" t="str">
        <x:v>card..2924</x:v>
      </x:c>
      <x:c r="F142" s="15" t="str">
        <x:v>R193.75 reserved for purchase @ Savemor Marloth from Current a/c..512781 using card..2924. Avail R6886. 24Nov 13:45</x:v>
      </x:c>
      <x:c r="G142" s="15" t="str">
        <x:v>Savemor Marloth</x:v>
      </x:c>
      <x:c r="H142" s="38" t="n">
        <x:v>193.75</x:v>
      </x:c>
      <x:c r="I142" s="15" t="str">
        <x:v>ZAR</x:v>
      </x:c>
      <x:c r="J142" s="15" t="str">
        <x:v>Outflow</x:v>
      </x:c>
      <x:c r="K142" s="15" t="str">
        <x:v>Card purchase</x:v>
      </x:c>
      <x:c r="L142" s="15" t="str">
        <x:v>Supplier payments</x:v>
      </x:c>
      <x:c r="M142" s="38"/>
      <x:c r="N142" s="38" t="n">
        <x:v>6886</x:v>
      </x:c>
      <x:c r="O142" s="15" t="str"/>
      <x:c r="P142" s="15" t="str">
        <x:v>eml_ALL_currentac__512781 (2).zip &gt; eml10currentac__512781.zip</x:v>
      </x:c>
      <x:c r="Q142" s="15" t="str">
        <x:v>FNB _-) R193.75 reserved for purchase @ Savemor Marloth from Current a_c..512781 using card..2924. 24Nov 13_45.eml</x:v>
      </x:c>
      <x:c r="R142" s="15" t="str">
        <x:v>High</x:v>
      </x:c>
      <x:c r="S142" s="15" t="str">
        <x:v>Category confidence Medium: Retail/supplier merchant keyword.</x:v>
      </x:c>
      <x:c r="T142" s="15" t="str"/>
      <x:c r="U142" s="15" t="str"/>
      <x:c r="V142" s="15" t="str"/>
      <x:c r="W142" s="15" t="str"/>
      <x:c r="X142" s="15" t="str">
        <x:v>FNB :-) R193.75 reserved for purchase @ Savemor Marloth from Current a/c..512781 using card..2924. Avail R6886. 24Nov 13:45</x:v>
      </x:c>
      <x:c r="Y142" s="15" t="str">
        <x:v>6e3fb7b2a90885d8</x:v>
      </x:c>
    </x:row>
    <x:row r="143">
      <x:c r="A143" s="34" t="n">
        <x:v>45985.58125</x:v>
      </x:c>
      <x:c r="B143" s="36" t="n">
        <x:v>45985</x:v>
      </x:c>
      <x:c r="C143" s="34" t="n">
        <x:v>45985.58149305556</x:v>
      </x:c>
      <x:c r="D143" s="15" t="str">
        <x:v>Current a/c..512781</x:v>
      </x:c>
      <x:c r="E143" s="15" t="str"/>
      <x:c r="F143" s="15" t="str">
        <x:v>R1844.17 paid to Current a/c..512781 @ Payshap. Ref.Ik Pay 487882. 24Nov 13:57</x:v>
      </x:c>
      <x:c r="G143" s="15" t="str">
        <x:v>Ik Pay 487882</x:v>
      </x:c>
      <x:c r="H143" s="38" t="n">
        <x:v>1844.17</x:v>
      </x:c>
      <x:c r="I143" s="15" t="str">
        <x:v>ZAR</x:v>
      </x:c>
      <x:c r="J143" s="15" t="str">
        <x:v>Inflow</x:v>
      </x:c>
      <x:c r="K143" s="15" t="str">
        <x:v>EFT receipt</x:v>
      </x:c>
      <x:c r="L143" s="15" t="str">
        <x:v>Sales / customer receipts</x:v>
      </x:c>
      <x:c r="M143" s="38"/>
      <x:c r="N143" s="38"/>
      <x:c r="O143" s="15" t="str"/>
      <x:c r="P143" s="15" t="str">
        <x:v>eml_ALL_currentac__512781 (2).zip &gt; eml10currentac__512781.zip</x:v>
      </x:c>
      <x:c r="Q143" s="15" t="str">
        <x:v>FNB _-) R1844.17 paid to Current a_c..512781 @ Payshap. Ref.Ik Pay 487882. 24Nov 13_57.eml</x:v>
      </x:c>
      <x:c r="R143" s="15" t="str">
        <x:v>High</x:v>
      </x:c>
      <x:c r="S143" s="15" t="str">
        <x:v>Category confidence Medium: Default for incoming EFT/PayShap/online receipt.</x:v>
      </x:c>
      <x:c r="T143" s="15" t="str"/>
      <x:c r="U143" s="15" t="str"/>
      <x:c r="V143" s="15" t="str">
        <x:v>Ik Pay 487882</x:v>
      </x:c>
      <x:c r="W143" s="15" t="str">
        <x:v>Payshap</x:v>
      </x:c>
      <x:c r="X143" s="15" t="str">
        <x:v>FNB :-) R1844.17 paid to Current a/c..512781 @ Payshap. Ref.Ik Pay 487882. 24Nov 13:57</x:v>
      </x:c>
      <x:c r="Y143" s="15" t="str">
        <x:v>713467baee71ddf4</x:v>
      </x:c>
    </x:row>
    <x:row r="144">
      <x:c r="A144" s="34" t="n">
        <x:v>45985.618055555555</x:v>
      </x:c>
      <x:c r="B144" s="36" t="n">
        <x:v>45985</x:v>
      </x:c>
      <x:c r="C144" s="34" t="n">
        <x:v>45985.61833333333</x:v>
      </x:c>
      <x:c r="D144" s="15" t="str">
        <x:v>Current a/c..512781</x:v>
      </x:c>
      <x:c r="E144" s="15" t="str">
        <x:v>card..2924</x:v>
      </x:c>
      <x:c r="F144" s="15" t="str">
        <x:v>R200.00 reserved for purchase @ Marlothi Petrol Stat from Current a/c..512781 using card..2924. Avail R7928. 24Nov 14:50</x:v>
      </x:c>
      <x:c r="G144" s="15" t="str">
        <x:v>Marlothi Petrol Stat</x:v>
      </x:c>
      <x:c r="H144" s="38" t="n">
        <x:v>200</x:v>
      </x:c>
      <x:c r="I144" s="15" t="str">
        <x:v>ZAR</x:v>
      </x:c>
      <x:c r="J144" s="15" t="str">
        <x:v>Outflow</x:v>
      </x:c>
      <x:c r="K144" s="15" t="str">
        <x:v>Card purchase</x:v>
      </x:c>
      <x:c r="L144" s="15" t="str">
        <x:v>Fuel / transport</x:v>
      </x:c>
      <x:c r="M144" s="38"/>
      <x:c r="N144" s="38" t="n">
        <x:v>7928</x:v>
      </x:c>
      <x:c r="O144" s="15" t="str"/>
      <x:c r="P144" s="15" t="str">
        <x:v>eml_ALL_currentac__512781 (2).zip &gt; eml10currentac__512781.zip</x:v>
      </x:c>
      <x:c r="Q144" s="15" t="str">
        <x:v>FNB _-) R200.00 reserved for purchase @ Marlothi Petrol Stat from Current a_c..512781 using card..2924. 24Nov 14_50.eml</x:v>
      </x:c>
      <x:c r="R144" s="15" t="str">
        <x:v>High</x:v>
      </x:c>
      <x:c r="S144" s="15" t="str"/>
      <x:c r="T144" s="15" t="str"/>
      <x:c r="U144" s="15" t="str"/>
      <x:c r="V144" s="15" t="str"/>
      <x:c r="W144" s="15" t="str"/>
      <x:c r="X144" s="15" t="str">
        <x:v>FNB :-) R200.00 reserved for purchase @ Marlothi Petrol Stat from Current a/c..512781 using card..2924. Avail R7928. 24Nov 14:50</x:v>
      </x:c>
      <x:c r="Y144" s="15" t="str">
        <x:v>f31711c3f64d5f80</x:v>
      </x:c>
    </x:row>
    <x:row r="145">
      <x:c r="A145" s="34" t="n">
        <x:v>45986.677083333336</x:v>
      </x:c>
      <x:c r="B145" s="36" t="n">
        <x:v>45986</x:v>
      </x:c>
      <x:c r="C145" s="34" t="n">
        <x:v>45986.67732638889</x:v>
      </x:c>
      <x:c r="D145" s="15" t="str">
        <x:v>Current a/c..512781</x:v>
      </x:c>
      <x:c r="E145" s="15" t="str"/>
      <x:c r="F145" s="15" t="str">
        <x:v>R2000.00 t/fer from Current a/c..512781 to Current a/c..261544 @ Smartapp. Avail R5707. 25Nov 16:15</x:v>
      </x:c>
      <x:c r="G145" s="15" t="str">
        <x:v>Current a/c..261544</x:v>
      </x:c>
      <x:c r="H145" s="38" t="n">
        <x:v>2000</x:v>
      </x:c>
      <x:c r="I145" s="15" t="str">
        <x:v>ZAR</x:v>
      </x:c>
      <x:c r="J145" s="15" t="str">
        <x:v>Internal Transfer</x:v>
      </x:c>
      <x:c r="K145" s="15" t="str">
        <x:v>Internal transfer</x:v>
      </x:c>
      <x:c r="L145" s="15" t="str">
        <x:v>Inter-account transfer</x:v>
      </x:c>
      <x:c r="M145" s="38"/>
      <x:c r="N145" s="38" t="n">
        <x:v>5707</x:v>
      </x:c>
      <x:c r="O145" s="15" t="str"/>
      <x:c r="P145" s="15" t="str">
        <x:v>eml_ALL_currentac__512781 (2).zip &gt; eml10currentac__512781.zip</x:v>
      </x:c>
      <x:c r="Q145" s="15" t="str">
        <x:v>FNB _-) R2000.00 t_fer from Current a_c..512781 to Current a_c..261544 @ Smartapp. 25Nov 16_15.eml</x:v>
      </x:c>
      <x:c r="R145" s="15" t="str">
        <x:v>High</x:v>
      </x:c>
      <x:c r="S145" s="15" t="str">
        <x:v>Classified as internal/inter-account transfer and excluded from operating cashflow.</x:v>
      </x:c>
      <x:c r="T145" s="15" t="str">
        <x:v>Current a/c..512781</x:v>
      </x:c>
      <x:c r="U145" s="15" t="str">
        <x:v>Current a/c..261544</x:v>
      </x:c>
      <x:c r="V145" s="15" t="str"/>
      <x:c r="W145" s="15" t="str">
        <x:v>Smartapp</x:v>
      </x:c>
      <x:c r="X145" s="15" t="str">
        <x:v>FNB :-) R2000.00 t/fer from Current a/c..512781 to Current a/c..261544 @ Smartapp. Avail R5707. 25Nov 16:15</x:v>
      </x:c>
      <x:c r="Y145" s="15" t="str">
        <x:v>a1a0bb1150342422</x:v>
      </x:c>
    </x:row>
    <x:row r="146">
      <x:c r="A146" s="34" t="n">
        <x:v>45987.50902777778</x:v>
      </x:c>
      <x:c r="B146" s="36" t="n">
        <x:v>45987</x:v>
      </x:c>
      <x:c r="C146" s="34" t="n">
        <x:v>45987.50960648148</x:v>
      </x:c>
      <x:c r="D146" s="15" t="str">
        <x:v>Current a/c..512781</x:v>
      </x:c>
      <x:c r="E146" s="15" t="str">
        <x:v>card..2924</x:v>
      </x:c>
      <x:c r="F146" s="15" t="str">
        <x:v>R321.00 reserved for purchase @ Waterkloofgas 236 from Current a/c..512781 using card..2924. Avail R5278. 26Nov 12:13</x:v>
      </x:c>
      <x:c r="G146" s="15" t="str">
        <x:v>Waterkloofgas 236</x:v>
      </x:c>
      <x:c r="H146" s="38" t="n">
        <x:v>321</x:v>
      </x:c>
      <x:c r="I146" s="15" t="str">
        <x:v>ZAR</x:v>
      </x:c>
      <x:c r="J146" s="15" t="str">
        <x:v>Outflow</x:v>
      </x:c>
      <x:c r="K146" s="15" t="str">
        <x:v>Card purchase</x:v>
      </x:c>
      <x:c r="L146" s="15" t="str">
        <x:v>Card spend</x:v>
      </x:c>
      <x:c r="M146" s="38"/>
      <x:c r="N146" s="38" t="n">
        <x:v>5278</x:v>
      </x:c>
      <x:c r="O146" s="15" t="str"/>
      <x:c r="P146" s="15" t="str">
        <x:v>eml_ALL_currentac__512781 (2).zip &gt; eml10currentac__512781.zip</x:v>
      </x:c>
      <x:c r="Q146" s="15" t="str">
        <x:v>FNB _-) R321.00 reserved for purchase @ Waterkloofgas 236 from Current a_c..512781 using card..2924. 26Nov 12_13.eml</x:v>
      </x:c>
      <x:c r="R146" s="15" t="str">
        <x:v>High</x:v>
      </x:c>
      <x:c r="S146" s="15" t="str">
        <x:v>Category confidence Low: Default card-spend category; merchant not confidently mapped.</x:v>
      </x:c>
      <x:c r="T146" s="15" t="str"/>
      <x:c r="U146" s="15" t="str"/>
      <x:c r="V146" s="15" t="str"/>
      <x:c r="W146" s="15" t="str"/>
      <x:c r="X146" s="15" t="str">
        <x:v>FNB :-) R321.00 reserved for purchase @ Waterkloofgas 236 from Current a/c..512781 using card..2924. Avail R5278. 26Nov 12:13</x:v>
      </x:c>
      <x:c r="Y146" s="15" t="str">
        <x:v>23c0fd46b2ae501b</x:v>
      </x:c>
    </x:row>
    <x:row r="147">
      <x:c r="A147" s="34" t="n">
        <x:v>45987.544444444444</x:v>
      </x:c>
      <x:c r="B147" s="36" t="n">
        <x:v>45987</x:v>
      </x:c>
      <x:c r="C147" s="34" t="n">
        <x:v>45987.544756944444</x:v>
      </x:c>
      <x:c r="D147" s="15" t="str">
        <x:v>Current a/c..512781</x:v>
      </x:c>
      <x:c r="E147" s="15" t="str"/>
      <x:c r="F147" s="15" t="str">
        <x:v>R1484.00 paid from Current a/c..512781 @ Smartapp. Avail R3791. Ref.Dinner Box 102794. 26Nov 13:04</x:v>
      </x:c>
      <x:c r="G147" s="15" t="str">
        <x:v>Dinner Box 102794</x:v>
      </x:c>
      <x:c r="H147" s="38" t="n">
        <x:v>1484</x:v>
      </x:c>
      <x:c r="I147" s="15" t="str">
        <x:v>ZAR</x:v>
      </x:c>
      <x:c r="J147" s="15" t="str">
        <x:v>Outflow</x:v>
      </x:c>
      <x:c r="K147" s="15" t="str">
        <x:v>EFT payment</x:v>
      </x:c>
      <x:c r="L147" s="15" t="str">
        <x:v>Meals / restaurants / entertainment</x:v>
      </x:c>
      <x:c r="M147" s="38"/>
      <x:c r="N147" s="38" t="n">
        <x:v>3791</x:v>
      </x:c>
      <x:c r="O147" s="15" t="str"/>
      <x:c r="P147" s="15" t="str">
        <x:v>eml_ALL_currentac__512781 (2).zip &gt; eml10currentac__512781.zip</x:v>
      </x:c>
      <x:c r="Q147" s="15" t="str">
        <x:v>FNB _-) R1484.00 paid from Current a_c..512781 @ Smartapp. Ref.Dinner Box 102794. 26Nov 13_04.eml</x:v>
      </x:c>
      <x:c r="R147" s="15" t="str">
        <x:v>High</x:v>
      </x:c>
      <x:c r="S147" s="15" t="str"/>
      <x:c r="T147" s="15" t="str"/>
      <x:c r="U147" s="15" t="str"/>
      <x:c r="V147" s="15" t="str">
        <x:v>Dinner Box 102794</x:v>
      </x:c>
      <x:c r="W147" s="15" t="str">
        <x:v>Smartapp</x:v>
      </x:c>
      <x:c r="X147" s="15" t="str">
        <x:v>FNB :-) R1484.00 paid from Current a/c..512781 @ Smartapp. Avail R3791. Ref.Dinner Box 102794. 26Nov 13:04</x:v>
      </x:c>
      <x:c r="Y147" s="15" t="str">
        <x:v>af2c2d9071c9ab8b</x:v>
      </x:c>
    </x:row>
    <x:row r="148">
      <x:c r="A148" s="34" t="n">
        <x:v>45987.57986111111</x:v>
      </x:c>
      <x:c r="B148" s="36" t="n">
        <x:v>45987</x:v>
      </x:c>
      <x:c r="C148" s="34" t="n">
        <x:v>45987.580347222225</x:v>
      </x:c>
      <x:c r="D148" s="15" t="str">
        <x:v>Current a/c..512781</x:v>
      </x:c>
      <x:c r="E148" s="15" t="str"/>
      <x:c r="F148" s="15" t="str">
        <x:v>R4186.49 paid to Current a/c..512781 @ Payshap. Ref.Ik Pay 487882. 26Nov 13:55</x:v>
      </x:c>
      <x:c r="G148" s="15" t="str">
        <x:v>Ik Pay 487882</x:v>
      </x:c>
      <x:c r="H148" s="38" t="n">
        <x:v>4186.49</x:v>
      </x:c>
      <x:c r="I148" s="15" t="str">
        <x:v>ZAR</x:v>
      </x:c>
      <x:c r="J148" s="15" t="str">
        <x:v>Inflow</x:v>
      </x:c>
      <x:c r="K148" s="15" t="str">
        <x:v>EFT receipt</x:v>
      </x:c>
      <x:c r="L148" s="15" t="str">
        <x:v>Sales / customer receipts</x:v>
      </x:c>
      <x:c r="M148" s="38"/>
      <x:c r="N148" s="38"/>
      <x:c r="O148" s="15" t="str"/>
      <x:c r="P148" s="15" t="str">
        <x:v>eml_ALL_currentac__512781 (2).zip &gt; eml10currentac__512781.zip</x:v>
      </x:c>
      <x:c r="Q148" s="15" t="str">
        <x:v>FNB _-) R4186.49 paid to Current a_c..512781 @ Payshap. Ref.Ik Pay 487882. 26Nov 13_55.eml</x:v>
      </x:c>
      <x:c r="R148" s="15" t="str">
        <x:v>High</x:v>
      </x:c>
      <x:c r="S148" s="15" t="str">
        <x:v>Category confidence Medium: Default for incoming EFT/PayShap/online receipt.</x:v>
      </x:c>
      <x:c r="T148" s="15" t="str"/>
      <x:c r="U148" s="15" t="str"/>
      <x:c r="V148" s="15" t="str">
        <x:v>Ik Pay 487882</x:v>
      </x:c>
      <x:c r="W148" s="15" t="str">
        <x:v>Payshap</x:v>
      </x:c>
      <x:c r="X148" s="15" t="str">
        <x:v>FNB :-) R4186.49 paid to Current a/c..512781 @ Payshap. Ref.Ik Pay 487882. 26Nov 13:55</x:v>
      </x:c>
      <x:c r="Y148" s="15" t="str">
        <x:v>b1b0d7340817a180</x:v>
      </x:c>
    </x:row>
    <x:row r="149">
      <x:c r="A149" s="34" t="n">
        <x:v>45987.6125</x:v>
      </x:c>
      <x:c r="B149" s="36" t="n">
        <x:v>45987</x:v>
      </x:c>
      <x:c r="C149" s="34" t="n">
        <x:v>45987.61309027778</x:v>
      </x:c>
      <x:c r="D149" s="15" t="str">
        <x:v>Current a/c..512781</x:v>
      </x:c>
      <x:c r="E149" s="15" t="str">
        <x:v>card..2924</x:v>
      </x:c>
      <x:c r="F149" s="15" t="str">
        <x:v>R250.00 reserved for purchase @ Marlothi Petrol Stat from Current a/c..512781 using card..2924. Avail R7727. 26Nov 14:42</x:v>
      </x:c>
      <x:c r="G149" s="15" t="str">
        <x:v>Marlothi Petrol Stat</x:v>
      </x:c>
      <x:c r="H149" s="38" t="n">
        <x:v>250</x:v>
      </x:c>
      <x:c r="I149" s="15" t="str">
        <x:v>ZAR</x:v>
      </x:c>
      <x:c r="J149" s="15" t="str">
        <x:v>Outflow</x:v>
      </x:c>
      <x:c r="K149" s="15" t="str">
        <x:v>Card purchase</x:v>
      </x:c>
      <x:c r="L149" s="15" t="str">
        <x:v>Fuel / transport</x:v>
      </x:c>
      <x:c r="M149" s="38"/>
      <x:c r="N149" s="38" t="n">
        <x:v>7727</x:v>
      </x:c>
      <x:c r="O149" s="15" t="str"/>
      <x:c r="P149" s="15" t="str">
        <x:v>eml_ALL_currentac__512781 (2).zip &gt; eml10currentac__512781.zip</x:v>
      </x:c>
      <x:c r="Q149" s="15" t="str">
        <x:v>FNB _-) R250.00 reserved for purchase @ Marlothi Petrol Stat from Current a_c..512781 using card..2924. 26Nov 14_42.eml</x:v>
      </x:c>
      <x:c r="R149" s="15" t="str">
        <x:v>High</x:v>
      </x:c>
      <x:c r="S149" s="15" t="str"/>
      <x:c r="T149" s="15" t="str"/>
      <x:c r="U149" s="15" t="str"/>
      <x:c r="V149" s="15" t="str"/>
      <x:c r="W149" s="15" t="str"/>
      <x:c r="X149" s="15" t="str">
        <x:v>FNB :-) R250.00 reserved for purchase @ Marlothi Petrol Stat from Current a/c..512781 using card..2924. Avail R7727. 26Nov 14:42</x:v>
      </x:c>
      <x:c r="Y149" s="15" t="str">
        <x:v>17ed8466cf034d69</x:v>
      </x:c>
    </x:row>
    <x:row r="150">
      <x:c r="A150" s="34" t="n">
        <x:v>45987.618055555555</x:v>
      </x:c>
      <x:c r="B150" s="36" t="n">
        <x:v>45987</x:v>
      </x:c>
      <x:c r="C150" s="34" t="n">
        <x:v>45987.61869212963</x:v>
      </x:c>
      <x:c r="D150" s="15" t="str">
        <x:v>Current a/c..512781</x:v>
      </x:c>
      <x:c r="E150" s="15" t="str">
        <x:v>card..2924</x:v>
      </x:c>
      <x:c r="F150" s="15" t="str">
        <x:v>R181.16 reserved for purchase @ Savemor Marloth from Current a/c..512781 using card..2924. Avail R7546. 26Nov 14:50</x:v>
      </x:c>
      <x:c r="G150" s="15" t="str">
        <x:v>Savemor Marloth</x:v>
      </x:c>
      <x:c r="H150" s="38" t="n">
        <x:v>181.16</x:v>
      </x:c>
      <x:c r="I150" s="15" t="str">
        <x:v>ZAR</x:v>
      </x:c>
      <x:c r="J150" s="15" t="str">
        <x:v>Outflow</x:v>
      </x:c>
      <x:c r="K150" s="15" t="str">
        <x:v>Card purchase</x:v>
      </x:c>
      <x:c r="L150" s="15" t="str">
        <x:v>Supplier payments</x:v>
      </x:c>
      <x:c r="M150" s="38"/>
      <x:c r="N150" s="38" t="n">
        <x:v>7546</x:v>
      </x:c>
      <x:c r="O150" s="15" t="str"/>
      <x:c r="P150" s="15" t="str">
        <x:v>eml_ALL_currentac__512781 (2).zip &gt; eml10currentac__512781.zip</x:v>
      </x:c>
      <x:c r="Q150" s="15" t="str">
        <x:v>FNB _-) R181.16 reserved for purchase @ Savemor Marloth from Current a_c..512781 using card..2924. 26Nov 14_50.eml</x:v>
      </x:c>
      <x:c r="R150" s="15" t="str">
        <x:v>High</x:v>
      </x:c>
      <x:c r="S150" s="15" t="str">
        <x:v>Category confidence Medium: Retail/supplier merchant keyword.</x:v>
      </x:c>
      <x:c r="T150" s="15" t="str"/>
      <x:c r="U150" s="15" t="str"/>
      <x:c r="V150" s="15" t="str"/>
      <x:c r="W150" s="15" t="str"/>
      <x:c r="X150" s="15" t="str">
        <x:v>FNB :-) R181.16 reserved for purchase @ Savemor Marloth from Current a/c..512781 using card..2924. Avail R7546. 26Nov 14:50</x:v>
      </x:c>
      <x:c r="Y150" s="15" t="str">
        <x:v>ff97ad014b53c86d</x:v>
      </x:c>
    </x:row>
    <x:row r="151">
      <x:c r="A151" s="34" t="n">
        <x:v>45987.62222222222</x:v>
      </x:c>
      <x:c r="B151" s="36" t="n">
        <x:v>45987</x:v>
      </x:c>
      <x:c r="C151" s="34" t="n">
        <x:v>45987.622407407405</x:v>
      </x:c>
      <x:c r="D151" s="15" t="str">
        <x:v>Current a/c..512781</x:v>
      </x:c>
      <x:c r="E151" s="15" t="str">
        <x:v>card..2924</x:v>
      </x:c>
      <x:c r="F151" s="15" t="str">
        <x:v>R379.96 reserved for purchase @ Savemor Marloth Liqu from Current a/c..512781 using card..2924. Avail R7166. 26Nov 14:56</x:v>
      </x:c>
      <x:c r="G151" s="15" t="str">
        <x:v>Savemor Marloth Liqu</x:v>
      </x:c>
      <x:c r="H151" s="38" t="n">
        <x:v>379.96</x:v>
      </x:c>
      <x:c r="I151" s="15" t="str">
        <x:v>ZAR</x:v>
      </x:c>
      <x:c r="J151" s="15" t="str">
        <x:v>Outflow</x:v>
      </x:c>
      <x:c r="K151" s="15" t="str">
        <x:v>Card purchase</x:v>
      </x:c>
      <x:c r="L151" s="15" t="str">
        <x:v>Meals / restaurants / entertainment</x:v>
      </x:c>
      <x:c r="M151" s="38"/>
      <x:c r="N151" s="38" t="n">
        <x:v>7166</x:v>
      </x:c>
      <x:c r="O151" s="15" t="str"/>
      <x:c r="P151" s="15" t="str">
        <x:v>eml_ALL_currentac__512781 (2).zip &gt; eml10currentac__512781.zip</x:v>
      </x:c>
      <x:c r="Q151" s="15" t="str">
        <x:v>FNB _-) R379.96 reserved for purchase @ Savemor Marloth Liqu from Current a_c..512781 using card..2924. 26Nov 14_56.eml</x:v>
      </x:c>
      <x:c r="R151" s="15" t="str">
        <x:v>High</x:v>
      </x:c>
      <x:c r="S151" s="15" t="str"/>
      <x:c r="T151" s="15" t="str"/>
      <x:c r="U151" s="15" t="str"/>
      <x:c r="V151" s="15" t="str"/>
      <x:c r="W151" s="15" t="str"/>
      <x:c r="X151" s="15" t="str">
        <x:v>FNB :-) R379.96 reserved for purchase @ Savemor Marloth Liqu from Current a/c..512781 using card..2924. Avail R7166. 26Nov 14:56</x:v>
      </x:c>
      <x:c r="Y151" s="15" t="str">
        <x:v>cdfb8a79e8128238</x:v>
      </x:c>
    </x:row>
    <x:row r="152">
      <x:c r="A152" s="34" t="n">
        <x:v>45987.65</x:v>
      </x:c>
      <x:c r="B152" s="36" t="n">
        <x:v>45987</x:v>
      </x:c>
      <x:c r="C152" s="34" t="n">
        <x:v>45987.650358796294</x:v>
      </x:c>
      <x:c r="D152" s="15" t="str">
        <x:v>Current a/c..512781</x:v>
      </x:c>
      <x:c r="E152" s="15" t="str"/>
      <x:c r="F152" s="15" t="str">
        <x:v>R2440.00 paid from Current a/c..512781 @ Smartapp. Avail R4718. Ref.Kruger Safari 1668. 26Nov 15:36</x:v>
      </x:c>
      <x:c r="G152" s="15" t="str">
        <x:v>Kruger Safari 1668</x:v>
      </x:c>
      <x:c r="H152" s="38" t="n">
        <x:v>2440</x:v>
      </x:c>
      <x:c r="I152" s="15" t="str">
        <x:v>ZAR</x:v>
      </x:c>
      <x:c r="J152" s="15" t="str">
        <x:v>Outflow</x:v>
      </x:c>
      <x:c r="K152" s="15" t="str">
        <x:v>EFT payment</x:v>
      </x:c>
      <x:c r="L152" s="15" t="str">
        <x:v>Supplier payments</x:v>
      </x:c>
      <x:c r="M152" s="38"/>
      <x:c r="N152" s="38" t="n">
        <x:v>4718</x:v>
      </x:c>
      <x:c r="O152" s="15" t="str"/>
      <x:c r="P152" s="15" t="str">
        <x:v>eml_ALL_currentac__512781 (2).zip &gt; eml10currentac__512781.zip</x:v>
      </x:c>
      <x:c r="Q152" s="15" t="str">
        <x:v>FNB _-) R2440.00 paid from Current a_c..512781 @ Smartapp. Ref.Kruger Safari 1668. 26Nov 15_36.eml</x:v>
      </x:c>
      <x:c r="R152" s="15" t="str">
        <x:v>High</x:v>
      </x:c>
      <x:c r="S152" s="15" t="str">
        <x:v>Category confidence Low: Default outflow category; review counterparty/reference.</x:v>
      </x:c>
      <x:c r="T152" s="15" t="str"/>
      <x:c r="U152" s="15" t="str"/>
      <x:c r="V152" s="15" t="str">
        <x:v>Kruger Safari 1668</x:v>
      </x:c>
      <x:c r="W152" s="15" t="str">
        <x:v>Smartapp</x:v>
      </x:c>
      <x:c r="X152" s="15" t="str">
        <x:v>FNB :-) R2440.00 paid from Current a/c..512781 @ Smartapp. Avail R4718. Ref.Kruger Safari 1668. 26Nov 15:36</x:v>
      </x:c>
      <x:c r="Y152" s="15" t="str">
        <x:v>3835767680f1276b</x:v>
      </x:c>
    </x:row>
    <x:row r="153">
      <x:c r="A153" s="34" t="n">
        <x:v>45988.11736111111</x:v>
      </x:c>
      <x:c r="B153" s="36" t="n">
        <x:v>45988</x:v>
      </x:c>
      <x:c r="C153" s="34" t="n">
        <x:v>45988.11755787037</x:v>
      </x:c>
      <x:c r="D153" s="15" t="str">
        <x:v>Current a/c..512781</x:v>
      </x:c>
      <x:c r="E153" s="15" t="str"/>
      <x:c r="F153" s="15" t="str">
        <x:v>R2910.00 paid from Current a/c..512781 @ Smartapp. Avail R1790. Ref.Kruger Safari 1669. 27Nov 02:49</x:v>
      </x:c>
      <x:c r="G153" s="15" t="str">
        <x:v>Kruger Safari 1669</x:v>
      </x:c>
      <x:c r="H153" s="38" t="n">
        <x:v>2910</x:v>
      </x:c>
      <x:c r="I153" s="15" t="str">
        <x:v>ZAR</x:v>
      </x:c>
      <x:c r="J153" s="15" t="str">
        <x:v>Outflow</x:v>
      </x:c>
      <x:c r="K153" s="15" t="str">
        <x:v>EFT payment</x:v>
      </x:c>
      <x:c r="L153" s="15" t="str">
        <x:v>Supplier payments</x:v>
      </x:c>
      <x:c r="M153" s="38"/>
      <x:c r="N153" s="38" t="n">
        <x:v>1790</x:v>
      </x:c>
      <x:c r="O153" s="15" t="str"/>
      <x:c r="P153" s="15" t="str">
        <x:v>eml_ALL_currentac__512781 (2).zip &gt; eml10currentac__512781.zip</x:v>
      </x:c>
      <x:c r="Q153" s="15" t="str">
        <x:v>FNB _-) R2910.00 paid from Current a_c..512781 @ Smartapp. Ref.Kruger Safari 1669. 27Nov 02_49.eml</x:v>
      </x:c>
      <x:c r="R153" s="15" t="str">
        <x:v>High</x:v>
      </x:c>
      <x:c r="S153" s="15" t="str">
        <x:v>Category confidence Low: Default outflow category; review counterparty/reference.</x:v>
      </x:c>
      <x:c r="T153" s="15" t="str"/>
      <x:c r="U153" s="15" t="str"/>
      <x:c r="V153" s="15" t="str">
        <x:v>Kruger Safari 1669</x:v>
      </x:c>
      <x:c r="W153" s="15" t="str">
        <x:v>Smartapp</x:v>
      </x:c>
      <x:c r="X153" s="15" t="str">
        <x:v>FNB :-) R2910.00 paid from Current a/c..512781 @ Smartapp. Avail R1790. Ref.Kruger Safari 1669. 27Nov 02:49</x:v>
      </x:c>
      <x:c r="Y153" s="15" t="str">
        <x:v>1279d9a75ddacc1b</x:v>
      </x:c>
    </x:row>
    <x:row r="154">
      <x:c r="A154" s="34" t="n">
        <x:v>45988.58125</x:v>
      </x:c>
      <x:c r="B154" s="36" t="n">
        <x:v>45988</x:v>
      </x:c>
      <x:c r="C154" s="34" t="n">
        <x:v>45988.58137731482</x:v>
      </x:c>
      <x:c r="D154" s="15" t="str">
        <x:v>Current a/c..512781</x:v>
      </x:c>
      <x:c r="E154" s="15" t="str"/>
      <x:c r="F154" s="15" t="str">
        <x:v>R10359.20 paid to Current a/c..512781 @ Payshap. Ref.Ik Pay 487882. 27Nov 13:57</x:v>
      </x:c>
      <x:c r="G154" s="15" t="str">
        <x:v>Ik Pay 487882</x:v>
      </x:c>
      <x:c r="H154" s="38" t="n">
        <x:v>10359.2</x:v>
      </x:c>
      <x:c r="I154" s="15" t="str">
        <x:v>ZAR</x:v>
      </x:c>
      <x:c r="J154" s="15" t="str">
        <x:v>Inflow</x:v>
      </x:c>
      <x:c r="K154" s="15" t="str">
        <x:v>EFT receipt</x:v>
      </x:c>
      <x:c r="L154" s="15" t="str">
        <x:v>Sales / customer receipts</x:v>
      </x:c>
      <x:c r="M154" s="38"/>
      <x:c r="N154" s="38"/>
      <x:c r="O154" s="15" t="str"/>
      <x:c r="P154" s="15" t="str">
        <x:v>eml_ALL_currentac__512781 (2).zip &gt; eml10currentac__512781.zip</x:v>
      </x:c>
      <x:c r="Q154" s="15" t="str">
        <x:v>FNB _-) R10359.20 paid to Current a_c..512781 @ Payshap. Ref.Ik Pay 487882. 27Nov 13_57.eml</x:v>
      </x:c>
      <x:c r="R154" s="15" t="str">
        <x:v>High</x:v>
      </x:c>
      <x:c r="S154" s="15" t="str">
        <x:v>Category confidence Medium: Default for incoming EFT/PayShap/online receipt.</x:v>
      </x:c>
      <x:c r="T154" s="15" t="str"/>
      <x:c r="U154" s="15" t="str"/>
      <x:c r="V154" s="15" t="str">
        <x:v>Ik Pay 487882</x:v>
      </x:c>
      <x:c r="W154" s="15" t="str">
        <x:v>Payshap</x:v>
      </x:c>
      <x:c r="X154" s="15" t="str">
        <x:v>FNB :-) R10359.20 paid to Current a/c..512781 @ Payshap. Ref.Ik Pay 487882. 27Nov 13:57</x:v>
      </x:c>
      <x:c r="Y154" s="15" t="str">
        <x:v>dc66f650271351c6</x:v>
      </x:c>
    </x:row>
    <x:row r="155">
      <x:c r="A155" s="34" t="n">
        <x:v>45988.69097222222</x:v>
      </x:c>
      <x:c r="B155" s="36" t="n">
        <x:v>45988</x:v>
      </x:c>
      <x:c r="C155" s="34" t="n">
        <x:v>45988.69122685185</x:v>
      </x:c>
      <x:c r="D155" s="15" t="str">
        <x:v>Current a/c..512781</x:v>
      </x:c>
      <x:c r="E155" s="15" t="str">
        <x:v>card..2924</x:v>
      </x:c>
      <x:c r="F155" s="15" t="str">
        <x:v>R194.39 reserved for purchase @ Savemor Marloth from Current a/c..512781 using card..2924. Avail R11955. 27Nov 16:35</x:v>
      </x:c>
      <x:c r="G155" s="15" t="str">
        <x:v>Savemor Marloth</x:v>
      </x:c>
      <x:c r="H155" s="38" t="n">
        <x:v>194.39</x:v>
      </x:c>
      <x:c r="I155" s="15" t="str">
        <x:v>ZAR</x:v>
      </x:c>
      <x:c r="J155" s="15" t="str">
        <x:v>Outflow</x:v>
      </x:c>
      <x:c r="K155" s="15" t="str">
        <x:v>Card purchase</x:v>
      </x:c>
      <x:c r="L155" s="15" t="str">
        <x:v>Supplier payments</x:v>
      </x:c>
      <x:c r="M155" s="38"/>
      <x:c r="N155" s="38" t="n">
        <x:v>11955</x:v>
      </x:c>
      <x:c r="O155" s="15" t="str"/>
      <x:c r="P155" s="15" t="str">
        <x:v>eml_ALL_currentac__512781 (2).zip &gt; eml10currentac__512781.zip</x:v>
      </x:c>
      <x:c r="Q155" s="15" t="str">
        <x:v>FNB _-) R194.39 reserved for purchase @ Savemor Marloth from Current a_c..512781 using card..2924. 27Nov 16_35.eml</x:v>
      </x:c>
      <x:c r="R155" s="15" t="str">
        <x:v>High</x:v>
      </x:c>
      <x:c r="S155" s="15" t="str">
        <x:v>Category confidence Medium: Retail/supplier merchant keyword.</x:v>
      </x:c>
      <x:c r="T155" s="15" t="str"/>
      <x:c r="U155" s="15" t="str"/>
      <x:c r="V155" s="15" t="str"/>
      <x:c r="W155" s="15" t="str"/>
      <x:c r="X155" s="15" t="str">
        <x:v>FNB :-) R194.39 reserved for purchase @ Savemor Marloth from Current a/c..512781 using card..2924. Avail R11955. 27Nov 16:35</x:v>
      </x:c>
      <x:c r="Y155" s="15" t="str">
        <x:v>d1d35d6e627283d3</x:v>
      </x:c>
    </x:row>
    <x:row r="156">
      <x:c r="A156" s="34" t="n">
        <x:v>45989.50486111111</x:v>
      </x:c>
      <x:c r="B156" s="36" t="n">
        <x:v>45989</x:v>
      </x:c>
      <x:c r="C156" s="34" t="n">
        <x:v>45989.50523148148</x:v>
      </x:c>
      <x:c r="D156" s="15" t="str">
        <x:v>Current a/c..512781</x:v>
      </x:c>
      <x:c r="E156" s="15" t="str">
        <x:v>card..2924</x:v>
      </x:c>
      <x:c r="F156" s="15" t="str">
        <x:v>R1598.42 reserved for purchase @ Superspar Komatipoor from Current a/c..512781 using card..2924. Avail R10353. 28Nov 12:07</x:v>
      </x:c>
      <x:c r="G156" s="15" t="str">
        <x:v>Superspar Komatipoor</x:v>
      </x:c>
      <x:c r="H156" s="38" t="n">
        <x:v>1598.42</x:v>
      </x:c>
      <x:c r="I156" s="15" t="str">
        <x:v>ZAR</x:v>
      </x:c>
      <x:c r="J156" s="15" t="str">
        <x:v>Outflow</x:v>
      </x:c>
      <x:c r="K156" s="15" t="str">
        <x:v>Card purchase</x:v>
      </x:c>
      <x:c r="L156" s="15" t="str">
        <x:v>Supplier payments</x:v>
      </x:c>
      <x:c r="M156" s="38"/>
      <x:c r="N156" s="38" t="n">
        <x:v>10353</x:v>
      </x:c>
      <x:c r="O156" s="15" t="str"/>
      <x:c r="P156" s="15" t="str">
        <x:v>eml_ALL_currentac__512781 (2).zip &gt; eml10currentac__512781.zip</x:v>
      </x:c>
      <x:c r="Q156" s="15" t="str">
        <x:v>FNB _-) R1598.42 reserved for purchase @ Superspar Komatipoor from Current a_c..512781 using card..2924. 28Nov 12_07.eml</x:v>
      </x:c>
      <x:c r="R156" s="15" t="str">
        <x:v>High</x:v>
      </x:c>
      <x:c r="S156" s="15" t="str">
        <x:v>Category confidence Medium: Retail/supplier merchant keyword.</x:v>
      </x:c>
      <x:c r="T156" s="15" t="str"/>
      <x:c r="U156" s="15" t="str"/>
      <x:c r="V156" s="15" t="str"/>
      <x:c r="W156" s="15" t="str"/>
      <x:c r="X156" s="15" t="str">
        <x:v>FNB :-) R1598.42 reserved for purchase @ Superspar Komatipoor from Current a/c..512781 using card..2924. Avail R10353. 28Nov 12:07</x:v>
      </x:c>
      <x:c r="Y156" s="15" t="str">
        <x:v>5ac47609f5d76822</x:v>
      </x:c>
    </x:row>
    <x:row r="157">
      <x:c r="A157" s="34" t="n">
        <x:v>45989.518055555556</x:v>
      </x:c>
      <x:c r="B157" s="36" t="n">
        <x:v>45989</x:v>
      </x:c>
      <x:c r="C157" s="34" t="n">
        <x:v>45989.51835648148</x:v>
      </x:c>
      <x:c r="D157" s="15" t="str">
        <x:v>Current a/c..512781</x:v>
      </x:c>
      <x:c r="E157" s="15" t="str">
        <x:v>card..2924</x:v>
      </x:c>
      <x:c r="F157" s="15" t="str">
        <x:v>R250.00 reserved for purchase @ Eastern Border Fuels from Current a/c..512781 using card..2924. Avail R10103. 28Nov 12:26</x:v>
      </x:c>
      <x:c r="G157" s="15" t="str">
        <x:v>Eastern Border Fuels</x:v>
      </x:c>
      <x:c r="H157" s="38" t="n">
        <x:v>250</x:v>
      </x:c>
      <x:c r="I157" s="15" t="str">
        <x:v>ZAR</x:v>
      </x:c>
      <x:c r="J157" s="15" t="str">
        <x:v>Outflow</x:v>
      </x:c>
      <x:c r="K157" s="15" t="str">
        <x:v>Card purchase</x:v>
      </x:c>
      <x:c r="L157" s="15" t="str">
        <x:v>Fuel / transport</x:v>
      </x:c>
      <x:c r="M157" s="38"/>
      <x:c r="N157" s="38" t="n">
        <x:v>10103</x:v>
      </x:c>
      <x:c r="O157" s="15" t="str"/>
      <x:c r="P157" s="15" t="str">
        <x:v>eml_ALL_currentac__512781 (2).zip &gt; eml10currentac__512781.zip</x:v>
      </x:c>
      <x:c r="Q157" s="15" t="str">
        <x:v>FNB _-) R250.00 reserved for purchase @ Eastern Border Fuels from Current a_c..512781 using card..2924. 28Nov 12_26.eml</x:v>
      </x:c>
      <x:c r="R157" s="15" t="str">
        <x:v>High</x:v>
      </x:c>
      <x:c r="S157" s="15" t="str"/>
      <x:c r="T157" s="15" t="str"/>
      <x:c r="U157" s="15" t="str"/>
      <x:c r="V157" s="15" t="str"/>
      <x:c r="W157" s="15" t="str"/>
      <x:c r="X157" s="15" t="str">
        <x:v>FNB :-) R250.00 reserved for purchase @ Eastern Border Fuels from Current a/c..512781 using card..2924. Avail R10103. 28Nov 12:26</x:v>
      </x:c>
      <x:c r="Y157" s="15" t="str">
        <x:v>d7710d44f47cd425</x:v>
      </x:c>
    </x:row>
    <x:row r="158">
      <x:c r="A158" s="34" t="n">
        <x:v>45989.59444444445</x:v>
      </x:c>
      <x:c r="B158" s="36" t="n">
        <x:v>45989</x:v>
      </x:c>
      <x:c r="C158" s="34" t="n">
        <x:v>45989.59489583333</x:v>
      </x:c>
      <x:c r="D158" s="15" t="str">
        <x:v>Current a/c..512781</x:v>
      </x:c>
      <x:c r="E158" s="15" t="str"/>
      <x:c r="F158" s="15" t="str">
        <x:v>R19163.49 paid to Current a/c..512781 @ Retail Forex. Ref.R025k2rz50 Booking.c. 28Nov 14:16</x:v>
      </x:c>
      <x:c r="G158" s="15" t="str">
        <x:v>R025k2rz50 Booking.c</x:v>
      </x:c>
      <x:c r="H158" s="38" t="n">
        <x:v>19163.49</x:v>
      </x:c>
      <x:c r="I158" s="15" t="str">
        <x:v>ZAR</x:v>
      </x:c>
      <x:c r="J158" s="15" t="str">
        <x:v>Inflow</x:v>
      </x:c>
      <x:c r="K158" s="15" t="str">
        <x:v>EFT receipt</x:v>
      </x:c>
      <x:c r="L158" s="15" t="str">
        <x:v>Sales / customer receipts</x:v>
      </x:c>
      <x:c r="M158" s="38"/>
      <x:c r="N158" s="38"/>
      <x:c r="O158" s="15" t="str"/>
      <x:c r="P158" s="15" t="str">
        <x:v>eml_ALL_currentac__512781 (2).zip &gt; eml10currentac__512781.zip</x:v>
      </x:c>
      <x:c r="Q158" s="15" t="str">
        <x:v>FNB _-) R19163.49 paid to Current a_c..512781 @ Retail Forex. Ref.R025k2rz50 Booking.c. 28Nov 14_16.eml</x:v>
      </x:c>
      <x:c r="R158" s="15" t="str">
        <x:v>High</x:v>
      </x:c>
      <x:c r="S158" s="15" t="str">
        <x:v>Category confidence Medium: Default for incoming EFT/PayShap/online receipt.</x:v>
      </x:c>
      <x:c r="T158" s="15" t="str"/>
      <x:c r="U158" s="15" t="str"/>
      <x:c r="V158" s="15" t="str">
        <x:v>R025k2rz50 Booking.c</x:v>
      </x:c>
      <x:c r="W158" s="15" t="str">
        <x:v>Retail Forex</x:v>
      </x:c>
      <x:c r="X158" s="15" t="str">
        <x:v>FNB :-) R19163.49 paid to Current a/c..512781 @ Retail Forex. Ref.R025k2rz50 Booking.c. 28Nov 14:16</x:v>
      </x:c>
      <x:c r="Y158" s="15" t="str">
        <x:v>5f57117046d3b890</x:v>
      </x:c>
    </x:row>
    <x:row r="159">
      <x:c r="A159" s="34" t="n">
        <x:v>45990.46527777778</x:v>
      </x:c>
      <x:c r="B159" s="36" t="n">
        <x:v>45990</x:v>
      </x:c>
      <x:c r="C159" s="34" t="n">
        <x:v>45990.46565972222</x:v>
      </x:c>
      <x:c r="D159" s="15" t="str">
        <x:v>Current a/c..512781</x:v>
      </x:c>
      <x:c r="E159" s="15" t="str">
        <x:v>card..2924</x:v>
      </x:c>
      <x:c r="F159" s="15" t="str">
        <x:v>R181.77 reserved for purchase @ Savemor Marloth from Current a/c..512781 using card..2924. Avail R28935. 29Nov 11:10</x:v>
      </x:c>
      <x:c r="G159" s="15" t="str">
        <x:v>Savemor Marloth</x:v>
      </x:c>
      <x:c r="H159" s="38" t="n">
        <x:v>181.77</x:v>
      </x:c>
      <x:c r="I159" s="15" t="str">
        <x:v>ZAR</x:v>
      </x:c>
      <x:c r="J159" s="15" t="str">
        <x:v>Outflow</x:v>
      </x:c>
      <x:c r="K159" s="15" t="str">
        <x:v>Card purchase</x:v>
      </x:c>
      <x:c r="L159" s="15" t="str">
        <x:v>Supplier payments</x:v>
      </x:c>
      <x:c r="M159" s="38"/>
      <x:c r="N159" s="38" t="n">
        <x:v>28935</x:v>
      </x:c>
      <x:c r="O159" s="15" t="str"/>
      <x:c r="P159" s="15" t="str">
        <x:v>eml_ALL_currentac__512781 (2).zip &gt; eml10currentac__512781.zip</x:v>
      </x:c>
      <x:c r="Q159" s="15" t="str">
        <x:v>FNB _-) R181.77 reserved for purchase @ Savemor Marloth from Current a_c..512781 using card..2924. 29Nov 11_10.eml</x:v>
      </x:c>
      <x:c r="R159" s="15" t="str">
        <x:v>High</x:v>
      </x:c>
      <x:c r="S159" s="15" t="str">
        <x:v>Category confidence Medium: Retail/supplier merchant keyword.</x:v>
      </x:c>
      <x:c r="T159" s="15" t="str"/>
      <x:c r="U159" s="15" t="str"/>
      <x:c r="V159" s="15" t="str"/>
      <x:c r="W159" s="15" t="str"/>
      <x:c r="X159" s="15" t="str">
        <x:v>FNB :-) R181.77 reserved for purchase @ Savemor Marloth from Current a/c..512781 using card..2924. Avail R28935. 29Nov 11:10</x:v>
      </x:c>
      <x:c r="Y159" s="15" t="str">
        <x:v>f1bfc2ec86b67fa8</x:v>
      </x:c>
    </x:row>
    <x:row r="160">
      <x:c r="A160" s="34" t="n">
        <x:v>45990.46944444445</x:v>
      </x:c>
      <x:c r="B160" s="36" t="n">
        <x:v>45990</x:v>
      </x:c>
      <x:c r="C160" s="34" t="n">
        <x:v>45990.46969907408</x:v>
      </x:c>
      <x:c r="D160" s="15" t="str">
        <x:v>Current a/c..512781</x:v>
      </x:c>
      <x:c r="E160" s="15" t="str"/>
      <x:c r="F160" s="15" t="str">
        <x:v>R1915.42 paid to Current a/c..512781 @ Real Time Cl. Ref.6111002148. 29Nov 11:16</x:v>
      </x:c>
      <x:c r="G160" s="15" t="str">
        <x:v>6111002148</x:v>
      </x:c>
      <x:c r="H160" s="38" t="n">
        <x:v>1915.42</x:v>
      </x:c>
      <x:c r="I160" s="15" t="str">
        <x:v>ZAR</x:v>
      </x:c>
      <x:c r="J160" s="15" t="str">
        <x:v>Inflow</x:v>
      </x:c>
      <x:c r="K160" s="15" t="str">
        <x:v>EFT receipt</x:v>
      </x:c>
      <x:c r="L160" s="15" t="str">
        <x:v>Sales / customer receipts</x:v>
      </x:c>
      <x:c r="M160" s="38"/>
      <x:c r="N160" s="38"/>
      <x:c r="O160" s="15" t="str"/>
      <x:c r="P160" s="15" t="str">
        <x:v>eml_ALL_currentac__512781 (2).zip &gt; eml10currentac__512781.zip</x:v>
      </x:c>
      <x:c r="Q160" s="15" t="str">
        <x:v>FNB _-) R1915.42 paid to Current a_c..512781 @ Real Time Cl. Ref.6111002148. 29Nov 11_16.eml</x:v>
      </x:c>
      <x:c r="R160" s="15" t="str">
        <x:v>High</x:v>
      </x:c>
      <x:c r="S160" s="15" t="str">
        <x:v>Category confidence Medium: Default for incoming EFT/PayShap/online receipt.</x:v>
      </x:c>
      <x:c r="T160" s="15" t="str"/>
      <x:c r="U160" s="15" t="str"/>
      <x:c r="V160" s="15" t="str">
        <x:v>6111002148</x:v>
      </x:c>
      <x:c r="W160" s="15" t="str">
        <x:v>Real Time Cl</x:v>
      </x:c>
      <x:c r="X160" s="15" t="str">
        <x:v>FNB :-) R1915.42 paid to Current a/c..512781 @ Real Time Cl. Ref.6111002148. 29Nov 11:16</x:v>
      </x:c>
      <x:c r="Y160" s="15" t="str">
        <x:v>2574f83a84802bc3</x:v>
      </x:c>
    </x:row>
    <x:row r="161">
      <x:c r="A161" s="34" t="n">
        <x:v>45990.575694444444</x:v>
      </x:c>
      <x:c r="B161" s="36" t="n">
        <x:v>45990</x:v>
      </x:c>
      <x:c r="C161" s="34" t="n">
        <x:v>45990.576377314814</x:v>
      </x:c>
      <x:c r="D161" s="15" t="str">
        <x:v>Current a/c..512781</x:v>
      </x:c>
      <x:c r="E161" s="15" t="str"/>
      <x:c r="F161" s="15" t="str">
        <x:v>R5000.00 paid from Current a/c..512781 @ Gen Ph. Avail R25725. Ref.Repayment. 29Nov 13:49</x:v>
      </x:c>
      <x:c r="G161" s="15" t="str">
        <x:v>Repayment</x:v>
      </x:c>
      <x:c r="H161" s="38" t="n">
        <x:v>5000</x:v>
      </x:c>
      <x:c r="I161" s="15" t="str">
        <x:v>ZAR</x:v>
      </x:c>
      <x:c r="J161" s="15" t="str">
        <x:v>Outflow</x:v>
      </x:c>
      <x:c r="K161" s="15" t="str">
        <x:v>EFT payment</x:v>
      </x:c>
      <x:c r="L161" s="15" t="str">
        <x:v>Supplier payments</x:v>
      </x:c>
      <x:c r="M161" s="38"/>
      <x:c r="N161" s="38" t="n">
        <x:v>25725</x:v>
      </x:c>
      <x:c r="O161" s="15" t="str"/>
      <x:c r="P161" s="15" t="str">
        <x:v>eml_ALL_currentac__512781 (2).zip &gt; eml10currentac__512781.zip</x:v>
      </x:c>
      <x:c r="Q161" s="15" t="str">
        <x:v>FNB _-) R5000.00 paid from Current a_c..512781 @ Gen Ph. Ref.Repayment. 29Nov 13_49.eml</x:v>
      </x:c>
      <x:c r="R161" s="15" t="str">
        <x:v>High</x:v>
      </x:c>
      <x:c r="S161" s="15" t="str">
        <x:v>Category confidence Low: Default outflow category; review counterparty/reference.</x:v>
      </x:c>
      <x:c r="T161" s="15" t="str"/>
      <x:c r="U161" s="15" t="str"/>
      <x:c r="V161" s="15" t="str">
        <x:v>Repayment</x:v>
      </x:c>
      <x:c r="W161" s="15" t="str">
        <x:v>Gen Ph</x:v>
      </x:c>
      <x:c r="X161" s="15" t="str">
        <x:v>FNB :-) R5000.00 paid from Current a/c..512781 @ Gen Ph. Avail R25725. Ref.Repayment. 29Nov 13:49</x:v>
      </x:c>
      <x:c r="Y161" s="15" t="str">
        <x:v>b9abf75fc851bdbf</x:v>
      </x:c>
    </x:row>
    <x:row r="162">
      <x:c r="A162" s="34" t="n">
        <x:v>45990.666666666664</x:v>
      </x:c>
      <x:c r="B162" s="36" t="n">
        <x:v>45990</x:v>
      </x:c>
      <x:c r="C162" s="34" t="n">
        <x:v>45990.66677083333</x:v>
      </x:c>
      <x:c r="D162" s="15" t="str">
        <x:v>Current a/c..512781</x:v>
      </x:c>
      <x:c r="E162" s="15" t="str">
        <x:v>card..2924</x:v>
      </x:c>
      <x:c r="F162" s="15" t="str">
        <x:v>R128.99 reserved for purchase @ Savemor Marloth Liqu from Current a/c..512781 using card..2924. Avail R25596. 29Nov 16:00</x:v>
      </x:c>
      <x:c r="G162" s="15" t="str">
        <x:v>Savemor Marloth Liqu</x:v>
      </x:c>
      <x:c r="H162" s="38" t="n">
        <x:v>128.99</x:v>
      </x:c>
      <x:c r="I162" s="15" t="str">
        <x:v>ZAR</x:v>
      </x:c>
      <x:c r="J162" s="15" t="str">
        <x:v>Outflow</x:v>
      </x:c>
      <x:c r="K162" s="15" t="str">
        <x:v>Card purchase</x:v>
      </x:c>
      <x:c r="L162" s="15" t="str">
        <x:v>Meals / restaurants / entertainment</x:v>
      </x:c>
      <x:c r="M162" s="38"/>
      <x:c r="N162" s="38" t="n">
        <x:v>25596</x:v>
      </x:c>
      <x:c r="O162" s="15" t="str"/>
      <x:c r="P162" s="15" t="str">
        <x:v>eml_ALL_currentac__512781 (2).zip &gt; eml10currentac__512781.zip</x:v>
      </x:c>
      <x:c r="Q162" s="15" t="str">
        <x:v>FNB _-) R128.99 reserved for purchase @ Savemor Marloth Liqu from Current a_c..512781 using card..2924. 29Nov 16_00.eml</x:v>
      </x:c>
      <x:c r="R162" s="15" t="str">
        <x:v>High</x:v>
      </x:c>
      <x:c r="S162" s="15" t="str"/>
      <x:c r="T162" s="15" t="str"/>
      <x:c r="U162" s="15" t="str"/>
      <x:c r="V162" s="15" t="str"/>
      <x:c r="W162" s="15" t="str"/>
      <x:c r="X162" s="15" t="str">
        <x:v>FNB :-) R128.99 reserved for purchase @ Savemor Marloth Liqu from Current a/c..512781 using card..2924. Avail R25596. 29Nov 16:00</x:v>
      </x:c>
      <x:c r="Y162" s="15" t="str">
        <x:v>d6092a9a39b65372</x:v>
      </x:c>
    </x:row>
    <x:row r="163">
      <x:c r="A163" s="34" t="n">
        <x:v>45991.00833333333</x:v>
      </x:c>
      <x:c r="B163" s="36" t="n">
        <x:v>45991</x:v>
      </x:c>
      <x:c r="C163" s="34" t="n">
        <x:v>45991.00846064815</x:v>
      </x:c>
      <x:c r="D163" s="15" t="str">
        <x:v>Current a/c..512781</x:v>
      </x:c>
      <x:c r="E163" s="15" t="str"/>
      <x:c r="F163" s="15" t="str">
        <x:v>R5000.00 paid from Current a/c..512781 @ Gen Ph. Avail R20596. Ref.Staff Tips For Sept. 30Nov 00:12</x:v>
      </x:c>
      <x:c r="G163" s="15" t="str">
        <x:v>Staff Tips For Sept</x:v>
      </x:c>
      <x:c r="H163" s="38" t="n">
        <x:v>5000</x:v>
      </x:c>
      <x:c r="I163" s="15" t="str">
        <x:v>ZAR</x:v>
      </x:c>
      <x:c r="J163" s="15" t="str">
        <x:v>Outflow</x:v>
      </x:c>
      <x:c r="K163" s="15" t="str">
        <x:v>EFT payment</x:v>
      </x:c>
      <x:c r="L163" s="15" t="str">
        <x:v>Salary / wages</x:v>
      </x:c>
      <x:c r="M163" s="38"/>
      <x:c r="N163" s="38" t="n">
        <x:v>20596</x:v>
      </x:c>
      <x:c r="O163" s="15" t="str"/>
      <x:c r="P163" s="15" t="str">
        <x:v>eml_ALL_currentac__512781 (2).zip &gt; eml10currentac__512781.zip</x:v>
      </x:c>
      <x:c r="Q163" s="15" t="str">
        <x:v>FNB _-) R5000.00 paid from Current a_c..512781 @ Gen Ph. Ref.Staff Tips For Sept. 30Nov 00_12.eml</x:v>
      </x:c>
      <x:c r="R163" s="15" t="str">
        <x:v>High</x:v>
      </x:c>
      <x:c r="S163" s="15" t="str"/>
      <x:c r="T163" s="15" t="str"/>
      <x:c r="U163" s="15" t="str"/>
      <x:c r="V163" s="15" t="str">
        <x:v>Staff Tips For Sept</x:v>
      </x:c>
      <x:c r="W163" s="15" t="str">
        <x:v>Gen Ph</x:v>
      </x:c>
      <x:c r="X163" s="15" t="str">
        <x:v>FNB :-) R5000.00 paid from Current a/c..512781 @ Gen Ph. Avail R20596. Ref.Staff Tips For Sept. 30Nov 00:12</x:v>
      </x:c>
      <x:c r="Y163" s="15" t="str">
        <x:v>36eb49be50f07925</x:v>
      </x:c>
    </x:row>
    <x:row r="164">
      <x:c r="A164" s="34" t="n">
        <x:v>45991.08819444444</x:v>
      </x:c>
      <x:c r="B164" s="36" t="n">
        <x:v>45991</x:v>
      </x:c>
      <x:c r="C164" s="34" t="n">
        <x:v>45991.08880787037</x:v>
      </x:c>
      <x:c r="D164" s="15" t="str">
        <x:v>Current a/c..512781</x:v>
      </x:c>
      <x:c r="E164" s="15" t="str"/>
      <x:c r="F164" s="15" t="str">
        <x:v>R4000.00 paid from Current a/c..512781 @ Gen Ph. Avail R16596. Ref.Staff Tips For Oct. 30Nov 02:07</x:v>
      </x:c>
      <x:c r="G164" s="15" t="str">
        <x:v>Staff Tips For Oct</x:v>
      </x:c>
      <x:c r="H164" s="38" t="n">
        <x:v>4000</x:v>
      </x:c>
      <x:c r="I164" s="15" t="str">
        <x:v>ZAR</x:v>
      </x:c>
      <x:c r="J164" s="15" t="str">
        <x:v>Outflow</x:v>
      </x:c>
      <x:c r="K164" s="15" t="str">
        <x:v>EFT payment</x:v>
      </x:c>
      <x:c r="L164" s="15" t="str">
        <x:v>Salary / wages</x:v>
      </x:c>
      <x:c r="M164" s="38"/>
      <x:c r="N164" s="38" t="n">
        <x:v>16596</x:v>
      </x:c>
      <x:c r="O164" s="15" t="str"/>
      <x:c r="P164" s="15" t="str">
        <x:v>eml_ALL_currentac__512781 (2).zip &gt; eml10currentac__512781.zip</x:v>
      </x:c>
      <x:c r="Q164" s="15" t="str">
        <x:v>FNB _-) R4000.00 paid from Current a_c..512781 @ Gen Ph. Ref.Staff Tips For Oct. 30Nov 02_07.eml</x:v>
      </x:c>
      <x:c r="R164" s="15" t="str">
        <x:v>High</x:v>
      </x:c>
      <x:c r="S164" s="15" t="str"/>
      <x:c r="T164" s="15" t="str"/>
      <x:c r="U164" s="15" t="str"/>
      <x:c r="V164" s="15" t="str">
        <x:v>Staff Tips For Oct</x:v>
      </x:c>
      <x:c r="W164" s="15" t="str">
        <x:v>Gen Ph</x:v>
      </x:c>
      <x:c r="X164" s="15" t="str">
        <x:v>FNB :-) R4000.00 paid from Current a/c..512781 @ Gen Ph. Avail R16596. Ref.Staff Tips For Oct. 30Nov 02:07</x:v>
      </x:c>
      <x:c r="Y164" s="15" t="str">
        <x:v>105f1b10e1f99be7</x:v>
      </x:c>
    </x:row>
    <x:row r="165">
      <x:c r="A165" s="34" t="n">
        <x:v>45991.42361111111</x:v>
      </x:c>
      <x:c r="B165" s="36" t="n">
        <x:v>45991</x:v>
      </x:c>
      <x:c r="C165" s="34" t="n">
        <x:v>45991.424212962964</x:v>
      </x:c>
      <x:c r="D165" s="15" t="str">
        <x:v>Current a/c..512781</x:v>
      </x:c>
      <x:c r="E165" s="15" t="str"/>
      <x:c r="F165" s="15" t="str">
        <x:v>R4500.00 paid from Current a/c..512781 @ Gen Ph. Avail R12096. Ref.Phindi Salary Nov. 30Nov 10:10</x:v>
      </x:c>
      <x:c r="G165" s="15" t="str">
        <x:v>Phindi Salary Nov</x:v>
      </x:c>
      <x:c r="H165" s="38" t="n">
        <x:v>4500</x:v>
      </x:c>
      <x:c r="I165" s="15" t="str">
        <x:v>ZAR</x:v>
      </x:c>
      <x:c r="J165" s="15" t="str">
        <x:v>Outflow</x:v>
      </x:c>
      <x:c r="K165" s="15" t="str">
        <x:v>EFT payment</x:v>
      </x:c>
      <x:c r="L165" s="15" t="str">
        <x:v>Salary / wages</x:v>
      </x:c>
      <x:c r="M165" s="38"/>
      <x:c r="N165" s="38" t="n">
        <x:v>12096</x:v>
      </x:c>
      <x:c r="O165" s="15" t="str"/>
      <x:c r="P165" s="15" t="str">
        <x:v>eml_ALL_currentac__512781 (2).zip &gt; eml10currentac__512781.zip</x:v>
      </x:c>
      <x:c r="Q165" s="15" t="str">
        <x:v>FNB _-) R4500.00 paid from Current a_c..512781 @ Gen Ph. Ref.Phindi Salary Nov. 30Nov 10_10.eml</x:v>
      </x:c>
      <x:c r="R165" s="15" t="str">
        <x:v>High</x:v>
      </x:c>
      <x:c r="S165" s="15" t="str"/>
      <x:c r="T165" s="15" t="str"/>
      <x:c r="U165" s="15" t="str"/>
      <x:c r="V165" s="15" t="str">
        <x:v>Phindi Salary Nov</x:v>
      </x:c>
      <x:c r="W165" s="15" t="str">
        <x:v>Gen Ph</x:v>
      </x:c>
      <x:c r="X165" s="15" t="str">
        <x:v>FNB :-) R4500.00 paid from Current a/c..512781 @ Gen Ph. Avail R12096. Ref.Phindi Salary Nov. 30Nov 10:10</x:v>
      </x:c>
      <x:c r="Y165" s="15" t="str">
        <x:v>4e893510af4248dc</x:v>
      </x:c>
    </x:row>
    <x:row r="166">
      <x:c r="A166" s="34" t="n">
        <x:v>45991.76736111111</x:v>
      </x:c>
      <x:c r="B166" s="36" t="n">
        <x:v>45991</x:v>
      </x:c>
      <x:c r="C166" s="34" t="n">
        <x:v>45991.76782407407</x:v>
      </x:c>
      <x:c r="D166" s="15" t="str">
        <x:v>Current a/c..512781</x:v>
      </x:c>
      <x:c r="E166" s="15" t="str"/>
      <x:c r="F166" s="15" t="str">
        <x:v>R11280.00 paid from Current a/c..512781 @ Gen Ph. Avail R642. Ref.Jsl - 9/12 Nov. 30Nov 18:25</x:v>
      </x:c>
      <x:c r="G166" s="15" t="str">
        <x:v>Jsl - 9/12 Nov</x:v>
      </x:c>
      <x:c r="H166" s="38" t="n">
        <x:v>11280</x:v>
      </x:c>
      <x:c r="I166" s="15" t="str">
        <x:v>ZAR</x:v>
      </x:c>
      <x:c r="J166" s="15" t="str">
        <x:v>Outflow</x:v>
      </x:c>
      <x:c r="K166" s="15" t="str">
        <x:v>EFT payment</x:v>
      </x:c>
      <x:c r="L166" s="15" t="str">
        <x:v>Supplier payments</x:v>
      </x:c>
      <x:c r="M166" s="38"/>
      <x:c r="N166" s="38" t="n">
        <x:v>642</x:v>
      </x:c>
      <x:c r="O166" s="15" t="str"/>
      <x:c r="P166" s="15" t="str">
        <x:v>eml_ALL_currentac__512781 (2).zip &gt; eml10currentac__512781.zip</x:v>
      </x:c>
      <x:c r="Q166" s="15" t="str">
        <x:v>FNB _-) R11280.00 paid from Current a_c..512781 @ Gen Ph. Ref.Jsl - 9_12 Nov. 30Nov 18_25.eml</x:v>
      </x:c>
      <x:c r="R166" s="15" t="str">
        <x:v>High</x:v>
      </x:c>
      <x:c r="S166" s="15" t="str">
        <x:v>Category confidence Low: Default outflow category; review counterparty/reference.</x:v>
      </x:c>
      <x:c r="T166" s="15" t="str"/>
      <x:c r="U166" s="15" t="str"/>
      <x:c r="V166" s="15" t="str">
        <x:v>Jsl - 9/12 Nov</x:v>
      </x:c>
      <x:c r="W166" s="15" t="str">
        <x:v>Gen Ph</x:v>
      </x:c>
      <x:c r="X166" s="15" t="str">
        <x:v>FNB :-) R11280.00 paid from Current a/c..512781 @ Gen Ph. Avail R642. Ref.Jsl - 9/12 Nov. 30Nov 18:25</x:v>
      </x:c>
      <x:c r="Y166" s="15" t="str">
        <x:v>9b0bbf3e587e64e9</x:v>
      </x:c>
    </x:row>
    <x:row r="167">
      <x:c r="A167" s="34" t="n">
        <x:v>46017.50069444445</x:v>
      </x:c>
      <x:c r="B167" s="36" t="n">
        <x:v>46017</x:v>
      </x:c>
      <x:c r="C167" s="34" t="n">
        <x:v>46017.500752314816</x:v>
      </x:c>
      <x:c r="D167" s="15" t="str">
        <x:v>Current a/c..512781</x:v>
      </x:c>
      <x:c r="E167" s="15" t="str">
        <x:v>card..2924</x:v>
      </x:c>
      <x:c r="F167" s="15" t="str">
        <x:v>R199.26 reserved for purchase @ Superspar Malelane from Current a/c..512781 using card..2924. Avail R18057. 26Dec 12:01</x:v>
      </x:c>
      <x:c r="G167" s="15" t="str">
        <x:v>Superspar Malelane</x:v>
      </x:c>
      <x:c r="H167" s="38" t="n">
        <x:v>199.26</x:v>
      </x:c>
      <x:c r="I167" s="15" t="str">
        <x:v>ZAR</x:v>
      </x:c>
      <x:c r="J167" s="15" t="str">
        <x:v>Outflow</x:v>
      </x:c>
      <x:c r="K167" s="15" t="str">
        <x:v>Card purchase</x:v>
      </x:c>
      <x:c r="L167" s="15" t="str">
        <x:v>Supplier payments</x:v>
      </x:c>
      <x:c r="M167" s="38"/>
      <x:c r="N167" s="38" t="n">
        <x:v>18057</x:v>
      </x:c>
      <x:c r="O167" s="15" t="str"/>
      <x:c r="P167" s="15" t="str">
        <x:v>eml_ALL_currentac__512781 (2).zip &gt; eml8currentac__512781.zip</x:v>
      </x:c>
      <x:c r="Q167" s="15" t="str">
        <x:v>FNB _-) R199.26 reserved for purchase @ Superspar Malelane from Current a_c..512781 using card..2924. 26Dec 12_01.eml</x:v>
      </x:c>
      <x:c r="R167" s="15" t="str">
        <x:v>High</x:v>
      </x:c>
      <x:c r="S167" s="15" t="str">
        <x:v>Category confidence Medium: Retail/supplier merchant keyword.</x:v>
      </x:c>
      <x:c r="T167" s="15" t="str"/>
      <x:c r="U167" s="15" t="str"/>
      <x:c r="V167" s="15" t="str"/>
      <x:c r="W167" s="15" t="str"/>
      <x:c r="X167" s="15" t="str">
        <x:v>FNB :-) R199.26 reserved for purchase @ Superspar Malelane from Current a/c..512781 using card..2924. Avail R18057. 26Dec 12:01</x:v>
      </x:c>
      <x:c r="Y167" s="15" t="str">
        <x:v>f1af3f96a1977ff8</x:v>
      </x:c>
    </x:row>
    <x:row r="168">
      <x:c r="A168" s="34" t="n">
        <x:v>46017.728472222225</x:v>
      </x:c>
      <x:c r="B168" s="36" t="n">
        <x:v>46017</x:v>
      </x:c>
      <x:c r="C168" s="34" t="n">
        <x:v>46017.72872685185</x:v>
      </x:c>
      <x:c r="D168" s="15" t="str">
        <x:v>Current a/c..512781</x:v>
      </x:c>
      <x:c r="E168" s="15" t="str"/>
      <x:c r="F168" s="15" t="str">
        <x:v>R3000.00 paid from Current a/c..512781 @ Smartapp. Avail R15054. Ref.Vacation. 26Dec 17:29</x:v>
      </x:c>
      <x:c r="G168" s="15" t="str">
        <x:v>Vacation</x:v>
      </x:c>
      <x:c r="H168" s="38" t="n">
        <x:v>3000</x:v>
      </x:c>
      <x:c r="I168" s="15" t="str">
        <x:v>ZAR</x:v>
      </x:c>
      <x:c r="J168" s="15" t="str">
        <x:v>Outflow</x:v>
      </x:c>
      <x:c r="K168" s="15" t="str">
        <x:v>EFT payment</x:v>
      </x:c>
      <x:c r="L168" s="15" t="str">
        <x:v>Supplier payments</x:v>
      </x:c>
      <x:c r="M168" s="38"/>
      <x:c r="N168" s="38" t="n">
        <x:v>15054</x:v>
      </x:c>
      <x:c r="O168" s="15" t="str"/>
      <x:c r="P168" s="15" t="str">
        <x:v>eml_ALL_currentac__512781 (2).zip &gt; eml8currentac__512781.zip</x:v>
      </x:c>
      <x:c r="Q168" s="15" t="str">
        <x:v>FNB _-) R3000.00 paid from Current a_c..512781 @ Smartapp. Ref.Vacation. 26Dec 17_29.eml</x:v>
      </x:c>
      <x:c r="R168" s="15" t="str">
        <x:v>High</x:v>
      </x:c>
      <x:c r="S168" s="15" t="str">
        <x:v>Category confidence Low: Default outflow category; review counterparty/reference.</x:v>
      </x:c>
      <x:c r="T168" s="15" t="str"/>
      <x:c r="U168" s="15" t="str"/>
      <x:c r="V168" s="15" t="str">
        <x:v>Vacation</x:v>
      </x:c>
      <x:c r="W168" s="15" t="str">
        <x:v>Smartapp</x:v>
      </x:c>
      <x:c r="X168" s="15" t="str">
        <x:v>FNB :-) R3000.00 paid from Current a/c..512781 @ Smartapp. Avail R15054. Ref.Vacation. 26Dec 17:29</x:v>
      </x:c>
      <x:c r="Y168" s="15" t="str">
        <x:v>c477eb4050c0ffe6</x:v>
      </x:c>
    </x:row>
    <x:row r="169">
      <x:c r="A169" s="34" t="n">
        <x:v>46018.438888888886</x:v>
      </x:c>
      <x:c r="B169" s="36" t="n">
        <x:v>46018</x:v>
      </x:c>
      <x:c r="C169" s="34" t="n">
        <x:v>46018.439409722225</x:v>
      </x:c>
      <x:c r="D169" s="15" t="str">
        <x:v>Current a/c..512781</x:v>
      </x:c>
      <x:c r="E169" s="15" t="str"/>
      <x:c r="F169" s="15" t="str">
        <x:v>R5340.06 paid to Current a/c..512781 @ Payshap. Ref.Ik Pay 487882. 27Dec 10:32</x:v>
      </x:c>
      <x:c r="G169" s="15" t="str">
        <x:v>Ik Pay 487882</x:v>
      </x:c>
      <x:c r="H169" s="38" t="n">
        <x:v>5340.06</x:v>
      </x:c>
      <x:c r="I169" s="15" t="str">
        <x:v>ZAR</x:v>
      </x:c>
      <x:c r="J169" s="15" t="str">
        <x:v>Inflow</x:v>
      </x:c>
      <x:c r="K169" s="15" t="str">
        <x:v>EFT receipt</x:v>
      </x:c>
      <x:c r="L169" s="15" t="str">
        <x:v>Sales / customer receipts</x:v>
      </x:c>
      <x:c r="M169" s="38"/>
      <x:c r="N169" s="38"/>
      <x:c r="O169" s="15" t="str"/>
      <x:c r="P169" s="15" t="str">
        <x:v>eml_ALL_currentac__512781 (2).zip &gt; eml8currentac__512781.zip</x:v>
      </x:c>
      <x:c r="Q169" s="15" t="str">
        <x:v>FNB _-) R5340.06 paid to Current a_c..512781 @ Payshap. Ref.Ik Pay 487882. 27Dec 10_32.eml</x:v>
      </x:c>
      <x:c r="R169" s="15" t="str">
        <x:v>High</x:v>
      </x:c>
      <x:c r="S169" s="15" t="str">
        <x:v>Category confidence Medium: Default for incoming EFT/PayShap/online receipt.</x:v>
      </x:c>
      <x:c r="T169" s="15" t="str"/>
      <x:c r="U169" s="15" t="str"/>
      <x:c r="V169" s="15" t="str">
        <x:v>Ik Pay 487882</x:v>
      </x:c>
      <x:c r="W169" s="15" t="str">
        <x:v>Payshap</x:v>
      </x:c>
      <x:c r="X169" s="15" t="str">
        <x:v>FNB :-) R5340.06 paid to Current a/c..512781 @ Payshap. Ref.Ik Pay 487882. 27Dec 10:32</x:v>
      </x:c>
      <x:c r="Y169" s="15" t="str">
        <x:v>0793d800827cd84b</x:v>
      </x:c>
    </x:row>
    <x:row r="170">
      <x:c r="A170" s="34" t="n">
        <x:v>46018.48541666667</x:v>
      </x:c>
      <x:c r="B170" s="36" t="n">
        <x:v>46018</x:v>
      </x:c>
      <x:c r="C170" s="34" t="n">
        <x:v>46018.48596064815</x:v>
      </x:c>
      <x:c r="D170" s="15" t="str">
        <x:v>Current a/c..512781</x:v>
      </x:c>
      <x:c r="E170" s="15" t="str">
        <x:v>card..2924</x:v>
      </x:c>
      <x:c r="F170" s="15" t="str">
        <x:v>R140.00 reserved for purchase @ Autozone Malelane from Current a/c..512781 using card..2924. Avail R20254. 27Dec 11:39</x:v>
      </x:c>
      <x:c r="G170" s="15" t="str">
        <x:v>Autozone Malelane</x:v>
      </x:c>
      <x:c r="H170" s="38" t="n">
        <x:v>140</x:v>
      </x:c>
      <x:c r="I170" s="15" t="str">
        <x:v>ZAR</x:v>
      </x:c>
      <x:c r="J170" s="15" t="str">
        <x:v>Outflow</x:v>
      </x:c>
      <x:c r="K170" s="15" t="str">
        <x:v>Card purchase</x:v>
      </x:c>
      <x:c r="L170" s="15" t="str">
        <x:v>Card spend</x:v>
      </x:c>
      <x:c r="M170" s="38"/>
      <x:c r="N170" s="38" t="n">
        <x:v>20254</x:v>
      </x:c>
      <x:c r="O170" s="15" t="str"/>
      <x:c r="P170" s="15" t="str">
        <x:v>eml_ALL_currentac__512781 (2).zip &gt; eml8currentac__512781.zip</x:v>
      </x:c>
      <x:c r="Q170" s="15" t="str">
        <x:v>FNB _-) R140.00 reserved for purchase @ Autozone Malelane from Current a_c..512781 using card..2924. 27Dec 11_39.eml</x:v>
      </x:c>
      <x:c r="R170" s="15" t="str">
        <x:v>High</x:v>
      </x:c>
      <x:c r="S170" s="15" t="str">
        <x:v>Category confidence Low: Default card-spend category; merchant not confidently mapped.</x:v>
      </x:c>
      <x:c r="T170" s="15" t="str"/>
      <x:c r="U170" s="15" t="str"/>
      <x:c r="V170" s="15" t="str"/>
      <x:c r="W170" s="15" t="str"/>
      <x:c r="X170" s="15" t="str">
        <x:v>FNB :-) R140.00 reserved for purchase @ Autozone Malelane from Current a/c..512781 using card..2924. Avail R20254. 27Dec 11:39</x:v>
      </x:c>
      <x:c r="Y170" s="15" t="str">
        <x:v>f1f3f12cca59fec4</x:v>
      </x:c>
    </x:row>
    <x:row r="171">
      <x:c r="A171" s="34" t="n">
        <x:v>46018.49930555555</x:v>
      </x:c>
      <x:c r="B171" s="36" t="n">
        <x:v>46018</x:v>
      </x:c>
      <x:c r="C171" s="34" t="n">
        <x:v>46018.49961805555</x:v>
      </x:c>
      <x:c r="D171" s="15" t="str">
        <x:v>Current a/c..512781</x:v>
      </x:c>
      <x:c r="E171" s="15" t="str">
        <x:v>card..2924</x:v>
      </x:c>
      <x:c r="F171" s="15" t="str">
        <x:v>R184.40 reserved for purchase @ Pnp Fam Malelane from Current a/c..512781 using card..2924. Avail R20069. 27Dec 11:59</x:v>
      </x:c>
      <x:c r="G171" s="15" t="str">
        <x:v>Pnp Fam Malelane</x:v>
      </x:c>
      <x:c r="H171" s="38" t="n">
        <x:v>184.4</x:v>
      </x:c>
      <x:c r="I171" s="15" t="str">
        <x:v>ZAR</x:v>
      </x:c>
      <x:c r="J171" s="15" t="str">
        <x:v>Outflow</x:v>
      </x:c>
      <x:c r="K171" s="15" t="str">
        <x:v>Card purchase</x:v>
      </x:c>
      <x:c r="L171" s="15" t="str">
        <x:v>Card spend</x:v>
      </x:c>
      <x:c r="M171" s="38"/>
      <x:c r="N171" s="38" t="n">
        <x:v>20069</x:v>
      </x:c>
      <x:c r="O171" s="15" t="str"/>
      <x:c r="P171" s="15" t="str">
        <x:v>eml_ALL_currentac__512781 (2).zip &gt; eml8currentac__512781.zip</x:v>
      </x:c>
      <x:c r="Q171" s="15" t="str">
        <x:v>FNB _-) R184.40 reserved for purchase @ Pnp Fam Malelane from Current a_c..512781 using card..2924. 27Dec 11_59.eml</x:v>
      </x:c>
      <x:c r="R171" s="15" t="str">
        <x:v>High</x:v>
      </x:c>
      <x:c r="S171" s="15" t="str">
        <x:v>Category confidence Low: Default card-spend category; merchant not confidently mapped.</x:v>
      </x:c>
      <x:c r="T171" s="15" t="str"/>
      <x:c r="U171" s="15" t="str"/>
      <x:c r="V171" s="15" t="str"/>
      <x:c r="W171" s="15" t="str"/>
      <x:c r="X171" s="15" t="str">
        <x:v>FNB :-) R184.40 reserved for purchase @ Pnp Fam Malelane from Current a/c..512781 using card..2924. Avail R20069. 27Dec 11:59</x:v>
      </x:c>
      <x:c r="Y171" s="15" t="str">
        <x:v>76bea9e03d836d9b</x:v>
      </x:c>
    </x:row>
    <x:row r="172">
      <x:c r="A172" s="34" t="n">
        <x:v>46018.524305555555</x:v>
      </x:c>
      <x:c r="B172" s="36" t="n">
        <x:v>46018</x:v>
      </x:c>
      <x:c r="C172" s="34" t="n">
        <x:v>46018.52431712963</x:v>
      </x:c>
      <x:c r="D172" s="15" t="str">
        <x:v>Current a/c..512781</x:v>
      </x:c>
      <x:c r="E172" s="15" t="str">
        <x:v>card..2924</x:v>
      </x:c>
      <x:c r="F172" s="15" t="str">
        <x:v>R497.39 reserved for purchase @ Woolworths from Current a/c..512781 using card..2924. Avail R19572. 27Dec 12:35</x:v>
      </x:c>
      <x:c r="G172" s="15" t="str">
        <x:v>Woolworths</x:v>
      </x:c>
      <x:c r="H172" s="38" t="n">
        <x:v>497.39</x:v>
      </x:c>
      <x:c r="I172" s="15" t="str">
        <x:v>ZAR</x:v>
      </x:c>
      <x:c r="J172" s="15" t="str">
        <x:v>Outflow</x:v>
      </x:c>
      <x:c r="K172" s="15" t="str">
        <x:v>Card purchase</x:v>
      </x:c>
      <x:c r="L172" s="15" t="str">
        <x:v>Supplier payments</x:v>
      </x:c>
      <x:c r="M172" s="38"/>
      <x:c r="N172" s="38" t="n">
        <x:v>19572</x:v>
      </x:c>
      <x:c r="O172" s="15" t="str"/>
      <x:c r="P172" s="15" t="str">
        <x:v>eml_ALL_currentac__512781 (2).zip &gt; eml8currentac__512781.zip</x:v>
      </x:c>
      <x:c r="Q172" s="15" t="str">
        <x:v>FNB _-) R497.39 reserved for purchase @ Woolworths from Current a_c..512781 using card..2924. 27Dec 12_35.eml</x:v>
      </x:c>
      <x:c r="R172" s="15" t="str">
        <x:v>High</x:v>
      </x:c>
      <x:c r="S172" s="15" t="str">
        <x:v>Category confidence Medium: Retail/supplier merchant keyword.</x:v>
      </x:c>
      <x:c r="T172" s="15" t="str"/>
      <x:c r="U172" s="15" t="str"/>
      <x:c r="V172" s="15" t="str"/>
      <x:c r="W172" s="15" t="str"/>
      <x:c r="X172" s="15" t="str">
        <x:v>FNB :-) R497.39 reserved for purchase @ Woolworths from Current a/c..512781 using card..2924. Avail R19572. 27Dec 12:35</x:v>
      </x:c>
      <x:c r="Y172" s="15" t="str">
        <x:v>9a2585bfcfb02af4</x:v>
      </x:c>
    </x:row>
    <x:row r="173">
      <x:c r="A173" s="34" t="n">
        <x:v>46018.56180555555</x:v>
      </x:c>
      <x:c r="B173" s="36" t="n">
        <x:v>46018</x:v>
      </x:c>
      <x:c r="C173" s="34" t="n">
        <x:v>46018.56215277778</x:v>
      </x:c>
      <x:c r="D173" s="15" t="str">
        <x:v>Current a/c..512781</x:v>
      </x:c>
      <x:c r="E173" s="15" t="str">
        <x:v>card..2924</x:v>
      </x:c>
      <x:c r="F173" s="15" t="str">
        <x:v>R1065.69 reserved for purchase @ Superspar Malelane from Current a/c..512781 using card..2924. Avail R18506. 27Dec 13:29</x:v>
      </x:c>
      <x:c r="G173" s="15" t="str">
        <x:v>Superspar Malelane</x:v>
      </x:c>
      <x:c r="H173" s="38" t="n">
        <x:v>1065.69</x:v>
      </x:c>
      <x:c r="I173" s="15" t="str">
        <x:v>ZAR</x:v>
      </x:c>
      <x:c r="J173" s="15" t="str">
        <x:v>Outflow</x:v>
      </x:c>
      <x:c r="K173" s="15" t="str">
        <x:v>Card purchase</x:v>
      </x:c>
      <x:c r="L173" s="15" t="str">
        <x:v>Supplier payments</x:v>
      </x:c>
      <x:c r="M173" s="38"/>
      <x:c r="N173" s="38" t="n">
        <x:v>18506</x:v>
      </x:c>
      <x:c r="O173" s="15" t="str"/>
      <x:c r="P173" s="15" t="str">
        <x:v>eml_ALL_currentac__512781 (2).zip &gt; eml8currentac__512781.zip</x:v>
      </x:c>
      <x:c r="Q173" s="15" t="str">
        <x:v>FNB _-) R1065.69 reserved for purchase @ Superspar Malelane from Current a_c..512781 using card..2924. 27Dec 13_29.eml</x:v>
      </x:c>
      <x:c r="R173" s="15" t="str">
        <x:v>High</x:v>
      </x:c>
      <x:c r="S173" s="15" t="str">
        <x:v>Category confidence Medium: Retail/supplier merchant keyword.</x:v>
      </x:c>
      <x:c r="T173" s="15" t="str"/>
      <x:c r="U173" s="15" t="str"/>
      <x:c r="V173" s="15" t="str"/>
      <x:c r="W173" s="15" t="str"/>
      <x:c r="X173" s="15" t="str">
        <x:v>FNB :-) R1065.69 reserved for purchase @ Superspar Malelane from Current a/c..512781 using card..2924. Avail R18506. 27Dec 13:29</x:v>
      </x:c>
      <x:c r="Y173" s="15" t="str">
        <x:v>4114d693edab168f</x:v>
      </x:c>
    </x:row>
    <x:row r="174">
      <x:c r="A174" s="34" t="n">
        <x:v>46018.64791666667</x:v>
      </x:c>
      <x:c r="B174" s="36" t="n">
        <x:v>46018</x:v>
      </x:c>
      <x:c r="C174" s="34" t="n">
        <x:v>46018.648356481484</x:v>
      </x:c>
      <x:c r="D174" s="15" t="str">
        <x:v>Current a/c..512781</x:v>
      </x:c>
      <x:c r="E174" s="15" t="str"/>
      <x:c r="F174" s="15" t="str">
        <x:v>R1273.00 paid from Current a/c..512781 @ Smartapp. Avail R17230. Ref.Waterkloof Gas 10266. 27Dec 15:33</x:v>
      </x:c>
      <x:c r="G174" s="15" t="str">
        <x:v>Waterkloof Gas 10266</x:v>
      </x:c>
      <x:c r="H174" s="38" t="n">
        <x:v>1273</x:v>
      </x:c>
      <x:c r="I174" s="15" t="str">
        <x:v>ZAR</x:v>
      </x:c>
      <x:c r="J174" s="15" t="str">
        <x:v>Outflow</x:v>
      </x:c>
      <x:c r="K174" s="15" t="str">
        <x:v>EFT payment</x:v>
      </x:c>
      <x:c r="L174" s="15" t="str">
        <x:v>Supplier payments</x:v>
      </x:c>
      <x:c r="M174" s="38"/>
      <x:c r="N174" s="38" t="n">
        <x:v>17230</x:v>
      </x:c>
      <x:c r="O174" s="15" t="str"/>
      <x:c r="P174" s="15" t="str">
        <x:v>eml_ALL_currentac__512781 (2).zip &gt; eml8currentac__512781.zip</x:v>
      </x:c>
      <x:c r="Q174" s="15" t="str">
        <x:v>FNB _-) R1273.00 paid from Current a_c..512781 @ Smartapp. Ref.Waterkloof Gas 10266. 27Dec 15_33.eml</x:v>
      </x:c>
      <x:c r="R174" s="15" t="str">
        <x:v>High</x:v>
      </x:c>
      <x:c r="S174" s="15" t="str">
        <x:v>Category confidence Low: Default outflow category; review counterparty/reference.</x:v>
      </x:c>
      <x:c r="T174" s="15" t="str"/>
      <x:c r="U174" s="15" t="str"/>
      <x:c r="V174" s="15" t="str">
        <x:v>Waterkloof Gas 10266</x:v>
      </x:c>
      <x:c r="W174" s="15" t="str">
        <x:v>Smartapp</x:v>
      </x:c>
      <x:c r="X174" s="15" t="str">
        <x:v>FNB :-) R1273.00 paid from Current a/c..512781 @ Smartapp. Avail R17230. Ref.Waterkloof Gas 10266. 27Dec 15:33</x:v>
      </x:c>
      <x:c r="Y174" s="15" t="str">
        <x:v>e273aeff93d68acb</x:v>
      </x:c>
    </x:row>
    <x:row r="175">
      <x:c r="A175" s="34" t="n">
        <x:v>46018.82986111111</x:v>
      </x:c>
      <x:c r="B175" s="36" t="n">
        <x:v>46018</x:v>
      </x:c>
      <x:c r="C175" s="34" t="n">
        <x:v>46018.83048611111</x:v>
      </x:c>
      <x:c r="D175" s="15" t="str">
        <x:v>Current a/c..512781</x:v>
      </x:c>
      <x:c r="E175" s="15" t="str"/>
      <x:c r="F175" s="15" t="str">
        <x:v>R5000.00 paid from Current a/c..512781 @ Gen Ph. Avail R12215. Ref.Gd Hoffman Wages. 27Dec 19:55</x:v>
      </x:c>
      <x:c r="G175" s="15" t="str">
        <x:v>Gd Hoffman Wages</x:v>
      </x:c>
      <x:c r="H175" s="38" t="n">
        <x:v>5000</x:v>
      </x:c>
      <x:c r="I175" s="15" t="str">
        <x:v>ZAR</x:v>
      </x:c>
      <x:c r="J175" s="15" t="str">
        <x:v>Outflow</x:v>
      </x:c>
      <x:c r="K175" s="15" t="str">
        <x:v>EFT payment</x:v>
      </x:c>
      <x:c r="L175" s="15" t="str">
        <x:v>Salary / wages</x:v>
      </x:c>
      <x:c r="M175" s="38"/>
      <x:c r="N175" s="38" t="n">
        <x:v>12215</x:v>
      </x:c>
      <x:c r="O175" s="15" t="str"/>
      <x:c r="P175" s="15" t="str">
        <x:v>eml_ALL_currentac__512781 (2).zip &gt; eml8currentac__512781.zip</x:v>
      </x:c>
      <x:c r="Q175" s="15" t="str">
        <x:v>FNB _-) R5000.00 paid from Current a_c..512781 @ Gen Ph. Ref.Gd Hoffman Wages. 27Dec 19_55.eml</x:v>
      </x:c>
      <x:c r="R175" s="15" t="str">
        <x:v>High</x:v>
      </x:c>
      <x:c r="S175" s="15" t="str"/>
      <x:c r="T175" s="15" t="str"/>
      <x:c r="U175" s="15" t="str"/>
      <x:c r="V175" s="15" t="str">
        <x:v>Gd Hoffman Wages</x:v>
      </x:c>
      <x:c r="W175" s="15" t="str">
        <x:v>Gen Ph</x:v>
      </x:c>
      <x:c r="X175" s="15" t="str">
        <x:v>FNB :-) R5000.00 paid from Current a/c..512781 @ Gen Ph. Avail R12215. Ref.Gd Hoffman Wages. 27Dec 19:55</x:v>
      </x:c>
      <x:c r="Y175" s="15" t="str">
        <x:v>42dfd7811641547d</x:v>
      </x:c>
    </x:row>
    <x:row r="176">
      <x:c r="A176" s="34" t="n">
        <x:v>46019.38125</x:v>
      </x:c>
      <x:c r="B176" s="36" t="n">
        <x:v>46019</x:v>
      </x:c>
      <x:c r="C176" s="34" t="n">
        <x:v>46019.38133101852</x:v>
      </x:c>
      <x:c r="D176" s="15" t="str">
        <x:v>Current a/c..512781</x:v>
      </x:c>
      <x:c r="E176" s="15" t="str">
        <x:v>card..2924</x:v>
      </x:c>
      <x:c r="F176" s="15" t="str">
        <x:v>R200.00 reserved for purchase @ Marlothi Petrol Stat from Current a/c..512781 using card..2924. Avail R11922. 28Dec 09:09</x:v>
      </x:c>
      <x:c r="G176" s="15" t="str">
        <x:v>Marlothi Petrol Stat</x:v>
      </x:c>
      <x:c r="H176" s="38" t="n">
        <x:v>200</x:v>
      </x:c>
      <x:c r="I176" s="15" t="str">
        <x:v>ZAR</x:v>
      </x:c>
      <x:c r="J176" s="15" t="str">
        <x:v>Outflow</x:v>
      </x:c>
      <x:c r="K176" s="15" t="str">
        <x:v>Card purchase</x:v>
      </x:c>
      <x:c r="L176" s="15" t="str">
        <x:v>Fuel / transport</x:v>
      </x:c>
      <x:c r="M176" s="38"/>
      <x:c r="N176" s="38" t="n">
        <x:v>11922</x:v>
      </x:c>
      <x:c r="O176" s="15" t="str"/>
      <x:c r="P176" s="15" t="str">
        <x:v>eml_ALL_currentac__512781 (2).zip &gt; eml8currentac__512781.zip</x:v>
      </x:c>
      <x:c r="Q176" s="15" t="str">
        <x:v>FNB _-) R200.00 reserved for purchase @ Marlothi Petrol Stat from Current a_c..512781 using card..2924. 28Dec 09_09.eml</x:v>
      </x:c>
      <x:c r="R176" s="15" t="str">
        <x:v>High</x:v>
      </x:c>
      <x:c r="S176" s="15" t="str"/>
      <x:c r="T176" s="15" t="str"/>
      <x:c r="U176" s="15" t="str"/>
      <x:c r="V176" s="15" t="str"/>
      <x:c r="W176" s="15" t="str"/>
      <x:c r="X176" s="15" t="str">
        <x:v>FNB :-) R200.00 reserved for purchase @ Marlothi Petrol Stat from Current a/c..512781 using card..2924. Avail R11922. 28Dec 09:09</x:v>
      </x:c>
      <x:c r="Y176" s="15" t="str">
        <x:v>08f49497ab7f0050</x:v>
      </x:c>
    </x:row>
    <x:row r="177">
      <x:c r="A177" s="34" t="n">
        <x:v>46019.38888888889</x:v>
      </x:c>
      <x:c r="B177" s="36" t="n">
        <x:v>46019</x:v>
      </x:c>
      <x:c r="C177" s="34" t="n">
        <x:v>46019.3890625</x:v>
      </x:c>
      <x:c r="D177" s="15" t="str">
        <x:v>Current a/c..512781</x:v>
      </x:c>
      <x:c r="E177" s="15" t="str"/>
      <x:c r="F177" s="15" t="str">
        <x:v>R750.00 paid from Current a/c..512781 @ Smartapp. Avail R11169. Ref.Phindi Wages. 28Dec 09:20</x:v>
      </x:c>
      <x:c r="G177" s="15" t="str">
        <x:v>Phindi Wages</x:v>
      </x:c>
      <x:c r="H177" s="38" t="n">
        <x:v>750</x:v>
      </x:c>
      <x:c r="I177" s="15" t="str">
        <x:v>ZAR</x:v>
      </x:c>
      <x:c r="J177" s="15" t="str">
        <x:v>Outflow</x:v>
      </x:c>
      <x:c r="K177" s="15" t="str">
        <x:v>EFT payment</x:v>
      </x:c>
      <x:c r="L177" s="15" t="str">
        <x:v>Salary / wages</x:v>
      </x:c>
      <x:c r="M177" s="38"/>
      <x:c r="N177" s="38" t="n">
        <x:v>11169</x:v>
      </x:c>
      <x:c r="O177" s="15" t="str"/>
      <x:c r="P177" s="15" t="str">
        <x:v>eml_ALL_currentac__512781 (2).zip &gt; eml8currentac__512781.zip</x:v>
      </x:c>
      <x:c r="Q177" s="15" t="str">
        <x:v>FNB _-) R750.00 paid from Current a_c..512781 @ Smartapp. Ref.Phindi Wages. 28Dec 09_20.eml</x:v>
      </x:c>
      <x:c r="R177" s="15" t="str">
        <x:v>High</x:v>
      </x:c>
      <x:c r="S177" s="15" t="str"/>
      <x:c r="T177" s="15" t="str"/>
      <x:c r="U177" s="15" t="str"/>
      <x:c r="V177" s="15" t="str">
        <x:v>Phindi Wages</x:v>
      </x:c>
      <x:c r="W177" s="15" t="str">
        <x:v>Smartapp</x:v>
      </x:c>
      <x:c r="X177" s="15" t="str">
        <x:v>FNB :-) R750.00 paid from Current a/c..512781 @ Smartapp. Avail R11169. Ref.Phindi Wages. 28Dec 09:20</x:v>
      </x:c>
      <x:c r="Y177" s="15" t="str">
        <x:v>e820149e39a36521</x:v>
      </x:c>
    </x:row>
    <x:row r="178">
      <x:c r="A178" s="34" t="n">
        <x:v>46019.52222222222</x:v>
      </x:c>
      <x:c r="B178" s="36" t="n">
        <x:v>46019</x:v>
      </x:c>
      <x:c r="C178" s="34" t="n">
        <x:v>46019.522893518515</x:v>
      </x:c>
      <x:c r="D178" s="15" t="str">
        <x:v>Current a/c..512781</x:v>
      </x:c>
      <x:c r="E178" s="15" t="str"/>
      <x:c r="F178" s="15" t="str">
        <x:v>Payment Link created from Current a/c..512781 To Lynne Warner..201049 @ Smartapp. 28Dec 12:32 Call 087 575 9404 for help.</x:v>
      </x:c>
      <x:c r="G178" s="15" t="str">
        <x:v>Lynne Warner..201049</x:v>
      </x:c>
      <x:c r="H178" s="38"/>
      <x:c r="I178" s="15" t="str"/>
      <x:c r="J178" s="15" t="str">
        <x:v>Neutral/Information Only</x:v>
      </x:c>
      <x:c r="K178" s="15" t="str">
        <x:v>Other</x:v>
      </x:c>
      <x:c r="L178" s="15" t="str">
        <x:v>Other</x:v>
      </x:c>
      <x:c r="M178" s="38"/>
      <x:c r="N178" s="38"/>
      <x:c r="O178" s="15" t="str"/>
      <x:c r="P178" s="15" t="str">
        <x:v>eml_ALL_currentac__512781 (2).zip &gt; eml8currentac__512781.zip</x:v>
      </x:c>
      <x:c r="Q178" s="15" t="str">
        <x:v>FNB _-) Payment Link created from Current a_c..512781 To Lynne Warner..201049 @ Smartapp. 28Dec 12_32 Call 087 575 9404  for help..eml</x:v>
      </x:c>
      <x:c r="R178" s="15" t="str">
        <x:v>High</x:v>
      </x:c>
      <x:c r="S178" s="15" t="str">
        <x:v>Payment link creation only; no money movement indicated. Category confidence Low: Unable to map confidently.</x:v>
      </x:c>
      <x:c r="T178" s="15" t="str">
        <x:v>Current a/c..512781</x:v>
      </x:c>
      <x:c r="U178" s="15" t="str">
        <x:v>Lynne Warner..201049</x:v>
      </x:c>
      <x:c r="V178" s="15" t="str"/>
      <x:c r="W178" s="15" t="str">
        <x:v>Smartapp</x:v>
      </x:c>
      <x:c r="X178" s="15" t="str">
        <x:v>FNB :-) Payment Link created from Current a/c..512781 To Lynne Warner..201049 @ Smartapp. 28Dec 12:32 Call 087 575 9404 for help.</x:v>
      </x:c>
      <x:c r="Y178" s="15" t="str">
        <x:v>886a2356ad68e720</x:v>
      </x:c>
    </x:row>
    <x:row r="179">
      <x:c r="A179" s="34" t="n">
        <x:v>46019.52291666667</x:v>
      </x:c>
      <x:c r="B179" s="36" t="n">
        <x:v>46019</x:v>
      </x:c>
      <x:c r="C179" s="34" t="n">
        <x:v>46019.52315972222</x:v>
      </x:c>
      <x:c r="D179" s="15" t="str">
        <x:v>Current a/c..512781</x:v>
      </x:c>
      <x:c r="E179" s="15" t="str"/>
      <x:c r="F179" s="15" t="str">
        <x:v>R857.18 paid from Current a/c..512781 @ Smartapp. Avail R10304. Ref.Asbe - Comm. 28Dec 12:33</x:v>
      </x:c>
      <x:c r="G179" s="15" t="str">
        <x:v>Asbe - Comm</x:v>
      </x:c>
      <x:c r="H179" s="38" t="n">
        <x:v>857.18</x:v>
      </x:c>
      <x:c r="I179" s="15" t="str">
        <x:v>ZAR</x:v>
      </x:c>
      <x:c r="J179" s="15" t="str">
        <x:v>Outflow</x:v>
      </x:c>
      <x:c r="K179" s="15" t="str">
        <x:v>EFT payment</x:v>
      </x:c>
      <x:c r="L179" s="15" t="str">
        <x:v>Supplier payments</x:v>
      </x:c>
      <x:c r="M179" s="38"/>
      <x:c r="N179" s="38" t="n">
        <x:v>10304</x:v>
      </x:c>
      <x:c r="O179" s="15" t="str"/>
      <x:c r="P179" s="15" t="str">
        <x:v>eml_ALL_currentac__512781 (2).zip &gt; eml8currentac__512781.zip</x:v>
      </x:c>
      <x:c r="Q179" s="15" t="str">
        <x:v>FNB _-) R857.18 paid from Current a_c..512781 @ Smartapp. Ref.Asbe - Comm. 28Dec 12_33.eml</x:v>
      </x:c>
      <x:c r="R179" s="15" t="str">
        <x:v>High</x:v>
      </x:c>
      <x:c r="S179" s="15" t="str">
        <x:v>Category confidence Low: Default outflow category; review counterparty/reference.</x:v>
      </x:c>
      <x:c r="T179" s="15" t="str"/>
      <x:c r="U179" s="15" t="str"/>
      <x:c r="V179" s="15" t="str">
        <x:v>Asbe - Comm</x:v>
      </x:c>
      <x:c r="W179" s="15" t="str">
        <x:v>Smartapp</x:v>
      </x:c>
      <x:c r="X179" s="15" t="str">
        <x:v>FNB :-) R857.18 paid from Current a/c..512781 @ Smartapp. Avail R10304. Ref.Asbe - Comm. 28Dec 12:33</x:v>
      </x:c>
      <x:c r="Y179" s="15" t="str">
        <x:v>1595433551bebc2a</x:v>
      </x:c>
    </x:row>
    <x:row r="180">
      <x:c r="A180" s="34" t="n">
        <x:v>46019.52777777778</x:v>
      </x:c>
      <x:c r="B180" s="36" t="n">
        <x:v>46019</x:v>
      </x:c>
      <x:c r="C180" s="34" t="n">
        <x:v>46019.52809027778</x:v>
      </x:c>
      <x:c r="D180" s="15" t="str">
        <x:v>Current a/c..512781</x:v>
      </x:c>
      <x:c r="E180" s="15" t="str">
        <x:v>card..2924</x:v>
      </x:c>
      <x:c r="F180" s="15" t="str">
        <x:v>R101.89 reserved for purchase @ Savemor Marloth from Current a/c..512781 using card..2924. Avail R10202. 28Dec 12:40</x:v>
      </x:c>
      <x:c r="G180" s="15" t="str">
        <x:v>Savemor Marloth</x:v>
      </x:c>
      <x:c r="H180" s="38" t="n">
        <x:v>101.89</x:v>
      </x:c>
      <x:c r="I180" s="15" t="str">
        <x:v>ZAR</x:v>
      </x:c>
      <x:c r="J180" s="15" t="str">
        <x:v>Outflow</x:v>
      </x:c>
      <x:c r="K180" s="15" t="str">
        <x:v>Card purchase</x:v>
      </x:c>
      <x:c r="L180" s="15" t="str">
        <x:v>Supplier payments</x:v>
      </x:c>
      <x:c r="M180" s="38"/>
      <x:c r="N180" s="38" t="n">
        <x:v>10202</x:v>
      </x:c>
      <x:c r="O180" s="15" t="str"/>
      <x:c r="P180" s="15" t="str">
        <x:v>eml_ALL_currentac__512781 (2).zip &gt; eml8currentac__512781.zip</x:v>
      </x:c>
      <x:c r="Q180" s="15" t="str">
        <x:v>FNB _-) R101.89 reserved for purchase @ Savemor Marloth from Current a_c..512781 using card..2924. 28Dec 12_40.eml</x:v>
      </x:c>
      <x:c r="R180" s="15" t="str">
        <x:v>High</x:v>
      </x:c>
      <x:c r="S180" s="15" t="str">
        <x:v>Category confidence Medium: Retail/supplier merchant keyword.</x:v>
      </x:c>
      <x:c r="T180" s="15" t="str"/>
      <x:c r="U180" s="15" t="str"/>
      <x:c r="V180" s="15" t="str"/>
      <x:c r="W180" s="15" t="str"/>
      <x:c r="X180" s="15" t="str">
        <x:v>FNB :-) R101.89 reserved for purchase @ Savemor Marloth from Current a/c..512781 using card..2924. Avail R10202. 28Dec 12:40</x:v>
      </x:c>
      <x:c r="Y180" s="15" t="str">
        <x:v>a46877f9871e5517</x:v>
      </x:c>
    </x:row>
    <x:row r="181">
      <x:c r="A181" s="34" t="n">
        <x:v>46019.82638888889</x:v>
      </x:c>
      <x:c r="B181" s="36" t="n">
        <x:v>46019</x:v>
      </x:c>
      <x:c r="C181" s="34" t="n">
        <x:v>46019.826828703706</x:v>
      </x:c>
      <x:c r="D181" s="15" t="str">
        <x:v>Current a/c..512781</x:v>
      </x:c>
      <x:c r="E181" s="15" t="str">
        <x:v>card..2924</x:v>
      </x:c>
      <x:c r="F181" s="15" t="str">
        <x:v>R175.00 reserved for purchase @ The Tin Shack from Current a/c..512781 using card..2924. Avail R10027. 28Dec 19:50</x:v>
      </x:c>
      <x:c r="G181" s="15" t="str">
        <x:v>The Tin Shack</x:v>
      </x:c>
      <x:c r="H181" s="38" t="n">
        <x:v>175</x:v>
      </x:c>
      <x:c r="I181" s="15" t="str">
        <x:v>ZAR</x:v>
      </x:c>
      <x:c r="J181" s="15" t="str">
        <x:v>Outflow</x:v>
      </x:c>
      <x:c r="K181" s="15" t="str">
        <x:v>Card purchase</x:v>
      </x:c>
      <x:c r="L181" s="15" t="str">
        <x:v>Meals / restaurants / entertainment</x:v>
      </x:c>
      <x:c r="M181" s="38"/>
      <x:c r="N181" s="38" t="n">
        <x:v>10027</x:v>
      </x:c>
      <x:c r="O181" s="15" t="str"/>
      <x:c r="P181" s="15" t="str">
        <x:v>eml_ALL_currentac__512781 (2).zip &gt; eml8currentac__512781.zip</x:v>
      </x:c>
      <x:c r="Q181" s="15" t="str">
        <x:v>FNB _-) R175.00 reserved for purchase @ The Tin Shack from Current a_c..512781 using card..2924. 28Dec 19_50.eml</x:v>
      </x:c>
      <x:c r="R181" s="15" t="str">
        <x:v>High</x:v>
      </x:c>
      <x:c r="S181" s="15" t="str"/>
      <x:c r="T181" s="15" t="str"/>
      <x:c r="U181" s="15" t="str"/>
      <x:c r="V181" s="15" t="str"/>
      <x:c r="W181" s="15" t="str"/>
      <x:c r="X181" s="15" t="str">
        <x:v>FNB :-) R175.00 reserved for purchase @ The Tin Shack from Current a/c..512781 using card..2924. Avail R10027. 28Dec 19:50</x:v>
      </x:c>
      <x:c r="Y181" s="15" t="str">
        <x:v>119a53e4b2a5338f</x:v>
      </x:c>
    </x:row>
    <x:row r="182">
      <x:c r="A182" s="34" t="n">
        <x:v>46020.646527777775</x:v>
      </x:c>
      <x:c r="B182" s="36" t="n">
        <x:v>46020</x:v>
      </x:c>
      <x:c r="C182" s="34" t="n">
        <x:v>46020.647141203706</x:v>
      </x:c>
      <x:c r="D182" s="15" t="str">
        <x:v>Current a/c..512781</x:v>
      </x:c>
      <x:c r="E182" s="15" t="str">
        <x:v>card..2924</x:v>
      </x:c>
      <x:c r="F182" s="15" t="str">
        <x:v>R149.93 reserved for purchase @ Savemor Marloth from Current a/c..512781 using card..2924. Avail R9877. 29Dec 15:31</x:v>
      </x:c>
      <x:c r="G182" s="15" t="str">
        <x:v>Savemor Marloth</x:v>
      </x:c>
      <x:c r="H182" s="38" t="n">
        <x:v>149.93</x:v>
      </x:c>
      <x:c r="I182" s="15" t="str">
        <x:v>ZAR</x:v>
      </x:c>
      <x:c r="J182" s="15" t="str">
        <x:v>Outflow</x:v>
      </x:c>
      <x:c r="K182" s="15" t="str">
        <x:v>Card purchase</x:v>
      </x:c>
      <x:c r="L182" s="15" t="str">
        <x:v>Supplier payments</x:v>
      </x:c>
      <x:c r="M182" s="38"/>
      <x:c r="N182" s="38" t="n">
        <x:v>9877</x:v>
      </x:c>
      <x:c r="O182" s="15" t="str"/>
      <x:c r="P182" s="15" t="str">
        <x:v>eml_ALL_currentac__512781 (2).zip &gt; eml8currentac__512781.zip</x:v>
      </x:c>
      <x:c r="Q182" s="15" t="str">
        <x:v>FNB _-) R149.93 reserved for purchase @ Savemor Marloth from Current a_c..512781 using card..2924. 29Dec 15_31.eml</x:v>
      </x:c>
      <x:c r="R182" s="15" t="str">
        <x:v>High</x:v>
      </x:c>
      <x:c r="S182" s="15" t="str">
        <x:v>Category confidence Medium: Retail/supplier merchant keyword.</x:v>
      </x:c>
      <x:c r="T182" s="15" t="str"/>
      <x:c r="U182" s="15" t="str"/>
      <x:c r="V182" s="15" t="str"/>
      <x:c r="W182" s="15" t="str"/>
      <x:c r="X182" s="15" t="str">
        <x:v>FNB :-) R149.93 reserved for purchase @ Savemor Marloth from Current a/c..512781 using card..2924. Avail R9877. 29Dec 15:31</x:v>
      </x:c>
      <x:c r="Y182" s="15" t="str">
        <x:v>44bc4d3290d97bcf</x:v>
      </x:c>
    </x:row>
    <x:row r="183">
      <x:c r="A183" s="34" t="n">
        <x:v>46021.44236111111</x:v>
      </x:c>
      <x:c r="B183" s="36" t="n">
        <x:v>46021</x:v>
      </x:c>
      <x:c r="C183" s="34" t="n">
        <x:v>46021.442557870374</x:v>
      </x:c>
      <x:c r="D183" s="15" t="str">
        <x:v>Current a/c..512781</x:v>
      </x:c>
      <x:c r="E183" s="15" t="str"/>
      <x:c r="F183" s="15" t="str">
        <x:v>R17245.52 paid to Current a/c..512781 @ Retail Forex. Ref.R025hthth0 Booking.c. 30Dec 10:37</x:v>
      </x:c>
      <x:c r="G183" s="15" t="str">
        <x:v>R025hthth0 Booking.c</x:v>
      </x:c>
      <x:c r="H183" s="38" t="n">
        <x:v>17245.52</x:v>
      </x:c>
      <x:c r="I183" s="15" t="str">
        <x:v>ZAR</x:v>
      </x:c>
      <x:c r="J183" s="15" t="str">
        <x:v>Inflow</x:v>
      </x:c>
      <x:c r="K183" s="15" t="str">
        <x:v>EFT receipt</x:v>
      </x:c>
      <x:c r="L183" s="15" t="str">
        <x:v>Sales / customer receipts</x:v>
      </x:c>
      <x:c r="M183" s="38"/>
      <x:c r="N183" s="38"/>
      <x:c r="O183" s="15" t="str"/>
      <x:c r="P183" s="15" t="str">
        <x:v>eml_ALL_currentac__512781 (2).zip &gt; eml8currentac__512781.zip</x:v>
      </x:c>
      <x:c r="Q183" s="15" t="str">
        <x:v>FNB _-) R17245.52 paid to Current a_c..512781 @ Retail Forex. Ref.R025hthth0 Booking.c. 30Dec 10_37.eml</x:v>
      </x:c>
      <x:c r="R183" s="15" t="str">
        <x:v>High</x:v>
      </x:c>
      <x:c r="S183" s="15" t="str">
        <x:v>Category confidence Medium: Default for incoming EFT/PayShap/online receipt.</x:v>
      </x:c>
      <x:c r="T183" s="15" t="str"/>
      <x:c r="U183" s="15" t="str"/>
      <x:c r="V183" s="15" t="str">
        <x:v>R025hthth0 Booking.c</x:v>
      </x:c>
      <x:c r="W183" s="15" t="str">
        <x:v>Retail Forex</x:v>
      </x:c>
      <x:c r="X183" s="15" t="str">
        <x:v>FNB :-) R17245.52 paid to Current a/c..512781 @ Retail Forex. Ref.R025hthth0 Booking.c. 30Dec 10:37</x:v>
      </x:c>
      <x:c r="Y183" s="15" t="str">
        <x:v>98dcda4151ac4332</x:v>
      </x:c>
    </x:row>
    <x:row r="184">
      <x:c r="A184" s="34" t="n">
        <x:v>46021.444444444445</x:v>
      </x:c>
      <x:c r="B184" s="36" t="n">
        <x:v>46021</x:v>
      </x:c>
      <x:c r="C184" s="34" t="n">
        <x:v>46021.444872685184</x:v>
      </x:c>
      <x:c r="D184" s="15" t="str">
        <x:v>Current a/c..512781</x:v>
      </x:c>
      <x:c r="E184" s="15" t="str"/>
      <x:c r="F184" s="15" t="str">
        <x:v>R13095.00 paid from Current a/c..512781 @ Gen Ph. Avail R13999. Ref.Kruger Safari 1673. 30Dec 10:40</x:v>
      </x:c>
      <x:c r="G184" s="15" t="str">
        <x:v>Kruger Safari 1673</x:v>
      </x:c>
      <x:c r="H184" s="38" t="n">
        <x:v>13095</x:v>
      </x:c>
      <x:c r="I184" s="15" t="str">
        <x:v>ZAR</x:v>
      </x:c>
      <x:c r="J184" s="15" t="str">
        <x:v>Outflow</x:v>
      </x:c>
      <x:c r="K184" s="15" t="str">
        <x:v>EFT payment</x:v>
      </x:c>
      <x:c r="L184" s="15" t="str">
        <x:v>Supplier payments</x:v>
      </x:c>
      <x:c r="M184" s="38"/>
      <x:c r="N184" s="38" t="n">
        <x:v>13999</x:v>
      </x:c>
      <x:c r="O184" s="15" t="str"/>
      <x:c r="P184" s="15" t="str">
        <x:v>eml_ALL_currentac__512781 (2).zip &gt; eml8currentac__512781.zip</x:v>
      </x:c>
      <x:c r="Q184" s="15" t="str">
        <x:v>FNB _-) R13095.00 paid from Current a_c..512781 @ Gen Ph. Ref.Kruger Safari 1673. 30Dec 10_40.eml</x:v>
      </x:c>
      <x:c r="R184" s="15" t="str">
        <x:v>High</x:v>
      </x:c>
      <x:c r="S184" s="15" t="str">
        <x:v>Category confidence Low: Default outflow category; review counterparty/reference.</x:v>
      </x:c>
      <x:c r="T184" s="15" t="str"/>
      <x:c r="U184" s="15" t="str"/>
      <x:c r="V184" s="15" t="str">
        <x:v>Kruger Safari 1673</x:v>
      </x:c>
      <x:c r="W184" s="15" t="str">
        <x:v>Gen Ph</x:v>
      </x:c>
      <x:c r="X184" s="15" t="str">
        <x:v>FNB :-) R13095.00 paid from Current a/c..512781 @ Gen Ph. Avail R13999. Ref.Kruger Safari 1673. 30Dec 10:40</x:v>
      </x:c>
      <x:c r="Y184" s="15" t="str">
        <x:v>d639856d703b2e28</x:v>
      </x:c>
    </x:row>
    <x:row r="185">
      <x:c r="A185" s="34" t="n">
        <x:v>46021.52638888889</x:v>
      </x:c>
      <x:c r="B185" s="36" t="n">
        <x:v>46021</x:v>
      </x:c>
      <x:c r="C185" s="34" t="n">
        <x:v>46021.52678240741</x:v>
      </x:c>
      <x:c r="D185" s="15" t="str">
        <x:v>Current a/c..512781</x:v>
      </x:c>
      <x:c r="E185" s="15" t="str">
        <x:v>card..2924</x:v>
      </x:c>
      <x:c r="F185" s="15" t="str">
        <x:v>R2300.00 reserved for purchase @ Autozone Malelane from Current a/c..512781 using card..2924. Avail R11699. 30Dec 12:38</x:v>
      </x:c>
      <x:c r="G185" s="15" t="str">
        <x:v>Autozone Malelane</x:v>
      </x:c>
      <x:c r="H185" s="38" t="n">
        <x:v>2300</x:v>
      </x:c>
      <x:c r="I185" s="15" t="str">
        <x:v>ZAR</x:v>
      </x:c>
      <x:c r="J185" s="15" t="str">
        <x:v>Outflow</x:v>
      </x:c>
      <x:c r="K185" s="15" t="str">
        <x:v>Card purchase</x:v>
      </x:c>
      <x:c r="L185" s="15" t="str">
        <x:v>Card spend</x:v>
      </x:c>
      <x:c r="M185" s="38"/>
      <x:c r="N185" s="38" t="n">
        <x:v>11699</x:v>
      </x:c>
      <x:c r="O185" s="15" t="str"/>
      <x:c r="P185" s="15" t="str">
        <x:v>eml_ALL_currentac__512781 (2).zip &gt; eml8currentac__512781.zip</x:v>
      </x:c>
      <x:c r="Q185" s="15" t="str">
        <x:v>FNB _-) R2300.00 reserved for purchase @ Autozone Malelane from Current a_c..512781 using card..2924. 30Dec 12_38.eml</x:v>
      </x:c>
      <x:c r="R185" s="15" t="str">
        <x:v>High</x:v>
      </x:c>
      <x:c r="S185" s="15" t="str">
        <x:v>Category confidence Low: Default card-spend category; merchant not confidently mapped.</x:v>
      </x:c>
      <x:c r="T185" s="15" t="str"/>
      <x:c r="U185" s="15" t="str"/>
      <x:c r="V185" s="15" t="str"/>
      <x:c r="W185" s="15" t="str"/>
      <x:c r="X185" s="15" t="str">
        <x:v>FNB :-) R2300.00 reserved for purchase @ Autozone Malelane from Current a/c..512781 using card..2924. Avail R11699. 30Dec 12:38</x:v>
      </x:c>
      <x:c r="Y185" s="15" t="str">
        <x:v>7bc74fd7c73d4af7</x:v>
      </x:c>
    </x:row>
    <x:row r="186">
      <x:c r="A186" s="34" t="n">
        <x:v>46021.563888888886</x:v>
      </x:c>
      <x:c r="B186" s="36" t="n">
        <x:v>46021</x:v>
      </x:c>
      <x:c r="C186" s="34" t="n">
        <x:v>46021.564097222225</x:v>
      </x:c>
      <x:c r="D186" s="15" t="str">
        <x:v>Current a/c..512781</x:v>
      </x:c>
      <x:c r="E186" s="15" t="str">
        <x:v>card..2924</x:v>
      </x:c>
      <x:c r="F186" s="15" t="str">
        <x:v>R1461.38 reserved for purchase @ Superspar Malelane from Current a/c..512781 using card..2924. Avail R10238. 30Dec 13:32</x:v>
      </x:c>
      <x:c r="G186" s="15" t="str">
        <x:v>Superspar Malelane</x:v>
      </x:c>
      <x:c r="H186" s="38" t="n">
        <x:v>1461.38</x:v>
      </x:c>
      <x:c r="I186" s="15" t="str">
        <x:v>ZAR</x:v>
      </x:c>
      <x:c r="J186" s="15" t="str">
        <x:v>Outflow</x:v>
      </x:c>
      <x:c r="K186" s="15" t="str">
        <x:v>Card purchase</x:v>
      </x:c>
      <x:c r="L186" s="15" t="str">
        <x:v>Supplier payments</x:v>
      </x:c>
      <x:c r="M186" s="38"/>
      <x:c r="N186" s="38" t="n">
        <x:v>10238</x:v>
      </x:c>
      <x:c r="O186" s="15" t="str"/>
      <x:c r="P186" s="15" t="str">
        <x:v>eml_ALL_currentac__512781 (2).zip &gt; eml8currentac__512781.zip</x:v>
      </x:c>
      <x:c r="Q186" s="15" t="str">
        <x:v>FNB _-) R1461.38 reserved for purchase @ Superspar Malelane from Current a_c..512781 using card..2924. 30Dec 13_32.eml</x:v>
      </x:c>
      <x:c r="R186" s="15" t="str">
        <x:v>High</x:v>
      </x:c>
      <x:c r="S186" s="15" t="str">
        <x:v>Category confidence Medium: Retail/supplier merchant keyword.</x:v>
      </x:c>
      <x:c r="T186" s="15" t="str"/>
      <x:c r="U186" s="15" t="str"/>
      <x:c r="V186" s="15" t="str"/>
      <x:c r="W186" s="15" t="str"/>
      <x:c r="X186" s="15" t="str">
        <x:v>FNB :-) R1461.38 reserved for purchase @ Superspar Malelane from Current a/c..512781 using card..2924. Avail R10238. 30Dec 13:32</x:v>
      </x:c>
      <x:c r="Y186" s="15" t="str">
        <x:v>f14b2d853c5c0a6c</x:v>
      </x:c>
    </x:row>
    <x:row r="187">
      <x:c r="A187" s="34" t="n">
        <x:v>46021.575694444444</x:v>
      </x:c>
      <x:c r="B187" s="36" t="n">
        <x:v>46021</x:v>
      </x:c>
      <x:c r="C187" s="34" t="n">
        <x:v>46021.57607638889</x:v>
      </x:c>
      <x:c r="D187" s="15" t="str">
        <x:v>Current a/c..512781</x:v>
      </x:c>
      <x:c r="E187" s="15" t="str">
        <x:v>card..2924</x:v>
      </x:c>
      <x:c r="F187" s="15" t="str">
        <x:v>R154.98 reserved for purchase @ Tops Malelane from Current a/c..512781 using card..2924. Avail R10083. 30Dec 13:49</x:v>
      </x:c>
      <x:c r="G187" s="15" t="str">
        <x:v>Tops Malelane</x:v>
      </x:c>
      <x:c r="H187" s="38" t="n">
        <x:v>154.98</x:v>
      </x:c>
      <x:c r="I187" s="15" t="str">
        <x:v>ZAR</x:v>
      </x:c>
      <x:c r="J187" s="15" t="str">
        <x:v>Outflow</x:v>
      </x:c>
      <x:c r="K187" s="15" t="str">
        <x:v>Card purchase</x:v>
      </x:c>
      <x:c r="L187" s="15" t="str">
        <x:v>Meals / restaurants / entertainment</x:v>
      </x:c>
      <x:c r="M187" s="38"/>
      <x:c r="N187" s="38" t="n">
        <x:v>10083</x:v>
      </x:c>
      <x:c r="O187" s="15" t="str"/>
      <x:c r="P187" s="15" t="str">
        <x:v>eml_ALL_currentac__512781 (2).zip &gt; eml8currentac__512781.zip</x:v>
      </x:c>
      <x:c r="Q187" s="15" t="str">
        <x:v>FNB _-) R154.98 reserved for purchase @ Tops Malelane from Current a_c..512781 using card..2924. 30Dec 13_49.eml</x:v>
      </x:c>
      <x:c r="R187" s="15" t="str">
        <x:v>High</x:v>
      </x:c>
      <x:c r="S187" s="15" t="str"/>
      <x:c r="T187" s="15" t="str"/>
      <x:c r="U187" s="15" t="str"/>
      <x:c r="V187" s="15" t="str"/>
      <x:c r="W187" s="15" t="str"/>
      <x:c r="X187" s="15" t="str">
        <x:v>FNB :-) R154.98 reserved for purchase @ Tops Malelane from Current a/c..512781 using card..2924. Avail R10083. 30Dec 13:49</x:v>
      </x:c>
      <x:c r="Y187" s="15" t="str">
        <x:v>c49054eaf172c399</x:v>
      </x:c>
    </x:row>
    <x:row r="188">
      <x:c r="A188" s="34" t="n">
        <x:v>46022.481944444444</x:v>
      </x:c>
      <x:c r="B188" s="36" t="n">
        <x:v>46022</x:v>
      </x:c>
      <x:c r="C188" s="34" t="n">
        <x:v>46022.48241898148</x:v>
      </x:c>
      <x:c r="D188" s="15" t="str">
        <x:v>Current a/c..512781</x:v>
      </x:c>
      <x:c r="E188" s="15" t="str">
        <x:v>card..2924</x:v>
      </x:c>
      <x:c r="F188" s="15" t="str">
        <x:v>R235.98 reserved for purchase @ Savemor Marloth Liqu from Current a/c..512781 using card..2924. Avail R9815. 31Dec 11:34</x:v>
      </x:c>
      <x:c r="G188" s="15" t="str">
        <x:v>Savemor Marloth Liqu</x:v>
      </x:c>
      <x:c r="H188" s="38" t="n">
        <x:v>235.98</x:v>
      </x:c>
      <x:c r="I188" s="15" t="str">
        <x:v>ZAR</x:v>
      </x:c>
      <x:c r="J188" s="15" t="str">
        <x:v>Outflow</x:v>
      </x:c>
      <x:c r="K188" s="15" t="str">
        <x:v>Card purchase</x:v>
      </x:c>
      <x:c r="L188" s="15" t="str">
        <x:v>Meals / restaurants / entertainment</x:v>
      </x:c>
      <x:c r="M188" s="38"/>
      <x:c r="N188" s="38" t="n">
        <x:v>9815</x:v>
      </x:c>
      <x:c r="O188" s="15" t="str"/>
      <x:c r="P188" s="15" t="str">
        <x:v>eml_ALL_currentac__512781 (2).zip &gt; eml8currentac__512781.zip</x:v>
      </x:c>
      <x:c r="Q188" s="15" t="str">
        <x:v>FNB _-) R235.98 reserved for purchase @ Savemor Marloth Liqu from Current a_c..512781 using card..2924. 31Dec 11_34.eml</x:v>
      </x:c>
      <x:c r="R188" s="15" t="str">
        <x:v>High</x:v>
      </x:c>
      <x:c r="S188" s="15" t="str"/>
      <x:c r="T188" s="15" t="str"/>
      <x:c r="U188" s="15" t="str"/>
      <x:c r="V188" s="15" t="str"/>
      <x:c r="W188" s="15" t="str"/>
      <x:c r="X188" s="15" t="str">
        <x:v>FNB :-) R235.98 reserved for purchase @ Savemor Marloth Liqu from Current a/c..512781 using card..2924. Avail R9815. 31Dec 11:34</x:v>
      </x:c>
      <x:c r="Y188" s="15" t="str">
        <x:v>6471556e5a734537</x:v>
      </x:c>
    </x:row>
    <x:row r="189">
      <x:c r="A189" s="34" t="n">
        <x:v>46022.48611111111</x:v>
      </x:c>
      <x:c r="B189" s="36" t="n">
        <x:v>46022</x:v>
      </x:c>
      <x:c r="C189" s="34" t="n">
        <x:v>46022.48636574074</x:v>
      </x:c>
      <x:c r="D189" s="15" t="str">
        <x:v>Current a/c..512781</x:v>
      </x:c>
      <x:c r="E189" s="15" t="str"/>
      <x:c r="F189" s="15" t="str">
        <x:v>R4250.00 paid from Current a/c..512781 @ Gen Ph. Avail R5550. Ref.Phindi Salary Dec. 31Dec 11:40</x:v>
      </x:c>
      <x:c r="G189" s="15" t="str">
        <x:v>Phindi Salary Dec</x:v>
      </x:c>
      <x:c r="H189" s="38" t="n">
        <x:v>4250</x:v>
      </x:c>
      <x:c r="I189" s="15" t="str">
        <x:v>ZAR</x:v>
      </x:c>
      <x:c r="J189" s="15" t="str">
        <x:v>Outflow</x:v>
      </x:c>
      <x:c r="K189" s="15" t="str">
        <x:v>EFT payment</x:v>
      </x:c>
      <x:c r="L189" s="15" t="str">
        <x:v>Salary / wages</x:v>
      </x:c>
      <x:c r="M189" s="38"/>
      <x:c r="N189" s="38" t="n">
        <x:v>5550</x:v>
      </x:c>
      <x:c r="O189" s="15" t="str"/>
      <x:c r="P189" s="15" t="str">
        <x:v>eml_ALL_currentac__512781 (2).zip &gt; eml8currentac__512781.zip</x:v>
      </x:c>
      <x:c r="Q189" s="15" t="str">
        <x:v>FNB _-) R4250.00 paid from Current a_c..512781 @ Gen Ph. Ref.Phindi Salary Dec. 31Dec 11_40.eml</x:v>
      </x:c>
      <x:c r="R189" s="15" t="str">
        <x:v>High</x:v>
      </x:c>
      <x:c r="S189" s="15" t="str"/>
      <x:c r="T189" s="15" t="str"/>
      <x:c r="U189" s="15" t="str"/>
      <x:c r="V189" s="15" t="str">
        <x:v>Phindi Salary Dec</x:v>
      </x:c>
      <x:c r="W189" s="15" t="str">
        <x:v>Gen Ph</x:v>
      </x:c>
      <x:c r="X189" s="15" t="str">
        <x:v>FNB :-) R4250.00 paid from Current a/c..512781 @ Gen Ph. Avail R5550. Ref.Phindi Salary Dec. 31Dec 11:40</x:v>
      </x:c>
      <x:c r="Y189" s="15" t="str">
        <x:v>3c9aa0b710ac8abb</x:v>
      </x:c>
    </x:row>
    <x:row r="190">
      <x:c r="A190" s="34" t="n">
        <x:v>46022.48819444444</x:v>
      </x:c>
      <x:c r="B190" s="36" t="n">
        <x:v>46022</x:v>
      </x:c>
      <x:c r="C190" s="34" t="n">
        <x:v>46022.48832175926</x:v>
      </x:c>
      <x:c r="D190" s="15" t="str">
        <x:v>Current a/c..512781</x:v>
      </x:c>
      <x:c r="E190" s="15" t="str">
        <x:v>card..2924</x:v>
      </x:c>
      <x:c r="F190" s="15" t="str">
        <x:v>R447.95 reserved for purchase @ Savemor Marloth from Current a/c..512781 using card..2924. Avail R5102. 31Dec 11:43</x:v>
      </x:c>
      <x:c r="G190" s="15" t="str">
        <x:v>Savemor Marloth</x:v>
      </x:c>
      <x:c r="H190" s="38" t="n">
        <x:v>447.95</x:v>
      </x:c>
      <x:c r="I190" s="15" t="str">
        <x:v>ZAR</x:v>
      </x:c>
      <x:c r="J190" s="15" t="str">
        <x:v>Outflow</x:v>
      </x:c>
      <x:c r="K190" s="15" t="str">
        <x:v>Card purchase</x:v>
      </x:c>
      <x:c r="L190" s="15" t="str">
        <x:v>Supplier payments</x:v>
      </x:c>
      <x:c r="M190" s="38"/>
      <x:c r="N190" s="38" t="n">
        <x:v>5102</x:v>
      </x:c>
      <x:c r="O190" s="15" t="str"/>
      <x:c r="P190" s="15" t="str">
        <x:v>eml_ALL_currentac__512781 (2).zip &gt; eml8currentac__512781.zip</x:v>
      </x:c>
      <x:c r="Q190" s="15" t="str">
        <x:v>FNB _-) R447.95 reserved for purchase @ Savemor Marloth from Current a_c..512781 using card..2924. 31Dec 11_43.eml</x:v>
      </x:c>
      <x:c r="R190" s="15" t="str">
        <x:v>High</x:v>
      </x:c>
      <x:c r="S190" s="15" t="str">
        <x:v>Category confidence Medium: Retail/supplier merchant keyword.</x:v>
      </x:c>
      <x:c r="T190" s="15" t="str"/>
      <x:c r="U190" s="15" t="str"/>
      <x:c r="V190" s="15" t="str"/>
      <x:c r="W190" s="15" t="str"/>
      <x:c r="X190" s="15" t="str">
        <x:v>FNB :-) R447.95 reserved for purchase @ Savemor Marloth from Current a/c..512781 using card..2924. Avail R5102. 31Dec 11:43</x:v>
      </x:c>
      <x:c r="Y190" s="15" t="str">
        <x:v>f2f2c511f534d777</x:v>
      </x:c>
    </x:row>
    <x:row r="191">
      <x:c r="A191" s="34" t="n">
        <x:v>46022.57847222222</x:v>
      </x:c>
      <x:c r="B191" s="36" t="n">
        <x:v>46022</x:v>
      </x:c>
      <x:c r="C191" s="34" t="n">
        <x:v>46022.578668981485</x:v>
      </x:c>
      <x:c r="D191" s="15" t="str">
        <x:v>Current a/c..512781</x:v>
      </x:c>
      <x:c r="E191" s="15" t="str"/>
      <x:c r="F191" s="15" t="str">
        <x:v>R1794.86 paid to Current a/c..512781 @ Payshap. Ref.Ik Pay 487882. 31Dec 13:53</x:v>
      </x:c>
      <x:c r="G191" s="15" t="str">
        <x:v>Ik Pay 487882</x:v>
      </x:c>
      <x:c r="H191" s="38" t="n">
        <x:v>1794.86</x:v>
      </x:c>
      <x:c r="I191" s="15" t="str">
        <x:v>ZAR</x:v>
      </x:c>
      <x:c r="J191" s="15" t="str">
        <x:v>Inflow</x:v>
      </x:c>
      <x:c r="K191" s="15" t="str">
        <x:v>EFT receipt</x:v>
      </x:c>
      <x:c r="L191" s="15" t="str">
        <x:v>Sales / customer receipts</x:v>
      </x:c>
      <x:c r="M191" s="38"/>
      <x:c r="N191" s="38"/>
      <x:c r="O191" s="15" t="str"/>
      <x:c r="P191" s="15" t="str">
        <x:v>eml_ALL_currentac__512781 (2).zip &gt; eml8currentac__512781.zip</x:v>
      </x:c>
      <x:c r="Q191" s="15" t="str">
        <x:v>FNB _-) R1794.86 paid to Current a_c..512781 @ Payshap. Ref.Ik Pay 487882. 31Dec 13_53.eml</x:v>
      </x:c>
      <x:c r="R191" s="15" t="str">
        <x:v>High</x:v>
      </x:c>
      <x:c r="S191" s="15" t="str">
        <x:v>Category confidence Medium: Default for incoming EFT/PayShap/online receipt.</x:v>
      </x:c>
      <x:c r="T191" s="15" t="str"/>
      <x:c r="U191" s="15" t="str"/>
      <x:c r="V191" s="15" t="str">
        <x:v>Ik Pay 487882</x:v>
      </x:c>
      <x:c r="W191" s="15" t="str">
        <x:v>Payshap</x:v>
      </x:c>
      <x:c r="X191" s="15" t="str">
        <x:v>FNB :-) R1794.86 paid to Current a/c..512781 @ Payshap. Ref.Ik Pay 487882. 31Dec 13:53</x:v>
      </x:c>
      <x:c r="Y191" s="15" t="str">
        <x:v>6bf119751eca86ee</x:v>
      </x:c>
    </x:row>
    <x:row r="192">
      <x:c r="A192" s="34" t="n">
        <x:v>46024.325694444444</x:v>
      </x:c>
      <x:c r="B192" s="36" t="n">
        <x:v>46024</x:v>
      </x:c>
      <x:c r="C192" s="34" t="n">
        <x:v>46024.32607638889</x:v>
      </x:c>
      <x:c r="D192" s="15" t="str">
        <x:v>Current a/c..512781</x:v>
      </x:c>
      <x:c r="E192" s="15" t="str">
        <x:v>card..2924</x:v>
      </x:c>
      <x:c r="F192" s="15" t="str">
        <x:v>R400.00 reserved for purchase @ Marlothi Petrol Stat from Current a/c..512781 using card..2924. Avail R6373. 2Jan 07:49</x:v>
      </x:c>
      <x:c r="G192" s="15" t="str">
        <x:v>Marlothi Petrol Stat</x:v>
      </x:c>
      <x:c r="H192" s="38" t="n">
        <x:v>400</x:v>
      </x:c>
      <x:c r="I192" s="15" t="str">
        <x:v>ZAR</x:v>
      </x:c>
      <x:c r="J192" s="15" t="str">
        <x:v>Outflow</x:v>
      </x:c>
      <x:c r="K192" s="15" t="str">
        <x:v>Card purchase</x:v>
      </x:c>
      <x:c r="L192" s="15" t="str">
        <x:v>Fuel / transport</x:v>
      </x:c>
      <x:c r="M192" s="38"/>
      <x:c r="N192" s="38" t="n">
        <x:v>6373</x:v>
      </x:c>
      <x:c r="O192" s="15" t="str"/>
      <x:c r="P192" s="15" t="str">
        <x:v>eml_ALL_currentac__512781 (2).zip &gt; eml8currentac__512781.zip</x:v>
      </x:c>
      <x:c r="Q192" s="15" t="str">
        <x:v>FNB _-) R400.00 reserved for purchase @ Marlothi Petrol Stat from Current a_c..512781 using card..2924.  2Jan 07_49.eml</x:v>
      </x:c>
      <x:c r="R192" s="15" t="str">
        <x:v>High</x:v>
      </x:c>
      <x:c r="S192" s="15" t="str"/>
      <x:c r="T192" s="15" t="str"/>
      <x:c r="U192" s="15" t="str"/>
      <x:c r="V192" s="15" t="str"/>
      <x:c r="W192" s="15" t="str"/>
      <x:c r="X192" s="15" t="str">
        <x:v>FNB :-) R400.00 reserved for purchase @ Marlothi Petrol Stat from Current a/c..512781 using card..2924. Avail R6373. 2Jan 07:49</x:v>
      </x:c>
      <x:c r="Y192" s="15" t="str">
        <x:v>38bf2c6ddce5d19e</x:v>
      </x:c>
    </x:row>
    <x:row r="193">
      <x:c r="A193" s="34" t="n">
        <x:v>46024.57916666667</x:v>
      </x:c>
      <x:c r="B193" s="36" t="n">
        <x:v>46024</x:v>
      </x:c>
      <x:c r="C193" s="34" t="n">
        <x:v>46024.57984953704</x:v>
      </x:c>
      <x:c r="D193" s="15" t="str">
        <x:v>Current a/c..512781</x:v>
      </x:c>
      <x:c r="E193" s="15" t="str"/>
      <x:c r="F193" s="15" t="str">
        <x:v>R1890.19 paid to Current a/c..512781 @ Payshap. Ref.Ik Pay 487882. 2Jan 13:54</x:v>
      </x:c>
      <x:c r="G193" s="15" t="str">
        <x:v>Ik Pay 487882</x:v>
      </x:c>
      <x:c r="H193" s="38" t="n">
        <x:v>1890.19</x:v>
      </x:c>
      <x:c r="I193" s="15" t="str">
        <x:v>ZAR</x:v>
      </x:c>
      <x:c r="J193" s="15" t="str">
        <x:v>Inflow</x:v>
      </x:c>
      <x:c r="K193" s="15" t="str">
        <x:v>EFT receipt</x:v>
      </x:c>
      <x:c r="L193" s="15" t="str">
        <x:v>Sales / customer receipts</x:v>
      </x:c>
      <x:c r="M193" s="38"/>
      <x:c r="N193" s="38"/>
      <x:c r="O193" s="15" t="str"/>
      <x:c r="P193" s="15" t="str">
        <x:v>eml_ALL_currentac__512781 (2).zip &gt; eml8currentac__512781.zip</x:v>
      </x:c>
      <x:c r="Q193" s="15" t="str">
        <x:v>FNB _-) R1890.19 paid to Current a_c..512781 @ Payshap. Ref.Ik Pay 487882.  2Jan 13_54.eml</x:v>
      </x:c>
      <x:c r="R193" s="15" t="str">
        <x:v>High</x:v>
      </x:c>
      <x:c r="S193" s="15" t="str">
        <x:v>Category confidence Medium: Default for incoming EFT/PayShap/online receipt.</x:v>
      </x:c>
      <x:c r="T193" s="15" t="str"/>
      <x:c r="U193" s="15" t="str"/>
      <x:c r="V193" s="15" t="str">
        <x:v>Ik Pay 487882</x:v>
      </x:c>
      <x:c r="W193" s="15" t="str">
        <x:v>Payshap</x:v>
      </x:c>
      <x:c r="X193" s="15" t="str">
        <x:v>FNB :-) R1890.19 paid to Current a/c..512781 @ Payshap. Ref.Ik Pay 487882. 2Jan 13:54</x:v>
      </x:c>
      <x:c r="Y193" s="15" t="str">
        <x:v>d0981511005b1ca0</x:v>
      </x:c>
    </x:row>
    <x:row r="194">
      <x:c r="A194" s="34" t="n">
        <x:v>46024.677083333336</x:v>
      </x:c>
      <x:c r="B194" s="36" t="n">
        <x:v>46024</x:v>
      </x:c>
      <x:c r="C194" s="34" t="n">
        <x:v>46024.6772337963</x:v>
      </x:c>
      <x:c r="D194" s="15" t="str">
        <x:v>Current a/c..512781</x:v>
      </x:c>
      <x:c r="E194" s="15" t="str">
        <x:v>card..2924</x:v>
      </x:c>
      <x:c r="F194" s="15" t="str">
        <x:v>R346.43 reserved for purchase @ Savemor Marloth from Current a/c..512781 using card..2924. Avail R7917. 2Jan 16:15</x:v>
      </x:c>
      <x:c r="G194" s="15" t="str">
        <x:v>Savemor Marloth</x:v>
      </x:c>
      <x:c r="H194" s="38" t="n">
        <x:v>346.43</x:v>
      </x:c>
      <x:c r="I194" s="15" t="str">
        <x:v>ZAR</x:v>
      </x:c>
      <x:c r="J194" s="15" t="str">
        <x:v>Outflow</x:v>
      </x:c>
      <x:c r="K194" s="15" t="str">
        <x:v>Card purchase</x:v>
      </x:c>
      <x:c r="L194" s="15" t="str">
        <x:v>Supplier payments</x:v>
      </x:c>
      <x:c r="M194" s="38"/>
      <x:c r="N194" s="38" t="n">
        <x:v>7917</x:v>
      </x:c>
      <x:c r="O194" s="15" t="str"/>
      <x:c r="P194" s="15" t="str">
        <x:v>eml_ALL_currentac__512781 (2).zip &gt; eml8currentac__512781.zip</x:v>
      </x:c>
      <x:c r="Q194" s="15" t="str">
        <x:v>FNB _-) R346.43 reserved for purchase @ Savemor Marloth from Current a_c..512781 using card..2924.  2Jan 16_15.eml</x:v>
      </x:c>
      <x:c r="R194" s="15" t="str">
        <x:v>High</x:v>
      </x:c>
      <x:c r="S194" s="15" t="str">
        <x:v>Category confidence Medium: Retail/supplier merchant keyword.</x:v>
      </x:c>
      <x:c r="T194" s="15" t="str"/>
      <x:c r="U194" s="15" t="str"/>
      <x:c r="V194" s="15" t="str"/>
      <x:c r="W194" s="15" t="str"/>
      <x:c r="X194" s="15" t="str">
        <x:v>FNB :-) R346.43 reserved for purchase @ Savemor Marloth from Current a/c..512781 using card..2924. Avail R7917. 2Jan 16:15</x:v>
      </x:c>
      <x:c r="Y194" s="15" t="str">
        <x:v>2518835a073197eb</x:v>
      </x:c>
    </x:row>
    <x:row r="195">
      <x:c r="A195" s="34" t="n">
        <x:v>46025.44027777778</x:v>
      </x:c>
      <x:c r="B195" s="36" t="n">
        <x:v>46025</x:v>
      </x:c>
      <x:c r="C195" s="34" t="n">
        <x:v>46025.44092592593</x:v>
      </x:c>
      <x:c r="D195" s="15" t="str">
        <x:v>Current a/c..512781</x:v>
      </x:c>
      <x:c r="E195" s="15" t="str"/>
      <x:c r="F195" s="15" t="str">
        <x:v>R1624.82 paid to Current a/c..512781 @ Payshap. Ref.Ik Pay 487882. 3Jan 10:34</x:v>
      </x:c>
      <x:c r="G195" s="15" t="str">
        <x:v>Ik Pay 487882</x:v>
      </x:c>
      <x:c r="H195" s="38" t="n">
        <x:v>1624.82</x:v>
      </x:c>
      <x:c r="I195" s="15" t="str">
        <x:v>ZAR</x:v>
      </x:c>
      <x:c r="J195" s="15" t="str">
        <x:v>Inflow</x:v>
      </x:c>
      <x:c r="K195" s="15" t="str">
        <x:v>EFT receipt</x:v>
      </x:c>
      <x:c r="L195" s="15" t="str">
        <x:v>Sales / customer receipts</x:v>
      </x:c>
      <x:c r="M195" s="38"/>
      <x:c r="N195" s="38"/>
      <x:c r="O195" s="15" t="str"/>
      <x:c r="P195" s="15" t="str">
        <x:v>eml_ALL_currentac__512781 (2).zip &gt; eml8currentac__512781.zip</x:v>
      </x:c>
      <x:c r="Q195" s="15" t="str">
        <x:v>FNB _-) R1624.82 paid to Current a_c..512781 @ Payshap. Ref.Ik Pay 487882.  3Jan 10_34.eml</x:v>
      </x:c>
      <x:c r="R195" s="15" t="str">
        <x:v>High</x:v>
      </x:c>
      <x:c r="S195" s="15" t="str">
        <x:v>Category confidence Medium: Default for incoming EFT/PayShap/online receipt.</x:v>
      </x:c>
      <x:c r="T195" s="15" t="str"/>
      <x:c r="U195" s="15" t="str"/>
      <x:c r="V195" s="15" t="str">
        <x:v>Ik Pay 487882</x:v>
      </x:c>
      <x:c r="W195" s="15" t="str">
        <x:v>Payshap</x:v>
      </x:c>
      <x:c r="X195" s="15" t="str">
        <x:v>FNB :-) R1624.82 paid to Current a/c..512781 @ Payshap. Ref.Ik Pay 487882. 3Jan 10:34</x:v>
      </x:c>
      <x:c r="Y195" s="15" t="str">
        <x:v>a22aeb62f3831747</x:v>
      </x:c>
    </x:row>
    <x:row r="196">
      <x:c r="A196" s="34" t="n">
        <x:v>46025.45763888889</x:v>
      </x:c>
      <x:c r="B196" s="36" t="n">
        <x:v>46025</x:v>
      </x:c>
      <x:c r="C196" s="34" t="n">
        <x:v>46025.457719907405</x:v>
      </x:c>
      <x:c r="D196" s="15" t="str">
        <x:v>Current a/c..512781</x:v>
      </x:c>
      <x:c r="E196" s="15" t="str">
        <x:v>card..2924</x:v>
      </x:c>
      <x:c r="F196" s="15" t="str">
        <x:v>R1008.54 reserved for purchase @ Shoprite Komatipoort from Current a/c..512781 using card..2924. Avail R8520. 3Jan 10:59</x:v>
      </x:c>
      <x:c r="G196" s="15" t="str">
        <x:v>Shoprite Komatipoort</x:v>
      </x:c>
      <x:c r="H196" s="38" t="n">
        <x:v>1008.54</x:v>
      </x:c>
      <x:c r="I196" s="15" t="str">
        <x:v>ZAR</x:v>
      </x:c>
      <x:c r="J196" s="15" t="str">
        <x:v>Outflow</x:v>
      </x:c>
      <x:c r="K196" s="15" t="str">
        <x:v>Card purchase</x:v>
      </x:c>
      <x:c r="L196" s="15" t="str">
        <x:v>Supplier payments</x:v>
      </x:c>
      <x:c r="M196" s="38"/>
      <x:c r="N196" s="38" t="n">
        <x:v>8520</x:v>
      </x:c>
      <x:c r="O196" s="15" t="str"/>
      <x:c r="P196" s="15" t="str">
        <x:v>eml_ALL_currentac__512781 (2).zip &gt; eml8currentac__512781.zip</x:v>
      </x:c>
      <x:c r="Q196" s="15" t="str">
        <x:v>FNB _-) R1008.54 reserved for purchase @ Shoprite Komatipoort from Current a_c..512781 using card..2924.  3Jan 10_59.eml</x:v>
      </x:c>
      <x:c r="R196" s="15" t="str">
        <x:v>High</x:v>
      </x:c>
      <x:c r="S196" s="15" t="str">
        <x:v>Category confidence Medium: Retail/supplier merchant keyword.</x:v>
      </x:c>
      <x:c r="T196" s="15" t="str"/>
      <x:c r="U196" s="15" t="str"/>
      <x:c r="V196" s="15" t="str"/>
      <x:c r="W196" s="15" t="str"/>
      <x:c r="X196" s="15" t="str">
        <x:v>FNB :-) R1008.54 reserved for purchase @ Shoprite Komatipoort from Current a/c..512781 using card..2924. Avail R8520. 3Jan 10:59</x:v>
      </x:c>
      <x:c r="Y196" s="15" t="str">
        <x:v>600672136ceab5ce</x:v>
      </x:c>
    </x:row>
    <x:row r="197">
      <x:c r="A197" s="34" t="n">
        <x:v>46025.49444444444</x:v>
      </x:c>
      <x:c r="B197" s="36" t="n">
        <x:v>46025</x:v>
      </x:c>
      <x:c r="C197" s="34" t="n">
        <x:v>46025.49511574074</x:v>
      </x:c>
      <x:c r="D197" s="15" t="str">
        <x:v>Current a/c..512781</x:v>
      </x:c>
      <x:c r="E197" s="15" t="str">
        <x:v>card..2924</x:v>
      </x:c>
      <x:c r="F197" s="15" t="str">
        <x:v>R1755.70 reserved for purchase @ Superspar Komatipoor from Current a/c..512781 using card..2924. Avail R6764. 3Jan 11:52</x:v>
      </x:c>
      <x:c r="G197" s="15" t="str">
        <x:v>Superspar Komatipoor</x:v>
      </x:c>
      <x:c r="H197" s="38" t="n">
        <x:v>1755.7</x:v>
      </x:c>
      <x:c r="I197" s="15" t="str">
        <x:v>ZAR</x:v>
      </x:c>
      <x:c r="J197" s="15" t="str">
        <x:v>Outflow</x:v>
      </x:c>
      <x:c r="K197" s="15" t="str">
        <x:v>Card purchase</x:v>
      </x:c>
      <x:c r="L197" s="15" t="str">
        <x:v>Supplier payments</x:v>
      </x:c>
      <x:c r="M197" s="38"/>
      <x:c r="N197" s="38" t="n">
        <x:v>6764</x:v>
      </x:c>
      <x:c r="O197" s="15" t="str"/>
      <x:c r="P197" s="15" t="str">
        <x:v>eml_ALL_currentac__512781 (2).zip &gt; eml8currentac__512781.zip</x:v>
      </x:c>
      <x:c r="Q197" s="15" t="str">
        <x:v>FNB _-) R1755.70 reserved for purchase @ Superspar Komatipoor from Current a_c..512781 using card..2924.  3Jan 11_52.eml</x:v>
      </x:c>
      <x:c r="R197" s="15" t="str">
        <x:v>High</x:v>
      </x:c>
      <x:c r="S197" s="15" t="str">
        <x:v>Category confidence Medium: Retail/supplier merchant keyword.</x:v>
      </x:c>
      <x:c r="T197" s="15" t="str"/>
      <x:c r="U197" s="15" t="str"/>
      <x:c r="V197" s="15" t="str"/>
      <x:c r="W197" s="15" t="str"/>
      <x:c r="X197" s="15" t="str">
        <x:v>FNB :-) R1755.70 reserved for purchase @ Superspar Komatipoor from Current a/c..512781 using card..2924. Avail R6764. 3Jan 11:52</x:v>
      </x:c>
      <x:c r="Y197" s="15" t="str">
        <x:v>2a1636ff2bc6cd53</x:v>
      </x:c>
    </x:row>
    <x:row r="198">
      <x:c r="A198" s="34" t="n">
        <x:v>46025.50347222222</x:v>
      </x:c>
      <x:c r="B198" s="36" t="n">
        <x:v>46025</x:v>
      </x:c>
      <x:c r="C198" s="34" t="n">
        <x:v>46025.50361111111</x:v>
      </x:c>
      <x:c r="D198" s="15" t="str">
        <x:v>Current a/c..512781</x:v>
      </x:c>
      <x:c r="E198" s="15" t="str">
        <x:v>card..2924</x:v>
      </x:c>
      <x:c r="F198" s="15" t="str">
        <x:v>R192.00 reserved for purchase @ Tops Komatipoort from Current a/c..512781 using card..2924. Avail R6572. 3Jan 12:05</x:v>
      </x:c>
      <x:c r="G198" s="15" t="str">
        <x:v>Tops Komatipoort</x:v>
      </x:c>
      <x:c r="H198" s="38" t="n">
        <x:v>192</x:v>
      </x:c>
      <x:c r="I198" s="15" t="str">
        <x:v>ZAR</x:v>
      </x:c>
      <x:c r="J198" s="15" t="str">
        <x:v>Outflow</x:v>
      </x:c>
      <x:c r="K198" s="15" t="str">
        <x:v>Card purchase</x:v>
      </x:c>
      <x:c r="L198" s="15" t="str">
        <x:v>Meals / restaurants / entertainment</x:v>
      </x:c>
      <x:c r="M198" s="38"/>
      <x:c r="N198" s="38" t="n">
        <x:v>6572</x:v>
      </x:c>
      <x:c r="O198" s="15" t="str"/>
      <x:c r="P198" s="15" t="str">
        <x:v>eml_ALL_currentac__512781 (2).zip &gt; eml8currentac__512781.zip</x:v>
      </x:c>
      <x:c r="Q198" s="15" t="str">
        <x:v>FNB _-) R192.00 reserved for purchase @ Tops Komatipoort from Current a_c..512781 using card..2924.  3Jan 12_05.eml</x:v>
      </x:c>
      <x:c r="R198" s="15" t="str">
        <x:v>High</x:v>
      </x:c>
      <x:c r="S198" s="15" t="str"/>
      <x:c r="T198" s="15" t="str"/>
      <x:c r="U198" s="15" t="str"/>
      <x:c r="V198" s="15" t="str"/>
      <x:c r="W198" s="15" t="str"/>
      <x:c r="X198" s="15" t="str">
        <x:v>FNB :-) R192.00 reserved for purchase @ Tops Komatipoort from Current a/c..512781 using card..2924. Avail R6572. 3Jan 12:05</x:v>
      </x:c>
      <x:c r="Y198" s="15" t="str">
        <x:v>dda0046526729d1a</x:v>
      </x:c>
    </x:row>
    <x:row r="199">
      <x:c r="A199" s="34" t="n">
        <x:v>46025.5125</x:v>
      </x:c>
      <x:c r="B199" s="36" t="n">
        <x:v>46025</x:v>
      </x:c>
      <x:c r="C199" s="34" t="n">
        <x:v>46025.512777777774</x:v>
      </x:c>
      <x:c r="D199" s="15" t="str">
        <x:v>Current a/c..512781</x:v>
      </x:c>
      <x:c r="E199" s="15" t="str">
        <x:v>card..2924</x:v>
      </x:c>
      <x:c r="F199" s="15" t="str">
        <x:v>R112.80 reserved for purchase @ Oasis Water Komatipo from Current a/c..512781 using card..2924. Avail R6459. 3Jan 12:18</x:v>
      </x:c>
      <x:c r="G199" s="15" t="str">
        <x:v>Oasis Water Komatipo</x:v>
      </x:c>
      <x:c r="H199" s="38" t="n">
        <x:v>112.8</x:v>
      </x:c>
      <x:c r="I199" s="15" t="str">
        <x:v>ZAR</x:v>
      </x:c>
      <x:c r="J199" s="15" t="str">
        <x:v>Outflow</x:v>
      </x:c>
      <x:c r="K199" s="15" t="str">
        <x:v>Card purchase</x:v>
      </x:c>
      <x:c r="L199" s="15" t="str">
        <x:v>Supplier payments</x:v>
      </x:c>
      <x:c r="M199" s="38"/>
      <x:c r="N199" s="38" t="n">
        <x:v>6459</x:v>
      </x:c>
      <x:c r="O199" s="15" t="str"/>
      <x:c r="P199" s="15" t="str">
        <x:v>eml_ALL_currentac__512781 (2).zip &gt; eml8currentac__512781.zip</x:v>
      </x:c>
      <x:c r="Q199" s="15" t="str">
        <x:v>FNB _-) R112.80 reserved for purchase @ Oasis Water Komatipo from Current a_c..512781 using card..2924.  3Jan 12_18.eml</x:v>
      </x:c>
      <x:c r="R199" s="15" t="str">
        <x:v>High</x:v>
      </x:c>
      <x:c r="S199" s="15" t="str">
        <x:v>Category confidence Medium: Retail/supplier merchant keyword.</x:v>
      </x:c>
      <x:c r="T199" s="15" t="str"/>
      <x:c r="U199" s="15" t="str"/>
      <x:c r="V199" s="15" t="str"/>
      <x:c r="W199" s="15" t="str"/>
      <x:c r="X199" s="15" t="str">
        <x:v>FNB :-) R112.80 reserved for purchase @ Oasis Water Komatipo from Current a/c..512781 using card..2924. Avail R6459. 3Jan 12:18</x:v>
      </x:c>
      <x:c r="Y199" s="15" t="str">
        <x:v>85ee8f0de6f5b478</x:v>
      </x:c>
    </x:row>
    <x:row r="200">
      <x:c r="A200" s="34" t="n">
        <x:v>46025.595138888886</x:v>
      </x:c>
      <x:c r="B200" s="36" t="n">
        <x:v>46025</x:v>
      </x:c>
      <x:c r="C200" s="34" t="n">
        <x:v>46025.59520833333</x:v>
      </x:c>
      <x:c r="D200" s="15" t="str">
        <x:v>Current a/c..512781</x:v>
      </x:c>
      <x:c r="E200" s="15" t="str">
        <x:v>card..2924</x:v>
      </x:c>
      <x:c r="F200" s="15" t="str">
        <x:v>R106.45 reserved for purchase @ Savemor Marloth from Current a/c..512781 using card..2924. Avail R6353. 3Jan 14:17</x:v>
      </x:c>
      <x:c r="G200" s="15" t="str">
        <x:v>Savemor Marloth</x:v>
      </x:c>
      <x:c r="H200" s="38" t="n">
        <x:v>106.45</x:v>
      </x:c>
      <x:c r="I200" s="15" t="str">
        <x:v>ZAR</x:v>
      </x:c>
      <x:c r="J200" s="15" t="str">
        <x:v>Outflow</x:v>
      </x:c>
      <x:c r="K200" s="15" t="str">
        <x:v>Card purchase</x:v>
      </x:c>
      <x:c r="L200" s="15" t="str">
        <x:v>Supplier payments</x:v>
      </x:c>
      <x:c r="M200" s="38"/>
      <x:c r="N200" s="38" t="n">
        <x:v>6353</x:v>
      </x:c>
      <x:c r="O200" s="15" t="str"/>
      <x:c r="P200" s="15" t="str">
        <x:v>eml_ALL_currentac__512781 (2).zip &gt; eml8currentac__512781.zip</x:v>
      </x:c>
      <x:c r="Q200" s="15" t="str">
        <x:v>FNB _-) R106.45 reserved for purchase @ Savemor Marloth from Current a_c..512781 using card..2924.  3Jan 14_17.eml</x:v>
      </x:c>
      <x:c r="R200" s="15" t="str">
        <x:v>High</x:v>
      </x:c>
      <x:c r="S200" s="15" t="str">
        <x:v>Category confidence Medium: Retail/supplier merchant keyword.</x:v>
      </x:c>
      <x:c r="T200" s="15" t="str"/>
      <x:c r="U200" s="15" t="str"/>
      <x:c r="V200" s="15" t="str"/>
      <x:c r="W200" s="15" t="str"/>
      <x:c r="X200" s="15" t="str">
        <x:v>FNB :-) R106.45 reserved for purchase @ Savemor Marloth from Current a/c..512781 using card..2924. Avail R6353. 3Jan 14:17</x:v>
      </x:c>
      <x:c r="Y200" s="15" t="str">
        <x:v>d0d793e3dae84992</x:v>
      </x:c>
    </x:row>
    <x:row r="201">
      <x:c r="A201" s="34" t="n">
        <x:v>46025.73541666667</x:v>
      </x:c>
      <x:c r="B201" s="36" t="n">
        <x:v>46025</x:v>
      </x:c>
      <x:c r="C201" s="34" t="n">
        <x:v>46025.7359375</x:v>
      </x:c>
      <x:c r="D201" s="15" t="str">
        <x:v>Current a/c..512781</x:v>
      </x:c>
      <x:c r="E201" s="15" t="str"/>
      <x:c r="F201" s="15" t="str">
        <x:v>Payment Link created from Current a/c..512781 To Annemarie Hoffman..829416 @ Smartapp. 3Jan 17:39 Call 087 575 9404 for help.</x:v>
      </x:c>
      <x:c r="G201" s="15" t="str">
        <x:v>Annemarie Hoffman..829416</x:v>
      </x:c>
      <x:c r="H201" s="38"/>
      <x:c r="I201" s="15" t="str"/>
      <x:c r="J201" s="15" t="str">
        <x:v>Neutral/Information Only</x:v>
      </x:c>
      <x:c r="K201" s="15" t="str">
        <x:v>Other</x:v>
      </x:c>
      <x:c r="L201" s="15" t="str">
        <x:v>Other</x:v>
      </x:c>
      <x:c r="M201" s="38"/>
      <x:c r="N201" s="38"/>
      <x:c r="O201" s="15" t="str"/>
      <x:c r="P201" s="15" t="str">
        <x:v>eml_ALL_currentac__512781 (2).zip &gt; eml8currentac__512781.zip</x:v>
      </x:c>
      <x:c r="Q201" s="15" t="str">
        <x:v>FNB _-) Payment Link created from Current a_c..512781 To Annemarie Hoffman..829416 @ Smartapp.  3Jan 17_39 Call 087 575 9404  for help..eml</x:v>
      </x:c>
      <x:c r="R201" s="15" t="str">
        <x:v>High</x:v>
      </x:c>
      <x:c r="S201" s="15" t="str">
        <x:v>Payment link creation only; no money movement indicated. Category confidence Low: Unable to map confidently.</x:v>
      </x:c>
      <x:c r="T201" s="15" t="str">
        <x:v>Current a/c..512781</x:v>
      </x:c>
      <x:c r="U201" s="15" t="str">
        <x:v>Annemarie Hoffman..829416</x:v>
      </x:c>
      <x:c r="V201" s="15" t="str"/>
      <x:c r="W201" s="15" t="str">
        <x:v>Smartapp</x:v>
      </x:c>
      <x:c r="X201" s="15" t="str">
        <x:v>FNB :-) Payment Link created from Current a/c..512781 To Annemarie Hoffman..829416 @ Smartapp. 3Jan 17:39 Call 087 575 9404 for help.</x:v>
      </x:c>
      <x:c r="Y201" s="15" t="str">
        <x:v>420e1b114cc621ae</x:v>
      </x:c>
    </x:row>
    <x:row r="202">
      <x:c r="A202" s="34" t="n">
        <x:v>46025.74097222222</x:v>
      </x:c>
      <x:c r="B202" s="36" t="n">
        <x:v>46025</x:v>
      </x:c>
      <x:c r="C202" s="34" t="n">
        <x:v>46025.7416087963</x:v>
      </x:c>
      <x:c r="D202" s="15" t="str">
        <x:v>Current a/c..512781</x:v>
      </x:c>
      <x:c r="E202" s="15" t="str"/>
      <x:c r="F202" s="15" t="str">
        <x:v>R5000.00 paid from Current a/c..512781 @ Smartapp. Avail R1353. Ref.Staff Nason. 3Jan 17:47</x:v>
      </x:c>
      <x:c r="G202" s="15" t="str">
        <x:v>Staff Nason</x:v>
      </x:c>
      <x:c r="H202" s="38" t="n">
        <x:v>5000</x:v>
      </x:c>
      <x:c r="I202" s="15" t="str">
        <x:v>ZAR</x:v>
      </x:c>
      <x:c r="J202" s="15" t="str">
        <x:v>Outflow</x:v>
      </x:c>
      <x:c r="K202" s="15" t="str">
        <x:v>EFT payment</x:v>
      </x:c>
      <x:c r="L202" s="15" t="str">
        <x:v>Salary / wages</x:v>
      </x:c>
      <x:c r="M202" s="38"/>
      <x:c r="N202" s="38" t="n">
        <x:v>1353</x:v>
      </x:c>
      <x:c r="O202" s="15" t="str"/>
      <x:c r="P202" s="15" t="str">
        <x:v>eml_ALL_currentac__512781 (2).zip &gt; eml8currentac__512781.zip</x:v>
      </x:c>
      <x:c r="Q202" s="15" t="str">
        <x:v>FNB _-) R5000.00 paid from Current a_c..512781 @ Smartapp. Ref.Staff Nason.  3Jan 17_47.eml</x:v>
      </x:c>
      <x:c r="R202" s="15" t="str">
        <x:v>High</x:v>
      </x:c>
      <x:c r="S202" s="15" t="str"/>
      <x:c r="T202" s="15" t="str"/>
      <x:c r="U202" s="15" t="str"/>
      <x:c r="V202" s="15" t="str">
        <x:v>Staff Nason</x:v>
      </x:c>
      <x:c r="W202" s="15" t="str">
        <x:v>Smartapp</x:v>
      </x:c>
      <x:c r="X202" s="15" t="str">
        <x:v>FNB :-) R5000.00 paid from Current a/c..512781 @ Smartapp. Avail R1353. Ref.Staff Nason. 3Jan 17:47</x:v>
      </x:c>
      <x:c r="Y202" s="15" t="str">
        <x:v>92723c28590b32db</x:v>
      </x:c>
    </x:row>
    <x:row r="203">
      <x:c r="A203" s="34" t="n">
        <x:v>46026.413194444445</x:v>
      </x:c>
      <x:c r="B203" s="36" t="n">
        <x:v>46026</x:v>
      </x:c>
      <x:c r="C203" s="34" t="n">
        <x:v>46026.41376157408</x:v>
      </x:c>
      <x:c r="D203" s="15" t="str">
        <x:v>Private Cheq Acc..566332</x:v>
      </x:c>
      <x:c r="E203" s="15" t="str"/>
      <x:c r="F203" s="15" t="str">
        <x:v>R5000.00 t/fer from Private Cheq Acc..566332 to Current a/c..512781 @ Smartapp. Avail R5611. 4Jan 09:55</x:v>
      </x:c>
      <x:c r="G203" s="15" t="str">
        <x:v>Private Cheq Acc..566332</x:v>
      </x:c>
      <x:c r="H203" s="38" t="n">
        <x:v>5000</x:v>
      </x:c>
      <x:c r="I203" s="15" t="str">
        <x:v>ZAR</x:v>
      </x:c>
      <x:c r="J203" s="15" t="str">
        <x:v>Internal Transfer</x:v>
      </x:c>
      <x:c r="K203" s="15" t="str">
        <x:v>Internal transfer</x:v>
      </x:c>
      <x:c r="L203" s="15" t="str">
        <x:v>Inter-account transfer</x:v>
      </x:c>
      <x:c r="M203" s="38"/>
      <x:c r="N203" s="38" t="n">
        <x:v>5611</x:v>
      </x:c>
      <x:c r="O203" s="15" t="str"/>
      <x:c r="P203" s="15" t="str">
        <x:v>eml_ALL_currentac__512781 (2).zip &gt; eml8currentac__512781.zip</x:v>
      </x:c>
      <x:c r="Q203" s="15" t="str">
        <x:v>FNB_-) R5000.00 t_fer from Private Cheq Acc..566332 to Current a_c..512781 @ Smartapp.  4Jan 09_55.eml</x:v>
      </x:c>
      <x:c r="R203" s="15" t="str">
        <x:v>High</x:v>
      </x:c>
      <x:c r="S203" s="15" t="str">
        <x:v>Classified as internal/inter-account transfer and excluded from operating cashflow.</x:v>
      </x:c>
      <x:c r="T203" s="15" t="str">
        <x:v>Private Cheq Acc..566332</x:v>
      </x:c>
      <x:c r="U203" s="15" t="str">
        <x:v>Current a/c..512781</x:v>
      </x:c>
      <x:c r="V203" s="15" t="str"/>
      <x:c r="W203" s="15" t="str">
        <x:v>Smartapp</x:v>
      </x:c>
      <x:c r="X203" s="15" t="str">
        <x:v>FNB:-) R5000.00 t/fer from Private Cheq Acc..566332 to Current a/c..512781 @ Smartapp. Avail R5611. 4Jan 09:55</x:v>
      </x:c>
      <x:c r="Y203" s="15" t="str">
        <x:v>933927e2e260f088</x:v>
      </x:c>
    </x:row>
    <x:row r="204">
      <x:c r="A204" s="34" t="n">
        <x:v>46026.41458333333</x:v>
      </x:c>
      <x:c r="B204" s="36" t="n">
        <x:v>46026</x:v>
      </x:c>
      <x:c r="C204" s="34" t="n">
        <x:v>46026.41480324074</x:v>
      </x:c>
      <x:c r="D204" s="15" t="str">
        <x:v>Current a/c..512781</x:v>
      </x:c>
      <x:c r="E204" s="15" t="str"/>
      <x:c r="F204" s="15" t="str">
        <x:v>R5000.00 paid from Current a/c..512781 @ Gen Ph. Avail R1288. Ref.Am Hoffman Wages. 4Jan 09:57</x:v>
      </x:c>
      <x:c r="G204" s="15" t="str">
        <x:v>Am Hoffman Wages</x:v>
      </x:c>
      <x:c r="H204" s="38" t="n">
        <x:v>5000</x:v>
      </x:c>
      <x:c r="I204" s="15" t="str">
        <x:v>ZAR</x:v>
      </x:c>
      <x:c r="J204" s="15" t="str">
        <x:v>Outflow</x:v>
      </x:c>
      <x:c r="K204" s="15" t="str">
        <x:v>EFT payment</x:v>
      </x:c>
      <x:c r="L204" s="15" t="str">
        <x:v>Salary / wages</x:v>
      </x:c>
      <x:c r="M204" s="38"/>
      <x:c r="N204" s="38" t="n">
        <x:v>1288</x:v>
      </x:c>
      <x:c r="O204" s="15" t="str"/>
      <x:c r="P204" s="15" t="str">
        <x:v>eml_ALL_currentac__512781 (2).zip &gt; eml8currentac__512781.zip</x:v>
      </x:c>
      <x:c r="Q204" s="15" t="str">
        <x:v>FNB _-) R5000.00 paid from Current a_c..512781 @ Gen Ph. Ref.Am Hoffman Wages.  4Jan 09_57.eml</x:v>
      </x:c>
      <x:c r="R204" s="15" t="str">
        <x:v>High</x:v>
      </x:c>
      <x:c r="S204" s="15" t="str"/>
      <x:c r="T204" s="15" t="str"/>
      <x:c r="U204" s="15" t="str"/>
      <x:c r="V204" s="15" t="str">
        <x:v>Am Hoffman Wages</x:v>
      </x:c>
      <x:c r="W204" s="15" t="str">
        <x:v>Gen Ph</x:v>
      </x:c>
      <x:c r="X204" s="15" t="str">
        <x:v>FNB :-) R5000.00 paid from Current a/c..512781 @ Gen Ph. Avail R1288. Ref.Am Hoffman Wages. 4Jan 09:57</x:v>
      </x:c>
      <x:c r="Y204" s="15" t="str">
        <x:v>707b047d4edb2b79</x:v>
      </x:c>
    </x:row>
    <x:row r="205">
      <x:c r="A205" s="34" t="n">
        <x:v>46026.51180555556</x:v>
      </x:c>
      <x:c r="B205" s="36" t="n">
        <x:v>46026</x:v>
      </x:c>
      <x:c r="C205" s="34" t="n">
        <x:v>46026.51211805556</x:v>
      </x:c>
      <x:c r="D205" s="15" t="str">
        <x:v>Current a/c..512781</x:v>
      </x:c>
      <x:c r="E205" s="15" t="str">
        <x:v>card..2924</x:v>
      </x:c>
      <x:c r="F205" s="15" t="str">
        <x:v>R400.00 withdrawn from Current a/c..512781 using card..2924 @ Atmh11960000001. Avail R888. 4Jan 12:17</x:v>
      </x:c>
      <x:c r="G205" s="15" t="str">
        <x:v>Atmh11960000001</x:v>
      </x:c>
      <x:c r="H205" s="38" t="n">
        <x:v>400</x:v>
      </x:c>
      <x:c r="I205" s="15" t="str">
        <x:v>ZAR</x:v>
      </x:c>
      <x:c r="J205" s="15" t="str">
        <x:v>Outflow</x:v>
      </x:c>
      <x:c r="K205" s="15" t="str">
        <x:v>ATM / cash withdrawal</x:v>
      </x:c>
      <x:c r="L205" s="15" t="str">
        <x:v>Cash withdrawal</x:v>
      </x:c>
      <x:c r="M205" s="38"/>
      <x:c r="N205" s="38" t="n">
        <x:v>888</x:v>
      </x:c>
      <x:c r="O205" s="15" t="str">
        <x:v>Atmh11960000001</x:v>
      </x:c>
      <x:c r="P205" s="15" t="str">
        <x:v>eml_ALL_currentac__512781 (2).zip &gt; eml8currentac__512781.zip</x:v>
      </x:c>
      <x:c r="Q205" s="15" t="str">
        <x:v>FNB _-) R400.00 withdrawn from Current a_c..512781 using card..2924 @ Atmh11960000001.  4Jan 12_17.eml</x:v>
      </x:c>
      <x:c r="R205" s="15" t="str">
        <x:v>High</x:v>
      </x:c>
      <x:c r="S205" s="15" t="str">
        <x:v>Cash withdrawal; included in outflows and separated in income statement.</x:v>
      </x:c>
      <x:c r="T205" s="15" t="str"/>
      <x:c r="U205" s="15" t="str"/>
      <x:c r="V205" s="15" t="str"/>
      <x:c r="W205" s="15" t="str"/>
      <x:c r="X205" s="15" t="str">
        <x:v>FNB :-) R400.00 withdrawn from Current a/c..512781 using card..2924 @ Atmh11960000001. Avail R888. 4Jan 12:17</x:v>
      </x:c>
      <x:c r="Y205" s="15" t="str">
        <x:v>dc415cecd7e1897a</x:v>
      </x:c>
    </x:row>
    <x:row r="206">
      <x:c r="A206" s="34" t="n">
        <x:v>46026.51875</x:v>
      </x:c>
      <x:c r="B206" s="36" t="n">
        <x:v>46026</x:v>
      </x:c>
      <x:c r="C206" s="34" t="n">
        <x:v>46026.519421296296</x:v>
      </x:c>
      <x:c r="D206" s="15" t="str">
        <x:v>Current a/c..512781</x:v>
      </x:c>
      <x:c r="E206" s="15" t="str">
        <x:v>card..2924</x:v>
      </x:c>
      <x:c r="F206" s="15" t="str">
        <x:v>R228.07 reserved for purchase @ Savemor Marloth from Current a/c..512781 using card..2924. Avail R660. 4Jan 12:27</x:v>
      </x:c>
      <x:c r="G206" s="15" t="str">
        <x:v>Savemor Marloth</x:v>
      </x:c>
      <x:c r="H206" s="38" t="n">
        <x:v>228.07</x:v>
      </x:c>
      <x:c r="I206" s="15" t="str">
        <x:v>ZAR</x:v>
      </x:c>
      <x:c r="J206" s="15" t="str">
        <x:v>Outflow</x:v>
      </x:c>
      <x:c r="K206" s="15" t="str">
        <x:v>Card purchase</x:v>
      </x:c>
      <x:c r="L206" s="15" t="str">
        <x:v>Supplier payments</x:v>
      </x:c>
      <x:c r="M206" s="38"/>
      <x:c r="N206" s="38" t="n">
        <x:v>660</x:v>
      </x:c>
      <x:c r="O206" s="15" t="str"/>
      <x:c r="P206" s="15" t="str">
        <x:v>eml_ALL_currentac__512781 (2).zip &gt; eml8currentac__512781.zip</x:v>
      </x:c>
      <x:c r="Q206" s="15" t="str">
        <x:v>FNB _-) R228.07 reserved for purchase @ Savemor Marloth from Current a_c..512781 using card..2924.  4Jan 12_27.eml</x:v>
      </x:c>
      <x:c r="R206" s="15" t="str">
        <x:v>High</x:v>
      </x:c>
      <x:c r="S206" s="15" t="str">
        <x:v>Category confidence Medium: Retail/supplier merchant keyword.</x:v>
      </x:c>
      <x:c r="T206" s="15" t="str"/>
      <x:c r="U206" s="15" t="str"/>
      <x:c r="V206" s="15" t="str"/>
      <x:c r="W206" s="15" t="str"/>
      <x:c r="X206" s="15" t="str">
        <x:v>FNB :-) R228.07 reserved for purchase @ Savemor Marloth from Current a/c..512781 using card..2924. Avail R660. 4Jan 12:27</x:v>
      </x:c>
      <x:c r="Y206" s="15" t="str">
        <x:v>63484f327c5387ed</x:v>
      </x:c>
    </x:row>
    <x:row r="207">
      <x:c r="A207" s="34" t="n">
        <x:v>46027.388194444444</x:v>
      </x:c>
      <x:c r="B207" s="36" t="n">
        <x:v>46027</x:v>
      </x:c>
      <x:c r="C207" s="34" t="n">
        <x:v>46027.38863425926</x:v>
      </x:c>
      <x:c r="D207" s="15" t="str">
        <x:v>Current a/c..512781</x:v>
      </x:c>
      <x:c r="E207" s="15" t="str"/>
      <x:c r="F207" s="15" t="str">
        <x:v>R325.00 paid from Current a/c..512781 @ Smartapp. Avail R332. Ref.Waterkloof Gas 10355. 5Jan 09:19</x:v>
      </x:c>
      <x:c r="G207" s="15" t="str">
        <x:v>Waterkloof Gas 10355</x:v>
      </x:c>
      <x:c r="H207" s="38" t="n">
        <x:v>325</x:v>
      </x:c>
      <x:c r="I207" s="15" t="str">
        <x:v>ZAR</x:v>
      </x:c>
      <x:c r="J207" s="15" t="str">
        <x:v>Outflow</x:v>
      </x:c>
      <x:c r="K207" s="15" t="str">
        <x:v>EFT payment</x:v>
      </x:c>
      <x:c r="L207" s="15" t="str">
        <x:v>Supplier payments</x:v>
      </x:c>
      <x:c r="M207" s="38"/>
      <x:c r="N207" s="38" t="n">
        <x:v>332</x:v>
      </x:c>
      <x:c r="O207" s="15" t="str"/>
      <x:c r="P207" s="15" t="str">
        <x:v>eml_ALL_currentac__512781 (2).zip &gt; eml8currentac__512781.zip</x:v>
      </x:c>
      <x:c r="Q207" s="15" t="str">
        <x:v>FNB _-) R325.00 paid from Current a_c..512781 @ Smartapp. Ref.Waterkloof Gas 10355.  5Jan 09_19.eml</x:v>
      </x:c>
      <x:c r="R207" s="15" t="str">
        <x:v>High</x:v>
      </x:c>
      <x:c r="S207" s="15" t="str">
        <x:v>Category confidence Low: Default outflow category; review counterparty/reference.</x:v>
      </x:c>
      <x:c r="T207" s="15" t="str"/>
      <x:c r="U207" s="15" t="str"/>
      <x:c r="V207" s="15" t="str">
        <x:v>Waterkloof Gas 10355</x:v>
      </x:c>
      <x:c r="W207" s="15" t="str">
        <x:v>Smartapp</x:v>
      </x:c>
      <x:c r="X207" s="15" t="str">
        <x:v>FNB :-) R325.00 paid from Current a/c..512781 @ Smartapp. Avail R332. Ref.Waterkloof Gas 10355. 5Jan 09:19</x:v>
      </x:c>
      <x:c r="Y207" s="15" t="str">
        <x:v>66f5cce5c90bbb48</x:v>
      </x:c>
    </x:row>
    <x:row r="208">
      <x:c r="A208" s="34" t="n">
        <x:v>46027.518055555556</x:v>
      </x:c>
      <x:c r="B208" s="36" t="n">
        <x:v>46027</x:v>
      </x:c>
      <x:c r="C208" s="34" t="n">
        <x:v>46027.518125</x:v>
      </x:c>
      <x:c r="D208" s="15" t="str">
        <x:v>Current a/c..512781</x:v>
      </x:c>
      <x:c r="E208" s="15" t="str"/>
      <x:c r="F208" s="15" t="str">
        <x:v>R18851.23 paid to Current a/c..512781 @ Retail Forex. Ref.R026zvfqh0 Booking.c. 5Jan 12:26</x:v>
      </x:c>
      <x:c r="G208" s="15" t="str">
        <x:v>R026zvfqh0 Booking.c</x:v>
      </x:c>
      <x:c r="H208" s="38" t="n">
        <x:v>18851.23</x:v>
      </x:c>
      <x:c r="I208" s="15" t="str">
        <x:v>ZAR</x:v>
      </x:c>
      <x:c r="J208" s="15" t="str">
        <x:v>Inflow</x:v>
      </x:c>
      <x:c r="K208" s="15" t="str">
        <x:v>EFT receipt</x:v>
      </x:c>
      <x:c r="L208" s="15" t="str">
        <x:v>Sales / customer receipts</x:v>
      </x:c>
      <x:c r="M208" s="38"/>
      <x:c r="N208" s="38"/>
      <x:c r="O208" s="15" t="str"/>
      <x:c r="P208" s="15" t="str">
        <x:v>eml_ALL_currentac__512781 (2).zip &gt; eml8currentac__512781.zip</x:v>
      </x:c>
      <x:c r="Q208" s="15" t="str">
        <x:v>FNB _-) R18851.23 paid to Current a_c..512781 @ Retail Forex. Ref.R026zvfqh0 Booking.c.  5Jan 12_26.eml</x:v>
      </x:c>
      <x:c r="R208" s="15" t="str">
        <x:v>High</x:v>
      </x:c>
      <x:c r="S208" s="15" t="str">
        <x:v>Category confidence Medium: Default for incoming EFT/PayShap/online receipt.</x:v>
      </x:c>
      <x:c r="T208" s="15" t="str"/>
      <x:c r="U208" s="15" t="str"/>
      <x:c r="V208" s="15" t="str">
        <x:v>R026zvfqh0 Booking.c</x:v>
      </x:c>
      <x:c r="W208" s="15" t="str">
        <x:v>Retail Forex</x:v>
      </x:c>
      <x:c r="X208" s="15" t="str">
        <x:v>FNB :-) R18851.23 paid to Current a/c..512781 @ Retail Forex. Ref.R026zvfqh0 Booking.c. 5Jan 12:26</x:v>
      </x:c>
      <x:c r="Y208" s="15" t="str">
        <x:v>6bedb1efd1549a73</x:v>
      </x:c>
    </x:row>
    <x:row r="209">
      <x:c r="A209" s="34" t="n">
        <x:v>46027.60138888889</x:v>
      </x:c>
      <x:c r="B209" s="36" t="n">
        <x:v>46027</x:v>
      </x:c>
      <x:c r="C209" s="34" t="n">
        <x:v>46027.60175925926</x:v>
      </x:c>
      <x:c r="D209" s="15" t="str">
        <x:v>Current a/c..512781</x:v>
      </x:c>
      <x:c r="E209" s="15" t="str">
        <x:v>card..2924</x:v>
      </x:c>
      <x:c r="F209" s="15" t="str">
        <x:v>R1302.06 reserved for purchase @ Superspar Komatipoor from Current a/c..512781 using card..2924. Avail R17881. 5Jan 14:26</x:v>
      </x:c>
      <x:c r="G209" s="15" t="str">
        <x:v>Superspar Komatipoor</x:v>
      </x:c>
      <x:c r="H209" s="38" t="n">
        <x:v>1302.06</x:v>
      </x:c>
      <x:c r="I209" s="15" t="str">
        <x:v>ZAR</x:v>
      </x:c>
      <x:c r="J209" s="15" t="str">
        <x:v>Outflow</x:v>
      </x:c>
      <x:c r="K209" s="15" t="str">
        <x:v>Card purchase</x:v>
      </x:c>
      <x:c r="L209" s="15" t="str">
        <x:v>Supplier payments</x:v>
      </x:c>
      <x:c r="M209" s="38"/>
      <x:c r="N209" s="38" t="n">
        <x:v>17881</x:v>
      </x:c>
      <x:c r="O209" s="15" t="str"/>
      <x:c r="P209" s="15" t="str">
        <x:v>eml_ALL_currentac__512781 (2).zip &gt; eml8currentac__512781.zip</x:v>
      </x:c>
      <x:c r="Q209" s="15" t="str">
        <x:v>FNB _-) R1302.06 reserved for purchase @ Superspar Komatipoor from Current a_c..512781 using card..2924.  5Jan 14_26.eml</x:v>
      </x:c>
      <x:c r="R209" s="15" t="str">
        <x:v>High</x:v>
      </x:c>
      <x:c r="S209" s="15" t="str">
        <x:v>Category confidence Medium: Retail/supplier merchant keyword.</x:v>
      </x:c>
      <x:c r="T209" s="15" t="str"/>
      <x:c r="U209" s="15" t="str"/>
      <x:c r="V209" s="15" t="str"/>
      <x:c r="W209" s="15" t="str"/>
      <x:c r="X209" s="15" t="str">
        <x:v>FNB :-) R1302.06 reserved for purchase @ Superspar Komatipoor from Current a/c..512781 using card..2924. Avail R17881. 5Jan 14:26</x:v>
      </x:c>
      <x:c r="Y209" s="15" t="str">
        <x:v>7b0d88505ca9b9f5</x:v>
      </x:c>
    </x:row>
    <x:row r="210">
      <x:c r="A210" s="34" t="n">
        <x:v>46027.63680555556</x:v>
      </x:c>
      <x:c r="B210" s="36" t="n">
        <x:v>46027</x:v>
      </x:c>
      <x:c r="C210" s="34" t="n">
        <x:v>46027.636921296296</x:v>
      </x:c>
      <x:c r="D210" s="15" t="str">
        <x:v>Current a/c..512781</x:v>
      </x:c>
      <x:c r="E210" s="15" t="str">
        <x:v>card..2924</x:v>
      </x:c>
      <x:c r="F210" s="15" t="str">
        <x:v>R1148.38 reserved for purchase @ Savemor Marloth from Current a/c..512781 using card..2924. Avail R16693. 5Jan 15:17</x:v>
      </x:c>
      <x:c r="G210" s="15" t="str">
        <x:v>Savemor Marloth</x:v>
      </x:c>
      <x:c r="H210" s="38" t="n">
        <x:v>1148.38</x:v>
      </x:c>
      <x:c r="I210" s="15" t="str">
        <x:v>ZAR</x:v>
      </x:c>
      <x:c r="J210" s="15" t="str">
        <x:v>Outflow</x:v>
      </x:c>
      <x:c r="K210" s="15" t="str">
        <x:v>Card purchase</x:v>
      </x:c>
      <x:c r="L210" s="15" t="str">
        <x:v>Supplier payments</x:v>
      </x:c>
      <x:c r="M210" s="38"/>
      <x:c r="N210" s="38" t="n">
        <x:v>16693</x:v>
      </x:c>
      <x:c r="O210" s="15" t="str"/>
      <x:c r="P210" s="15" t="str">
        <x:v>eml_ALL_currentac__512781 (2).zip &gt; eml8currentac__512781.zip</x:v>
      </x:c>
      <x:c r="Q210" s="15" t="str">
        <x:v>FNB _-) R1148.38 reserved for purchase @ Savemor Marloth from Current a_c..512781 using card..2924.  5Jan 15_17.eml</x:v>
      </x:c>
      <x:c r="R210" s="15" t="str">
        <x:v>High</x:v>
      </x:c>
      <x:c r="S210" s="15" t="str">
        <x:v>Category confidence Medium: Retail/supplier merchant keyword.</x:v>
      </x:c>
      <x:c r="T210" s="15" t="str"/>
      <x:c r="U210" s="15" t="str"/>
      <x:c r="V210" s="15" t="str"/>
      <x:c r="W210" s="15" t="str"/>
      <x:c r="X210" s="15" t="str">
        <x:v>FNB :-) R1148.38 reserved for purchase @ Savemor Marloth from Current a/c..512781 using card..2924. Avail R16693. 5Jan 15:17</x:v>
      </x:c>
      <x:c r="Y210" s="15" t="str">
        <x:v>9936df373de6bd34</x:v>
      </x:c>
    </x:row>
    <x:row r="211">
      <x:c r="A211" s="34" t="n">
        <x:v>46027.64444444444</x:v>
      </x:c>
      <x:c r="B211" s="36" t="n">
        <x:v>46027</x:v>
      </x:c>
      <x:c r="C211" s="34" t="n">
        <x:v>46027.64482638889</x:v>
      </x:c>
      <x:c r="D211" s="15" t="str">
        <x:v>Current a/c..512781</x:v>
      </x:c>
      <x:c r="E211" s="15" t="str">
        <x:v>card..2924</x:v>
      </x:c>
      <x:c r="F211" s="15" t="str">
        <x:v>R300.00 reserved for purchase @ Marlothi Petrol Stat from Current a/c..512781 using card..2924. Avail R16393. 5Jan 15:28</x:v>
      </x:c>
      <x:c r="G211" s="15" t="str">
        <x:v>Marlothi Petrol Stat</x:v>
      </x:c>
      <x:c r="H211" s="38" t="n">
        <x:v>300</x:v>
      </x:c>
      <x:c r="I211" s="15" t="str">
        <x:v>ZAR</x:v>
      </x:c>
      <x:c r="J211" s="15" t="str">
        <x:v>Outflow</x:v>
      </x:c>
      <x:c r="K211" s="15" t="str">
        <x:v>Card purchase</x:v>
      </x:c>
      <x:c r="L211" s="15" t="str">
        <x:v>Fuel / transport</x:v>
      </x:c>
      <x:c r="M211" s="38"/>
      <x:c r="N211" s="38" t="n">
        <x:v>16393</x:v>
      </x:c>
      <x:c r="O211" s="15" t="str"/>
      <x:c r="P211" s="15" t="str">
        <x:v>eml_ALL_currentac__512781 (2).zip &gt; eml8currentac__512781.zip</x:v>
      </x:c>
      <x:c r="Q211" s="15" t="str">
        <x:v>FNB _-) R300.00 reserved for purchase @ Marlothi Petrol Stat from Current a_c..512781 using card..2924.  5Jan 15_28.eml</x:v>
      </x:c>
      <x:c r="R211" s="15" t="str">
        <x:v>High</x:v>
      </x:c>
      <x:c r="S211" s="15" t="str"/>
      <x:c r="T211" s="15" t="str"/>
      <x:c r="U211" s="15" t="str"/>
      <x:c r="V211" s="15" t="str"/>
      <x:c r="W211" s="15" t="str"/>
      <x:c r="X211" s="15" t="str">
        <x:v>FNB :-) R300.00 reserved for purchase @ Marlothi Petrol Stat from Current a/c..512781 using card..2924. Avail R16393. 5Jan 15:28</x:v>
      </x:c>
      <x:c r="Y211" s="15" t="str">
        <x:v>779db4419081a673</x:v>
      </x:c>
    </x:row>
    <x:row r="212">
      <x:c r="A212" s="34" t="n">
        <x:v>46028.38263888889</x:v>
      </x:c>
      <x:c r="B212" s="36" t="n">
        <x:v>46028</x:v>
      </x:c>
      <x:c r="C212" s="34" t="n">
        <x:v>46028.38327546296</x:v>
      </x:c>
      <x:c r="D212" s="15" t="str">
        <x:v>Current a/c..512781</x:v>
      </x:c>
      <x:c r="E212" s="15" t="str"/>
      <x:c r="F212" s="15" t="str">
        <x:v>R500.00 paid from Current a/c..512781 @ Smartapp. Avail R15867. Ref.Electricity 04294887. 6Jan 09:11</x:v>
      </x:c>
      <x:c r="G212" s="15" t="str">
        <x:v>Electricity 04294887</x:v>
      </x:c>
      <x:c r="H212" s="38" t="n">
        <x:v>500</x:v>
      </x:c>
      <x:c r="I212" s="15" t="str">
        <x:v>ZAR</x:v>
      </x:c>
      <x:c r="J212" s="15" t="str">
        <x:v>Outflow</x:v>
      </x:c>
      <x:c r="K212" s="15" t="str">
        <x:v>EFT payment</x:v>
      </x:c>
      <x:c r="L212" s="15" t="str">
        <x:v>Telecom / utilities</x:v>
      </x:c>
      <x:c r="M212" s="38"/>
      <x:c r="N212" s="38" t="n">
        <x:v>15867</x:v>
      </x:c>
      <x:c r="O212" s="15" t="str"/>
      <x:c r="P212" s="15" t="str">
        <x:v>eml_ALL_currentac__512781 (2).zip &gt; eml8currentac__512781.zip</x:v>
      </x:c>
      <x:c r="Q212" s="15" t="str">
        <x:v>FNB _-) R500.00 paid from Current a_c..512781 @ Smartapp. Ref.Electricity 04294887.  6Jan 09_11.eml</x:v>
      </x:c>
      <x:c r="R212" s="15" t="str">
        <x:v>High</x:v>
      </x:c>
      <x:c r="S212" s="15" t="str"/>
      <x:c r="T212" s="15" t="str"/>
      <x:c r="U212" s="15" t="str"/>
      <x:c r="V212" s="15" t="str">
        <x:v>Electricity 04294887</x:v>
      </x:c>
      <x:c r="W212" s="15" t="str">
        <x:v>Smartapp</x:v>
      </x:c>
      <x:c r="X212" s="15" t="str">
        <x:v>FNB :-) R500.00 paid from Current a/c..512781 @ Smartapp. Avail R15867. Ref.Electricity 04294887. 6Jan 09:11</x:v>
      </x:c>
      <x:c r="Y212" s="15" t="str">
        <x:v>99b1927228bac804</x:v>
      </x:c>
    </x:row>
    <x:row r="213">
      <x:c r="A213" s="34" t="n">
        <x:v>46028.57708333333</x:v>
      </x:c>
      <x:c r="B213" s="36" t="n">
        <x:v>46028</x:v>
      </x:c>
      <x:c r="C213" s="34" t="n">
        <x:v>46028.577361111114</x:v>
      </x:c>
      <x:c r="D213" s="15" t="str">
        <x:v>Current a/c..512781</x:v>
      </x:c>
      <x:c r="E213" s="15" t="str"/>
      <x:c r="F213" s="15" t="str">
        <x:v>R2803.13 paid to Current a/c..512781 @ Payshap. Ref.Ik Pay 487882. 6Jan 13:51</x:v>
      </x:c>
      <x:c r="G213" s="15" t="str">
        <x:v>Ik Pay 487882</x:v>
      </x:c>
      <x:c r="H213" s="38" t="n">
        <x:v>2803.13</x:v>
      </x:c>
      <x:c r="I213" s="15" t="str">
        <x:v>ZAR</x:v>
      </x:c>
      <x:c r="J213" s="15" t="str">
        <x:v>Inflow</x:v>
      </x:c>
      <x:c r="K213" s="15" t="str">
        <x:v>EFT receipt</x:v>
      </x:c>
      <x:c r="L213" s="15" t="str">
        <x:v>Sales / customer receipts</x:v>
      </x:c>
      <x:c r="M213" s="38"/>
      <x:c r="N213" s="38"/>
      <x:c r="O213" s="15" t="str"/>
      <x:c r="P213" s="15" t="str">
        <x:v>eml_ALL_currentac__512781 (2).zip &gt; eml8currentac__512781.zip</x:v>
      </x:c>
      <x:c r="Q213" s="15" t="str">
        <x:v>FNB _-) R2803.13 paid to Current a_c..512781 @ Payshap. Ref.Ik Pay 487882.  6Jan 13_51.eml</x:v>
      </x:c>
      <x:c r="R213" s="15" t="str">
        <x:v>High</x:v>
      </x:c>
      <x:c r="S213" s="15" t="str">
        <x:v>Category confidence Medium: Default for incoming EFT/PayShap/online receipt.</x:v>
      </x:c>
      <x:c r="T213" s="15" t="str"/>
      <x:c r="U213" s="15" t="str"/>
      <x:c r="V213" s="15" t="str">
        <x:v>Ik Pay 487882</x:v>
      </x:c>
      <x:c r="W213" s="15" t="str">
        <x:v>Payshap</x:v>
      </x:c>
      <x:c r="X213" s="15" t="str">
        <x:v>FNB :-) R2803.13 paid to Current a/c..512781 @ Payshap. Ref.Ik Pay 487882. 6Jan 13:51</x:v>
      </x:c>
      <x:c r="Y213" s="15" t="str">
        <x:v>feab8dfb0117a351</x:v>
      </x:c>
    </x:row>
    <x:row r="214">
      <x:c r="A214" s="34" t="n">
        <x:v>46028.623611111114</x:v>
      </x:c>
      <x:c r="B214" s="36" t="n">
        <x:v>46028</x:v>
      </x:c>
      <x:c r="C214" s="34" t="n">
        <x:v>46028.624131944445</x:v>
      </x:c>
      <x:c r="D214" s="15" t="str">
        <x:v>Current a/c..512781</x:v>
      </x:c>
      <x:c r="E214" s="15" t="str">
        <x:v>card..2924</x:v>
      </x:c>
      <x:c r="F214" s="15" t="str">
        <x:v>R108.96 reserved for purchase @ Savemor Marloth from Current a/c..512781 using card..2924. Avail R18561. 6Jan 14:58</x:v>
      </x:c>
      <x:c r="G214" s="15" t="str">
        <x:v>Savemor Marloth</x:v>
      </x:c>
      <x:c r="H214" s="38" t="n">
        <x:v>108.96</x:v>
      </x:c>
      <x:c r="I214" s="15" t="str">
        <x:v>ZAR</x:v>
      </x:c>
      <x:c r="J214" s="15" t="str">
        <x:v>Outflow</x:v>
      </x:c>
      <x:c r="K214" s="15" t="str">
        <x:v>Card purchase</x:v>
      </x:c>
      <x:c r="L214" s="15" t="str">
        <x:v>Supplier payments</x:v>
      </x:c>
      <x:c r="M214" s="38"/>
      <x:c r="N214" s="38" t="n">
        <x:v>18561</x:v>
      </x:c>
      <x:c r="O214" s="15" t="str"/>
      <x:c r="P214" s="15" t="str">
        <x:v>eml_ALL_currentac__512781 (2).zip &gt; eml8currentac__512781.zip</x:v>
      </x:c>
      <x:c r="Q214" s="15" t="str">
        <x:v>FNB _-) R108.96 reserved for purchase @ Savemor Marloth from Current a_c..512781 using card..2924.  6Jan 14_58.eml</x:v>
      </x:c>
      <x:c r="R214" s="15" t="str">
        <x:v>High</x:v>
      </x:c>
      <x:c r="S214" s="15" t="str">
        <x:v>Category confidence Medium: Retail/supplier merchant keyword.</x:v>
      </x:c>
      <x:c r="T214" s="15" t="str"/>
      <x:c r="U214" s="15" t="str"/>
      <x:c r="V214" s="15" t="str"/>
      <x:c r="W214" s="15" t="str"/>
      <x:c r="X214" s="15" t="str">
        <x:v>FNB :-) R108.96 reserved for purchase @ Savemor Marloth from Current a/c..512781 using card..2924. Avail R18561. 6Jan 14:58</x:v>
      </x:c>
      <x:c r="Y214" s="15" t="str">
        <x:v>be85bad471ad8c96</x:v>
      </x:c>
    </x:row>
    <x:row r="215">
      <x:c r="A215" s="34" t="n">
        <x:v>46028.62708333333</x:v>
      </x:c>
      <x:c r="B215" s="36" t="n">
        <x:v>46028</x:v>
      </x:c>
      <x:c r="C215" s="34" t="n">
        <x:v>46028.62730324074</x:v>
      </x:c>
      <x:c r="D215" s="15" t="str">
        <x:v>Current a/c..512781</x:v>
      </x:c>
      <x:c r="E215" s="15" t="str">
        <x:v>card..2924</x:v>
      </x:c>
      <x:c r="F215" s="15" t="str">
        <x:v>R101.48 reserved for purchase @ Savemor Marloth Liqu from Current a/c..512781 using card..2924. Avail R18460. 6Jan 15:03</x:v>
      </x:c>
      <x:c r="G215" s="15" t="str">
        <x:v>Savemor Marloth Liqu</x:v>
      </x:c>
      <x:c r="H215" s="38" t="n">
        <x:v>101.48</x:v>
      </x:c>
      <x:c r="I215" s="15" t="str">
        <x:v>ZAR</x:v>
      </x:c>
      <x:c r="J215" s="15" t="str">
        <x:v>Outflow</x:v>
      </x:c>
      <x:c r="K215" s="15" t="str">
        <x:v>Card purchase</x:v>
      </x:c>
      <x:c r="L215" s="15" t="str">
        <x:v>Meals / restaurants / entertainment</x:v>
      </x:c>
      <x:c r="M215" s="38"/>
      <x:c r="N215" s="38" t="n">
        <x:v>18460</x:v>
      </x:c>
      <x:c r="O215" s="15" t="str"/>
      <x:c r="P215" s="15" t="str">
        <x:v>eml_ALL_currentac__512781 (2).zip &gt; eml8currentac__512781.zip</x:v>
      </x:c>
      <x:c r="Q215" s="15" t="str">
        <x:v>FNB _-) R101.48 reserved for purchase @ Savemor Marloth Liqu from Current a_c..512781 using card..2924.  6Jan 15_03.eml</x:v>
      </x:c>
      <x:c r="R215" s="15" t="str">
        <x:v>High</x:v>
      </x:c>
      <x:c r="S215" s="15" t="str"/>
      <x:c r="T215" s="15" t="str"/>
      <x:c r="U215" s="15" t="str"/>
      <x:c r="V215" s="15" t="str"/>
      <x:c r="W215" s="15" t="str"/>
      <x:c r="X215" s="15" t="str">
        <x:v>FNB :-) R101.48 reserved for purchase @ Savemor Marloth Liqu from Current a/c..512781 using card..2924. Avail R18460. 6Jan 15:03</x:v>
      </x:c>
      <x:c r="Y215" s="15" t="str">
        <x:v>168f551cb7aa48cd</x:v>
      </x:c>
    </x:row>
    <x:row r="216">
      <x:c r="A216" s="34" t="n">
        <x:v>46028.77638888889</x:v>
      </x:c>
      <x:c r="B216" s="36" t="n">
        <x:v>46028</x:v>
      </x:c>
      <x:c r="C216" s="34" t="n">
        <x:v>46028.776712962965</x:v>
      </x:c>
      <x:c r="D216" s="15" t="str">
        <x:v>Current a/c..512781</x:v>
      </x:c>
      <x:c r="E216" s="15" t="str"/>
      <x:c r="F216" s="15" t="str">
        <x:v>R500.00 paid from Current a/c..512781 @ Smartapp. Avail R17927. Ref.Kpci - C1736. 6Jan 18:38</x:v>
      </x:c>
      <x:c r="G216" s="15" t="str">
        <x:v>Kpci - C1736</x:v>
      </x:c>
      <x:c r="H216" s="38" t="n">
        <x:v>500</x:v>
      </x:c>
      <x:c r="I216" s="15" t="str">
        <x:v>ZAR</x:v>
      </x:c>
      <x:c r="J216" s="15" t="str">
        <x:v>Outflow</x:v>
      </x:c>
      <x:c r="K216" s="15" t="str">
        <x:v>EFT payment</x:v>
      </x:c>
      <x:c r="L216" s="15" t="str">
        <x:v>Supplier payments</x:v>
      </x:c>
      <x:c r="M216" s="38"/>
      <x:c r="N216" s="38" t="n">
        <x:v>17927</x:v>
      </x:c>
      <x:c r="O216" s="15" t="str"/>
      <x:c r="P216" s="15" t="str">
        <x:v>eml_ALL_currentac__512781 (2).zip &gt; eml8currentac__512781.zip</x:v>
      </x:c>
      <x:c r="Q216" s="15" t="str">
        <x:v>FNB _-) R500.00 paid from Current a_c..512781 @ Smartapp. Ref.Kpci - C1736.  6Jan 18_38.eml</x:v>
      </x:c>
      <x:c r="R216" s="15" t="str">
        <x:v>High</x:v>
      </x:c>
      <x:c r="S216" s="15" t="str">
        <x:v>Category confidence Low: Default outflow category; review counterparty/reference.</x:v>
      </x:c>
      <x:c r="T216" s="15" t="str"/>
      <x:c r="U216" s="15" t="str"/>
      <x:c r="V216" s="15" t="str">
        <x:v>Kpci - C1736</x:v>
      </x:c>
      <x:c r="W216" s="15" t="str">
        <x:v>Smartapp</x:v>
      </x:c>
      <x:c r="X216" s="15" t="str">
        <x:v>FNB :-) R500.00 paid from Current a/c..512781 @ Smartapp. Avail R17927. Ref.Kpci - C1736. 6Jan 18:38</x:v>
      </x:c>
      <x:c r="Y216" s="15" t="str">
        <x:v>fa13ab2e3b4a8c71</x:v>
      </x:c>
    </x:row>
    <x:row r="217">
      <x:c r="A217" s="34" t="n">
        <x:v>46028.77777777778</x:v>
      </x:c>
      <x:c r="B217" s="36" t="n">
        <x:v>46028</x:v>
      </x:c>
      <x:c r="C217" s="34" t="n">
        <x:v>46028.778078703705</x:v>
      </x:c>
      <x:c r="D217" s="15" t="str">
        <x:v>Current a/c..512781</x:v>
      </x:c>
      <x:c r="E217" s="15" t="str"/>
      <x:c r="F217" s="15" t="str">
        <x:v>R300.00 paid from Current a/c..512781 @ Smartapp. Avail R17619. Ref.Deon"s Diy 4377. 6Jan 18:40</x:v>
      </x:c>
      <x:c r="G217" s="15" t="str">
        <x:v>Deon"s Diy 4377</x:v>
      </x:c>
      <x:c r="H217" s="38" t="n">
        <x:v>300</x:v>
      </x:c>
      <x:c r="I217" s="15" t="str">
        <x:v>ZAR</x:v>
      </x:c>
      <x:c r="J217" s="15" t="str">
        <x:v>Outflow</x:v>
      </x:c>
      <x:c r="K217" s="15" t="str">
        <x:v>EFT payment</x:v>
      </x:c>
      <x:c r="L217" s="15" t="str">
        <x:v>Supplier payments</x:v>
      </x:c>
      <x:c r="M217" s="38"/>
      <x:c r="N217" s="38" t="n">
        <x:v>17619</x:v>
      </x:c>
      <x:c r="O217" s="15" t="str"/>
      <x:c r="P217" s="15" t="str">
        <x:v>eml_ALL_currentac__512781 (2).zip &gt; eml8currentac__512781.zip</x:v>
      </x:c>
      <x:c r="Q217" s="15" t="str">
        <x:v>FNB _-) R300.00 paid from Current a_c..512781 @ Smartapp. Ref.Deon_s Diy 4377.  6Jan 18_40.eml</x:v>
      </x:c>
      <x:c r="R217" s="15" t="str">
        <x:v>High</x:v>
      </x:c>
      <x:c r="S217" s="15" t="str">
        <x:v>Category confidence Low: Default outflow category; review counterparty/reference.</x:v>
      </x:c>
      <x:c r="T217" s="15" t="str"/>
      <x:c r="U217" s="15" t="str"/>
      <x:c r="V217" s="15" t="str">
        <x:v>Deon"s Diy 4377</x:v>
      </x:c>
      <x:c r="W217" s="15" t="str">
        <x:v>Smartapp</x:v>
      </x:c>
      <x:c r="X217" s="15" t="str">
        <x:v>FNB :-) R300.00 paid from Current a/c..512781 @ Smartapp. Avail R17619. Ref.Deon"s Diy 4377. 6Jan 18:40</x:v>
      </x:c>
      <x:c r="Y217" s="15" t="str">
        <x:v>c3d05616a9073424</x:v>
      </x:c>
    </x:row>
    <x:row r="218">
      <x:c r="A218" s="34" t="n">
        <x:v>46028.77916666667</x:v>
      </x:c>
      <x:c r="B218" s="36" t="n">
        <x:v>46028</x:v>
      </x:c>
      <x:c r="C218" s="34" t="n">
        <x:v>46028.77960648148</x:v>
      </x:c>
      <x:c r="D218" s="15" t="str">
        <x:v>Current a/c..512781</x:v>
      </x:c>
      <x:c r="E218" s="15" t="str"/>
      <x:c r="F218" s="15" t="str">
        <x:v>R2500.00 paid from Current a/c..512781 @ Smartapp. Avail R15116. Ref.Dreyer Salary. 6Jan 18:42</x:v>
      </x:c>
      <x:c r="G218" s="15" t="str">
        <x:v>Dreyer Salary</x:v>
      </x:c>
      <x:c r="H218" s="38" t="n">
        <x:v>2500</x:v>
      </x:c>
      <x:c r="I218" s="15" t="str">
        <x:v>ZAR</x:v>
      </x:c>
      <x:c r="J218" s="15" t="str">
        <x:v>Outflow</x:v>
      </x:c>
      <x:c r="K218" s="15" t="str">
        <x:v>EFT payment</x:v>
      </x:c>
      <x:c r="L218" s="15" t="str">
        <x:v>Salary / wages</x:v>
      </x:c>
      <x:c r="M218" s="38"/>
      <x:c r="N218" s="38" t="n">
        <x:v>15116</x:v>
      </x:c>
      <x:c r="O218" s="15" t="str"/>
      <x:c r="P218" s="15" t="str">
        <x:v>eml_ALL_currentac__512781 (2).zip &gt; eml8currentac__512781.zip</x:v>
      </x:c>
      <x:c r="Q218" s="15" t="str">
        <x:v>FNB _-) R2500.00 paid from Current a_c..512781 @ Smartapp. Ref.Dreyer Salary.  6Jan 18_42.eml</x:v>
      </x:c>
      <x:c r="R218" s="15" t="str">
        <x:v>High</x:v>
      </x:c>
      <x:c r="S218" s="15" t="str"/>
      <x:c r="T218" s="15" t="str"/>
      <x:c r="U218" s="15" t="str"/>
      <x:c r="V218" s="15" t="str">
        <x:v>Dreyer Salary</x:v>
      </x:c>
      <x:c r="W218" s="15" t="str">
        <x:v>Smartapp</x:v>
      </x:c>
      <x:c r="X218" s="15" t="str">
        <x:v>FNB :-) R2500.00 paid from Current a/c..512781 @ Smartapp. Avail R15116. Ref.Dreyer Salary. 6Jan 18:42</x:v>
      </x:c>
      <x:c r="Y218" s="15" t="str">
        <x:v>2e5118afee9cbd81</x:v>
      </x:c>
    </x:row>
    <x:row r="219">
      <x:c r="A219" s="34" t="n">
        <x:v>46029.615277777775</x:v>
      </x:c>
      <x:c r="B219" s="36" t="n">
        <x:v>46029</x:v>
      </x:c>
      <x:c r="C219" s="34" t="n">
        <x:v>46029.61540509259</x:v>
      </x:c>
      <x:c r="D219" s="15" t="str">
        <x:v>Current a/c..512781</x:v>
      </x:c>
      <x:c r="E219" s="15" t="str">
        <x:v>card..2924</x:v>
      </x:c>
      <x:c r="F219" s="15" t="str">
        <x:v>R300.00 reserved for purchase @ Sasol Emkhatsini from Current a/c..512781 using card..2924. Avail R14668. 7Jan 14:46</x:v>
      </x:c>
      <x:c r="G219" s="15" t="str">
        <x:v>Sasol Emkhatsini</x:v>
      </x:c>
      <x:c r="H219" s="38" t="n">
        <x:v>300</x:v>
      </x:c>
      <x:c r="I219" s="15" t="str">
        <x:v>ZAR</x:v>
      </x:c>
      <x:c r="J219" s="15" t="str">
        <x:v>Outflow</x:v>
      </x:c>
      <x:c r="K219" s="15" t="str">
        <x:v>Card purchase</x:v>
      </x:c>
      <x:c r="L219" s="15" t="str">
        <x:v>Fuel / transport</x:v>
      </x:c>
      <x:c r="M219" s="38"/>
      <x:c r="N219" s="38" t="n">
        <x:v>14668</x:v>
      </x:c>
      <x:c r="O219" s="15" t="str"/>
      <x:c r="P219" s="15" t="str">
        <x:v>eml_ALL_currentac__512781 (2).zip &gt; eml8currentac__512781.zip</x:v>
      </x:c>
      <x:c r="Q219" s="15" t="str">
        <x:v>FNB _-) R300.00 reserved for purchase @ Sasol Emkhatsini from Current a_c..512781 using card..2924.  7Jan 14_46.eml</x:v>
      </x:c>
      <x:c r="R219" s="15" t="str">
        <x:v>High</x:v>
      </x:c>
      <x:c r="S219" s="15" t="str"/>
      <x:c r="T219" s="15" t="str"/>
      <x:c r="U219" s="15" t="str"/>
      <x:c r="V219" s="15" t="str"/>
      <x:c r="W219" s="15" t="str"/>
      <x:c r="X219" s="15" t="str">
        <x:v>FNB :-) R300.00 reserved for purchase @ Sasol Emkhatsini from Current a/c..512781 using card..2924. Avail R14668. 7Jan 14:46</x:v>
      </x:c>
      <x:c r="Y219" s="15" t="str">
        <x:v>7475e916e5412e0c</x:v>
      </x:c>
    </x:row>
    <x:row r="220">
      <x:c r="A220" s="34" t="n">
        <x:v>46029.65</x:v>
      </x:c>
      <x:c r="B220" s="36" t="n">
        <x:v>46029</x:v>
      </x:c>
      <x:c r="C220" s="34" t="n">
        <x:v>46029.65043981482</x:v>
      </x:c>
      <x:c r="D220" s="15" t="str">
        <x:v>Current a/c..512781</x:v>
      </x:c>
      <x:c r="E220" s="15" t="str"/>
      <x:c r="F220" s="15" t="str">
        <x:v>R912.35 paid from Current a/c..512781 @ Smartapp. Avail R13747. Ref.Bon Express 1/07/26. 7Jan 15:36</x:v>
      </x:c>
      <x:c r="G220" s="15" t="str">
        <x:v>Bon Express 1/07/26</x:v>
      </x:c>
      <x:c r="H220" s="38" t="n">
        <x:v>912.35</x:v>
      </x:c>
      <x:c r="I220" s="15" t="str">
        <x:v>ZAR</x:v>
      </x:c>
      <x:c r="J220" s="15" t="str">
        <x:v>Outflow</x:v>
      </x:c>
      <x:c r="K220" s="15" t="str">
        <x:v>EFT payment</x:v>
      </x:c>
      <x:c r="L220" s="15" t="str">
        <x:v>Supplier payments</x:v>
      </x:c>
      <x:c r="M220" s="38"/>
      <x:c r="N220" s="38" t="n">
        <x:v>13747</x:v>
      </x:c>
      <x:c r="O220" s="15" t="str"/>
      <x:c r="P220" s="15" t="str">
        <x:v>eml_ALL_currentac__512781 (2).zip &gt; eml8currentac__512781.zip</x:v>
      </x:c>
      <x:c r="Q220" s="15" t="str">
        <x:v>FNB _-) R912.35 paid from Current a_c..512781 @ Smartapp. Ref.Bon Express 1_07_26.  7Jan 15_36.eml</x:v>
      </x:c>
      <x:c r="R220" s="15" t="str">
        <x:v>High</x:v>
      </x:c>
      <x:c r="S220" s="15" t="str">
        <x:v>Category confidence Low: Default outflow category; review counterparty/reference.</x:v>
      </x:c>
      <x:c r="T220" s="15" t="str"/>
      <x:c r="U220" s="15" t="str"/>
      <x:c r="V220" s="15" t="str">
        <x:v>Bon Express 1/07/26</x:v>
      </x:c>
      <x:c r="W220" s="15" t="str">
        <x:v>Smartapp</x:v>
      </x:c>
      <x:c r="X220" s="15" t="str">
        <x:v>FNB :-) R912.35 paid from Current a/c..512781 @ Smartapp. Avail R13747. Ref.Bon Express 1/07/26. 7Jan 15:36</x:v>
      </x:c>
      <x:c r="Y220" s="15" t="str">
        <x:v>4b062abd82cc70ac</x:v>
      </x:c>
    </x:row>
    <x:row r="221">
      <x:c r="A221" s="34" t="n">
        <x:v>46030.57708333333</x:v>
      </x:c>
      <x:c r="B221" s="36" t="n">
        <x:v>46030</x:v>
      </x:c>
      <x:c r="C221" s="34" t="n">
        <x:v>46030.5772337963</x:v>
      </x:c>
      <x:c r="D221" s="15" t="str">
        <x:v>Current a/c..512781</x:v>
      </x:c>
      <x:c r="E221" s="15" t="str"/>
      <x:c r="F221" s="15" t="str">
        <x:v>R15045.67 paid to Current a/c..512781 @ Payshap. Ref.Ik Pay 487882. 8Jan 13:51</x:v>
      </x:c>
      <x:c r="G221" s="15" t="str">
        <x:v>Ik Pay 487882</x:v>
      </x:c>
      <x:c r="H221" s="38" t="n">
        <x:v>15045.67</x:v>
      </x:c>
      <x:c r="I221" s="15" t="str">
        <x:v>ZAR</x:v>
      </x:c>
      <x:c r="J221" s="15" t="str">
        <x:v>Inflow</x:v>
      </x:c>
      <x:c r="K221" s="15" t="str">
        <x:v>EFT receipt</x:v>
      </x:c>
      <x:c r="L221" s="15" t="str">
        <x:v>Sales / customer receipts</x:v>
      </x:c>
      <x:c r="M221" s="38"/>
      <x:c r="N221" s="38"/>
      <x:c r="O221" s="15" t="str"/>
      <x:c r="P221" s="15" t="str">
        <x:v>eml_ALL_currentac__512781 (2).zip &gt; eml8currentac__512781.zip</x:v>
      </x:c>
      <x:c r="Q221" s="15" t="str">
        <x:v>FNB _-) R15045.67 paid to Current a_c..512781 @ Payshap. Ref.Ik Pay 487882.  8Jan 13_51.eml</x:v>
      </x:c>
      <x:c r="R221" s="15" t="str">
        <x:v>High</x:v>
      </x:c>
      <x:c r="S221" s="15" t="str">
        <x:v>Category confidence Medium: Default for incoming EFT/PayShap/online receipt.</x:v>
      </x:c>
      <x:c r="T221" s="15" t="str"/>
      <x:c r="U221" s="15" t="str"/>
      <x:c r="V221" s="15" t="str">
        <x:v>Ik Pay 487882</x:v>
      </x:c>
      <x:c r="W221" s="15" t="str">
        <x:v>Payshap</x:v>
      </x:c>
      <x:c r="X221" s="15" t="str">
        <x:v>FNB :-) R15045.67 paid to Current a/c..512781 @ Payshap. Ref.Ik Pay 487882. 8Jan 13:51</x:v>
      </x:c>
      <x:c r="Y221" s="15" t="str">
        <x:v>1f06ac3abfa33186</x:v>
      </x:c>
    </x:row>
    <x:row r="222">
      <x:c r="A222" s="34" t="n">
        <x:v>46030.60972222222</x:v>
      </x:c>
      <x:c r="B222" s="36" t="n">
        <x:v>46030</x:v>
      </x:c>
      <x:c r="C222" s="34" t="n">
        <x:v>46030.6099537037</x:v>
      </x:c>
      <x:c r="D222" s="15" t="str">
        <x:v>Current a/c..512781</x:v>
      </x:c>
      <x:c r="E222" s="15" t="str"/>
      <x:c r="F222" s="15" t="str">
        <x:v>R3000.00 paid from Current a/c..512781 @ Smartapp. Avail R25674. Ref.Dreyer Ticket Jhb. 8Jan 14:38</x:v>
      </x:c>
      <x:c r="G222" s="15" t="str">
        <x:v>Dreyer Ticket Jhb</x:v>
      </x:c>
      <x:c r="H222" s="38" t="n">
        <x:v>3000</x:v>
      </x:c>
      <x:c r="I222" s="15" t="str">
        <x:v>ZAR</x:v>
      </x:c>
      <x:c r="J222" s="15" t="str">
        <x:v>Outflow</x:v>
      </x:c>
      <x:c r="K222" s="15" t="str">
        <x:v>EFT payment</x:v>
      </x:c>
      <x:c r="L222" s="15" t="str">
        <x:v>Supplier payments</x:v>
      </x:c>
      <x:c r="M222" s="38"/>
      <x:c r="N222" s="38" t="n">
        <x:v>25674</x:v>
      </x:c>
      <x:c r="O222" s="15" t="str"/>
      <x:c r="P222" s="15" t="str">
        <x:v>eml_ALL_currentac__512781 (2).zip &gt; eml8currentac__512781.zip</x:v>
      </x:c>
      <x:c r="Q222" s="15" t="str">
        <x:v>FNB _-) R3000.00 paid from Current a_c..512781 @ Smartapp. Ref.Dreyer Ticket Jhb.  8Jan 14_38.eml</x:v>
      </x:c>
      <x:c r="R222" s="15" t="str">
        <x:v>High</x:v>
      </x:c>
      <x:c r="S222" s="15" t="str">
        <x:v>Category confidence Low: Default outflow category; review counterparty/reference.</x:v>
      </x:c>
      <x:c r="T222" s="15" t="str"/>
      <x:c r="U222" s="15" t="str"/>
      <x:c r="V222" s="15" t="str">
        <x:v>Dreyer Ticket Jhb</x:v>
      </x:c>
      <x:c r="W222" s="15" t="str">
        <x:v>Smartapp</x:v>
      </x:c>
      <x:c r="X222" s="15" t="str">
        <x:v>FNB :-) R3000.00 paid from Current a/c..512781 @ Smartapp. Avail R25674. Ref.Dreyer Ticket Jhb. 8Jan 14:38</x:v>
      </x:c>
      <x:c r="Y222" s="15" t="str">
        <x:v>b5f8e256b8a60122</x:v>
      </x:c>
    </x:row>
    <x:row r="223">
      <x:c r="A223" s="34" t="n">
        <x:v>46030.625</x:v>
      </x:c>
      <x:c r="B223" s="36" t="n">
        <x:v>46030</x:v>
      </x:c>
      <x:c r="C223" s="34" t="n">
        <x:v>46030.62541666667</x:v>
      </x:c>
      <x:c r="D223" s="15" t="str">
        <x:v>Current a/c..512781</x:v>
      </x:c>
      <x:c r="E223" s="15" t="str"/>
      <x:c r="F223" s="15" t="str">
        <x:v>R2904.00 paid from Current a/c..512781 @ Smartapp. Avail R22767. Ref.Kruger Safari 1675. 8Jan 15:00</x:v>
      </x:c>
      <x:c r="G223" s="15" t="str">
        <x:v>Kruger Safari 1675</x:v>
      </x:c>
      <x:c r="H223" s="38" t="n">
        <x:v>2904</x:v>
      </x:c>
      <x:c r="I223" s="15" t="str">
        <x:v>ZAR</x:v>
      </x:c>
      <x:c r="J223" s="15" t="str">
        <x:v>Outflow</x:v>
      </x:c>
      <x:c r="K223" s="15" t="str">
        <x:v>EFT payment</x:v>
      </x:c>
      <x:c r="L223" s="15" t="str">
        <x:v>Supplier payments</x:v>
      </x:c>
      <x:c r="M223" s="38"/>
      <x:c r="N223" s="38" t="n">
        <x:v>22767</x:v>
      </x:c>
      <x:c r="O223" s="15" t="str"/>
      <x:c r="P223" s="15" t="str">
        <x:v>eml_ALL_currentac__512781 (2).zip &gt; eml8currentac__512781.zip</x:v>
      </x:c>
      <x:c r="Q223" s="15" t="str">
        <x:v>FNB _-) R2904.00 paid from Current a_c..512781 @ Smartapp. Ref.Kruger Safari 1675.  8Jan 15_00.eml</x:v>
      </x:c>
      <x:c r="R223" s="15" t="str">
        <x:v>High</x:v>
      </x:c>
      <x:c r="S223" s="15" t="str">
        <x:v>Category confidence Low: Default outflow category; review counterparty/reference.</x:v>
      </x:c>
      <x:c r="T223" s="15" t="str"/>
      <x:c r="U223" s="15" t="str"/>
      <x:c r="V223" s="15" t="str">
        <x:v>Kruger Safari 1675</x:v>
      </x:c>
      <x:c r="W223" s="15" t="str">
        <x:v>Smartapp</x:v>
      </x:c>
      <x:c r="X223" s="15" t="str">
        <x:v>FNB :-) R2904.00 paid from Current a/c..512781 @ Smartapp. Avail R22767. Ref.Kruger Safari 1675. 8Jan 15:00</x:v>
      </x:c>
      <x:c r="Y223" s="15" t="str">
        <x:v>6ed4acdfce160f1d</x:v>
      </x:c>
    </x:row>
    <x:row r="224">
      <x:c r="A224" s="34" t="n">
        <x:v>46030.626388888886</x:v>
      </x:c>
      <x:c r="B224" s="36" t="n">
        <x:v>46030</x:v>
      </x:c>
      <x:c r="C224" s="34" t="n">
        <x:v>46030.62650462963</x:v>
      </x:c>
      <x:c r="D224" s="15" t="str">
        <x:v>Current a/c..512781</x:v>
      </x:c>
      <x:c r="E224" s="15" t="str"/>
      <x:c r="F224" s="15" t="str">
        <x:v>R2904.00 paid from Current a/c..512781 @ Smartapp. Avail R19855. Ref.Kruger Safari 1674. 8Jan 15:02</x:v>
      </x:c>
      <x:c r="G224" s="15" t="str">
        <x:v>Kruger Safari 1674</x:v>
      </x:c>
      <x:c r="H224" s="38" t="n">
        <x:v>2904</x:v>
      </x:c>
      <x:c r="I224" s="15" t="str">
        <x:v>ZAR</x:v>
      </x:c>
      <x:c r="J224" s="15" t="str">
        <x:v>Outflow</x:v>
      </x:c>
      <x:c r="K224" s="15" t="str">
        <x:v>EFT payment</x:v>
      </x:c>
      <x:c r="L224" s="15" t="str">
        <x:v>Supplier payments</x:v>
      </x:c>
      <x:c r="M224" s="38"/>
      <x:c r="N224" s="38" t="n">
        <x:v>19855</x:v>
      </x:c>
      <x:c r="O224" s="15" t="str"/>
      <x:c r="P224" s="15" t="str">
        <x:v>eml_ALL_currentac__512781 (2).zip &gt; eml8currentac__512781.zip</x:v>
      </x:c>
      <x:c r="Q224" s="15" t="str">
        <x:v>FNB _-) R2904.00 paid from Current a_c..512781 @ Smartapp. Ref.Kruger Safari 1674.  8Jan 15_02.eml</x:v>
      </x:c>
      <x:c r="R224" s="15" t="str">
        <x:v>High</x:v>
      </x:c>
      <x:c r="S224" s="15" t="str">
        <x:v>Category confidence Low: Default outflow category; review counterparty/reference.</x:v>
      </x:c>
      <x:c r="T224" s="15" t="str"/>
      <x:c r="U224" s="15" t="str"/>
      <x:c r="V224" s="15" t="str">
        <x:v>Kruger Safari 1674</x:v>
      </x:c>
      <x:c r="W224" s="15" t="str">
        <x:v>Smartapp</x:v>
      </x:c>
      <x:c r="X224" s="15" t="str">
        <x:v>FNB :-) R2904.00 paid from Current a/c..512781 @ Smartapp. Avail R19855. Ref.Kruger Safari 1674. 8Jan 15:02</x:v>
      </x:c>
      <x:c r="Y224" s="15" t="str">
        <x:v>a15037093809e7e7</x:v>
      </x:c>
    </x:row>
    <x:row r="225">
      <x:c r="A225" s="34" t="n">
        <x:v>46030.629166666666</x:v>
      </x:c>
      <x:c r="B225" s="36" t="n">
        <x:v>46030</x:v>
      </x:c>
      <x:c r="C225" s="34" t="n">
        <x:v>46030.62945601852</x:v>
      </x:c>
      <x:c r="D225" s="15" t="str">
        <x:v>Current a/c..512781</x:v>
      </x:c>
      <x:c r="E225" s="15" t="str">
        <x:v>card..2924</x:v>
      </x:c>
      <x:c r="F225" s="15" t="str">
        <x:v>R128.33 reserved for purchase @ Savemor Marloth from Current a/c..512781 using card..2924. Avail R19727. 8Jan 15:06</x:v>
      </x:c>
      <x:c r="G225" s="15" t="str">
        <x:v>Savemor Marloth</x:v>
      </x:c>
      <x:c r="H225" s="38" t="n">
        <x:v>128.33</x:v>
      </x:c>
      <x:c r="I225" s="15" t="str">
        <x:v>ZAR</x:v>
      </x:c>
      <x:c r="J225" s="15" t="str">
        <x:v>Outflow</x:v>
      </x:c>
      <x:c r="K225" s="15" t="str">
        <x:v>Card purchase</x:v>
      </x:c>
      <x:c r="L225" s="15" t="str">
        <x:v>Supplier payments</x:v>
      </x:c>
      <x:c r="M225" s="38"/>
      <x:c r="N225" s="38" t="n">
        <x:v>19727</x:v>
      </x:c>
      <x:c r="O225" s="15" t="str"/>
      <x:c r="P225" s="15" t="str">
        <x:v>eml_ALL_currentac__512781 (2).zip &gt; eml8currentac__512781.zip</x:v>
      </x:c>
      <x:c r="Q225" s="15" t="str">
        <x:v>FNB _-) R128.33 reserved for purchase @ Savemor Marloth from Current a_c..512781 using card..2924.  8Jan 15_06.eml</x:v>
      </x:c>
      <x:c r="R225" s="15" t="str">
        <x:v>High</x:v>
      </x:c>
      <x:c r="S225" s="15" t="str">
        <x:v>Category confidence Medium: Retail/supplier merchant keyword.</x:v>
      </x:c>
      <x:c r="T225" s="15" t="str"/>
      <x:c r="U225" s="15" t="str"/>
      <x:c r="V225" s="15" t="str"/>
      <x:c r="W225" s="15" t="str"/>
      <x:c r="X225" s="15" t="str">
        <x:v>FNB :-) R128.33 reserved for purchase @ Savemor Marloth from Current a/c..512781 using card..2924. Avail R19727. 8Jan 15:06</x:v>
      </x:c>
      <x:c r="Y225" s="15" t="str">
        <x:v>49864f18fada955e</x:v>
      </x:c>
    </x:row>
    <x:row r="226">
      <x:c r="A226" s="34" t="n">
        <x:v>46030.64791666667</x:v>
      </x:c>
      <x:c r="B226" s="36" t="n">
        <x:v>46030</x:v>
      </x:c>
      <x:c r="C226" s="34" t="n">
        <x:v>46030.64795138889</x:v>
      </x:c>
      <x:c r="D226" s="15" t="str">
        <x:v>Current a/c..512781</x:v>
      </x:c>
      <x:c r="E226" s="15" t="str">
        <x:v>card..2924</x:v>
      </x:c>
      <x:c r="F226" s="15" t="str">
        <x:v>R210.00 reserved for purchase @ Daisys Den 77 from Current a/c..512781 using card..2924. Avail R19517. 8Jan 15:33</x:v>
      </x:c>
      <x:c r="G226" s="15" t="str">
        <x:v>Daisys Den 77</x:v>
      </x:c>
      <x:c r="H226" s="38" t="n">
        <x:v>210</x:v>
      </x:c>
      <x:c r="I226" s="15" t="str">
        <x:v>ZAR</x:v>
      </x:c>
      <x:c r="J226" s="15" t="str">
        <x:v>Outflow</x:v>
      </x:c>
      <x:c r="K226" s="15" t="str">
        <x:v>Card purchase</x:v>
      </x:c>
      <x:c r="L226" s="15" t="str">
        <x:v>Card spend</x:v>
      </x:c>
      <x:c r="M226" s="38"/>
      <x:c r="N226" s="38" t="n">
        <x:v>19517</x:v>
      </x:c>
      <x:c r="O226" s="15" t="str"/>
      <x:c r="P226" s="15" t="str">
        <x:v>eml_ALL_currentac__512781 (2).zip &gt; eml8currentac__512781.zip</x:v>
      </x:c>
      <x:c r="Q226" s="15" t="str">
        <x:v>FNB _-) R210.00 reserved for purchase @ Daisys Den 77 from Current a_c..512781 using card..2924.  8Jan 15_33.eml</x:v>
      </x:c>
      <x:c r="R226" s="15" t="str">
        <x:v>High</x:v>
      </x:c>
      <x:c r="S226" s="15" t="str">
        <x:v>Category confidence Low: Default card-spend category; merchant not confidently mapped.</x:v>
      </x:c>
      <x:c r="T226" s="15" t="str"/>
      <x:c r="U226" s="15" t="str"/>
      <x:c r="V226" s="15" t="str"/>
      <x:c r="W226" s="15" t="str"/>
      <x:c r="X226" s="15" t="str">
        <x:v>FNB :-) R210.00 reserved for purchase @ Daisys Den 77 from Current a/c..512781 using card..2924. Avail R19517. 8Jan 15:33</x:v>
      </x:c>
      <x:c r="Y226" s="15" t="str">
        <x:v>9234805d61caff0d</x:v>
      </x:c>
    </x:row>
    <x:row r="227">
      <x:c r="A227" s="34" t="n">
        <x:v>46030.740277777775</x:v>
      </x:c>
      <x:c r="B227" s="36" t="n">
        <x:v>46030</x:v>
      </x:c>
      <x:c r="C227" s="34" t="n">
        <x:v>46030.74030092593</x:v>
      </x:c>
      <x:c r="D227" s="15" t="str">
        <x:v>Current a/c..512781</x:v>
      </x:c>
      <x:c r="E227" s="15" t="str"/>
      <x:c r="F227" s="15" t="str">
        <x:v>R7000.00 paid from Current a/c..512781 @ Smartapp. Avail R12509. Ref.Salary Nason Dec. 8Jan 17:46</x:v>
      </x:c>
      <x:c r="G227" s="15" t="str">
        <x:v>Salary Nason Dec</x:v>
      </x:c>
      <x:c r="H227" s="38" t="n">
        <x:v>7000</x:v>
      </x:c>
      <x:c r="I227" s="15" t="str">
        <x:v>ZAR</x:v>
      </x:c>
      <x:c r="J227" s="15" t="str">
        <x:v>Outflow</x:v>
      </x:c>
      <x:c r="K227" s="15" t="str">
        <x:v>EFT payment</x:v>
      </x:c>
      <x:c r="L227" s="15" t="str">
        <x:v>Salary / wages</x:v>
      </x:c>
      <x:c r="M227" s="38"/>
      <x:c r="N227" s="38" t="n">
        <x:v>12509</x:v>
      </x:c>
      <x:c r="O227" s="15" t="str"/>
      <x:c r="P227" s="15" t="str">
        <x:v>eml_ALL_currentac__512781 (2).zip &gt; eml8currentac__512781.zip</x:v>
      </x:c>
      <x:c r="Q227" s="15" t="str">
        <x:v>FNB _-) R7000.00 paid from Current a_c..512781 @ Smartapp. Ref.Salary Nason Dec.  8Jan 17_46.eml</x:v>
      </x:c>
      <x:c r="R227" s="15" t="str">
        <x:v>High</x:v>
      </x:c>
      <x:c r="S227" s="15" t="str"/>
      <x:c r="T227" s="15" t="str"/>
      <x:c r="U227" s="15" t="str"/>
      <x:c r="V227" s="15" t="str">
        <x:v>Salary Nason Dec</x:v>
      </x:c>
      <x:c r="W227" s="15" t="str">
        <x:v>Smartapp</x:v>
      </x:c>
      <x:c r="X227" s="15" t="str">
        <x:v>FNB :-) R7000.00 paid from Current a/c..512781 @ Smartapp. Avail R12509. Ref.Salary Nason Dec. 8Jan 17:46</x:v>
      </x:c>
      <x:c r="Y227" s="15" t="str">
        <x:v>1f6667a4b1bf5f88</x:v>
      </x:c>
    </x:row>
    <x:row r="228">
      <x:c r="A228" s="34" t="n">
        <x:v>46031.36736111111</x:v>
      </x:c>
      <x:c r="B228" s="36" t="n">
        <x:v>46031</x:v>
      </x:c>
      <x:c r="C228" s="34" t="n">
        <x:v>46031.36797453704</x:v>
      </x:c>
      <x:c r="D228" s="15" t="str">
        <x:v>Current a/c..512781</x:v>
      </x:c>
      <x:c r="E228" s="15" t="str"/>
      <x:c r="F228" s="15" t="str">
        <x:v>R240.20 paid from Current a/c..512781 @ Smartapp. Avail R12239. Ref.Oasis Water 8830. 9Jan 08:49</x:v>
      </x:c>
      <x:c r="G228" s="15" t="str">
        <x:v>Oasis Water 8830</x:v>
      </x:c>
      <x:c r="H228" s="38" t="n">
        <x:v>240.2</x:v>
      </x:c>
      <x:c r="I228" s="15" t="str">
        <x:v>ZAR</x:v>
      </x:c>
      <x:c r="J228" s="15" t="str">
        <x:v>Outflow</x:v>
      </x:c>
      <x:c r="K228" s="15" t="str">
        <x:v>EFT payment</x:v>
      </x:c>
      <x:c r="L228" s="15" t="str">
        <x:v>Supplier payments</x:v>
      </x:c>
      <x:c r="M228" s="38"/>
      <x:c r="N228" s="38" t="n">
        <x:v>12239</x:v>
      </x:c>
      <x:c r="O228" s="15" t="str"/>
      <x:c r="P228" s="15" t="str">
        <x:v>eml_ALL_currentac__512781 (2).zip &gt; eml8currentac__512781.zip</x:v>
      </x:c>
      <x:c r="Q228" s="15" t="str">
        <x:v>FNB _-) R240.20 paid from Current a_c..512781 @ Smartapp. Ref.Oasis Water 8830.  9Jan 08_49.eml</x:v>
      </x:c>
      <x:c r="R228" s="15" t="str">
        <x:v>High</x:v>
      </x:c>
      <x:c r="S228" s="15" t="str">
        <x:v>Category confidence Medium: Retail/supplier merchant keyword.</x:v>
      </x:c>
      <x:c r="T228" s="15" t="str"/>
      <x:c r="U228" s="15" t="str"/>
      <x:c r="V228" s="15" t="str">
        <x:v>Oasis Water 8830</x:v>
      </x:c>
      <x:c r="W228" s="15" t="str">
        <x:v>Smartapp</x:v>
      </x:c>
      <x:c r="X228" s="15" t="str">
        <x:v>FNB :-) R240.20 paid from Current a/c..512781 @ Smartapp. Avail R12239. Ref.Oasis Water 8830. 9Jan 08:49</x:v>
      </x:c>
      <x:c r="Y228" s="15" t="str">
        <x:v>9009130b7fed614f</x:v>
      </x:c>
    </x:row>
    <x:row r="229">
      <x:c r="A229" s="34" t="n">
        <x:v>46031.46111111111</x:v>
      </x:c>
      <x:c r="B229" s="36" t="n">
        <x:v>46031</x:v>
      </x:c>
      <x:c r="C229" s="34" t="n">
        <x:v>46031.461226851854</x:v>
      </x:c>
      <x:c r="D229" s="15" t="str">
        <x:v>Current a/c..512781</x:v>
      </x:c>
      <x:c r="E229" s="15" t="str"/>
      <x:c r="F229" s="15" t="str">
        <x:v>R33960.52 paid to Current a/c..512781 @ Retail Forex. Ref.R026znlj30 Booking.c. 9Jan 11:04</x:v>
      </x:c>
      <x:c r="G229" s="15" t="str">
        <x:v>R026znlj30 Booking.c</x:v>
      </x:c>
      <x:c r="H229" s="38" t="n">
        <x:v>33960.52</x:v>
      </x:c>
      <x:c r="I229" s="15" t="str">
        <x:v>ZAR</x:v>
      </x:c>
      <x:c r="J229" s="15" t="str">
        <x:v>Inflow</x:v>
      </x:c>
      <x:c r="K229" s="15" t="str">
        <x:v>EFT receipt</x:v>
      </x:c>
      <x:c r="L229" s="15" t="str">
        <x:v>Sales / customer receipts</x:v>
      </x:c>
      <x:c r="M229" s="38"/>
      <x:c r="N229" s="38"/>
      <x:c r="O229" s="15" t="str"/>
      <x:c r="P229" s="15" t="str">
        <x:v>eml_ALL_currentac__512781 (2).zip &gt; eml8currentac__512781.zip</x:v>
      </x:c>
      <x:c r="Q229" s="15" t="str">
        <x:v>FNB _-) R33960.52 paid to Current a_c..512781 @ Retail Forex. Ref.R026znlj30 Booking.c.  9Jan 11_04.eml</x:v>
      </x:c>
      <x:c r="R229" s="15" t="str">
        <x:v>High</x:v>
      </x:c>
      <x:c r="S229" s="15" t="str">
        <x:v>Category confidence Medium: Default for incoming EFT/PayShap/online receipt.</x:v>
      </x:c>
      <x:c r="T229" s="15" t="str"/>
      <x:c r="U229" s="15" t="str"/>
      <x:c r="V229" s="15" t="str">
        <x:v>R026znlj30 Booking.c</x:v>
      </x:c>
      <x:c r="W229" s="15" t="str">
        <x:v>Retail Forex</x:v>
      </x:c>
      <x:c r="X229" s="15" t="str">
        <x:v>FNB :-) R33960.52 paid to Current a/c..512781 @ Retail Forex. Ref.R026znlj30 Booking.c. 9Jan 11:04</x:v>
      </x:c>
      <x:c r="Y229" s="15" t="str">
        <x:v>e4841ccbfd5696df</x:v>
      </x:c>
    </x:row>
    <x:row r="230">
      <x:c r="A230" s="34" t="n">
        <x:v>46031.572916666664</x:v>
      </x:c>
      <x:c r="B230" s="36" t="n">
        <x:v>46031</x:v>
      </x:c>
      <x:c r="C230" s="34" t="n">
        <x:v>46031.573530092595</x:v>
      </x:c>
      <x:c r="D230" s="15" t="str">
        <x:v>Current a/c..512781</x:v>
      </x:c>
      <x:c r="E230" s="15" t="str"/>
      <x:c r="F230" s="15" t="str">
        <x:v>R1174.79 paid to Current a/c..512781 @ Payshap. Ref.Ik Pay 487882. 9Jan 13:45</x:v>
      </x:c>
      <x:c r="G230" s="15" t="str">
        <x:v>Ik Pay 487882</x:v>
      </x:c>
      <x:c r="H230" s="38" t="n">
        <x:v>1174.79</x:v>
      </x:c>
      <x:c r="I230" s="15" t="str">
        <x:v>ZAR</x:v>
      </x:c>
      <x:c r="J230" s="15" t="str">
        <x:v>Inflow</x:v>
      </x:c>
      <x:c r="K230" s="15" t="str">
        <x:v>EFT receipt</x:v>
      </x:c>
      <x:c r="L230" s="15" t="str">
        <x:v>Sales / customer receipts</x:v>
      </x:c>
      <x:c r="M230" s="38"/>
      <x:c r="N230" s="38"/>
      <x:c r="O230" s="15" t="str"/>
      <x:c r="P230" s="15" t="str">
        <x:v>eml_ALL_currentac__512781 (2).zip &gt; eml8currentac__512781.zip</x:v>
      </x:c>
      <x:c r="Q230" s="15" t="str">
        <x:v>FNB _-) R1174.79 paid to Current a_c..512781 @ Payshap. Ref.Ik Pay 487882.  9Jan 13_45.eml</x:v>
      </x:c>
      <x:c r="R230" s="15" t="str">
        <x:v>High</x:v>
      </x:c>
      <x:c r="S230" s="15" t="str">
        <x:v>Category confidence Medium: Default for incoming EFT/PayShap/online receipt.</x:v>
      </x:c>
      <x:c r="T230" s="15" t="str"/>
      <x:c r="U230" s="15" t="str"/>
      <x:c r="V230" s="15" t="str">
        <x:v>Ik Pay 487882</x:v>
      </x:c>
      <x:c r="W230" s="15" t="str">
        <x:v>Payshap</x:v>
      </x:c>
      <x:c r="X230" s="15" t="str">
        <x:v>FNB :-) R1174.79 paid to Current a/c..512781 @ Payshap. Ref.Ik Pay 487882. 9Jan 13:45</x:v>
      </x:c>
      <x:c r="Y230" s="15" t="str">
        <x:v>2256cf544b9307d9</x:v>
      </x:c>
    </x:row>
    <x:row r="231">
      <x:c r="A231" s="34" t="n">
        <x:v>46031.65416666667</x:v>
      </x:c>
      <x:c r="B231" s="36" t="n">
        <x:v>46031</x:v>
      </x:c>
      <x:c r="C231" s="34" t="n">
        <x:v>46031.654641203706</x:v>
      </x:c>
      <x:c r="D231" s="15" t="str">
        <x:v>Current a/c..512781</x:v>
      </x:c>
      <x:c r="E231" s="15" t="str">
        <x:v>card..2924</x:v>
      </x:c>
      <x:c r="F231" s="15" t="str">
        <x:v>R2018.34 reserved for purchase @ Superspar Komatipoor from Current a/c..512781 using card..2924. Avail R45356. 9Jan 15:42</x:v>
      </x:c>
      <x:c r="G231" s="15" t="str">
        <x:v>Superspar Komatipoor</x:v>
      </x:c>
      <x:c r="H231" s="38" t="n">
        <x:v>2018.34</x:v>
      </x:c>
      <x:c r="I231" s="15" t="str">
        <x:v>ZAR</x:v>
      </x:c>
      <x:c r="J231" s="15" t="str">
        <x:v>Outflow</x:v>
      </x:c>
      <x:c r="K231" s="15" t="str">
        <x:v>Card purchase</x:v>
      </x:c>
      <x:c r="L231" s="15" t="str">
        <x:v>Supplier payments</x:v>
      </x:c>
      <x:c r="M231" s="38"/>
      <x:c r="N231" s="38" t="n">
        <x:v>45356</x:v>
      </x:c>
      <x:c r="O231" s="15" t="str"/>
      <x:c r="P231" s="15" t="str">
        <x:v>eml_ALL_currentac__512781 (2).zip &gt; eml8currentac__512781.zip</x:v>
      </x:c>
      <x:c r="Q231" s="15" t="str">
        <x:v>FNB _-) R2018.34 reserved for purchase @ Superspar Komatipoor from Current a_c..512781 using card..2924.  9Jan 15_42.eml</x:v>
      </x:c>
      <x:c r="R231" s="15" t="str">
        <x:v>High</x:v>
      </x:c>
      <x:c r="S231" s="15" t="str">
        <x:v>Category confidence Medium: Retail/supplier merchant keyword.</x:v>
      </x:c>
      <x:c r="T231" s="15" t="str"/>
      <x:c r="U231" s="15" t="str"/>
      <x:c r="V231" s="15" t="str"/>
      <x:c r="W231" s="15" t="str"/>
      <x:c r="X231" s="15" t="str">
        <x:v>FNB :-) R2018.34 reserved for purchase @ Superspar Komatipoor from Current a/c..512781 using card..2924. Avail R45356. 9Jan 15:42</x:v>
      </x:c>
      <x:c r="Y231" s="15" t="str">
        <x:v>ba6924035d7de776</x:v>
      </x:c>
    </x:row>
    <x:row r="232">
      <x:c r="A232" s="34" t="n">
        <x:v>46031.65625</x:v>
      </x:c>
      <x:c r="B232" s="36" t="n">
        <x:v>46031</x:v>
      </x:c>
      <x:c r="C232" s="34" t="n">
        <x:v>46031.6565625</x:v>
      </x:c>
      <x:c r="D232" s="15" t="str">
        <x:v>Current a/c..512781</x:v>
      </x:c>
      <x:c r="E232" s="15" t="str">
        <x:v>card..2924</x:v>
      </x:c>
      <x:c r="F232" s="15" t="str">
        <x:v>R1039.99 reserved for purchase @ Superspar Komatipoor from Current a/c..512781 using card..2924. Avail R44316. 9Jan 15:45</x:v>
      </x:c>
      <x:c r="G232" s="15" t="str">
        <x:v>Superspar Komatipoor</x:v>
      </x:c>
      <x:c r="H232" s="38" t="n">
        <x:v>1039.99</x:v>
      </x:c>
      <x:c r="I232" s="15" t="str">
        <x:v>ZAR</x:v>
      </x:c>
      <x:c r="J232" s="15" t="str">
        <x:v>Outflow</x:v>
      </x:c>
      <x:c r="K232" s="15" t="str">
        <x:v>Card purchase</x:v>
      </x:c>
      <x:c r="L232" s="15" t="str">
        <x:v>Supplier payments</x:v>
      </x:c>
      <x:c r="M232" s="38"/>
      <x:c r="N232" s="38" t="n">
        <x:v>44316</x:v>
      </x:c>
      <x:c r="O232" s="15" t="str"/>
      <x:c r="P232" s="15" t="str">
        <x:v>eml_ALL_currentac__512781 (2).zip &gt; eml8currentac__512781.zip</x:v>
      </x:c>
      <x:c r="Q232" s="15" t="str">
        <x:v>FNB _-) R1039.99 reserved for purchase @ Superspar Komatipoor from Current a_c..512781 using card..2924.  9Jan 15_45.eml</x:v>
      </x:c>
      <x:c r="R232" s="15" t="str">
        <x:v>High</x:v>
      </x:c>
      <x:c r="S232" s="15" t="str">
        <x:v>Category confidence Medium: Retail/supplier merchant keyword.</x:v>
      </x:c>
      <x:c r="T232" s="15" t="str"/>
      <x:c r="U232" s="15" t="str"/>
      <x:c r="V232" s="15" t="str"/>
      <x:c r="W232" s="15" t="str"/>
      <x:c r="X232" s="15" t="str">
        <x:v>FNB :-) R1039.99 reserved for purchase @ Superspar Komatipoor from Current a/c..512781 using card..2924. Avail R44316. 9Jan 15:45</x:v>
      </x:c>
      <x:c r="Y232" s="15" t="str">
        <x:v>0348e719b10d68a6</x:v>
      </x:c>
    </x:row>
    <x:row r="233">
      <x:c r="A233" s="34" t="n">
        <x:v>46031.67986111111</x:v>
      </x:c>
      <x:c r="B233" s="36" t="n">
        <x:v>46031</x:v>
      </x:c>
      <x:c r="C233" s="34" t="n">
        <x:v>46031.67998842592</x:v>
      </x:c>
      <x:c r="D233" s="15" t="str">
        <x:v>Current a/c..512781</x:v>
      </x:c>
      <x:c r="E233" s="15" t="str">
        <x:v>card..2924</x:v>
      </x:c>
      <x:c r="F233" s="15" t="str">
        <x:v>R500.00 reserved for purchase @ Obaro Komatipoort Fc from Current a/c..512781 using card..2924. Avail R43816. 9Jan 16:19</x:v>
      </x:c>
      <x:c r="G233" s="15" t="str">
        <x:v>Obaro Komatipoort Fc</x:v>
      </x:c>
      <x:c r="H233" s="38" t="n">
        <x:v>500</x:v>
      </x:c>
      <x:c r="I233" s="15" t="str">
        <x:v>ZAR</x:v>
      </x:c>
      <x:c r="J233" s="15" t="str">
        <x:v>Outflow</x:v>
      </x:c>
      <x:c r="K233" s="15" t="str">
        <x:v>Card purchase</x:v>
      </x:c>
      <x:c r="L233" s="15" t="str">
        <x:v>Supplier payments</x:v>
      </x:c>
      <x:c r="M233" s="38"/>
      <x:c r="N233" s="38" t="n">
        <x:v>43816</x:v>
      </x:c>
      <x:c r="O233" s="15" t="str"/>
      <x:c r="P233" s="15" t="str">
        <x:v>eml_ALL_currentac__512781 (2).zip &gt; eml8currentac__512781.zip</x:v>
      </x:c>
      <x:c r="Q233" s="15" t="str">
        <x:v>FNB _-) R500.00 reserved for purchase @ Obaro Komatipoort Fc from Current a_c..512781 using card..2924.  9Jan 16_19.eml</x:v>
      </x:c>
      <x:c r="R233" s="15" t="str">
        <x:v>High</x:v>
      </x:c>
      <x:c r="S233" s="15" t="str">
        <x:v>Category confidence Medium: Retail/supplier merchant keyword.</x:v>
      </x:c>
      <x:c r="T233" s="15" t="str"/>
      <x:c r="U233" s="15" t="str"/>
      <x:c r="V233" s="15" t="str"/>
      <x:c r="W233" s="15" t="str"/>
      <x:c r="X233" s="15" t="str">
        <x:v>FNB :-) R500.00 reserved for purchase @ Obaro Komatipoort Fc from Current a/c..512781 using card..2924. Avail R43816. 9Jan 16:19</x:v>
      </x:c>
      <x:c r="Y233" s="15" t="str">
        <x:v>df201e35b90543de</x:v>
      </x:c>
    </x:row>
    <x:row r="234">
      <x:c r="A234" s="34" t="n">
        <x:v>46031.697222222225</x:v>
      </x:c>
      <x:c r="B234" s="36" t="n">
        <x:v>46031</x:v>
      </x:c>
      <x:c r="C234" s="34" t="n">
        <x:v>46031.69731481482</x:v>
      </x:c>
      <x:c r="D234" s="15" t="str">
        <x:v>Current a/c..512781</x:v>
      </x:c>
      <x:c r="E234" s="15" t="str"/>
      <x:c r="F234" s="15" t="str">
        <x:v>R4740.00 paid from Current a/c..512781 @ Gen Ph. Avail R39061. Ref.Royal Bush 3617. 9Jan 16:44</x:v>
      </x:c>
      <x:c r="G234" s="15" t="str">
        <x:v>Royal Bush 3617</x:v>
      </x:c>
      <x:c r="H234" s="38" t="n">
        <x:v>4740</x:v>
      </x:c>
      <x:c r="I234" s="15" t="str">
        <x:v>ZAR</x:v>
      </x:c>
      <x:c r="J234" s="15" t="str">
        <x:v>Outflow</x:v>
      </x:c>
      <x:c r="K234" s="15" t="str">
        <x:v>EFT payment</x:v>
      </x:c>
      <x:c r="L234" s="15" t="str">
        <x:v>Supplier payments</x:v>
      </x:c>
      <x:c r="M234" s="38"/>
      <x:c r="N234" s="38" t="n">
        <x:v>39061</x:v>
      </x:c>
      <x:c r="O234" s="15" t="str"/>
      <x:c r="P234" s="15" t="str">
        <x:v>eml_ALL_currentac__512781 (2).zip &gt; eml8currentac__512781.zip</x:v>
      </x:c>
      <x:c r="Q234" s="15" t="str">
        <x:v>FNB _-) R4740.00 paid from Current a_c..512781 @ Gen Ph. Ref.Royal Bush 3617.  9Jan 16_44.eml</x:v>
      </x:c>
      <x:c r="R234" s="15" t="str">
        <x:v>High</x:v>
      </x:c>
      <x:c r="S234" s="15" t="str">
        <x:v>Category confidence Low: Default outflow category; review counterparty/reference.</x:v>
      </x:c>
      <x:c r="T234" s="15" t="str"/>
      <x:c r="U234" s="15" t="str"/>
      <x:c r="V234" s="15" t="str">
        <x:v>Royal Bush 3617</x:v>
      </x:c>
      <x:c r="W234" s="15" t="str">
        <x:v>Gen Ph</x:v>
      </x:c>
      <x:c r="X234" s="15" t="str">
        <x:v>FNB :-) R4740.00 paid from Current a/c..512781 @ Gen Ph. Avail R39061. Ref.Royal Bush 3617. 9Jan 16:44</x:v>
      </x:c>
      <x:c r="Y234" s="15" t="str">
        <x:v>e0c47e0c73e6b7b1</x:v>
      </x:c>
    </x:row>
    <x:row r="235">
      <x:c r="A235" s="34" t="n">
        <x:v>46031.833333333336</x:v>
      </x:c>
      <x:c r="B235" s="36" t="n">
        <x:v>46031</x:v>
      </x:c>
      <x:c r="C235" s="34" t="n">
        <x:v>46031.83342592593</x:v>
      </x:c>
      <x:c r="D235" s="15" t="str">
        <x:v>Current a/c..512781</x:v>
      </x:c>
      <x:c r="E235" s="15" t="str"/>
      <x:c r="F235" s="15" t="str">
        <x:v>R4372.34 paid from Current a/c..512781 @ Smartapp. Avail R34681. Ref.Asbe - 002 Comm Jan. 9Jan 20:00</x:v>
      </x:c>
      <x:c r="G235" s="15" t="str">
        <x:v>Asbe - 002 Comm Jan</x:v>
      </x:c>
      <x:c r="H235" s="38" t="n">
        <x:v>4372.34</x:v>
      </x:c>
      <x:c r="I235" s="15" t="str">
        <x:v>ZAR</x:v>
      </x:c>
      <x:c r="J235" s="15" t="str">
        <x:v>Outflow</x:v>
      </x:c>
      <x:c r="K235" s="15" t="str">
        <x:v>EFT payment</x:v>
      </x:c>
      <x:c r="L235" s="15" t="str">
        <x:v>Supplier payments</x:v>
      </x:c>
      <x:c r="M235" s="38"/>
      <x:c r="N235" s="38" t="n">
        <x:v>34681</x:v>
      </x:c>
      <x:c r="O235" s="15" t="str"/>
      <x:c r="P235" s="15" t="str">
        <x:v>eml_ALL_currentac__512781 (2).zip &gt; eml8currentac__512781.zip</x:v>
      </x:c>
      <x:c r="Q235" s="15" t="str">
        <x:v>FNB _-) R4372.34 paid from Current a_c..512781 @ Smartapp. Ref.Asbe - 002 Comm Jan.  9Jan 20_00.eml</x:v>
      </x:c>
      <x:c r="R235" s="15" t="str">
        <x:v>High</x:v>
      </x:c>
      <x:c r="S235" s="15" t="str">
        <x:v>Category confidence Low: Default outflow category; review counterparty/reference.</x:v>
      </x:c>
      <x:c r="T235" s="15" t="str"/>
      <x:c r="U235" s="15" t="str"/>
      <x:c r="V235" s="15" t="str">
        <x:v>Asbe - 002 Comm Jan</x:v>
      </x:c>
      <x:c r="W235" s="15" t="str">
        <x:v>Smartapp</x:v>
      </x:c>
      <x:c r="X235" s="15" t="str">
        <x:v>FNB :-) R4372.34 paid from Current a/c..512781 @ Smartapp. Avail R34681. Ref.Asbe - 002 Comm Jan. 9Jan 20:00</x:v>
      </x:c>
      <x:c r="Y235" s="15" t="str">
        <x:v>2366ecfb509a0226</x:v>
      </x:c>
    </x:row>
    <x:row r="236">
      <x:c r="A236" s="34" t="n">
        <x:v>46032.527083333334</x:v>
      </x:c>
      <x:c r="B236" s="36" t="n">
        <x:v>46032</x:v>
      </x:c>
      <x:c r="C236" s="34" t="n">
        <x:v>46032.527280092596</x:v>
      </x:c>
      <x:c r="D236" s="15" t="str">
        <x:v>Current a/c..512781</x:v>
      </x:c>
      <x:c r="E236" s="15" t="str"/>
      <x:c r="F236" s="15" t="str">
        <x:v>R500.00 paid from Current a/c..512781 @ Smartapp. Avail R34165. Ref.Electricity 04294887. 10Jan 12:39</x:v>
      </x:c>
      <x:c r="G236" s="15" t="str">
        <x:v>Electricity 04294887</x:v>
      </x:c>
      <x:c r="H236" s="38" t="n">
        <x:v>500</x:v>
      </x:c>
      <x:c r="I236" s="15" t="str">
        <x:v>ZAR</x:v>
      </x:c>
      <x:c r="J236" s="15" t="str">
        <x:v>Outflow</x:v>
      </x:c>
      <x:c r="K236" s="15" t="str">
        <x:v>EFT payment</x:v>
      </x:c>
      <x:c r="L236" s="15" t="str">
        <x:v>Telecom / utilities</x:v>
      </x:c>
      <x:c r="M236" s="38"/>
      <x:c r="N236" s="38" t="n">
        <x:v>34165</x:v>
      </x:c>
      <x:c r="O236" s="15" t="str"/>
      <x:c r="P236" s="15" t="str">
        <x:v>eml_ALL_currentac__512781 (2).zip &gt; eml8currentac__512781.zip</x:v>
      </x:c>
      <x:c r="Q236" s="15" t="str">
        <x:v>FNB _-) R500.00 paid from Current a_c..512781 @ Smartapp. Ref.Electricity 04294887. 10Jan 12_39.eml</x:v>
      </x:c>
      <x:c r="R236" s="15" t="str">
        <x:v>High</x:v>
      </x:c>
      <x:c r="S236" s="15" t="str"/>
      <x:c r="T236" s="15" t="str"/>
      <x:c r="U236" s="15" t="str"/>
      <x:c r="V236" s="15" t="str">
        <x:v>Electricity 04294887</x:v>
      </x:c>
      <x:c r="W236" s="15" t="str">
        <x:v>Smartapp</x:v>
      </x:c>
      <x:c r="X236" s="15" t="str">
        <x:v>FNB :-) R500.00 paid from Current a/c..512781 @ Smartapp. Avail R34165. Ref.Electricity 04294887. 10Jan 12:39</x:v>
      </x:c>
      <x:c r="Y236" s="15" t="str">
        <x:v>57f6aa06e2edfea0</x:v>
      </x:c>
    </x:row>
    <x:row r="237">
      <x:c r="A237" s="34" t="n">
        <x:v>46032.529861111114</x:v>
      </x:c>
      <x:c r="B237" s="36" t="n">
        <x:v>46032</x:v>
      </x:c>
      <x:c r="C237" s="34" t="n">
        <x:v>46032.52993055555</x:v>
      </x:c>
      <x:c r="D237" s="15" t="str">
        <x:v>Current a/c..512781</x:v>
      </x:c>
      <x:c r="E237" s="15" t="str"/>
      <x:c r="F237" s="15" t="str">
        <x:v>R5408.00 paid from Current a/c..512781 @ Gen Ph. Avail R28742. Ref.Kruger Safari 1676. 10Jan 12:43</x:v>
      </x:c>
      <x:c r="G237" s="15" t="str">
        <x:v>Kruger Safari 1676</x:v>
      </x:c>
      <x:c r="H237" s="38" t="n">
        <x:v>5408</x:v>
      </x:c>
      <x:c r="I237" s="15" t="str">
        <x:v>ZAR</x:v>
      </x:c>
      <x:c r="J237" s="15" t="str">
        <x:v>Outflow</x:v>
      </x:c>
      <x:c r="K237" s="15" t="str">
        <x:v>EFT payment</x:v>
      </x:c>
      <x:c r="L237" s="15" t="str">
        <x:v>Supplier payments</x:v>
      </x:c>
      <x:c r="M237" s="38"/>
      <x:c r="N237" s="38" t="n">
        <x:v>28742</x:v>
      </x:c>
      <x:c r="O237" s="15" t="str"/>
      <x:c r="P237" s="15" t="str">
        <x:v>eml_ALL_currentac__512781 (2).zip &gt; eml8currentac__512781.zip</x:v>
      </x:c>
      <x:c r="Q237" s="15" t="str">
        <x:v>FNB _-) R5408.00 paid from Current a_c..512781 @ Gen Ph. Ref.Kruger Safari 1676. 10Jan 12_43.eml</x:v>
      </x:c>
      <x:c r="R237" s="15" t="str">
        <x:v>High</x:v>
      </x:c>
      <x:c r="S237" s="15" t="str">
        <x:v>Category confidence Low: Default outflow category; review counterparty/reference.</x:v>
      </x:c>
      <x:c r="T237" s="15" t="str"/>
      <x:c r="U237" s="15" t="str"/>
      <x:c r="V237" s="15" t="str">
        <x:v>Kruger Safari 1676</x:v>
      </x:c>
      <x:c r="W237" s="15" t="str">
        <x:v>Gen Ph</x:v>
      </x:c>
      <x:c r="X237" s="15" t="str">
        <x:v>FNB :-) R5408.00 paid from Current a/c..512781 @ Gen Ph. Avail R28742. Ref.Kruger Safari 1676. 10Jan 12:43</x:v>
      </x:c>
      <x:c r="Y237" s="15" t="str">
        <x:v>a09d96b6b5cd7cb3</x:v>
      </x:c>
    </x:row>
    <x:row r="238">
      <x:c r="A238" s="34" t="n">
        <x:v>46033.46666666667</x:v>
      </x:c>
      <x:c r="B238" s="36" t="n">
        <x:v>46033</x:v>
      </x:c>
      <x:c r="C238" s="34" t="n">
        <x:v>46033.46681712963</x:v>
      </x:c>
      <x:c r="D238" s="15" t="str">
        <x:v>Current a/c..512781</x:v>
      </x:c>
      <x:c r="E238" s="15" t="str">
        <x:v>card..2924</x:v>
      </x:c>
      <x:c r="F238" s="15" t="str">
        <x:v>R179.94 reserved for purchase @ Savemor Marloth from Current a/c..512781 using card..2924. Avail R28491. 11Jan 11:12</x:v>
      </x:c>
      <x:c r="G238" s="15" t="str">
        <x:v>Savemor Marloth</x:v>
      </x:c>
      <x:c r="H238" s="38" t="n">
        <x:v>179.94</x:v>
      </x:c>
      <x:c r="I238" s="15" t="str">
        <x:v>ZAR</x:v>
      </x:c>
      <x:c r="J238" s="15" t="str">
        <x:v>Outflow</x:v>
      </x:c>
      <x:c r="K238" s="15" t="str">
        <x:v>Card purchase</x:v>
      </x:c>
      <x:c r="L238" s="15" t="str">
        <x:v>Supplier payments</x:v>
      </x:c>
      <x:c r="M238" s="38"/>
      <x:c r="N238" s="38" t="n">
        <x:v>28491</x:v>
      </x:c>
      <x:c r="O238" s="15" t="str"/>
      <x:c r="P238" s="15" t="str">
        <x:v>eml_ALL_currentac__512781 (2).zip &gt; eml8currentac__512781.zip</x:v>
      </x:c>
      <x:c r="Q238" s="15" t="str">
        <x:v>FNB _-) R179.94 reserved for purchase @ Savemor Marloth from Current a_c..512781 using card..2924. 11Jan 11_12.eml</x:v>
      </x:c>
      <x:c r="R238" s="15" t="str">
        <x:v>High</x:v>
      </x:c>
      <x:c r="S238" s="15" t="str">
        <x:v>Category confidence Medium: Retail/supplier merchant keyword.</x:v>
      </x:c>
      <x:c r="T238" s="15" t="str"/>
      <x:c r="U238" s="15" t="str"/>
      <x:c r="V238" s="15" t="str"/>
      <x:c r="W238" s="15" t="str"/>
      <x:c r="X238" s="15" t="str">
        <x:v>FNB :-) R179.94 reserved for purchase @ Savemor Marloth from Current a/c..512781 using card..2924. Avail R28491. 11Jan 11:12</x:v>
      </x:c>
      <x:c r="Y238" s="15" t="str">
        <x:v>c21489249ba1298b</x:v>
      </x:c>
    </x:row>
    <x:row r="239">
      <x:c r="A239" s="34" t="n">
        <x:v>46033.472916666666</x:v>
      </x:c>
      <x:c r="B239" s="36" t="n">
        <x:v>46033</x:v>
      </x:c>
      <x:c r="C239" s="34" t="n">
        <x:v>46033.47336805556</x:v>
      </x:c>
      <x:c r="D239" s="15" t="str">
        <x:v>Current a/c..512781</x:v>
      </x:c>
      <x:c r="E239" s="15" t="str">
        <x:v>card..2924</x:v>
      </x:c>
      <x:c r="F239" s="15" t="str">
        <x:v>R400.00 reserved for purchase @ Marlothi Petrol Stat from Current a/c..512781 using card..2924. Avail R27996. 11Jan 11:21</x:v>
      </x:c>
      <x:c r="G239" s="15" t="str">
        <x:v>Marlothi Petrol Stat</x:v>
      </x:c>
      <x:c r="H239" s="38" t="n">
        <x:v>400</x:v>
      </x:c>
      <x:c r="I239" s="15" t="str">
        <x:v>ZAR</x:v>
      </x:c>
      <x:c r="J239" s="15" t="str">
        <x:v>Outflow</x:v>
      </x:c>
      <x:c r="K239" s="15" t="str">
        <x:v>Card purchase</x:v>
      </x:c>
      <x:c r="L239" s="15" t="str">
        <x:v>Fuel / transport</x:v>
      </x:c>
      <x:c r="M239" s="38"/>
      <x:c r="N239" s="38" t="n">
        <x:v>27996</x:v>
      </x:c>
      <x:c r="O239" s="15" t="str"/>
      <x:c r="P239" s="15" t="str">
        <x:v>eml_ALL_currentac__512781 (2).zip &gt; eml8currentac__512781.zip</x:v>
      </x:c>
      <x:c r="Q239" s="15" t="str">
        <x:v>FNB _-) R400.00 reserved for purchase @ Marlothi Petrol Stat from Current a_c..512781 using card..2924. 11Jan 11_21.eml</x:v>
      </x:c>
      <x:c r="R239" s="15" t="str">
        <x:v>High</x:v>
      </x:c>
      <x:c r="S239" s="15" t="str"/>
      <x:c r="T239" s="15" t="str"/>
      <x:c r="U239" s="15" t="str"/>
      <x:c r="V239" s="15" t="str"/>
      <x:c r="W239" s="15" t="str"/>
      <x:c r="X239" s="15" t="str">
        <x:v>FNB :-) R400.00 reserved for purchase @ Marlothi Petrol Stat from Current a/c..512781 using card..2924. Avail R27996. 11Jan 11:21</x:v>
      </x:c>
      <x:c r="Y239" s="15" t="str">
        <x:v>03806067253ceb97</x:v>
      </x:c>
    </x:row>
    <x:row r="240">
      <x:c r="A240" s="34" t="n">
        <x:v>46033.56597222222</x:v>
      </x:c>
      <x:c r="B240" s="36" t="n">
        <x:v>46033</x:v>
      </x:c>
      <x:c r="C240" s="34" t="n">
        <x:v>46033.566087962965</x:v>
      </x:c>
      <x:c r="D240" s="15" t="str">
        <x:v>Current a/c..512781</x:v>
      </x:c>
      <x:c r="E240" s="15" t="str"/>
      <x:c r="F240" s="15" t="str">
        <x:v>R1000.00 paid from Current a/c..512781 @ Smartapp. Avail R26993. Ref.Dreyer Salary Portio. 11Jan 13:35</x:v>
      </x:c>
      <x:c r="G240" s="15" t="str">
        <x:v>Dreyer Salary Portio</x:v>
      </x:c>
      <x:c r="H240" s="38" t="n">
        <x:v>1000</x:v>
      </x:c>
      <x:c r="I240" s="15" t="str">
        <x:v>ZAR</x:v>
      </x:c>
      <x:c r="J240" s="15" t="str">
        <x:v>Outflow</x:v>
      </x:c>
      <x:c r="K240" s="15" t="str">
        <x:v>EFT payment</x:v>
      </x:c>
      <x:c r="L240" s="15" t="str">
        <x:v>Salary / wages</x:v>
      </x:c>
      <x:c r="M240" s="38"/>
      <x:c r="N240" s="38" t="n">
        <x:v>26993</x:v>
      </x:c>
      <x:c r="O240" s="15" t="str"/>
      <x:c r="P240" s="15" t="str">
        <x:v>eml_ALL_currentac__512781 (2).zip &gt; eml8currentac__512781.zip</x:v>
      </x:c>
      <x:c r="Q240" s="15" t="str">
        <x:v>FNB _-) R1000.00 paid from Current a_c..512781 @ Smartapp. Ref.Dreyer Salary Portio. 11Jan 13_35.eml</x:v>
      </x:c>
      <x:c r="R240" s="15" t="str">
        <x:v>High</x:v>
      </x:c>
      <x:c r="S240" s="15" t="str"/>
      <x:c r="T240" s="15" t="str"/>
      <x:c r="U240" s="15" t="str"/>
      <x:c r="V240" s="15" t="str">
        <x:v>Dreyer Salary Portio</x:v>
      </x:c>
      <x:c r="W240" s="15" t="str">
        <x:v>Smartapp</x:v>
      </x:c>
      <x:c r="X240" s="15" t="str">
        <x:v>FNB :-) R1000.00 paid from Current a/c..512781 @ Smartapp. Avail R26993. Ref.Dreyer Salary Portio. 11Jan 13:35</x:v>
      </x:c>
      <x:c r="Y240" s="15" t="str">
        <x:v>22c6fa8cbf8b9156</x:v>
      </x:c>
    </x:row>
    <x:row r="241">
      <x:c r="A241" s="34" t="n">
        <x:v>46033.5875</x:v>
      </x:c>
      <x:c r="B241" s="36" t="n">
        <x:v>46033</x:v>
      </x:c>
      <x:c r="C241" s="34" t="n">
        <x:v>46033.58763888889</x:v>
      </x:c>
      <x:c r="D241" s="15" t="str">
        <x:v>Current a/c..512781</x:v>
      </x:c>
      <x:c r="E241" s="15" t="str">
        <x:v>card..2924</x:v>
      </x:c>
      <x:c r="F241" s="15" t="str">
        <x:v>R405.00 reserved for purchase @ K2025744041 Sou 262 from Current a/c..512781 using card..2924. Avail R26588. 11Jan 14:06</x:v>
      </x:c>
      <x:c r="G241" s="15" t="str">
        <x:v>K2025744041 Sou 262</x:v>
      </x:c>
      <x:c r="H241" s="38" t="n">
        <x:v>405</x:v>
      </x:c>
      <x:c r="I241" s="15" t="str">
        <x:v>ZAR</x:v>
      </x:c>
      <x:c r="J241" s="15" t="str">
        <x:v>Outflow</x:v>
      </x:c>
      <x:c r="K241" s="15" t="str">
        <x:v>Card purchase</x:v>
      </x:c>
      <x:c r="L241" s="15" t="str">
        <x:v>Card spend</x:v>
      </x:c>
      <x:c r="M241" s="38"/>
      <x:c r="N241" s="38" t="n">
        <x:v>26588</x:v>
      </x:c>
      <x:c r="O241" s="15" t="str"/>
      <x:c r="P241" s="15" t="str">
        <x:v>eml_ALL_currentac__512781 (2).zip &gt; eml8currentac__512781.zip</x:v>
      </x:c>
      <x:c r="Q241" s="15" t="str">
        <x:v>FNB _-) R405.00 reserved for purchase @ K2025744041 Sou 262 from Current a_c..512781 using card..2924. 11Jan 14_06.eml</x:v>
      </x:c>
      <x:c r="R241" s="15" t="str">
        <x:v>High</x:v>
      </x:c>
      <x:c r="S241" s="15" t="str">
        <x:v>Category confidence Low: Default card-spend category; merchant not confidently mapped.</x:v>
      </x:c>
      <x:c r="T241" s="15" t="str"/>
      <x:c r="U241" s="15" t="str"/>
      <x:c r="V241" s="15" t="str"/>
      <x:c r="W241" s="15" t="str"/>
      <x:c r="X241" s="15" t="str">
        <x:v>FNB :-) R405.00 reserved for purchase @ K2025744041 Sou 262 from Current a/c..512781 using card..2924. Avail R26588. 11Jan 14:06</x:v>
      </x:c>
      <x:c r="Y241" s="15" t="str">
        <x:v>1e63305eb31e85e5</x:v>
      </x:c>
    </x:row>
    <x:row r="242">
      <x:c r="A242" s="34" t="n">
        <x:v>46034.510416666664</x:v>
      </x:c>
      <x:c r="B242" s="36" t="n">
        <x:v>46034</x:v>
      </x:c>
      <x:c r="C242" s="34" t="n">
        <x:v>46034.510925925926</x:v>
      </x:c>
      <x:c r="D242" s="15" t="str">
        <x:v>Current a/c..512781</x:v>
      </x:c>
      <x:c r="E242" s="15" t="str">
        <x:v>card..2924</x:v>
      </x:c>
      <x:c r="F242" s="15" t="str">
        <x:v>R300.00 reserved for purchase @ Engen Hectorspruit from Current a/c..512781 using card..2924. Avail R26104. 12Jan 12:15</x:v>
      </x:c>
      <x:c r="G242" s="15" t="str">
        <x:v>Engen Hectorspruit</x:v>
      </x:c>
      <x:c r="H242" s="38" t="n">
        <x:v>300</x:v>
      </x:c>
      <x:c r="I242" s="15" t="str">
        <x:v>ZAR</x:v>
      </x:c>
      <x:c r="J242" s="15" t="str">
        <x:v>Outflow</x:v>
      </x:c>
      <x:c r="K242" s="15" t="str">
        <x:v>Card purchase</x:v>
      </x:c>
      <x:c r="L242" s="15" t="str">
        <x:v>Fuel / transport</x:v>
      </x:c>
      <x:c r="M242" s="38"/>
      <x:c r="N242" s="38" t="n">
        <x:v>26104</x:v>
      </x:c>
      <x:c r="O242" s="15" t="str"/>
      <x:c r="P242" s="15" t="str">
        <x:v>eml_ALL_currentac__512781 (2).zip &gt; eml8currentac__512781.zip</x:v>
      </x:c>
      <x:c r="Q242" s="15" t="str">
        <x:v>FNB _-) R300.00 reserved for purchase @ Engen Hectorspruit from Current a_c..512781 using card..2924. 12Jan 12_15.eml</x:v>
      </x:c>
      <x:c r="R242" s="15" t="str">
        <x:v>High</x:v>
      </x:c>
      <x:c r="S242" s="15" t="str"/>
      <x:c r="T242" s="15" t="str"/>
      <x:c r="U242" s="15" t="str"/>
      <x:c r="V242" s="15" t="str"/>
      <x:c r="W242" s="15" t="str"/>
      <x:c r="X242" s="15" t="str">
        <x:v>FNB :-) R300.00 reserved for purchase @ Engen Hectorspruit from Current a/c..512781 using card..2924. Avail R26104. 12Jan 12:15</x:v>
      </x:c>
      <x:c r="Y242" s="15" t="str">
        <x:v>0089e49cc73de6c1</x:v>
      </x:c>
    </x:row>
    <x:row r="243">
      <x:c r="A243" s="34" t="n">
        <x:v>46034.57638888889</x:v>
      </x:c>
      <x:c r="B243" s="36" t="n">
        <x:v>46034</x:v>
      </x:c>
      <x:c r="C243" s="34" t="n">
        <x:v>46034.576944444445</x:v>
      </x:c>
      <x:c r="D243" s="15" t="str">
        <x:v>Current a/c..512781</x:v>
      </x:c>
      <x:c r="E243" s="15" t="str"/>
      <x:c r="F243" s="15" t="str">
        <x:v>R20850.99 paid to Current a/c..512781 @ Payshap. Ref.Ik Pay 487882. 12Jan 13:50</x:v>
      </x:c>
      <x:c r="G243" s="15" t="str">
        <x:v>Ik Pay 487882</x:v>
      </x:c>
      <x:c r="H243" s="38" t="n">
        <x:v>20850.99</x:v>
      </x:c>
      <x:c r="I243" s="15" t="str">
        <x:v>ZAR</x:v>
      </x:c>
      <x:c r="J243" s="15" t="str">
        <x:v>Inflow</x:v>
      </x:c>
      <x:c r="K243" s="15" t="str">
        <x:v>EFT receipt</x:v>
      </x:c>
      <x:c r="L243" s="15" t="str">
        <x:v>Sales / customer receipts</x:v>
      </x:c>
      <x:c r="M243" s="38"/>
      <x:c r="N243" s="38"/>
      <x:c r="O243" s="15" t="str"/>
      <x:c r="P243" s="15" t="str">
        <x:v>eml_ALL_currentac__512781 (2).zip &gt; eml8currentac__512781.zip</x:v>
      </x:c>
      <x:c r="Q243" s="15" t="str">
        <x:v>FNB _-) R20850.99 paid to Current a_c..512781 @ Payshap. Ref.Ik Pay 487882. 12Jan 13_50.eml</x:v>
      </x:c>
      <x:c r="R243" s="15" t="str">
        <x:v>High</x:v>
      </x:c>
      <x:c r="S243" s="15" t="str">
        <x:v>Category confidence Medium: Default for incoming EFT/PayShap/online receipt.</x:v>
      </x:c>
      <x:c r="T243" s="15" t="str"/>
      <x:c r="U243" s="15" t="str"/>
      <x:c r="V243" s="15" t="str">
        <x:v>Ik Pay 487882</x:v>
      </x:c>
      <x:c r="W243" s="15" t="str">
        <x:v>Payshap</x:v>
      </x:c>
      <x:c r="X243" s="15" t="str">
        <x:v>FNB :-) R20850.99 paid to Current a/c..512781 @ Payshap. Ref.Ik Pay 487882. 12Jan 13:50</x:v>
      </x:c>
      <x:c r="Y243" s="15" t="str">
        <x:v>b589fb4f8f7b1225</x:v>
      </x:c>
    </x:row>
    <x:row r="244">
      <x:c r="A244" s="34" t="n">
        <x:v>46034.63402777778</x:v>
      </x:c>
      <x:c r="B244" s="36" t="n">
        <x:v>46034</x:v>
      </x:c>
      <x:c r="C244" s="34" t="n">
        <x:v>46034.63462962963</x:v>
      </x:c>
      <x:c r="D244" s="15" t="str">
        <x:v>Current a/c..512781</x:v>
      </x:c>
      <x:c r="E244" s="15" t="str">
        <x:v>card..2924</x:v>
      </x:c>
      <x:c r="F244" s="15" t="str">
        <x:v>R1435.06 reserved for purchase @ Savemor Marloth from Current a/c..512781 using card..2924. Avail R45520. 12Jan 15:13</x:v>
      </x:c>
      <x:c r="G244" s="15" t="str">
        <x:v>Savemor Marloth</x:v>
      </x:c>
      <x:c r="H244" s="38" t="n">
        <x:v>1435.06</x:v>
      </x:c>
      <x:c r="I244" s="15" t="str">
        <x:v>ZAR</x:v>
      </x:c>
      <x:c r="J244" s="15" t="str">
        <x:v>Outflow</x:v>
      </x:c>
      <x:c r="K244" s="15" t="str">
        <x:v>Card purchase</x:v>
      </x:c>
      <x:c r="L244" s="15" t="str">
        <x:v>Supplier payments</x:v>
      </x:c>
      <x:c r="M244" s="38"/>
      <x:c r="N244" s="38" t="n">
        <x:v>45520</x:v>
      </x:c>
      <x:c r="O244" s="15" t="str"/>
      <x:c r="P244" s="15" t="str">
        <x:v>eml_ALL_currentac__512781 (2).zip &gt; eml8currentac__512781.zip</x:v>
      </x:c>
      <x:c r="Q244" s="15" t="str">
        <x:v>FNB _-) R1435.06 reserved for purchase @ Savemor Marloth from Current a_c..512781 using card..2924. 12Jan 15_13.eml</x:v>
      </x:c>
      <x:c r="R244" s="15" t="str">
        <x:v>High</x:v>
      </x:c>
      <x:c r="S244" s="15" t="str">
        <x:v>Category confidence Medium: Retail/supplier merchant keyword.</x:v>
      </x:c>
      <x:c r="T244" s="15" t="str"/>
      <x:c r="U244" s="15" t="str"/>
      <x:c r="V244" s="15" t="str"/>
      <x:c r="W244" s="15" t="str"/>
      <x:c r="X244" s="15" t="str">
        <x:v>FNB :-) R1435.06 reserved for purchase @ Savemor Marloth from Current a/c..512781 using card..2924. Avail R45520. 12Jan 15:13</x:v>
      </x:c>
      <x:c r="Y244" s="15" t="str">
        <x:v>5c5ba79be833ea7c</x:v>
      </x:c>
    </x:row>
    <x:row r="245">
      <x:c r="A245" s="34" t="n">
        <x:v>46034.6375</x:v>
      </x:c>
      <x:c r="B245" s="36" t="n">
        <x:v>46034</x:v>
      </x:c>
      <x:c r="C245" s="34" t="n">
        <x:v>46034.637511574074</x:v>
      </x:c>
      <x:c r="D245" s="15" t="str">
        <x:v>Current a/c..512781</x:v>
      </x:c>
      <x:c r="E245" s="15" t="str">
        <x:v>card..2924</x:v>
      </x:c>
      <x:c r="F245" s="15" t="str">
        <x:v>R133.98 reserved for purchase @ Savemor Marloth Liqu from Current a/c..512781 using card..2924. Avail R45386. 12Jan 15:18</x:v>
      </x:c>
      <x:c r="G245" s="15" t="str">
        <x:v>Savemor Marloth Liqu</x:v>
      </x:c>
      <x:c r="H245" s="38" t="n">
        <x:v>133.98</x:v>
      </x:c>
      <x:c r="I245" s="15" t="str">
        <x:v>ZAR</x:v>
      </x:c>
      <x:c r="J245" s="15" t="str">
        <x:v>Outflow</x:v>
      </x:c>
      <x:c r="K245" s="15" t="str">
        <x:v>Card purchase</x:v>
      </x:c>
      <x:c r="L245" s="15" t="str">
        <x:v>Meals / restaurants / entertainment</x:v>
      </x:c>
      <x:c r="M245" s="38"/>
      <x:c r="N245" s="38" t="n">
        <x:v>45386</x:v>
      </x:c>
      <x:c r="O245" s="15" t="str"/>
      <x:c r="P245" s="15" t="str">
        <x:v>eml_ALL_currentac__512781 (2).zip &gt; eml8currentac__512781.zip</x:v>
      </x:c>
      <x:c r="Q245" s="15" t="str">
        <x:v>FNB _-) R133.98 reserved for purchase @ Savemor Marloth Liqu from Current a_c..512781 using card..2924. 12Jan 15_18.eml</x:v>
      </x:c>
      <x:c r="R245" s="15" t="str">
        <x:v>High</x:v>
      </x:c>
      <x:c r="S245" s="15" t="str"/>
      <x:c r="T245" s="15" t="str"/>
      <x:c r="U245" s="15" t="str"/>
      <x:c r="V245" s="15" t="str"/>
      <x:c r="W245" s="15" t="str"/>
      <x:c r="X245" s="15" t="str">
        <x:v>FNB :-) R133.98 reserved for purchase @ Savemor Marloth Liqu from Current a/c..512781 using card..2924. Avail R45386. 12Jan 15:18</x:v>
      </x:c>
      <x:c r="Y245" s="15" t="str">
        <x:v>edee9e07ca1eb21b</x:v>
      </x:c>
    </x:row>
    <x:row r="246">
      <x:c r="A246" s="34" t="n">
        <x:v>46035.39097222222</x:v>
      </x:c>
      <x:c r="B246" s="36" t="n">
        <x:v>46035</x:v>
      </x:c>
      <x:c r="C246" s="34" t="n">
        <x:v>46035.3915625</x:v>
      </x:c>
      <x:c r="D246" s="15" t="str">
        <x:v>Current a/c..512781</x:v>
      </x:c>
      <x:c r="E246" s="15" t="str">
        <x:v>card..2924</x:v>
      </x:c>
      <x:c r="F246" s="15" t="str">
        <x:v>R200.00 reserved for purchase @ Marlothi Petrol Stat from Current a/c..512781 using card..2924. Avail R45163. 13Jan 09:23</x:v>
      </x:c>
      <x:c r="G246" s="15" t="str">
        <x:v>Marlothi Petrol Stat</x:v>
      </x:c>
      <x:c r="H246" s="38" t="n">
        <x:v>200</x:v>
      </x:c>
      <x:c r="I246" s="15" t="str">
        <x:v>ZAR</x:v>
      </x:c>
      <x:c r="J246" s="15" t="str">
        <x:v>Outflow</x:v>
      </x:c>
      <x:c r="K246" s="15" t="str">
        <x:v>Card purchase</x:v>
      </x:c>
      <x:c r="L246" s="15" t="str">
        <x:v>Fuel / transport</x:v>
      </x:c>
      <x:c r="M246" s="38"/>
      <x:c r="N246" s="38" t="n">
        <x:v>45163</x:v>
      </x:c>
      <x:c r="O246" s="15" t="str"/>
      <x:c r="P246" s="15" t="str">
        <x:v>eml_ALL_currentac__512781 (2).zip &gt; eml8currentac__512781.zip</x:v>
      </x:c>
      <x:c r="Q246" s="15" t="str">
        <x:v>FNB _-) R200.00 reserved for purchase @ Marlothi Petrol Stat from Current a_c..512781 using card..2924. 13Jan 09_23.eml</x:v>
      </x:c>
      <x:c r="R246" s="15" t="str">
        <x:v>High</x:v>
      </x:c>
      <x:c r="S246" s="15" t="str"/>
      <x:c r="T246" s="15" t="str"/>
      <x:c r="U246" s="15" t="str"/>
      <x:c r="V246" s="15" t="str"/>
      <x:c r="W246" s="15" t="str"/>
      <x:c r="X246" s="15" t="str">
        <x:v>FNB :-) R200.00 reserved for purchase @ Marlothi Petrol Stat from Current a/c..512781 using card..2924. Avail R45163. 13Jan 09:23</x:v>
      </x:c>
      <x:c r="Y246" s="15" t="str">
        <x:v>3481e588a1d2fe3b</x:v>
      </x:c>
    </x:row>
    <x:row r="247">
      <x:c r="A247" s="34" t="n">
        <x:v>46035.415972222225</x:v>
      </x:c>
      <x:c r="B247" s="36" t="n">
        <x:v>46035</x:v>
      </x:c>
      <x:c r="C247" s="34" t="n">
        <x:v>46035.41636574074</x:v>
      </x:c>
      <x:c r="D247" s="15" t="str">
        <x:v>Current a/c..512781</x:v>
      </x:c>
      <x:c r="E247" s="15" t="str">
        <x:v>card..2924</x:v>
      </x:c>
      <x:c r="F247" s="15" t="str">
        <x:v>R203.20 reserved for purchase @ Lebombo Butchery from Current a/c..512781 using card..2924. Avail R44960. 13Jan 09:59</x:v>
      </x:c>
      <x:c r="G247" s="15" t="str">
        <x:v>Lebombo Butchery</x:v>
      </x:c>
      <x:c r="H247" s="38" t="n">
        <x:v>203.2</x:v>
      </x:c>
      <x:c r="I247" s="15" t="str">
        <x:v>ZAR</x:v>
      </x:c>
      <x:c r="J247" s="15" t="str">
        <x:v>Outflow</x:v>
      </x:c>
      <x:c r="K247" s="15" t="str">
        <x:v>Card purchase</x:v>
      </x:c>
      <x:c r="L247" s="15" t="str">
        <x:v>Supplier payments</x:v>
      </x:c>
      <x:c r="M247" s="38"/>
      <x:c r="N247" s="38" t="n">
        <x:v>44960</x:v>
      </x:c>
      <x:c r="O247" s="15" t="str"/>
      <x:c r="P247" s="15" t="str">
        <x:v>eml_ALL_currentac__512781 (2).zip &gt; eml8currentac__512781.zip</x:v>
      </x:c>
      <x:c r="Q247" s="15" t="str">
        <x:v>FNB _-) R203.20 reserved for purchase @ Lebombo Butchery from Current a_c..512781 using card..2924. 13Jan 09_59.eml</x:v>
      </x:c>
      <x:c r="R247" s="15" t="str">
        <x:v>High</x:v>
      </x:c>
      <x:c r="S247" s="15" t="str">
        <x:v>Category confidence Medium: Retail/supplier merchant keyword.</x:v>
      </x:c>
      <x:c r="T247" s="15" t="str"/>
      <x:c r="U247" s="15" t="str"/>
      <x:c r="V247" s="15" t="str"/>
      <x:c r="W247" s="15" t="str"/>
      <x:c r="X247" s="15" t="str">
        <x:v>FNB :-) R203.20 reserved for purchase @ Lebombo Butchery from Current a/c..512781 using card..2924. Avail R44960. 13Jan 09:59</x:v>
      </x:c>
      <x:c r="Y247" s="15" t="str">
        <x:v>7d714fca0857dd0c</x:v>
      </x:c>
    </x:row>
    <x:row r="248">
      <x:c r="A248" s="34" t="n">
        <x:v>46035.45208333333</x:v>
      </x:c>
      <x:c r="B248" s="36" t="n">
        <x:v>46035</x:v>
      </x:c>
      <x:c r="C248" s="34" t="n">
        <x:v>46035.452685185184</x:v>
      </x:c>
      <x:c r="D248" s="15" t="str">
        <x:v>Current a/c..512781</x:v>
      </x:c>
      <x:c r="E248" s="15" t="str">
        <x:v>card..2924</x:v>
      </x:c>
      <x:c r="F248" s="15" t="str">
        <x:v>R2035.86 reserved for purchase @ Superspar Komatipoor from Current a/c..512781 using card..2924. Avail R42924. 13Jan 10:51</x:v>
      </x:c>
      <x:c r="G248" s="15" t="str">
        <x:v>Superspar Komatipoor</x:v>
      </x:c>
      <x:c r="H248" s="38" t="n">
        <x:v>2035.86</x:v>
      </x:c>
      <x:c r="I248" s="15" t="str">
        <x:v>ZAR</x:v>
      </x:c>
      <x:c r="J248" s="15" t="str">
        <x:v>Outflow</x:v>
      </x:c>
      <x:c r="K248" s="15" t="str">
        <x:v>Card purchase</x:v>
      </x:c>
      <x:c r="L248" s="15" t="str">
        <x:v>Supplier payments</x:v>
      </x:c>
      <x:c r="M248" s="38"/>
      <x:c r="N248" s="38" t="n">
        <x:v>42924</x:v>
      </x:c>
      <x:c r="O248" s="15" t="str"/>
      <x:c r="P248" s="15" t="str">
        <x:v>eml_ALL_currentac__512781 (2).zip &gt; eml8currentac__512781.zip</x:v>
      </x:c>
      <x:c r="Q248" s="15" t="str">
        <x:v>FNB _-) R2035.86 reserved for purchase @ Superspar Komatipoor from Current a_c..512781 using card..2924. 13Jan 10_51.eml</x:v>
      </x:c>
      <x:c r="R248" s="15" t="str">
        <x:v>High</x:v>
      </x:c>
      <x:c r="S248" s="15" t="str">
        <x:v>Category confidence Medium: Retail/supplier merchant keyword.</x:v>
      </x:c>
      <x:c r="T248" s="15" t="str"/>
      <x:c r="U248" s="15" t="str"/>
      <x:c r="V248" s="15" t="str"/>
      <x:c r="W248" s="15" t="str"/>
      <x:c r="X248" s="15" t="str">
        <x:v>FNB :-) R2035.86 reserved for purchase @ Superspar Komatipoor from Current a/c..512781 using card..2924. Avail R42924. 13Jan 10:51</x:v>
      </x:c>
      <x:c r="Y248" s="15" t="str">
        <x:v>6926d025e96c78e3</x:v>
      </x:c>
    </x:row>
    <x:row r="249">
      <x:c r="A249" s="34" t="n">
        <x:v>46035.461805555555</x:v>
      </x:c>
      <x:c r="B249" s="36" t="n">
        <x:v>46035</x:v>
      </x:c>
      <x:c r="C249" s="34" t="n">
        <x:v>46035.46196759259</x:v>
      </x:c>
      <x:c r="D249" s="15" t="str">
        <x:v>Current a/c..512781</x:v>
      </x:c>
      <x:c r="E249" s="15" t="str">
        <x:v>card..2924</x:v>
      </x:c>
      <x:c r="F249" s="15" t="str">
        <x:v>R378.10 reserved for purchase @ Lebombo Butchery from Current a/c..512781 using card..2924. Avail R42546. 13Jan 11:05</x:v>
      </x:c>
      <x:c r="G249" s="15" t="str">
        <x:v>Lebombo Butchery</x:v>
      </x:c>
      <x:c r="H249" s="38" t="n">
        <x:v>378.1</x:v>
      </x:c>
      <x:c r="I249" s="15" t="str">
        <x:v>ZAR</x:v>
      </x:c>
      <x:c r="J249" s="15" t="str">
        <x:v>Outflow</x:v>
      </x:c>
      <x:c r="K249" s="15" t="str">
        <x:v>Card purchase</x:v>
      </x:c>
      <x:c r="L249" s="15" t="str">
        <x:v>Supplier payments</x:v>
      </x:c>
      <x:c r="M249" s="38"/>
      <x:c r="N249" s="38" t="n">
        <x:v>42546</x:v>
      </x:c>
      <x:c r="O249" s="15" t="str"/>
      <x:c r="P249" s="15" t="str">
        <x:v>eml_ALL_currentac__512781 (2).zip &gt; eml8currentac__512781.zip</x:v>
      </x:c>
      <x:c r="Q249" s="15" t="str">
        <x:v>FNB _-) R378.10 reserved for purchase @ Lebombo Butchery from Current a_c..512781 using card..2924. 13Jan 11_05.eml</x:v>
      </x:c>
      <x:c r="R249" s="15" t="str">
        <x:v>High</x:v>
      </x:c>
      <x:c r="S249" s="15" t="str">
        <x:v>Category confidence Medium: Retail/supplier merchant keyword.</x:v>
      </x:c>
      <x:c r="T249" s="15" t="str"/>
      <x:c r="U249" s="15" t="str"/>
      <x:c r="V249" s="15" t="str"/>
      <x:c r="W249" s="15" t="str"/>
      <x:c r="X249" s="15" t="str">
        <x:v>FNB :-) R378.10 reserved for purchase @ Lebombo Butchery from Current a/c..512781 using card..2924. Avail R42546. 13Jan 11:05</x:v>
      </x:c>
      <x:c r="Y249" s="15" t="str">
        <x:v>4fe240e4ddeae97c</x:v>
      </x:c>
    </x:row>
    <x:row r="250">
      <x:c r="A250" s="34" t="n">
        <x:v>46035.57638888889</x:v>
      </x:c>
      <x:c r="B250" s="36" t="n">
        <x:v>46035</x:v>
      </x:c>
      <x:c r="C250" s="34" t="n">
        <x:v>46035.57643518518</x:v>
      </x:c>
      <x:c r="D250" s="15" t="str">
        <x:v>Current a/c..512781</x:v>
      </x:c>
      <x:c r="E250" s="15" t="str"/>
      <x:c r="F250" s="15" t="str">
        <x:v>R2699.11 paid to Current a/c..512781 @ Payshap. Ref.Ik Pay 487882. 13Jan 13:50</x:v>
      </x:c>
      <x:c r="G250" s="15" t="str">
        <x:v>Ik Pay 487882</x:v>
      </x:c>
      <x:c r="H250" s="38" t="n">
        <x:v>2699.11</x:v>
      </x:c>
      <x:c r="I250" s="15" t="str">
        <x:v>ZAR</x:v>
      </x:c>
      <x:c r="J250" s="15" t="str">
        <x:v>Inflow</x:v>
      </x:c>
      <x:c r="K250" s="15" t="str">
        <x:v>EFT receipt</x:v>
      </x:c>
      <x:c r="L250" s="15" t="str">
        <x:v>Sales / customer receipts</x:v>
      </x:c>
      <x:c r="M250" s="38"/>
      <x:c r="N250" s="38"/>
      <x:c r="O250" s="15" t="str"/>
      <x:c r="P250" s="15" t="str">
        <x:v>eml_ALL_currentac__512781 (2).zip &gt; eml8currentac__512781.zip</x:v>
      </x:c>
      <x:c r="Q250" s="15" t="str">
        <x:v>FNB _-) R2699.11 paid to Current a_c..512781 @ Payshap. Ref.Ik Pay 487882. 13Jan 13_50.eml</x:v>
      </x:c>
      <x:c r="R250" s="15" t="str">
        <x:v>High</x:v>
      </x:c>
      <x:c r="S250" s="15" t="str">
        <x:v>Category confidence Medium: Default for incoming EFT/PayShap/online receipt.</x:v>
      </x:c>
      <x:c r="T250" s="15" t="str"/>
      <x:c r="U250" s="15" t="str"/>
      <x:c r="V250" s="15" t="str">
        <x:v>Ik Pay 487882</x:v>
      </x:c>
      <x:c r="W250" s="15" t="str">
        <x:v>Payshap</x:v>
      </x:c>
      <x:c r="X250" s="15" t="str">
        <x:v>FNB :-) R2699.11 paid to Current a/c..512781 @ Payshap. Ref.Ik Pay 487882. 13Jan 13:50</x:v>
      </x:c>
      <x:c r="Y250" s="15" t="str">
        <x:v>6bf0dd3aa0474870</x:v>
      </x:c>
    </x:row>
    <x:row r="251">
      <x:c r="A251" s="34" t="n">
        <x:v>46036.4625</x:v>
      </x:c>
      <x:c r="B251" s="36" t="n">
        <x:v>46036</x:v>
      </x:c>
      <x:c r="C251" s="34" t="n">
        <x:v>46036.46251157407</x:v>
      </x:c>
      <x:c r="D251" s="15" t="str">
        <x:v>Current a/c..512781</x:v>
      </x:c>
      <x:c r="E251" s="15" t="str"/>
      <x:c r="F251" s="15" t="str">
        <x:v>R1326.00 paid from Current a/c..512781 @ Smartapp. Avail R43907. Ref.Dinner Box 105110. 14Jan 11:06</x:v>
      </x:c>
      <x:c r="G251" s="15" t="str">
        <x:v>Dinner Box 105110</x:v>
      </x:c>
      <x:c r="H251" s="38" t="n">
        <x:v>1326</x:v>
      </x:c>
      <x:c r="I251" s="15" t="str">
        <x:v>ZAR</x:v>
      </x:c>
      <x:c r="J251" s="15" t="str">
        <x:v>Outflow</x:v>
      </x:c>
      <x:c r="K251" s="15" t="str">
        <x:v>EFT payment</x:v>
      </x:c>
      <x:c r="L251" s="15" t="str">
        <x:v>Meals / restaurants / entertainment</x:v>
      </x:c>
      <x:c r="M251" s="38"/>
      <x:c r="N251" s="38" t="n">
        <x:v>43907</x:v>
      </x:c>
      <x:c r="O251" s="15" t="str"/>
      <x:c r="P251" s="15" t="str">
        <x:v>eml_ALL_currentac__512781 (2).zip &gt; eml8currentac__512781.zip</x:v>
      </x:c>
      <x:c r="Q251" s="15" t="str">
        <x:v>FNB _-) R1326.00 paid from Current a_c..512781 @ Smartapp. Ref.Dinner Box 105110. 14Jan 11_06.eml</x:v>
      </x:c>
      <x:c r="R251" s="15" t="str">
        <x:v>High</x:v>
      </x:c>
      <x:c r="S251" s="15" t="str"/>
      <x:c r="T251" s="15" t="str"/>
      <x:c r="U251" s="15" t="str"/>
      <x:c r="V251" s="15" t="str">
        <x:v>Dinner Box 105110</x:v>
      </x:c>
      <x:c r="W251" s="15" t="str">
        <x:v>Smartapp</x:v>
      </x:c>
      <x:c r="X251" s="15" t="str">
        <x:v>FNB :-) R1326.00 paid from Current a/c..512781 @ Smartapp. Avail R43907. Ref.Dinner Box 105110. 14Jan 11:06</x:v>
      </x:c>
      <x:c r="Y251" s="15" t="str">
        <x:v>f6cbe18f95f76974</x:v>
      </x:c>
    </x:row>
    <x:row r="252">
      <x:c r="A252" s="34" t="n">
        <x:v>46036.49166666667</x:v>
      </x:c>
      <x:c r="B252" s="36" t="n">
        <x:v>46036</x:v>
      </x:c>
      <x:c r="C252" s="34" t="n">
        <x:v>46036.49224537037</x:v>
      </x:c>
      <x:c r="D252" s="15" t="str">
        <x:v>Current a/c..512781</x:v>
      </x:c>
      <x:c r="E252" s="15" t="str">
        <x:v>card..2924</x:v>
      </x:c>
      <x:c r="F252" s="15" t="str">
        <x:v>R419.31 reserved for purchase @ Sqsp* Websit from Current a/c..512781 using card..2924. Avail R43488. 14Jan 11:48</x:v>
      </x:c>
      <x:c r="G252" s="15" t="str">
        <x:v>Sqsp* Websit</x:v>
      </x:c>
      <x:c r="H252" s="38" t="n">
        <x:v>419.31</x:v>
      </x:c>
      <x:c r="I252" s="15" t="str">
        <x:v>ZAR</x:v>
      </x:c>
      <x:c r="J252" s="15" t="str">
        <x:v>Outflow</x:v>
      </x:c>
      <x:c r="K252" s="15" t="str">
        <x:v>Card purchase</x:v>
      </x:c>
      <x:c r="L252" s="15" t="str">
        <x:v>Software / subscriptions</x:v>
      </x:c>
      <x:c r="M252" s="38"/>
      <x:c r="N252" s="38" t="n">
        <x:v>43488</x:v>
      </x:c>
      <x:c r="O252" s="15" t="str"/>
      <x:c r="P252" s="15" t="str">
        <x:v>eml_ALL_currentac__512781 (2).zip &gt; eml8currentac__512781.zip</x:v>
      </x:c>
      <x:c r="Q252" s="15" t="str">
        <x:v>FNB _-) R419.31 reserved for purchase @ Sqsp_ Websit from Current a_c..512781 using card..2924. 14Jan 11_48.eml</x:v>
      </x:c>
      <x:c r="R252" s="15" t="str">
        <x:v>High</x:v>
      </x:c>
      <x:c r="S252" s="15" t="str"/>
      <x:c r="T252" s="15" t="str"/>
      <x:c r="U252" s="15" t="str"/>
      <x:c r="V252" s="15" t="str"/>
      <x:c r="W252" s="15" t="str"/>
      <x:c r="X252" s="15" t="str">
        <x:v>FNB :-) R419.31 reserved for purchase @ Sqsp* Websit from Current a/c..512781 using card..2924. Avail R43488. 14Jan 11:48</x:v>
      </x:c>
      <x:c r="Y252" s="15" t="str">
        <x:v>1bc2345bbd35e3f5</x:v>
      </x:c>
    </x:row>
    <x:row r="253">
      <x:c r="A253" s="34" t="n">
        <x:v>46036.603472222225</x:v>
      </x:c>
      <x:c r="B253" s="36" t="n">
        <x:v>46036</x:v>
      </x:c>
      <x:c r="C253" s="34" t="n">
        <x:v>46036.60369212963</x:v>
      </x:c>
      <x:c r="D253" s="15" t="str">
        <x:v>Current a/c..512781</x:v>
      </x:c>
      <x:c r="E253" s="15" t="str">
        <x:v>card..2924</x:v>
      </x:c>
      <x:c r="F253" s="15" t="str">
        <x:v>R250.99 reserved for purchase @ Savemor Marloth from Current a/c..512781 using card..2924. Avail R43237. 14Jan 14:29</x:v>
      </x:c>
      <x:c r="G253" s="15" t="str">
        <x:v>Savemor Marloth</x:v>
      </x:c>
      <x:c r="H253" s="38" t="n">
        <x:v>250.99</x:v>
      </x:c>
      <x:c r="I253" s="15" t="str">
        <x:v>ZAR</x:v>
      </x:c>
      <x:c r="J253" s="15" t="str">
        <x:v>Outflow</x:v>
      </x:c>
      <x:c r="K253" s="15" t="str">
        <x:v>Card purchase</x:v>
      </x:c>
      <x:c r="L253" s="15" t="str">
        <x:v>Supplier payments</x:v>
      </x:c>
      <x:c r="M253" s="38"/>
      <x:c r="N253" s="38" t="n">
        <x:v>43237</x:v>
      </x:c>
      <x:c r="O253" s="15" t="str"/>
      <x:c r="P253" s="15" t="str">
        <x:v>eml_ALL_currentac__512781 (2).zip &gt; eml8currentac__512781.zip</x:v>
      </x:c>
      <x:c r="Q253" s="15" t="str">
        <x:v>FNB _-) R250.99 reserved for purchase @ Savemor Marloth from Current a_c..512781 using card..2924. 14Jan 14_29.eml</x:v>
      </x:c>
      <x:c r="R253" s="15" t="str">
        <x:v>High</x:v>
      </x:c>
      <x:c r="S253" s="15" t="str">
        <x:v>Category confidence Medium: Retail/supplier merchant keyword.</x:v>
      </x:c>
      <x:c r="T253" s="15" t="str"/>
      <x:c r="U253" s="15" t="str"/>
      <x:c r="V253" s="15" t="str"/>
      <x:c r="W253" s="15" t="str"/>
      <x:c r="X253" s="15" t="str">
        <x:v>FNB :-) R250.99 reserved for purchase @ Savemor Marloth from Current a/c..512781 using card..2924. Avail R43237. 14Jan 14:29</x:v>
      </x:c>
      <x:c r="Y253" s="15" t="str">
        <x:v>87053f4db536417f</x:v>
      </x:c>
    </x:row>
    <x:row r="254">
      <x:c r="A254" s="34" t="n">
        <x:v>46037.481944444444</x:v>
      </x:c>
      <x:c r="B254" s="36" t="n">
        <x:v>46037</x:v>
      </x:c>
      <x:c r="C254" s="34" t="n">
        <x:v>46037.48201388889</x:v>
      </x:c>
      <x:c r="D254" s="15" t="str">
        <x:v>Current a/c..512781</x:v>
      </x:c>
      <x:c r="E254" s="15" t="str"/>
      <x:c r="F254" s="15" t="str">
        <x:v>R7008.00 paid from Current a/c..512781 @ Smartapp. Avail R36197. Ref.Kruger Safari 1677. 15Jan 11:34</x:v>
      </x:c>
      <x:c r="G254" s="15" t="str">
        <x:v>Kruger Safari 1677</x:v>
      </x:c>
      <x:c r="H254" s="38" t="n">
        <x:v>7008</x:v>
      </x:c>
      <x:c r="I254" s="15" t="str">
        <x:v>ZAR</x:v>
      </x:c>
      <x:c r="J254" s="15" t="str">
        <x:v>Outflow</x:v>
      </x:c>
      <x:c r="K254" s="15" t="str">
        <x:v>EFT payment</x:v>
      </x:c>
      <x:c r="L254" s="15" t="str">
        <x:v>Supplier payments</x:v>
      </x:c>
      <x:c r="M254" s="38"/>
      <x:c r="N254" s="38" t="n">
        <x:v>36197</x:v>
      </x:c>
      <x:c r="O254" s="15" t="str"/>
      <x:c r="P254" s="15" t="str">
        <x:v>eml_ALL_currentac__512781 (2).zip &gt; eml8currentac__512781.zip</x:v>
      </x:c>
      <x:c r="Q254" s="15" t="str">
        <x:v>FNB _-) R7008.00 paid from Current a_c..512781 @ Smartapp. Ref.Kruger Safari 1677. 15Jan 11_34.eml</x:v>
      </x:c>
      <x:c r="R254" s="15" t="str">
        <x:v>High</x:v>
      </x:c>
      <x:c r="S254" s="15" t="str">
        <x:v>Category confidence Low: Default outflow category; review counterparty/reference.</x:v>
      </x:c>
      <x:c r="T254" s="15" t="str"/>
      <x:c r="U254" s="15" t="str"/>
      <x:c r="V254" s="15" t="str">
        <x:v>Kruger Safari 1677</x:v>
      </x:c>
      <x:c r="W254" s="15" t="str">
        <x:v>Smartapp</x:v>
      </x:c>
      <x:c r="X254" s="15" t="str">
        <x:v>FNB :-) R7008.00 paid from Current a/c..512781 @ Smartapp. Avail R36197. Ref.Kruger Safari 1677. 15Jan 11:34</x:v>
      </x:c>
      <x:c r="Y254" s="15" t="str">
        <x:v>81fb97f6731dbde7</x:v>
      </x:c>
    </x:row>
    <x:row r="255">
      <x:c r="A255" s="34" t="n">
        <x:v>46037.53333333333</x:v>
      </x:c>
      <x:c r="B255" s="36" t="n">
        <x:v>46037</x:v>
      </x:c>
      <x:c r="C255" s="34" t="n">
        <x:v>46037.533680555556</x:v>
      </x:c>
      <x:c r="D255" s="15" t="str">
        <x:v>Current a/c..512781</x:v>
      </x:c>
      <x:c r="E255" s="15" t="str"/>
      <x:c r="F255" s="15" t="str">
        <x:v>R2000.00 paid from Current a/c..512781 @ Smartapp. Avail R34194. Ref.Cellphone. 15Jan 12:48</x:v>
      </x:c>
      <x:c r="G255" s="15" t="str">
        <x:v>Cellphone</x:v>
      </x:c>
      <x:c r="H255" s="38" t="n">
        <x:v>2000</x:v>
      </x:c>
      <x:c r="I255" s="15" t="str">
        <x:v>ZAR</x:v>
      </x:c>
      <x:c r="J255" s="15" t="str">
        <x:v>Outflow</x:v>
      </x:c>
      <x:c r="K255" s="15" t="str">
        <x:v>EFT payment</x:v>
      </x:c>
      <x:c r="L255" s="15" t="str">
        <x:v>Supplier payments</x:v>
      </x:c>
      <x:c r="M255" s="38"/>
      <x:c r="N255" s="38" t="n">
        <x:v>34194</x:v>
      </x:c>
      <x:c r="O255" s="15" t="str"/>
      <x:c r="P255" s="15" t="str">
        <x:v>eml_ALL_currentac__512781 (2).zip &gt; eml8currentac__512781.zip</x:v>
      </x:c>
      <x:c r="Q255" s="15" t="str">
        <x:v>FNB _-) R2000.00 paid from Current a_c..512781 @ Smartapp. Ref.Cellphone. 15Jan 12_48.eml</x:v>
      </x:c>
      <x:c r="R255" s="15" t="str">
        <x:v>High</x:v>
      </x:c>
      <x:c r="S255" s="15" t="str">
        <x:v>Category confidence Low: Default outflow category; review counterparty/reference.</x:v>
      </x:c>
      <x:c r="T255" s="15" t="str"/>
      <x:c r="U255" s="15" t="str"/>
      <x:c r="V255" s="15" t="str">
        <x:v>Cellphone</x:v>
      </x:c>
      <x:c r="W255" s="15" t="str">
        <x:v>Smartapp</x:v>
      </x:c>
      <x:c r="X255" s="15" t="str">
        <x:v>FNB :-) R2000.00 paid from Current a/c..512781 @ Smartapp. Avail R34194. Ref.Cellphone. 15Jan 12:48</x:v>
      </x:c>
      <x:c r="Y255" s="15" t="str">
        <x:v>6a8bca66e03db17a</x:v>
      </x:c>
    </x:row>
    <x:row r="256">
      <x:c r="A256" s="34" t="n">
        <x:v>46037.53472222222</x:v>
      </x:c>
      <x:c r="B256" s="36" t="n">
        <x:v>46037</x:v>
      </x:c>
      <x:c r="C256" s="34" t="n">
        <x:v>46037.53494212963</x:v>
      </x:c>
      <x:c r="D256" s="15" t="str">
        <x:v>Current a/c..512781</x:v>
      </x:c>
      <x:c r="E256" s="15" t="str">
        <x:v>card..2924</x:v>
      </x:c>
      <x:c r="F256" s="15" t="str">
        <x:v>R844.91 reserved for purchase @ Superspar Komatipoor from Current a/c..512781 using card..2924. Avail R33349. 15Jan 12:50</x:v>
      </x:c>
      <x:c r="G256" s="15" t="str">
        <x:v>Superspar Komatipoor</x:v>
      </x:c>
      <x:c r="H256" s="38" t="n">
        <x:v>844.91</x:v>
      </x:c>
      <x:c r="I256" s="15" t="str">
        <x:v>ZAR</x:v>
      </x:c>
      <x:c r="J256" s="15" t="str">
        <x:v>Outflow</x:v>
      </x:c>
      <x:c r="K256" s="15" t="str">
        <x:v>Card purchase</x:v>
      </x:c>
      <x:c r="L256" s="15" t="str">
        <x:v>Supplier payments</x:v>
      </x:c>
      <x:c r="M256" s="38"/>
      <x:c r="N256" s="38" t="n">
        <x:v>33349</x:v>
      </x:c>
      <x:c r="O256" s="15" t="str"/>
      <x:c r="P256" s="15" t="str">
        <x:v>eml_ALL_currentac__512781 (2).zip &gt; eml8currentac__512781.zip</x:v>
      </x:c>
      <x:c r="Q256" s="15" t="str">
        <x:v>FNB _-) R844.91 reserved for purchase @ Superspar Komatipoor from Current a_c..512781 using card..2924. 15Jan 12_50.eml</x:v>
      </x:c>
      <x:c r="R256" s="15" t="str">
        <x:v>High</x:v>
      </x:c>
      <x:c r="S256" s="15" t="str">
        <x:v>Category confidence Medium: Retail/supplier merchant keyword.</x:v>
      </x:c>
      <x:c r="T256" s="15" t="str"/>
      <x:c r="U256" s="15" t="str"/>
      <x:c r="V256" s="15" t="str"/>
      <x:c r="W256" s="15" t="str"/>
      <x:c r="X256" s="15" t="str">
        <x:v>FNB :-) R844.91 reserved for purchase @ Superspar Komatipoor from Current a/c..512781 using card..2924. Avail R33349. 15Jan 12:50</x:v>
      </x:c>
      <x:c r="Y256" s="15" t="str">
        <x:v>b8d5b60275e382d9</x:v>
      </x:c>
    </x:row>
    <x:row r="257">
      <x:c r="A257" s="34" t="n">
        <x:v>46037.54513888889</x:v>
      </x:c>
      <x:c r="B257" s="36" t="n">
        <x:v>46037</x:v>
      </x:c>
      <x:c r="C257" s="34" t="n">
        <x:v>46037.54530092593</x:v>
      </x:c>
      <x:c r="D257" s="15" t="str">
        <x:v>Current a/c..512781</x:v>
      </x:c>
      <x:c r="E257" s="15" t="str">
        <x:v>card..2924</x:v>
      </x:c>
      <x:c r="F257" s="15" t="str">
        <x:v>R400.00 reserved for purchase @ Obaro Komatipoort Fc from Current a/c..512781 using card..2924. Avail R32909. 15Jan 13:05</x:v>
      </x:c>
      <x:c r="G257" s="15" t="str">
        <x:v>Obaro Komatipoort Fc</x:v>
      </x:c>
      <x:c r="H257" s="38" t="n">
        <x:v>400</x:v>
      </x:c>
      <x:c r="I257" s="15" t="str">
        <x:v>ZAR</x:v>
      </x:c>
      <x:c r="J257" s="15" t="str">
        <x:v>Outflow</x:v>
      </x:c>
      <x:c r="K257" s="15" t="str">
        <x:v>Card purchase</x:v>
      </x:c>
      <x:c r="L257" s="15" t="str">
        <x:v>Supplier payments</x:v>
      </x:c>
      <x:c r="M257" s="38"/>
      <x:c r="N257" s="38" t="n">
        <x:v>32909</x:v>
      </x:c>
      <x:c r="O257" s="15" t="str"/>
      <x:c r="P257" s="15" t="str">
        <x:v>eml_ALL_currentac__512781 (2).zip &gt; eml8currentac__512781.zip</x:v>
      </x:c>
      <x:c r="Q257" s="15" t="str">
        <x:v>FNB _-) R400.00 reserved for purchase @ Obaro Komatipoort Fc from Current a_c..512781 using card..2924. 15Jan 13_05.eml</x:v>
      </x:c>
      <x:c r="R257" s="15" t="str">
        <x:v>High</x:v>
      </x:c>
      <x:c r="S257" s="15" t="str">
        <x:v>Category confidence Medium: Retail/supplier merchant keyword.</x:v>
      </x:c>
      <x:c r="T257" s="15" t="str"/>
      <x:c r="U257" s="15" t="str"/>
      <x:c r="V257" s="15" t="str"/>
      <x:c r="W257" s="15" t="str"/>
      <x:c r="X257" s="15" t="str">
        <x:v>FNB :-) R400.00 reserved for purchase @ Obaro Komatipoort Fc from Current a/c..512781 using card..2924. Avail R32909. 15Jan 13:05</x:v>
      </x:c>
      <x:c r="Y257" s="15" t="str">
        <x:v>f5db4bdcedb022d6</x:v>
      </x:c>
    </x:row>
    <x:row r="258">
      <x:c r="A258" s="34" t="n">
        <x:v>46038.368055555555</x:v>
      </x:c>
      <x:c r="B258" s="36" t="n">
        <x:v>46038</x:v>
      </x:c>
      <x:c r="C258" s="34" t="n">
        <x:v>46038.36813657408</x:v>
      </x:c>
      <x:c r="D258" s="15" t="str">
        <x:v>Current a/c..512781</x:v>
      </x:c>
      <x:c r="E258" s="15" t="str"/>
      <x:c r="F258" s="15" t="str">
        <x:v>R45321.13 paid to Current a/c..512781 @ Retail Forex. Ref.R026zdm6s0 Booking.c. 16Jan 08:50</x:v>
      </x:c>
      <x:c r="G258" s="15" t="str">
        <x:v>R026zdm6s0 Booking.c</x:v>
      </x:c>
      <x:c r="H258" s="38" t="n">
        <x:v>45321.13</x:v>
      </x:c>
      <x:c r="I258" s="15" t="str">
        <x:v>ZAR</x:v>
      </x:c>
      <x:c r="J258" s="15" t="str">
        <x:v>Inflow</x:v>
      </x:c>
      <x:c r="K258" s="15" t="str">
        <x:v>EFT receipt</x:v>
      </x:c>
      <x:c r="L258" s="15" t="str">
        <x:v>Sales / customer receipts</x:v>
      </x:c>
      <x:c r="M258" s="38"/>
      <x:c r="N258" s="38"/>
      <x:c r="O258" s="15" t="str"/>
      <x:c r="P258" s="15" t="str">
        <x:v>eml_ALL_currentac__512781 (2).zip &gt; eml8currentac__512781.zip</x:v>
      </x:c>
      <x:c r="Q258" s="15" t="str">
        <x:v>FNB _-) R45321.13 paid to Current a_c..512781 @ Retail Forex. Ref.R026zdm6s0 Booking.c. 16Jan 08_50.eml</x:v>
      </x:c>
      <x:c r="R258" s="15" t="str">
        <x:v>High</x:v>
      </x:c>
      <x:c r="S258" s="15" t="str">
        <x:v>Category confidence Medium: Default for incoming EFT/PayShap/online receipt.</x:v>
      </x:c>
      <x:c r="T258" s="15" t="str"/>
      <x:c r="U258" s="15" t="str"/>
      <x:c r="V258" s="15" t="str">
        <x:v>R026zdm6s0 Booking.c</x:v>
      </x:c>
      <x:c r="W258" s="15" t="str">
        <x:v>Retail Forex</x:v>
      </x:c>
      <x:c r="X258" s="15" t="str">
        <x:v>FNB :-) R45321.13 paid to Current a/c..512781 @ Retail Forex. Ref.R026zdm6s0 Booking.c. 16Jan 08:50</x:v>
      </x:c>
      <x:c r="Y258" s="15" t="str">
        <x:v>7fa53f82da7fa397</x:v>
      </x:c>
    </x:row>
    <x:row r="259">
      <x:c r="A259" s="34" t="n">
        <x:v>46038.42013888889</x:v>
      </x:c>
      <x:c r="B259" s="36" t="n">
        <x:v>46038</x:v>
      </x:c>
      <x:c r="C259" s="34" t="n">
        <x:v>46038.42019675926</x:v>
      </x:c>
      <x:c r="D259" s="15" t="str">
        <x:v>Current a/c..512781</x:v>
      </x:c>
      <x:c r="E259" s="15" t="str"/>
      <x:c r="F259" s="15" t="str">
        <x:v>R13006.93 paid to Current a/c..512781 @ Retail Forex. Ref.R026zd2np0 Booking.c. 16Jan 10:05</x:v>
      </x:c>
      <x:c r="G259" s="15" t="str">
        <x:v>R026zd2np0 Booking.c</x:v>
      </x:c>
      <x:c r="H259" s="38" t="n">
        <x:v>13006.93</x:v>
      </x:c>
      <x:c r="I259" s="15" t="str">
        <x:v>ZAR</x:v>
      </x:c>
      <x:c r="J259" s="15" t="str">
        <x:v>Inflow</x:v>
      </x:c>
      <x:c r="K259" s="15" t="str">
        <x:v>EFT receipt</x:v>
      </x:c>
      <x:c r="L259" s="15" t="str">
        <x:v>Sales / customer receipts</x:v>
      </x:c>
      <x:c r="M259" s="38"/>
      <x:c r="N259" s="38"/>
      <x:c r="O259" s="15" t="str"/>
      <x:c r="P259" s="15" t="str">
        <x:v>eml_ALL_currentac__512781 (2).zip &gt; eml8currentac__512781.zip</x:v>
      </x:c>
      <x:c r="Q259" s="15" t="str">
        <x:v>FNB _-) R13006.93 paid to Current a_c..512781 @ Retail Forex. Ref.R026zd2np0 Booking.c. 16Jan 10_05.eml</x:v>
      </x:c>
      <x:c r="R259" s="15" t="str">
        <x:v>High</x:v>
      </x:c>
      <x:c r="S259" s="15" t="str">
        <x:v>Category confidence Medium: Default for incoming EFT/PayShap/online receipt.</x:v>
      </x:c>
      <x:c r="T259" s="15" t="str"/>
      <x:c r="U259" s="15" t="str"/>
      <x:c r="V259" s="15" t="str">
        <x:v>R026zd2np0 Booking.c</x:v>
      </x:c>
      <x:c r="W259" s="15" t="str">
        <x:v>Retail Forex</x:v>
      </x:c>
      <x:c r="X259" s="15" t="str">
        <x:v>FNB :-) R13006.93 paid to Current a/c..512781 @ Retail Forex. Ref.R026zd2np0 Booking.c. 16Jan 10:05</x:v>
      </x:c>
      <x:c r="Y259" s="15" t="str">
        <x:v>a652887c268cb4ce</x:v>
      </x:c>
    </x:row>
    <x:row r="260">
      <x:c r="A260" s="34" t="n">
        <x:v>46038.59444444445</x:v>
      </x:c>
      <x:c r="B260" s="36" t="n">
        <x:v>46038</x:v>
      </x:c>
      <x:c r="C260" s="34" t="n">
        <x:v>46038.59459490741</x:v>
      </x:c>
      <x:c r="D260" s="15" t="str">
        <x:v>Current a/c..512781</x:v>
      </x:c>
      <x:c r="E260" s="15" t="str"/>
      <x:c r="F260" s="15" t="str">
        <x:v>Payment Link created from Current a/c..512781 To S Gamedze - Wage..334428 @ Smartapp. 16Jan 14:16 Call 087 575 9404 for help.</x:v>
      </x:c>
      <x:c r="G260" s="15" t="str">
        <x:v>S Gamedze - Wage..334428</x:v>
      </x:c>
      <x:c r="H260" s="38"/>
      <x:c r="I260" s="15" t="str"/>
      <x:c r="J260" s="15" t="str">
        <x:v>Neutral/Information Only</x:v>
      </x:c>
      <x:c r="K260" s="15" t="str">
        <x:v>Other</x:v>
      </x:c>
      <x:c r="L260" s="15" t="str">
        <x:v>Other</x:v>
      </x:c>
      <x:c r="M260" s="38"/>
      <x:c r="N260" s="38"/>
      <x:c r="O260" s="15" t="str"/>
      <x:c r="P260" s="15" t="str">
        <x:v>eml_ALL_currentac__512781 (2).zip &gt; eml8currentac__512781.zip</x:v>
      </x:c>
      <x:c r="Q260" s="15" t="str">
        <x:v>FNB _-) Payment Link created from Current a_c..512781 To S Gamedze - Wage..334428 @ Smartapp. 16Jan 14_16 Call 087 575 9404  for help..eml</x:v>
      </x:c>
      <x:c r="R260" s="15" t="str">
        <x:v>High</x:v>
      </x:c>
      <x:c r="S260" s="15" t="str">
        <x:v>Payment link creation only; no money movement indicated. Category confidence Low: Unable to map confidently.</x:v>
      </x:c>
      <x:c r="T260" s="15" t="str">
        <x:v>Current a/c..512781</x:v>
      </x:c>
      <x:c r="U260" s="15" t="str">
        <x:v>S Gamedze - Wage..334428</x:v>
      </x:c>
      <x:c r="V260" s="15" t="str"/>
      <x:c r="W260" s="15" t="str">
        <x:v>Smartapp</x:v>
      </x:c>
      <x:c r="X260" s="15" t="str">
        <x:v>FNB :-) Payment Link created from Current a/c..512781 To S Gamedze - Wage..334428 @ Smartapp. 16Jan 14:16 Call 087 575 9404 for help.</x:v>
      </x:c>
      <x:c r="Y260" s="15" t="str">
        <x:v>5fbca11d9197bdfe</x:v>
      </x:c>
    </x:row>
    <x:row r="261">
      <x:c r="A261" s="34" t="n">
        <x:v>46038.59444444445</x:v>
      </x:c>
      <x:c r="B261" s="36" t="n">
        <x:v>46038</x:v>
      </x:c>
      <x:c r="C261" s="34" t="n">
        <x:v>46038.59496527778</x:v>
      </x:c>
      <x:c r="D261" s="15" t="str">
        <x:v>Current a/c..512781</x:v>
      </x:c>
      <x:c r="E261" s="15" t="str"/>
      <x:c r="F261" s="15" t="str">
        <x:v>R2500.00 paid from Current a/c..512781 @ Smartapp. Avail R88703. Ref.Sakkie Wages Jan. 16Jan 14:16</x:v>
      </x:c>
      <x:c r="G261" s="15" t="str">
        <x:v>Sakkie Wages Jan</x:v>
      </x:c>
      <x:c r="H261" s="38" t="n">
        <x:v>2500</x:v>
      </x:c>
      <x:c r="I261" s="15" t="str">
        <x:v>ZAR</x:v>
      </x:c>
      <x:c r="J261" s="15" t="str">
        <x:v>Outflow</x:v>
      </x:c>
      <x:c r="K261" s="15" t="str">
        <x:v>EFT payment</x:v>
      </x:c>
      <x:c r="L261" s="15" t="str">
        <x:v>Salary / wages</x:v>
      </x:c>
      <x:c r="M261" s="38"/>
      <x:c r="N261" s="38" t="n">
        <x:v>88703</x:v>
      </x:c>
      <x:c r="O261" s="15" t="str"/>
      <x:c r="P261" s="15" t="str">
        <x:v>eml_ALL_currentac__512781 (2).zip &gt; eml8currentac__512781.zip</x:v>
      </x:c>
      <x:c r="Q261" s="15" t="str">
        <x:v>FNB _-) R2500.00 paid from Current a_c..512781 @ Smartapp. Ref.Sakkie Wages Jan. 16Jan 14_16.eml</x:v>
      </x:c>
      <x:c r="R261" s="15" t="str">
        <x:v>High</x:v>
      </x:c>
      <x:c r="S261" s="15" t="str"/>
      <x:c r="T261" s="15" t="str"/>
      <x:c r="U261" s="15" t="str"/>
      <x:c r="V261" s="15" t="str">
        <x:v>Sakkie Wages Jan</x:v>
      </x:c>
      <x:c r="W261" s="15" t="str">
        <x:v>Smartapp</x:v>
      </x:c>
      <x:c r="X261" s="15" t="str">
        <x:v>FNB :-) R2500.00 paid from Current a/c..512781 @ Smartapp. Avail R88703. Ref.Sakkie Wages Jan. 16Jan 14:16</x:v>
      </x:c>
      <x:c r="Y261" s="15" t="str">
        <x:v>0760ef638a8e6c79</x:v>
      </x:c>
    </x:row>
    <x:row r="262">
      <x:c r="A262" s="34" t="n">
        <x:v>46038.64236111111</x:v>
      </x:c>
      <x:c r="B262" s="36" t="n">
        <x:v>46038</x:v>
      </x:c>
      <x:c r="C262" s="34" t="n">
        <x:v>46038.64258101852</x:v>
      </x:c>
      <x:c r="D262" s="15" t="str">
        <x:v>Current a/c..512781</x:v>
      </x:c>
      <x:c r="E262" s="15" t="str"/>
      <x:c r="F262" s="15" t="str">
        <x:v>R6500.00 paid from Current a/c..512781 @ Gen Ph. Avail R82188. Ref.Wage. 16Jan 15:25</x:v>
      </x:c>
      <x:c r="G262" s="15" t="str">
        <x:v>Wage</x:v>
      </x:c>
      <x:c r="H262" s="38" t="n">
        <x:v>6500</x:v>
      </x:c>
      <x:c r="I262" s="15" t="str">
        <x:v>ZAR</x:v>
      </x:c>
      <x:c r="J262" s="15" t="str">
        <x:v>Outflow</x:v>
      </x:c>
      <x:c r="K262" s="15" t="str">
        <x:v>EFT payment</x:v>
      </x:c>
      <x:c r="L262" s="15" t="str">
        <x:v>Salary / wages</x:v>
      </x:c>
      <x:c r="M262" s="38"/>
      <x:c r="N262" s="38" t="n">
        <x:v>82188</x:v>
      </x:c>
      <x:c r="O262" s="15" t="str"/>
      <x:c r="P262" s="15" t="str">
        <x:v>eml_ALL_currentac__512781 (2).zip &gt; eml8currentac__512781.zip</x:v>
      </x:c>
      <x:c r="Q262" s="15" t="str">
        <x:v>FNB _-) R6500.00 paid from Current a_c..512781 @ Gen Ph. Ref.Wage. 16Jan 15_25.eml</x:v>
      </x:c>
      <x:c r="R262" s="15" t="str">
        <x:v>High</x:v>
      </x:c>
      <x:c r="S262" s="15" t="str"/>
      <x:c r="T262" s="15" t="str"/>
      <x:c r="U262" s="15" t="str"/>
      <x:c r="V262" s="15" t="str">
        <x:v>Wage</x:v>
      </x:c>
      <x:c r="W262" s="15" t="str">
        <x:v>Gen Ph</x:v>
      </x:c>
      <x:c r="X262" s="15" t="str">
        <x:v>FNB :-) R6500.00 paid from Current a/c..512781 @ Gen Ph. Avail R82188. Ref.Wage. 16Jan 15:25</x:v>
      </x:c>
      <x:c r="Y262" s="15" t="str">
        <x:v>cb31b9d4fdab99b5</x:v>
      </x:c>
    </x:row>
    <x:row r="263">
      <x:c r="A263" s="34" t="n">
        <x:v>46038.643055555556</x:v>
      </x:c>
      <x:c r="B263" s="36" t="n">
        <x:v>46038</x:v>
      </x:c>
      <x:c r="C263" s="34" t="n">
        <x:v>46038.64368055556</x:v>
      </x:c>
      <x:c r="D263" s="15" t="str">
        <x:v>Current a/c..512781</x:v>
      </x:c>
      <x:c r="E263" s="15" t="str"/>
      <x:c r="F263" s="15" t="str">
        <x:v>R7510.00 paid from Current a/c..512781 @ Smartapp. Avail R74670. Ref.Kruger Safari 1678. 16Jan 15:26</x:v>
      </x:c>
      <x:c r="G263" s="15" t="str">
        <x:v>Kruger Safari 1678</x:v>
      </x:c>
      <x:c r="H263" s="38" t="n">
        <x:v>7510</x:v>
      </x:c>
      <x:c r="I263" s="15" t="str">
        <x:v>ZAR</x:v>
      </x:c>
      <x:c r="J263" s="15" t="str">
        <x:v>Outflow</x:v>
      </x:c>
      <x:c r="K263" s="15" t="str">
        <x:v>EFT payment</x:v>
      </x:c>
      <x:c r="L263" s="15" t="str">
        <x:v>Supplier payments</x:v>
      </x:c>
      <x:c r="M263" s="38"/>
      <x:c r="N263" s="38" t="n">
        <x:v>74670</x:v>
      </x:c>
      <x:c r="O263" s="15" t="str"/>
      <x:c r="P263" s="15" t="str">
        <x:v>eml_ALL_currentac__512781 (2).zip &gt; eml7currentac__512781.zip</x:v>
      </x:c>
      <x:c r="Q263" s="15" t="str">
        <x:v>FNB _-) R7510.00 paid from Current a_c..512781 @ Smartapp. Ref.Kruger Safari 1678. 16Jan 15_26.eml</x:v>
      </x:c>
      <x:c r="R263" s="15" t="str">
        <x:v>High</x:v>
      </x:c>
      <x:c r="S263" s="15" t="str">
        <x:v>Category confidence Low: Default outflow category; review counterparty/reference.</x:v>
      </x:c>
      <x:c r="T263" s="15" t="str"/>
      <x:c r="U263" s="15" t="str"/>
      <x:c r="V263" s="15" t="str">
        <x:v>Kruger Safari 1678</x:v>
      </x:c>
      <x:c r="W263" s="15" t="str">
        <x:v>Smartapp</x:v>
      </x:c>
      <x:c r="X263" s="15" t="str">
        <x:v>FNB :-) R7510.00 paid from Current a/c..512781 @ Smartapp. Avail R74670. Ref.Kruger Safari 1678. 16Jan 15:26</x:v>
      </x:c>
      <x:c r="Y263" s="15" t="str">
        <x:v>7c35926ad7e6f0ff</x:v>
      </x:c>
    </x:row>
    <x:row r="264">
      <x:c r="A264" s="34" t="n">
        <x:v>46038.64513888889</x:v>
      </x:c>
      <x:c r="B264" s="36" t="n">
        <x:v>46038</x:v>
      </x:c>
      <x:c r="C264" s="34" t="n">
        <x:v>46038.64560185185</x:v>
      </x:c>
      <x:c r="D264" s="15" t="str">
        <x:v>Current a/c..512781</x:v>
      </x:c>
      <x:c r="E264" s="15" t="str"/>
      <x:c r="F264" s="15" t="str">
        <x:v>R707.25 paid from Current a/c..512781 @ Smartapp. Avail R73955. Ref.Nb N992820. 16Jan 15:29</x:v>
      </x:c>
      <x:c r="G264" s="15" t="str">
        <x:v>Nb N992820</x:v>
      </x:c>
      <x:c r="H264" s="38" t="n">
        <x:v>707.25</x:v>
      </x:c>
      <x:c r="I264" s="15" t="str">
        <x:v>ZAR</x:v>
      </x:c>
      <x:c r="J264" s="15" t="str">
        <x:v>Outflow</x:v>
      </x:c>
      <x:c r="K264" s="15" t="str">
        <x:v>EFT payment</x:v>
      </x:c>
      <x:c r="L264" s="15" t="str">
        <x:v>Supplier payments</x:v>
      </x:c>
      <x:c r="M264" s="38"/>
      <x:c r="N264" s="38" t="n">
        <x:v>73955</x:v>
      </x:c>
      <x:c r="O264" s="15" t="str"/>
      <x:c r="P264" s="15" t="str">
        <x:v>eml_ALL_currentac__512781 (2).zip &gt; eml7currentac__512781.zip</x:v>
      </x:c>
      <x:c r="Q264" s="15" t="str">
        <x:v>FNB _-) R707.25 paid from Current a_c..512781 @ Smartapp. Ref.Nb N992820. 16Jan 15_29.eml</x:v>
      </x:c>
      <x:c r="R264" s="15" t="str">
        <x:v>High</x:v>
      </x:c>
      <x:c r="S264" s="15" t="str">
        <x:v>Category confidence Low: Default outflow category; review counterparty/reference.</x:v>
      </x:c>
      <x:c r="T264" s="15" t="str"/>
      <x:c r="U264" s="15" t="str"/>
      <x:c r="V264" s="15" t="str">
        <x:v>Nb N992820</x:v>
      </x:c>
      <x:c r="W264" s="15" t="str">
        <x:v>Smartapp</x:v>
      </x:c>
      <x:c r="X264" s="15" t="str">
        <x:v>FNB :-) R707.25 paid from Current a/c..512781 @ Smartapp. Avail R73955. Ref.Nb N992820. 16Jan 15:29</x:v>
      </x:c>
      <x:c r="Y264" s="15" t="str">
        <x:v>9f07ae60b8666260</x:v>
      </x:c>
    </x:row>
    <x:row r="265">
      <x:c r="A265" s="34" t="n">
        <x:v>46038.645833333336</x:v>
      </x:c>
      <x:c r="B265" s="36" t="n">
        <x:v>46038</x:v>
      </x:c>
      <x:c r="C265" s="34" t="n">
        <x:v>46038.64641203704</x:v>
      </x:c>
      <x:c r="D265" s="15" t="str">
        <x:v>Current a/c..512781</x:v>
      </x:c>
      <x:c r="E265" s="15" t="str"/>
      <x:c r="F265" s="15" t="str">
        <x:v>R707.25 paid from Current a/c..512781 @ Smartapp. Avail R73240. Ref.Nb N992820. 16Jan 15:30</x:v>
      </x:c>
      <x:c r="G265" s="15" t="str">
        <x:v>Nb N992820</x:v>
      </x:c>
      <x:c r="H265" s="38" t="n">
        <x:v>707.25</x:v>
      </x:c>
      <x:c r="I265" s="15" t="str">
        <x:v>ZAR</x:v>
      </x:c>
      <x:c r="J265" s="15" t="str">
        <x:v>Outflow</x:v>
      </x:c>
      <x:c r="K265" s="15" t="str">
        <x:v>EFT payment</x:v>
      </x:c>
      <x:c r="L265" s="15" t="str">
        <x:v>Supplier payments</x:v>
      </x:c>
      <x:c r="M265" s="38"/>
      <x:c r="N265" s="38" t="n">
        <x:v>73240</x:v>
      </x:c>
      <x:c r="O265" s="15" t="str"/>
      <x:c r="P265" s="15" t="str">
        <x:v>eml_ALL_currentac__512781 (2).zip &gt; eml7currentac__512781.zip</x:v>
      </x:c>
      <x:c r="Q265" s="15" t="str">
        <x:v>FNB _-) R707.25 paid from Current a_c..512781 @ Smartapp. Ref.Nb N992820. 16Jan 15_30.eml</x:v>
      </x:c>
      <x:c r="R265" s="15" t="str">
        <x:v>High</x:v>
      </x:c>
      <x:c r="S265" s="15" t="str">
        <x:v>Category confidence Low: Default outflow category; review counterparty/reference.</x:v>
      </x:c>
      <x:c r="T265" s="15" t="str"/>
      <x:c r="U265" s="15" t="str"/>
      <x:c r="V265" s="15" t="str">
        <x:v>Nb N992820</x:v>
      </x:c>
      <x:c r="W265" s="15" t="str">
        <x:v>Smartapp</x:v>
      </x:c>
      <x:c r="X265" s="15" t="str">
        <x:v>FNB :-) R707.25 paid from Current a/c..512781 @ Smartapp. Avail R73240. Ref.Nb N992820. 16Jan 15:30</x:v>
      </x:c>
      <x:c r="Y265" s="15" t="str">
        <x:v>33f325edb47064f5</x:v>
      </x:c>
    </x:row>
    <x:row r="266">
      <x:c r="A266" s="34" t="n">
        <x:v>46038.65833333333</x:v>
      </x:c>
      <x:c r="B266" s="36" t="n">
        <x:v>46038</x:v>
      </x:c>
      <x:c r="C266" s="34" t="n">
        <x:v>46038.658483796295</x:v>
      </x:c>
      <x:c r="D266" s="15" t="str">
        <x:v>Current a/c..512781</x:v>
      </x:c>
      <x:c r="E266" s="15" t="str"/>
      <x:c r="F266" s="15" t="str">
        <x:v>Payment Link created from Current a/c..512781 To Jnb Property Mainten..877149 @ Smartapp. 16Jan 15:48 Call 087 575 9404 for help.</x:v>
      </x:c>
      <x:c r="G266" s="15" t="str">
        <x:v>Jnb Property Mainten..877149</x:v>
      </x:c>
      <x:c r="H266" s="38"/>
      <x:c r="I266" s="15" t="str"/>
      <x:c r="J266" s="15" t="str">
        <x:v>Neutral/Information Only</x:v>
      </x:c>
      <x:c r="K266" s="15" t="str">
        <x:v>Other</x:v>
      </x:c>
      <x:c r="L266" s="15" t="str">
        <x:v>Other</x:v>
      </x:c>
      <x:c r="M266" s="38"/>
      <x:c r="N266" s="38"/>
      <x:c r="O266" s="15" t="str"/>
      <x:c r="P266" s="15" t="str">
        <x:v>eml_ALL_currentac__512781 (2).zip &gt; eml7currentac__512781.zip</x:v>
      </x:c>
      <x:c r="Q266" s="15" t="str">
        <x:v>FNB _-) Payment Link created from Current a_c..512781 To Jnb Property Mainten..877149 @ Smartapp. 16Jan 15_48 Call 087 575 9404  for help..eml</x:v>
      </x:c>
      <x:c r="R266" s="15" t="str">
        <x:v>High</x:v>
      </x:c>
      <x:c r="S266" s="15" t="str">
        <x:v>Payment link creation only; no money movement indicated. Category confidence Low: Unable to map confidently.</x:v>
      </x:c>
      <x:c r="T266" s="15" t="str">
        <x:v>Current a/c..512781</x:v>
      </x:c>
      <x:c r="U266" s="15" t="str">
        <x:v>Jnb Property Mainten..877149</x:v>
      </x:c>
      <x:c r="V266" s="15" t="str"/>
      <x:c r="W266" s="15" t="str">
        <x:v>Smartapp</x:v>
      </x:c>
      <x:c r="X266" s="15" t="str">
        <x:v>FNB :-) Payment Link created from Current a/c..512781 To Jnb Property Mainten..877149 @ Smartapp. 16Jan 15:48 Call 087 575 9404 for help.</x:v>
      </x:c>
      <x:c r="Y266" s="15" t="str">
        <x:v>86bd04f206e04cc5</x:v>
      </x:c>
    </x:row>
    <x:row r="267">
      <x:c r="A267" s="34" t="n">
        <x:v>46038.65833333333</x:v>
      </x:c>
      <x:c r="B267" s="36" t="n">
        <x:v>46038</x:v>
      </x:c>
      <x:c r="C267" s="34" t="n">
        <x:v>46038.65862268519</x:v>
      </x:c>
      <x:c r="D267" s="15" t="str">
        <x:v>Current a/c..512781</x:v>
      </x:c>
      <x:c r="E267" s="15" t="str"/>
      <x:c r="F267" s="15" t="str">
        <x:v>R3550.00 paid from Current a/c..512781 @ Smartapp. Avail R69682. Ref.Big Bay Maintenance. 16Jan 15:48</x:v>
      </x:c>
      <x:c r="G267" s="15" t="str">
        <x:v>Big Bay Maintenance</x:v>
      </x:c>
      <x:c r="H267" s="38" t="n">
        <x:v>3550</x:v>
      </x:c>
      <x:c r="I267" s="15" t="str">
        <x:v>ZAR</x:v>
      </x:c>
      <x:c r="J267" s="15" t="str">
        <x:v>Outflow</x:v>
      </x:c>
      <x:c r="K267" s="15" t="str">
        <x:v>EFT payment</x:v>
      </x:c>
      <x:c r="L267" s="15" t="str">
        <x:v>Rent / property</x:v>
      </x:c>
      <x:c r="M267" s="38"/>
      <x:c r="N267" s="38" t="n">
        <x:v>69682</x:v>
      </x:c>
      <x:c r="O267" s="15" t="str"/>
      <x:c r="P267" s="15" t="str">
        <x:v>eml_ALL_currentac__512781 (2).zip &gt; eml7currentac__512781.zip</x:v>
      </x:c>
      <x:c r="Q267" s="15" t="str">
        <x:v>FNB _-) R3550.00 paid from Current a_c..512781 @ Smartapp. Ref.Big Bay Maintenance. 16Jan 15_48.eml</x:v>
      </x:c>
      <x:c r="R267" s="15" t="str">
        <x:v>High</x:v>
      </x:c>
      <x:c r="S267" s="15" t="str"/>
      <x:c r="T267" s="15" t="str"/>
      <x:c r="U267" s="15" t="str"/>
      <x:c r="V267" s="15" t="str">
        <x:v>Big Bay Maintenance</x:v>
      </x:c>
      <x:c r="W267" s="15" t="str">
        <x:v>Smartapp</x:v>
      </x:c>
      <x:c r="X267" s="15" t="str">
        <x:v>FNB :-) R3550.00 paid from Current a/c..512781 @ Smartapp. Avail R69682. Ref.Big Bay Maintenance. 16Jan 15:48</x:v>
      </x:c>
      <x:c r="Y267" s="15" t="str">
        <x:v>81b85239e9a5b270</x:v>
      </x:c>
    </x:row>
    <x:row r="268">
      <x:c r="A268" s="34" t="n">
        <x:v>46038.8</x:v>
      </x:c>
      <x:c r="B268" s="36" t="n">
        <x:v>46038</x:v>
      </x:c>
      <x:c r="C268" s="34" t="n">
        <x:v>46038.80028935185</x:v>
      </x:c>
      <x:c r="D268" s="15" t="str">
        <x:v>Current a/c..512781</x:v>
      </x:c>
      <x:c r="E268" s="15" t="str">
        <x:v>card..2924</x:v>
      </x:c>
      <x:c r="F268" s="15" t="str">
        <x:v>R400.00 reserved for purchase @ Yoco *k2025744041 from Current a/c..512781 using card..2924. Avail R69282. 16Jan 19:12</x:v>
      </x:c>
      <x:c r="G268" s="15" t="str">
        <x:v>Yoco *k2025744041</x:v>
      </x:c>
      <x:c r="H268" s="38" t="n">
        <x:v>400</x:v>
      </x:c>
      <x:c r="I268" s="15" t="str">
        <x:v>ZAR</x:v>
      </x:c>
      <x:c r="J268" s="15" t="str">
        <x:v>Outflow</x:v>
      </x:c>
      <x:c r="K268" s="15" t="str">
        <x:v>Card purchase</x:v>
      </x:c>
      <x:c r="L268" s="15" t="str">
        <x:v>Card spend</x:v>
      </x:c>
      <x:c r="M268" s="38"/>
      <x:c r="N268" s="38" t="n">
        <x:v>69282</x:v>
      </x:c>
      <x:c r="O268" s="15" t="str"/>
      <x:c r="P268" s="15" t="str">
        <x:v>eml_ALL_currentac__512781 (2).zip &gt; eml7currentac__512781.zip</x:v>
      </x:c>
      <x:c r="Q268" s="15" t="str">
        <x:v>FNB _-) R400.00 reserved for purchase @ Yoco _k2025744041 from Current a_c..512781 using card..2924. 16Jan 19_12.eml</x:v>
      </x:c>
      <x:c r="R268" s="15" t="str">
        <x:v>High</x:v>
      </x:c>
      <x:c r="S268" s="15" t="str">
        <x:v>Category confidence Low: Default card-spend category; merchant not confidently mapped.</x:v>
      </x:c>
      <x:c r="T268" s="15" t="str"/>
      <x:c r="U268" s="15" t="str"/>
      <x:c r="V268" s="15" t="str"/>
      <x:c r="W268" s="15" t="str"/>
      <x:c r="X268" s="15" t="str">
        <x:v>FNB :-) R400.00 reserved for purchase @ Yoco *k2025744041 from Current a/c..512781 using card..2924. Avail R69282. 16Jan 19:12</x:v>
      </x:c>
      <x:c r="Y268" s="15" t="str">
        <x:v>bc4e81802bf9a7e5</x:v>
      </x:c>
    </x:row>
    <x:row r="269">
      <x:c r="A269" s="34" t="n">
        <x:v>46039.447916666664</x:v>
      </x:c>
      <x:c r="B269" s="36" t="n">
        <x:v>46039</x:v>
      </x:c>
      <x:c r="C269" s="34" t="n">
        <x:v>46039.448541666665</x:v>
      </x:c>
      <x:c r="D269" s="15" t="str">
        <x:v>Current a/c..512781</x:v>
      </x:c>
      <x:c r="E269" s="15" t="str"/>
      <x:c r="F269" s="15" t="str">
        <x:v>R9773.91 paid to Current a/c..512781 @ Payshap. Ref.Ik Pay 487882. 17Jan 10:45</x:v>
      </x:c>
      <x:c r="G269" s="15" t="str">
        <x:v>Ik Pay 487882</x:v>
      </x:c>
      <x:c r="H269" s="38" t="n">
        <x:v>9773.91</x:v>
      </x:c>
      <x:c r="I269" s="15" t="str">
        <x:v>ZAR</x:v>
      </x:c>
      <x:c r="J269" s="15" t="str">
        <x:v>Inflow</x:v>
      </x:c>
      <x:c r="K269" s="15" t="str">
        <x:v>EFT receipt</x:v>
      </x:c>
      <x:c r="L269" s="15" t="str">
        <x:v>Sales / customer receipts</x:v>
      </x:c>
      <x:c r="M269" s="38"/>
      <x:c r="N269" s="38"/>
      <x:c r="O269" s="15" t="str"/>
      <x:c r="P269" s="15" t="str">
        <x:v>eml_ALL_currentac__512781 (2).zip &gt; eml7currentac__512781.zip</x:v>
      </x:c>
      <x:c r="Q269" s="15" t="str">
        <x:v>FNB _-) R9773.91 paid to Current a_c..512781 @ Payshap. Ref.Ik Pay 487882. 17Jan 10_45.eml</x:v>
      </x:c>
      <x:c r="R269" s="15" t="str">
        <x:v>High</x:v>
      </x:c>
      <x:c r="S269" s="15" t="str">
        <x:v>Category confidence Medium: Default for incoming EFT/PayShap/online receipt.</x:v>
      </x:c>
      <x:c r="T269" s="15" t="str"/>
      <x:c r="U269" s="15" t="str"/>
      <x:c r="V269" s="15" t="str">
        <x:v>Ik Pay 487882</x:v>
      </x:c>
      <x:c r="W269" s="15" t="str">
        <x:v>Payshap</x:v>
      </x:c>
      <x:c r="X269" s="15" t="str">
        <x:v>FNB :-) R9773.91 paid to Current a/c..512781 @ Payshap. Ref.Ik Pay 487882. 17Jan 10:45</x:v>
      </x:c>
      <x:c r="Y269" s="15" t="str">
        <x:v>8950086cd74f13bc</x:v>
      </x:c>
    </x:row>
    <x:row r="270">
      <x:c r="A270" s="34" t="n">
        <x:v>46039.49930555555</x:v>
      </x:c>
      <x:c r="B270" s="36" t="n">
        <x:v>46039</x:v>
      </x:c>
      <x:c r="C270" s="34" t="n">
        <x:v>46039.49978009259</x:v>
      </x:c>
      <x:c r="D270" s="15" t="str">
        <x:v>Current a/c..512781</x:v>
      </x:c>
      <x:c r="E270" s="15" t="str">
        <x:v>card..2924</x:v>
      </x:c>
      <x:c r="F270" s="15" t="str">
        <x:v>R228.85 reserved for purchase @ Paystack *zoho Co from Current a/c..512781 using card..2924. Avail R78821. 17Jan 11:59</x:v>
      </x:c>
      <x:c r="G270" s="15" t="str">
        <x:v>Paystack *zoho Co</x:v>
      </x:c>
      <x:c r="H270" s="38" t="n">
        <x:v>228.85</x:v>
      </x:c>
      <x:c r="I270" s="15" t="str">
        <x:v>ZAR</x:v>
      </x:c>
      <x:c r="J270" s="15" t="str">
        <x:v>Outflow</x:v>
      </x:c>
      <x:c r="K270" s="15" t="str">
        <x:v>Card purchase</x:v>
      </x:c>
      <x:c r="L270" s="15" t="str">
        <x:v>Software / subscriptions</x:v>
      </x:c>
      <x:c r="M270" s="38"/>
      <x:c r="N270" s="38" t="n">
        <x:v>78821</x:v>
      </x:c>
      <x:c r="O270" s="15" t="str"/>
      <x:c r="P270" s="15" t="str">
        <x:v>eml_ALL_currentac__512781 (2).zip &gt; eml7currentac__512781.zip</x:v>
      </x:c>
      <x:c r="Q270" s="15" t="str">
        <x:v>FNB _-) R228.85 reserved for purchase @ Paystack _zoho Co from Current a_c..512781 using card..2924. 17Jan 11_59.eml</x:v>
      </x:c>
      <x:c r="R270" s="15" t="str">
        <x:v>High</x:v>
      </x:c>
      <x:c r="S270" s="15" t="str"/>
      <x:c r="T270" s="15" t="str"/>
      <x:c r="U270" s="15" t="str"/>
      <x:c r="V270" s="15" t="str"/>
      <x:c r="W270" s="15" t="str"/>
      <x:c r="X270" s="15" t="str">
        <x:v>FNB :-) R228.85 reserved for purchase @ Paystack *zoho Co from Current a/c..512781 using card..2924. Avail R78821. 17Jan 11:59</x:v>
      </x:c>
      <x:c r="Y270" s="15" t="str">
        <x:v>2c76903fa1fe3019</x:v>
      </x:c>
    </x:row>
    <x:row r="271">
      <x:c r="A271" s="34" t="n">
        <x:v>46040.350694444445</x:v>
      </x:c>
      <x:c r="B271" s="36" t="n">
        <x:v>46040</x:v>
      </x:c>
      <x:c r="C271" s="34" t="n">
        <x:v>46040.35076388889</x:v>
      </x:c>
      <x:c r="D271" s="15" t="str">
        <x:v>Current a/c..512781</x:v>
      </x:c>
      <x:c r="E271" s="15" t="str"/>
      <x:c r="F271" s="15" t="str">
        <x:v>R16500.00 paid from Current a/c..512781 @ Gen Ph. Avail R62321. Ref.Pj Els. 18Jan 08:25</x:v>
      </x:c>
      <x:c r="G271" s="15" t="str">
        <x:v>Pj Els</x:v>
      </x:c>
      <x:c r="H271" s="38" t="n">
        <x:v>16500</x:v>
      </x:c>
      <x:c r="I271" s="15" t="str">
        <x:v>ZAR</x:v>
      </x:c>
      <x:c r="J271" s="15" t="str">
        <x:v>Outflow</x:v>
      </x:c>
      <x:c r="K271" s="15" t="str">
        <x:v>EFT payment</x:v>
      </x:c>
      <x:c r="L271" s="15" t="str">
        <x:v>Supplier payments</x:v>
      </x:c>
      <x:c r="M271" s="38"/>
      <x:c r="N271" s="38" t="n">
        <x:v>62321</x:v>
      </x:c>
      <x:c r="O271" s="15" t="str"/>
      <x:c r="P271" s="15" t="str">
        <x:v>eml_ALL_currentac__512781 (2).zip &gt; eml7currentac__512781.zip</x:v>
      </x:c>
      <x:c r="Q271" s="15" t="str">
        <x:v>FNB _-) R16500.00 paid from Current a_c..512781 @ Gen Ph. Ref.Pj Els. 18Jan 08_25.eml</x:v>
      </x:c>
      <x:c r="R271" s="15" t="str">
        <x:v>High</x:v>
      </x:c>
      <x:c r="S271" s="15" t="str">
        <x:v>Category confidence Low: Default outflow category; review counterparty/reference.</x:v>
      </x:c>
      <x:c r="T271" s="15" t="str"/>
      <x:c r="U271" s="15" t="str"/>
      <x:c r="V271" s="15" t="str">
        <x:v>Pj Els</x:v>
      </x:c>
      <x:c r="W271" s="15" t="str">
        <x:v>Gen Ph</x:v>
      </x:c>
      <x:c r="X271" s="15" t="str">
        <x:v>FNB :-) R16500.00 paid from Current a/c..512781 @ Gen Ph. Avail R62321. Ref.Pj Els. 18Jan 08:25</x:v>
      </x:c>
      <x:c r="Y271" s="15" t="str">
        <x:v>1cb8af33eecd8f59</x:v>
      </x:c>
    </x:row>
    <x:row r="272">
      <x:c r="A272" s="34" t="n">
        <x:v>46041.416666666664</x:v>
      </x:c>
      <x:c r="B272" s="36" t="n">
        <x:v>46041</x:v>
      </x:c>
      <x:c r="C272" s="34" t="n">
        <x:v>46041.41694444444</x:v>
      </x:c>
      <x:c r="D272" s="15" t="str">
        <x:v>Current a/c..512781</x:v>
      </x:c>
      <x:c r="E272" s="15" t="str"/>
      <x:c r="F272" s="15" t="str">
        <x:v>R500.00 paid from Current a/c..512781 @ Smartapp. Avail R61761. Ref.Electricity 04294887. 19Jan 10:00</x:v>
      </x:c>
      <x:c r="G272" s="15" t="str">
        <x:v>Electricity 04294887</x:v>
      </x:c>
      <x:c r="H272" s="38" t="n">
        <x:v>500</x:v>
      </x:c>
      <x:c r="I272" s="15" t="str">
        <x:v>ZAR</x:v>
      </x:c>
      <x:c r="J272" s="15" t="str">
        <x:v>Outflow</x:v>
      </x:c>
      <x:c r="K272" s="15" t="str">
        <x:v>EFT payment</x:v>
      </x:c>
      <x:c r="L272" s="15" t="str">
        <x:v>Telecom / utilities</x:v>
      </x:c>
      <x:c r="M272" s="38"/>
      <x:c r="N272" s="38" t="n">
        <x:v>61761</x:v>
      </x:c>
      <x:c r="O272" s="15" t="str"/>
      <x:c r="P272" s="15" t="str">
        <x:v>eml_ALL_currentac__512781 (2).zip &gt; eml7currentac__512781.zip</x:v>
      </x:c>
      <x:c r="Q272" s="15" t="str">
        <x:v>FNB _-) R500.00 paid from Current a_c..512781 @ Smartapp. Ref.Electricity 04294887. 19Jan 10_00.eml</x:v>
      </x:c>
      <x:c r="R272" s="15" t="str">
        <x:v>High</x:v>
      </x:c>
      <x:c r="S272" s="15" t="str"/>
      <x:c r="T272" s="15" t="str"/>
      <x:c r="U272" s="15" t="str"/>
      <x:c r="V272" s="15" t="str">
        <x:v>Electricity 04294887</x:v>
      </x:c>
      <x:c r="W272" s="15" t="str">
        <x:v>Smartapp</x:v>
      </x:c>
      <x:c r="X272" s="15" t="str">
        <x:v>FNB :-) R500.00 paid from Current a/c..512781 @ Smartapp. Avail R61761. Ref.Electricity 04294887. 19Jan 10:00</x:v>
      </x:c>
      <x:c r="Y272" s="15" t="str">
        <x:v>330e0b9210abbc83</x:v>
      </x:c>
    </x:row>
    <x:row r="273">
      <x:c r="A273" s="34" t="n">
        <x:v>46041.419444444444</x:v>
      </x:c>
      <x:c r="B273" s="36" t="n">
        <x:v>46041</x:v>
      </x:c>
      <x:c r="C273" s="34" t="n">
        <x:v>46041.42008101852</x:v>
      </x:c>
      <x:c r="D273" s="15" t="str">
        <x:v>Current a/c..512781</x:v>
      </x:c>
      <x:c r="E273" s="15" t="str"/>
      <x:c r="F273" s="15" t="str">
        <x:v>R1344.45 paid from Current a/c..512781 @ Smartapp. Avail R60408. Ref.Asbe - Comm Jan. 19Jan 10:04</x:v>
      </x:c>
      <x:c r="G273" s="15" t="str">
        <x:v>Asbe - Comm Jan</x:v>
      </x:c>
      <x:c r="H273" s="38" t="n">
        <x:v>1344.45</x:v>
      </x:c>
      <x:c r="I273" s="15" t="str">
        <x:v>ZAR</x:v>
      </x:c>
      <x:c r="J273" s="15" t="str">
        <x:v>Outflow</x:v>
      </x:c>
      <x:c r="K273" s="15" t="str">
        <x:v>EFT payment</x:v>
      </x:c>
      <x:c r="L273" s="15" t="str">
        <x:v>Supplier payments</x:v>
      </x:c>
      <x:c r="M273" s="38"/>
      <x:c r="N273" s="38" t="n">
        <x:v>60408</x:v>
      </x:c>
      <x:c r="O273" s="15" t="str"/>
      <x:c r="P273" s="15" t="str">
        <x:v>eml_ALL_currentac__512781 (2).zip &gt; eml7currentac__512781.zip</x:v>
      </x:c>
      <x:c r="Q273" s="15" t="str">
        <x:v>FNB _-) R1344.45 paid from Current a_c..512781 @ Smartapp. Ref.Asbe - Comm Jan. 19Jan 10_04.eml</x:v>
      </x:c>
      <x:c r="R273" s="15" t="str">
        <x:v>High</x:v>
      </x:c>
      <x:c r="S273" s="15" t="str">
        <x:v>Category confidence Low: Default outflow category; review counterparty/reference.</x:v>
      </x:c>
      <x:c r="T273" s="15" t="str"/>
      <x:c r="U273" s="15" t="str"/>
      <x:c r="V273" s="15" t="str">
        <x:v>Asbe - Comm Jan</x:v>
      </x:c>
      <x:c r="W273" s="15" t="str">
        <x:v>Smartapp</x:v>
      </x:c>
      <x:c r="X273" s="15" t="str">
        <x:v>FNB :-) R1344.45 paid from Current a/c..512781 @ Smartapp. Avail R60408. Ref.Asbe - Comm Jan. 19Jan 10:04</x:v>
      </x:c>
      <x:c r="Y273" s="15" t="str">
        <x:v>982b41007a5abf9c</x:v>
      </x:c>
    </x:row>
    <x:row r="274">
      <x:c r="A274" s="34" t="n">
        <x:v>46041.62291666667</x:v>
      </x:c>
      <x:c r="B274" s="36" t="n">
        <x:v>46041</x:v>
      </x:c>
      <x:c r="C274" s="34" t="n">
        <x:v>46041.62293981481</x:v>
      </x:c>
      <x:c r="D274" s="15" t="str">
        <x:v>Current a/c..512781</x:v>
      </x:c>
      <x:c r="E274" s="15" t="str">
        <x:v>card..2924</x:v>
      </x:c>
      <x:c r="F274" s="15" t="str">
        <x:v>R435.00 reserved for purchase @ The Water Well Bu136 from Current a/c..512781 using card..2924. Avail R59928. 19Jan 14:57</x:v>
      </x:c>
      <x:c r="G274" s="15" t="str">
        <x:v>The Water Well Bu136</x:v>
      </x:c>
      <x:c r="H274" s="38" t="n">
        <x:v>435</x:v>
      </x:c>
      <x:c r="I274" s="15" t="str">
        <x:v>ZAR</x:v>
      </x:c>
      <x:c r="J274" s="15" t="str">
        <x:v>Outflow</x:v>
      </x:c>
      <x:c r="K274" s="15" t="str">
        <x:v>Card purchase</x:v>
      </x:c>
      <x:c r="L274" s="15" t="str">
        <x:v>Card spend</x:v>
      </x:c>
      <x:c r="M274" s="38"/>
      <x:c r="N274" s="38" t="n">
        <x:v>59928</x:v>
      </x:c>
      <x:c r="O274" s="15" t="str"/>
      <x:c r="P274" s="15" t="str">
        <x:v>eml_ALL_currentac__512781 (2).zip &gt; eml7currentac__512781.zip</x:v>
      </x:c>
      <x:c r="Q274" s="15" t="str">
        <x:v>FNB _-) R435.00 reserved for purchase @ The Water Well Bu136 from Current a_c..512781 using card..2924. 19Jan 14_57.eml</x:v>
      </x:c>
      <x:c r="R274" s="15" t="str">
        <x:v>High</x:v>
      </x:c>
      <x:c r="S274" s="15" t="str">
        <x:v>Category confidence Low: Default card-spend category; merchant not confidently mapped.</x:v>
      </x:c>
      <x:c r="T274" s="15" t="str"/>
      <x:c r="U274" s="15" t="str"/>
      <x:c r="V274" s="15" t="str"/>
      <x:c r="W274" s="15" t="str"/>
      <x:c r="X274" s="15" t="str">
        <x:v>FNB :-) R435.00 reserved for purchase @ The Water Well Bu136 from Current a/c..512781 using card..2924. Avail R59928. 19Jan 14:57</x:v>
      </x:c>
      <x:c r="Y274" s="15" t="str">
        <x:v>c40b54910890d7bf</x:v>
      </x:c>
    </x:row>
    <x:row r="275">
      <x:c r="A275" s="34" t="n">
        <x:v>46042.63055555556</x:v>
      </x:c>
      <x:c r="B275" s="36" t="n">
        <x:v>46042</x:v>
      </x:c>
      <x:c r="C275" s="34" t="n">
        <x:v>46042.63060185185</x:v>
      </x:c>
      <x:c r="D275" s="15" t="str">
        <x:v>Current a/c..512781</x:v>
      </x:c>
      <x:c r="E275" s="15" t="str">
        <x:v>card..2924</x:v>
      </x:c>
      <x:c r="F275" s="15" t="str">
        <x:v>R437.20 reserved for purchase @ Savemor Marloth from Current a/c..512781 using card..2924. Avail R59469. 20Jan 15:08</x:v>
      </x:c>
      <x:c r="G275" s="15" t="str">
        <x:v>Savemor Marloth</x:v>
      </x:c>
      <x:c r="H275" s="38" t="n">
        <x:v>437.2</x:v>
      </x:c>
      <x:c r="I275" s="15" t="str">
        <x:v>ZAR</x:v>
      </x:c>
      <x:c r="J275" s="15" t="str">
        <x:v>Outflow</x:v>
      </x:c>
      <x:c r="K275" s="15" t="str">
        <x:v>Card purchase</x:v>
      </x:c>
      <x:c r="L275" s="15" t="str">
        <x:v>Supplier payments</x:v>
      </x:c>
      <x:c r="M275" s="38"/>
      <x:c r="N275" s="38" t="n">
        <x:v>59469</x:v>
      </x:c>
      <x:c r="O275" s="15" t="str"/>
      <x:c r="P275" s="15" t="str">
        <x:v>eml_ALL_currentac__512781 (2).zip &gt; eml7currentac__512781.zip</x:v>
      </x:c>
      <x:c r="Q275" s="15" t="str">
        <x:v>FNB _-) R437.20 reserved for purchase @ Savemor Marloth from Current a_c..512781 using card..2924. 20Jan 15_08.eml</x:v>
      </x:c>
      <x:c r="R275" s="15" t="str">
        <x:v>High</x:v>
      </x:c>
      <x:c r="S275" s="15" t="str">
        <x:v>Category confidence Medium: Retail/supplier merchant keyword.</x:v>
      </x:c>
      <x:c r="T275" s="15" t="str"/>
      <x:c r="U275" s="15" t="str"/>
      <x:c r="V275" s="15" t="str"/>
      <x:c r="W275" s="15" t="str"/>
      <x:c r="X275" s="15" t="str">
        <x:v>FNB :-) R437.20 reserved for purchase @ Savemor Marloth from Current a/c..512781 using card..2924. Avail R59469. 20Jan 15:08</x:v>
      </x:c>
      <x:c r="Y275" s="15" t="str">
        <x:v>5946310ebb318408</x:v>
      </x:c>
    </x:row>
    <x:row r="276">
      <x:c r="A276" s="34" t="n">
        <x:v>46042.63958333333</x:v>
      </x:c>
      <x:c r="B276" s="36" t="n">
        <x:v>46042</x:v>
      </x:c>
      <x:c r="C276" s="34" t="n">
        <x:v>46042.63979166667</x:v>
      </x:c>
      <x:c r="D276" s="15" t="str">
        <x:v>Current a/c..512781</x:v>
      </x:c>
      <x:c r="E276" s="15" t="str">
        <x:v>card..2924</x:v>
      </x:c>
      <x:c r="F276" s="15" t="str">
        <x:v>R300.00 reserved for purchase @ Marlothi Petrol Stat from Current a/c..512781 using card..2924. Avail R59169. 20Jan 15:21</x:v>
      </x:c>
      <x:c r="G276" s="15" t="str">
        <x:v>Marlothi Petrol Stat</x:v>
      </x:c>
      <x:c r="H276" s="38" t="n">
        <x:v>300</x:v>
      </x:c>
      <x:c r="I276" s="15" t="str">
        <x:v>ZAR</x:v>
      </x:c>
      <x:c r="J276" s="15" t="str">
        <x:v>Outflow</x:v>
      </x:c>
      <x:c r="K276" s="15" t="str">
        <x:v>Card purchase</x:v>
      </x:c>
      <x:c r="L276" s="15" t="str">
        <x:v>Fuel / transport</x:v>
      </x:c>
      <x:c r="M276" s="38"/>
      <x:c r="N276" s="38" t="n">
        <x:v>59169</x:v>
      </x:c>
      <x:c r="O276" s="15" t="str"/>
      <x:c r="P276" s="15" t="str">
        <x:v>eml_ALL_currentac__512781 (2).zip &gt; eml7currentac__512781.zip</x:v>
      </x:c>
      <x:c r="Q276" s="15" t="str">
        <x:v>FNB _-) R300.00 reserved for purchase @ Marlothi Petrol Stat from Current a_c..512781 using card..2924. 20Jan 15_21.eml</x:v>
      </x:c>
      <x:c r="R276" s="15" t="str">
        <x:v>High</x:v>
      </x:c>
      <x:c r="S276" s="15" t="str"/>
      <x:c r="T276" s="15" t="str"/>
      <x:c r="U276" s="15" t="str"/>
      <x:c r="V276" s="15" t="str"/>
      <x:c r="W276" s="15" t="str"/>
      <x:c r="X276" s="15" t="str">
        <x:v>FNB :-) R300.00 reserved for purchase @ Marlothi Petrol Stat from Current a/c..512781 using card..2924. Avail R59169. 20Jan 15:21</x:v>
      </x:c>
      <x:c r="Y276" s="15" t="str">
        <x:v>5320ea6dbf6bc51a</x:v>
      </x:c>
    </x:row>
    <x:row r="277">
      <x:c r="A277" s="34" t="n">
        <x:v>46042.72083333333</x:v>
      </x:c>
      <x:c r="B277" s="36" t="n">
        <x:v>46042</x:v>
      </x:c>
      <x:c r="C277" s="34" t="n">
        <x:v>46042.720868055556</x:v>
      </x:c>
      <x:c r="D277" s="15" t="str">
        <x:v>Current a/c..512781</x:v>
      </x:c>
      <x:c r="E277" s="15" t="str">
        <x:v>card..2924</x:v>
      </x:c>
      <x:c r="F277" s="15" t="str">
        <x:v>R109.99 reserved for purchase @ Savemor Marloth Liqu from Current a/c..512781 using card..2924. Avail R59059. 20Jan 17:18</x:v>
      </x:c>
      <x:c r="G277" s="15" t="str">
        <x:v>Savemor Marloth Liqu</x:v>
      </x:c>
      <x:c r="H277" s="38" t="n">
        <x:v>109.99</x:v>
      </x:c>
      <x:c r="I277" s="15" t="str">
        <x:v>ZAR</x:v>
      </x:c>
      <x:c r="J277" s="15" t="str">
        <x:v>Outflow</x:v>
      </x:c>
      <x:c r="K277" s="15" t="str">
        <x:v>Card purchase</x:v>
      </x:c>
      <x:c r="L277" s="15" t="str">
        <x:v>Meals / restaurants / entertainment</x:v>
      </x:c>
      <x:c r="M277" s="38"/>
      <x:c r="N277" s="38" t="n">
        <x:v>59059</x:v>
      </x:c>
      <x:c r="O277" s="15" t="str"/>
      <x:c r="P277" s="15" t="str">
        <x:v>eml_ALL_currentac__512781 (2).zip &gt; eml7currentac__512781.zip</x:v>
      </x:c>
      <x:c r="Q277" s="15" t="str">
        <x:v>FNB _-) R109.99 reserved for purchase @ Savemor Marloth Liqu from Current a_c..512781 using card..2924. 20Jan 17_18.eml</x:v>
      </x:c>
      <x:c r="R277" s="15" t="str">
        <x:v>High</x:v>
      </x:c>
      <x:c r="S277" s="15" t="str"/>
      <x:c r="T277" s="15" t="str"/>
      <x:c r="U277" s="15" t="str"/>
      <x:c r="V277" s="15" t="str"/>
      <x:c r="W277" s="15" t="str"/>
      <x:c r="X277" s="15" t="str">
        <x:v>FNB :-) R109.99 reserved for purchase @ Savemor Marloth Liqu from Current a/c..512781 using card..2924. Avail R59059. 20Jan 17:18</x:v>
      </x:c>
      <x:c r="Y277" s="15" t="str">
        <x:v>083fb3562c587f7d</x:v>
      </x:c>
    </x:row>
    <x:row r="278">
      <x:c r="A278" s="34" t="n">
        <x:v>46042.856944444444</x:v>
      </x:c>
      <x:c r="B278" s="36" t="n">
        <x:v>46042</x:v>
      </x:c>
      <x:c r="C278" s="34" t="n">
        <x:v>46042.85731481481</x:v>
      </x:c>
      <x:c r="D278" s="15" t="str">
        <x:v>Current a/c..512781</x:v>
      </x:c>
      <x:c r="E278" s="15" t="str">
        <x:v>card..2924</x:v>
      </x:c>
      <x:c r="F278" s="15" t="str">
        <x:v>R490.00 reserved for purchase @ Spur Fern Valley from Current a/c..512781 using card..2924. Avail R58569. 20Jan 20:34</x:v>
      </x:c>
      <x:c r="G278" s="15" t="str">
        <x:v>Spur Fern Valley</x:v>
      </x:c>
      <x:c r="H278" s="38" t="n">
        <x:v>490</x:v>
      </x:c>
      <x:c r="I278" s="15" t="str">
        <x:v>ZAR</x:v>
      </x:c>
      <x:c r="J278" s="15" t="str">
        <x:v>Outflow</x:v>
      </x:c>
      <x:c r="K278" s="15" t="str">
        <x:v>Card purchase</x:v>
      </x:c>
      <x:c r="L278" s="15" t="str">
        <x:v>Card spend</x:v>
      </x:c>
      <x:c r="M278" s="38"/>
      <x:c r="N278" s="38" t="n">
        <x:v>58569</x:v>
      </x:c>
      <x:c r="O278" s="15" t="str"/>
      <x:c r="P278" s="15" t="str">
        <x:v>eml_ALL_currentac__512781 (2).zip &gt; eml7currentac__512781.zip</x:v>
      </x:c>
      <x:c r="Q278" s="15" t="str">
        <x:v>FNB _-) R490.00 reserved for purchase @ Spur Fern Valley from Current a_c..512781 using card..2924. 20Jan 20_34.eml</x:v>
      </x:c>
      <x:c r="R278" s="15" t="str">
        <x:v>High</x:v>
      </x:c>
      <x:c r="S278" s="15" t="str">
        <x:v>Category confidence Low: Default card-spend category; merchant not confidently mapped.</x:v>
      </x:c>
      <x:c r="T278" s="15" t="str"/>
      <x:c r="U278" s="15" t="str"/>
      <x:c r="V278" s="15" t="str"/>
      <x:c r="W278" s="15" t="str"/>
      <x:c r="X278" s="15" t="str">
        <x:v>FNB :-) R490.00 reserved for purchase @ Spur Fern Valley from Current a/c..512781 using card..2924. Avail R58569. 20Jan 20:34</x:v>
      </x:c>
      <x:c r="Y278" s="15" t="str">
        <x:v>d6d74b1b4464961c</x:v>
      </x:c>
    </x:row>
    <x:row r="279">
      <x:c r="A279" s="34" t="n">
        <x:v>46043.56805555556</x:v>
      </x:c>
      <x:c r="B279" s="36" t="n">
        <x:v>46043</x:v>
      </x:c>
      <x:c r="C279" s="34" t="n">
        <x:v>46043.568194444444</x:v>
      </x:c>
      <x:c r="D279" s="15" t="str">
        <x:v>Current a/c..512781</x:v>
      </x:c>
      <x:c r="E279" s="15" t="str"/>
      <x:c r="F279" s="15" t="str">
        <x:v>R23287.50 paid to Current a/c..512781 @ Retail Forex. Ref.R026z3l840 De Pauw D. 21Jan 13:38</x:v>
      </x:c>
      <x:c r="G279" s="15" t="str">
        <x:v>R026z3l840 De Pauw D</x:v>
      </x:c>
      <x:c r="H279" s="38" t="n">
        <x:v>23287.5</x:v>
      </x:c>
      <x:c r="I279" s="15" t="str">
        <x:v>ZAR</x:v>
      </x:c>
      <x:c r="J279" s="15" t="str">
        <x:v>Inflow</x:v>
      </x:c>
      <x:c r="K279" s="15" t="str">
        <x:v>EFT receipt</x:v>
      </x:c>
      <x:c r="L279" s="15" t="str">
        <x:v>Sales / customer receipts</x:v>
      </x:c>
      <x:c r="M279" s="38"/>
      <x:c r="N279" s="38"/>
      <x:c r="O279" s="15" t="str"/>
      <x:c r="P279" s="15" t="str">
        <x:v>eml_ALL_currentac__512781 (2).zip &gt; eml7currentac__512781.zip</x:v>
      </x:c>
      <x:c r="Q279" s="15" t="str">
        <x:v>FNB _-) R23287.50 paid to Current a_c..512781 @ Retail Forex. Ref.R026z3l840 De Pauw D. 21Jan 13_38.eml</x:v>
      </x:c>
      <x:c r="R279" s="15" t="str">
        <x:v>High</x:v>
      </x:c>
      <x:c r="S279" s="15" t="str">
        <x:v>Category confidence Medium: Default for incoming EFT/PayShap/online receipt.</x:v>
      </x:c>
      <x:c r="T279" s="15" t="str"/>
      <x:c r="U279" s="15" t="str"/>
      <x:c r="V279" s="15" t="str">
        <x:v>R026z3l840 De Pauw D</x:v>
      </x:c>
      <x:c r="W279" s="15" t="str">
        <x:v>Retail Forex</x:v>
      </x:c>
      <x:c r="X279" s="15" t="str">
        <x:v>FNB :-) R23287.50 paid to Current a/c..512781 @ Retail Forex. Ref.R026z3l840 De Pauw D. 21Jan 13:38</x:v>
      </x:c>
      <x:c r="Y279" s="15" t="str">
        <x:v>7ef51ecbbb4baf7e</x:v>
      </x:c>
    </x:row>
    <x:row r="280">
      <x:c r="A280" s="34" t="n">
        <x:v>46044.42222222222</x:v>
      </x:c>
      <x:c r="B280" s="36" t="n">
        <x:v>46044</x:v>
      </x:c>
      <x:c r="C280" s="34" t="n">
        <x:v>46044.42269675926</x:v>
      </x:c>
      <x:c r="D280" s="15" t="str">
        <x:v>Current a/c..512781</x:v>
      </x:c>
      <x:c r="E280" s="15" t="str">
        <x:v>card..2924</x:v>
      </x:c>
      <x:c r="F280" s="15" t="str">
        <x:v>R461.54 reserved for purchase @ Superspar Komatipoor from Current a/c..512781 using card..2924. Avail R81384. 22Jan 10:08</x:v>
      </x:c>
      <x:c r="G280" s="15" t="str">
        <x:v>Superspar Komatipoor</x:v>
      </x:c>
      <x:c r="H280" s="38" t="n">
        <x:v>461.54</x:v>
      </x:c>
      <x:c r="I280" s="15" t="str">
        <x:v>ZAR</x:v>
      </x:c>
      <x:c r="J280" s="15" t="str">
        <x:v>Outflow</x:v>
      </x:c>
      <x:c r="K280" s="15" t="str">
        <x:v>Card purchase</x:v>
      </x:c>
      <x:c r="L280" s="15" t="str">
        <x:v>Supplier payments</x:v>
      </x:c>
      <x:c r="M280" s="38"/>
      <x:c r="N280" s="38" t="n">
        <x:v>81384</x:v>
      </x:c>
      <x:c r="O280" s="15" t="str"/>
      <x:c r="P280" s="15" t="str">
        <x:v>eml_ALL_currentac__512781 (2).zip &gt; eml7currentac__512781.zip</x:v>
      </x:c>
      <x:c r="Q280" s="15" t="str">
        <x:v>FNB _-) R461.54 reserved for purchase @ Superspar Komatipoor from Current a_c..512781 using card..2924. 22Jan 10_08.eml</x:v>
      </x:c>
      <x:c r="R280" s="15" t="str">
        <x:v>High</x:v>
      </x:c>
      <x:c r="S280" s="15" t="str">
        <x:v>Category confidence Medium: Retail/supplier merchant keyword.</x:v>
      </x:c>
      <x:c r="T280" s="15" t="str"/>
      <x:c r="U280" s="15" t="str"/>
      <x:c r="V280" s="15" t="str"/>
      <x:c r="W280" s="15" t="str"/>
      <x:c r="X280" s="15" t="str">
        <x:v>FNB :-) R461.54 reserved for purchase @ Superspar Komatipoor from Current a/c..512781 using card..2924. Avail R81384. 22Jan 10:08</x:v>
      </x:c>
      <x:c r="Y280" s="15" t="str">
        <x:v>8909dd3b98fbd24c</x:v>
      </x:c>
    </x:row>
    <x:row r="281">
      <x:c r="A281" s="34" t="n">
        <x:v>46044.43541666667</x:v>
      </x:c>
      <x:c r="B281" s="36" t="n">
        <x:v>46044</x:v>
      </x:c>
      <x:c r="C281" s="34" t="n">
        <x:v>46044.43545138889</x:v>
      </x:c>
      <x:c r="D281" s="15" t="str">
        <x:v>Current a/c..512781</x:v>
      </x:c>
      <x:c r="E281" s="15" t="str">
        <x:v>card..2924</x:v>
      </x:c>
      <x:c r="F281" s="15" t="str">
        <x:v>R1150.00 reserved for purchase @ Hpy*vodafone Cellula from Current a/c..512781 using card..2924. Avail R80234. 22Jan 10:27</x:v>
      </x:c>
      <x:c r="G281" s="15" t="str">
        <x:v>Hpy*vodafone Cellula</x:v>
      </x:c>
      <x:c r="H281" s="38" t="n">
        <x:v>1150</x:v>
      </x:c>
      <x:c r="I281" s="15" t="str">
        <x:v>ZAR</x:v>
      </x:c>
      <x:c r="J281" s="15" t="str">
        <x:v>Outflow</x:v>
      </x:c>
      <x:c r="K281" s="15" t="str">
        <x:v>Card purchase</x:v>
      </x:c>
      <x:c r="L281" s="15" t="str">
        <x:v>Card spend</x:v>
      </x:c>
      <x:c r="M281" s="38"/>
      <x:c r="N281" s="38" t="n">
        <x:v>80234</x:v>
      </x:c>
      <x:c r="O281" s="15" t="str"/>
      <x:c r="P281" s="15" t="str">
        <x:v>eml_ALL_currentac__512781 (2).zip &gt; eml7currentac__512781.zip</x:v>
      </x:c>
      <x:c r="Q281" s="15" t="str">
        <x:v>FNB _-) R1150.00 reserved for purchase @ Hpy_vodafone Cellula from Current a_c..512781 using card..2924. 22Jan 10_27.eml</x:v>
      </x:c>
      <x:c r="R281" s="15" t="str">
        <x:v>High</x:v>
      </x:c>
      <x:c r="S281" s="15" t="str">
        <x:v>Category confidence Low: Default card-spend category; merchant not confidently mapped.</x:v>
      </x:c>
      <x:c r="T281" s="15" t="str"/>
      <x:c r="U281" s="15" t="str"/>
      <x:c r="V281" s="15" t="str"/>
      <x:c r="W281" s="15" t="str"/>
      <x:c r="X281" s="15" t="str">
        <x:v>FNB :-) R1150.00 reserved for purchase @ Hpy*vodafone Cellula from Current a/c..512781 using card..2924. Avail R80234. 22Jan 10:27</x:v>
      </x:c>
      <x:c r="Y281" s="15" t="str">
        <x:v>fb290d0333dd54dd</x:v>
      </x:c>
    </x:row>
    <x:row r="282">
      <x:c r="A282" s="34" t="n">
        <x:v>46044.44097222222</x:v>
      </x:c>
      <x:c r="B282" s="36" t="n">
        <x:v>46044</x:v>
      </x:c>
      <x:c r="C282" s="34" t="n">
        <x:v>46044.44105324074</x:v>
      </x:c>
      <x:c r="D282" s="15" t="str">
        <x:v>Current a/c..512781</x:v>
      </x:c>
      <x:c r="E282" s="15" t="str">
        <x:v>card..2924</x:v>
      </x:c>
      <x:c r="F282" s="15" t="str">
        <x:v>R500.00 reserved for purchase @ Obaro Komatipoort Fc from Current a/c..512781 using card..2924. Avail R79734. 22Jan 10:35</x:v>
      </x:c>
      <x:c r="G282" s="15" t="str">
        <x:v>Obaro Komatipoort Fc</x:v>
      </x:c>
      <x:c r="H282" s="38" t="n">
        <x:v>500</x:v>
      </x:c>
      <x:c r="I282" s="15" t="str">
        <x:v>ZAR</x:v>
      </x:c>
      <x:c r="J282" s="15" t="str">
        <x:v>Outflow</x:v>
      </x:c>
      <x:c r="K282" s="15" t="str">
        <x:v>Card purchase</x:v>
      </x:c>
      <x:c r="L282" s="15" t="str">
        <x:v>Supplier payments</x:v>
      </x:c>
      <x:c r="M282" s="38"/>
      <x:c r="N282" s="38" t="n">
        <x:v>79734</x:v>
      </x:c>
      <x:c r="O282" s="15" t="str"/>
      <x:c r="P282" s="15" t="str">
        <x:v>eml_ALL_currentac__512781 (2).zip &gt; eml7currentac__512781.zip</x:v>
      </x:c>
      <x:c r="Q282" s="15" t="str">
        <x:v>FNB _-) R500.00 reserved for purchase @ Obaro Komatipoort Fc from Current a_c..512781 using card..2924. 22Jan 10_35.eml</x:v>
      </x:c>
      <x:c r="R282" s="15" t="str">
        <x:v>High</x:v>
      </x:c>
      <x:c r="S282" s="15" t="str">
        <x:v>Category confidence Medium: Retail/supplier merchant keyword.</x:v>
      </x:c>
      <x:c r="T282" s="15" t="str"/>
      <x:c r="U282" s="15" t="str"/>
      <x:c r="V282" s="15" t="str"/>
      <x:c r="W282" s="15" t="str"/>
      <x:c r="X282" s="15" t="str">
        <x:v>FNB :-) R500.00 reserved for purchase @ Obaro Komatipoort Fc from Current a/c..512781 using card..2924. Avail R79734. 22Jan 10:35</x:v>
      </x:c>
      <x:c r="Y282" s="15" t="str">
        <x:v>513f3722e65d2400</x:v>
      </x:c>
    </x:row>
    <x:row r="283">
      <x:c r="A283" s="34" t="n">
        <x:v>46044.520833333336</x:v>
      </x:c>
      <x:c r="B283" s="36" t="n">
        <x:v>46044</x:v>
      </x:c>
      <x:c r="C283" s="34" t="n">
        <x:v>46044.52133101852</x:v>
      </x:c>
      <x:c r="D283" s="15" t="str">
        <x:v>Current a/c..512781</x:v>
      </x:c>
      <x:c r="E283" s="15" t="str">
        <x:v>card..2924</x:v>
      </x:c>
      <x:c r="F283" s="15" t="str">
        <x:v>R154.92 reserved for purchase @ Sqsp* Websit from Current a/c..512781 using card..2924. Avail R79579. 22Jan 12:30</x:v>
      </x:c>
      <x:c r="G283" s="15" t="str">
        <x:v>Sqsp* Websit</x:v>
      </x:c>
      <x:c r="H283" s="38" t="n">
        <x:v>154.92</x:v>
      </x:c>
      <x:c r="I283" s="15" t="str">
        <x:v>ZAR</x:v>
      </x:c>
      <x:c r="J283" s="15" t="str">
        <x:v>Outflow</x:v>
      </x:c>
      <x:c r="K283" s="15" t="str">
        <x:v>Card purchase</x:v>
      </x:c>
      <x:c r="L283" s="15" t="str">
        <x:v>Software / subscriptions</x:v>
      </x:c>
      <x:c r="M283" s="38"/>
      <x:c r="N283" s="38" t="n">
        <x:v>79579</x:v>
      </x:c>
      <x:c r="O283" s="15" t="str"/>
      <x:c r="P283" s="15" t="str">
        <x:v>eml_ALL_currentac__512781 (2).zip &gt; eml7currentac__512781.zip</x:v>
      </x:c>
      <x:c r="Q283" s="15" t="str">
        <x:v>FNB _-) R154.92 reserved for purchase @ Sqsp_ Websit from Current a_c..512781 using card..2924. 22Jan 12_30.eml</x:v>
      </x:c>
      <x:c r="R283" s="15" t="str">
        <x:v>High</x:v>
      </x:c>
      <x:c r="S283" s="15" t="str"/>
      <x:c r="T283" s="15" t="str"/>
      <x:c r="U283" s="15" t="str"/>
      <x:c r="V283" s="15" t="str"/>
      <x:c r="W283" s="15" t="str"/>
      <x:c r="X283" s="15" t="str">
        <x:v>FNB :-) R154.92 reserved for purchase @ Sqsp* Websit from Current a/c..512781 using card..2924. Avail R79579. 22Jan 12:30</x:v>
      </x:c>
      <x:c r="Y283" s="15" t="str">
        <x:v>ab6ecb16c892798c</x:v>
      </x:c>
    </x:row>
    <x:row r="284">
      <x:c r="A284" s="34" t="n">
        <x:v>46044.62569444445</x:v>
      </x:c>
      <x:c r="B284" s="36" t="n">
        <x:v>46044</x:v>
      </x:c>
      <x:c r="C284" s="34" t="n">
        <x:v>46044.62635416666</x:v>
      </x:c>
      <x:c r="D284" s="15" t="str">
        <x:v>Current a/c..512781</x:v>
      </x:c>
      <x:c r="E284" s="15" t="str">
        <x:v>card..2924</x:v>
      </x:c>
      <x:c r="F284" s="15" t="str">
        <x:v>R416.99 reserved for purchase @ Savemor Marloth from Current a/c..512781 using card..2924. Avail R79162. 22Jan 15:01</x:v>
      </x:c>
      <x:c r="G284" s="15" t="str">
        <x:v>Savemor Marloth</x:v>
      </x:c>
      <x:c r="H284" s="38" t="n">
        <x:v>416.99</x:v>
      </x:c>
      <x:c r="I284" s="15" t="str">
        <x:v>ZAR</x:v>
      </x:c>
      <x:c r="J284" s="15" t="str">
        <x:v>Outflow</x:v>
      </x:c>
      <x:c r="K284" s="15" t="str">
        <x:v>Card purchase</x:v>
      </x:c>
      <x:c r="L284" s="15" t="str">
        <x:v>Supplier payments</x:v>
      </x:c>
      <x:c r="M284" s="38"/>
      <x:c r="N284" s="38" t="n">
        <x:v>79162</x:v>
      </x:c>
      <x:c r="O284" s="15" t="str"/>
      <x:c r="P284" s="15" t="str">
        <x:v>eml_ALL_currentac__512781 (2).zip &gt; eml7currentac__512781.zip</x:v>
      </x:c>
      <x:c r="Q284" s="15" t="str">
        <x:v>FNB _-) R416.99 reserved for purchase @ Savemor Marloth from Current a_c..512781 using card..2924. 22Jan 15_01.eml</x:v>
      </x:c>
      <x:c r="R284" s="15" t="str">
        <x:v>High</x:v>
      </x:c>
      <x:c r="S284" s="15" t="str">
        <x:v>Category confidence Medium: Retail/supplier merchant keyword.</x:v>
      </x:c>
      <x:c r="T284" s="15" t="str"/>
      <x:c r="U284" s="15" t="str"/>
      <x:c r="V284" s="15" t="str"/>
      <x:c r="W284" s="15" t="str"/>
      <x:c r="X284" s="15" t="str">
        <x:v>FNB :-) R416.99 reserved for purchase @ Savemor Marloth from Current a/c..512781 using card..2924. Avail R79162. 22Jan 15:01</x:v>
      </x:c>
      <x:c r="Y284" s="15" t="str">
        <x:v>502469b3f4ce2f8c</x:v>
      </x:c>
    </x:row>
    <x:row r="285">
      <x:c r="A285" s="34" t="n">
        <x:v>46044.63263888889</x:v>
      </x:c>
      <x:c r="B285" s="36" t="n">
        <x:v>46044</x:v>
      </x:c>
      <x:c r="C285" s="34" t="n">
        <x:v>46044.63267361111</x:v>
      </x:c>
      <x:c r="D285" s="15" t="str">
        <x:v>Current a/c..512781</x:v>
      </x:c>
      <x:c r="E285" s="15" t="str">
        <x:v>card..2924</x:v>
      </x:c>
      <x:c r="F285" s="15" t="str">
        <x:v>R177.94 reserved for purchase @ Savemor Marloth from Current a/c..512781 using card..2924. Avail R78984. 22Jan 15:11</x:v>
      </x:c>
      <x:c r="G285" s="15" t="str">
        <x:v>Savemor Marloth</x:v>
      </x:c>
      <x:c r="H285" s="38" t="n">
        <x:v>177.94</x:v>
      </x:c>
      <x:c r="I285" s="15" t="str">
        <x:v>ZAR</x:v>
      </x:c>
      <x:c r="J285" s="15" t="str">
        <x:v>Outflow</x:v>
      </x:c>
      <x:c r="K285" s="15" t="str">
        <x:v>Card purchase</x:v>
      </x:c>
      <x:c r="L285" s="15" t="str">
        <x:v>Supplier payments</x:v>
      </x:c>
      <x:c r="M285" s="38"/>
      <x:c r="N285" s="38" t="n">
        <x:v>78984</x:v>
      </x:c>
      <x:c r="O285" s="15" t="str"/>
      <x:c r="P285" s="15" t="str">
        <x:v>eml_ALL_currentac__512781 (2).zip &gt; eml7currentac__512781.zip</x:v>
      </x:c>
      <x:c r="Q285" s="15" t="str">
        <x:v>FNB _-) R177.94 reserved for purchase @ Savemor Marloth from Current a_c..512781 using card..2924. 22Jan 15_11.eml</x:v>
      </x:c>
      <x:c r="R285" s="15" t="str">
        <x:v>High</x:v>
      </x:c>
      <x:c r="S285" s="15" t="str">
        <x:v>Category confidence Medium: Retail/supplier merchant keyword.</x:v>
      </x:c>
      <x:c r="T285" s="15" t="str"/>
      <x:c r="U285" s="15" t="str"/>
      <x:c r="V285" s="15" t="str"/>
      <x:c r="W285" s="15" t="str"/>
      <x:c r="X285" s="15" t="str">
        <x:v>FNB :-) R177.94 reserved for purchase @ Savemor Marloth from Current a/c..512781 using card..2924. Avail R78984. 22Jan 15:11</x:v>
      </x:c>
      <x:c r="Y285" s="15" t="str">
        <x:v>f0649fa681186277</x:v>
      </x:c>
    </x:row>
    <x:row r="286">
      <x:c r="A286" s="34" t="n">
        <x:v>46044.63680555556</x:v>
      </x:c>
      <x:c r="B286" s="36" t="n">
        <x:v>46044</x:v>
      </x:c>
      <x:c r="C286" s="34" t="n">
        <x:v>46044.63736111111</x:v>
      </x:c>
      <x:c r="D286" s="15" t="str">
        <x:v>Current a/c..512781</x:v>
      </x:c>
      <x:c r="E286" s="15" t="str">
        <x:v>card..2924</x:v>
      </x:c>
      <x:c r="F286" s="15" t="str">
        <x:v>R154.98 reserved for purchase @ Savemor Marloth Liqu from Current a/c..512781 using card..2924. Avail R78829. 22Jan 15:17</x:v>
      </x:c>
      <x:c r="G286" s="15" t="str">
        <x:v>Savemor Marloth Liqu</x:v>
      </x:c>
      <x:c r="H286" s="38" t="n">
        <x:v>154.98</x:v>
      </x:c>
      <x:c r="I286" s="15" t="str">
        <x:v>ZAR</x:v>
      </x:c>
      <x:c r="J286" s="15" t="str">
        <x:v>Outflow</x:v>
      </x:c>
      <x:c r="K286" s="15" t="str">
        <x:v>Card purchase</x:v>
      </x:c>
      <x:c r="L286" s="15" t="str">
        <x:v>Meals / restaurants / entertainment</x:v>
      </x:c>
      <x:c r="M286" s="38"/>
      <x:c r="N286" s="38" t="n">
        <x:v>78829</x:v>
      </x:c>
      <x:c r="O286" s="15" t="str"/>
      <x:c r="P286" s="15" t="str">
        <x:v>eml_ALL_currentac__512781 (2).zip &gt; eml7currentac__512781.zip</x:v>
      </x:c>
      <x:c r="Q286" s="15" t="str">
        <x:v>FNB _-) R154.98 reserved for purchase @ Savemor Marloth Liqu from Current a_c..512781 using card..2924. 22Jan 15_17.eml</x:v>
      </x:c>
      <x:c r="R286" s="15" t="str">
        <x:v>High</x:v>
      </x:c>
      <x:c r="S286" s="15" t="str"/>
      <x:c r="T286" s="15" t="str"/>
      <x:c r="U286" s="15" t="str"/>
      <x:c r="V286" s="15" t="str"/>
      <x:c r="W286" s="15" t="str"/>
      <x:c r="X286" s="15" t="str">
        <x:v>FNB :-) R154.98 reserved for purchase @ Savemor Marloth Liqu from Current a/c..512781 using card..2924. Avail R78829. 22Jan 15:17</x:v>
      </x:c>
      <x:c r="Y286" s="15" t="str">
        <x:v>e7a478f3d4927d5e</x:v>
      </x:c>
    </x:row>
    <x:row r="287">
      <x:c r="A287" s="34" t="n">
        <x:v>46044.64861111111</x:v>
      </x:c>
      <x:c r="B287" s="36" t="n">
        <x:v>46044</x:v>
      </x:c>
      <x:c r="C287" s="34" t="n">
        <x:v>46044.64873842592</x:v>
      </x:c>
      <x:c r="D287" s="15" t="str">
        <x:v>Current a/c..512781</x:v>
      </x:c>
      <x:c r="E287" s="15" t="str">
        <x:v>card..2924</x:v>
      </x:c>
      <x:c r="F287" s="15" t="str">
        <x:v>R103.15 reserved for purchase @ At Wild Butchery 133 from Current a/c..512781 using card..2924. Avail R78726. 22Jan 15:34</x:v>
      </x:c>
      <x:c r="G287" s="15" t="str">
        <x:v>At Wild Butchery 133</x:v>
      </x:c>
      <x:c r="H287" s="38" t="n">
        <x:v>103.15</x:v>
      </x:c>
      <x:c r="I287" s="15" t="str">
        <x:v>ZAR</x:v>
      </x:c>
      <x:c r="J287" s="15" t="str">
        <x:v>Outflow</x:v>
      </x:c>
      <x:c r="K287" s="15" t="str">
        <x:v>Card purchase</x:v>
      </x:c>
      <x:c r="L287" s="15" t="str">
        <x:v>Supplier payments</x:v>
      </x:c>
      <x:c r="M287" s="38"/>
      <x:c r="N287" s="38" t="n">
        <x:v>78726</x:v>
      </x:c>
      <x:c r="O287" s="15" t="str"/>
      <x:c r="P287" s="15" t="str">
        <x:v>eml_ALL_currentac__512781 (2).zip &gt; eml7currentac__512781.zip</x:v>
      </x:c>
      <x:c r="Q287" s="15" t="str">
        <x:v>FNB _-) R103.15 reserved for purchase @ At Wild Butchery 133 from Current a_c..512781 using card..2924. 22Jan 15_34.eml</x:v>
      </x:c>
      <x:c r="R287" s="15" t="str">
        <x:v>High</x:v>
      </x:c>
      <x:c r="S287" s="15" t="str">
        <x:v>Category confidence Medium: Retail/supplier merchant keyword.</x:v>
      </x:c>
      <x:c r="T287" s="15" t="str"/>
      <x:c r="U287" s="15" t="str"/>
      <x:c r="V287" s="15" t="str"/>
      <x:c r="W287" s="15" t="str"/>
      <x:c r="X287" s="15" t="str">
        <x:v>FNB :-) R103.15 reserved for purchase @ At Wild Butchery 133 from Current a/c..512781 using card..2924. Avail R78726. 22Jan 15:34</x:v>
      </x:c>
      <x:c r="Y287" s="15" t="str">
        <x:v>03aa880d4d520d8c</x:v>
      </x:c>
    </x:row>
    <x:row r="288">
      <x:c r="A288" s="34" t="n">
        <x:v>46045.34305555555</x:v>
      </x:c>
      <x:c r="B288" s="36" t="n">
        <x:v>46045</x:v>
      </x:c>
      <x:c r="C288" s="34" t="n">
        <x:v>46045.34341435185</x:v>
      </x:c>
      <x:c r="D288" s="15" t="str">
        <x:v>Current a/c..512781</x:v>
      </x:c>
      <x:c r="E288" s="15" t="str"/>
      <x:c r="F288" s="15" t="str">
        <x:v>R2000.00 paid from Current a/c..512781 @ Smartapp. Avail R76706. Ref.Pj Els - Showp. 23Jan 08:14</x:v>
      </x:c>
      <x:c r="G288" s="15" t="str">
        <x:v>Pj Els - Showp</x:v>
      </x:c>
      <x:c r="H288" s="38" t="n">
        <x:v>2000</x:v>
      </x:c>
      <x:c r="I288" s="15" t="str">
        <x:v>ZAR</x:v>
      </x:c>
      <x:c r="J288" s="15" t="str">
        <x:v>Outflow</x:v>
      </x:c>
      <x:c r="K288" s="15" t="str">
        <x:v>EFT payment</x:v>
      </x:c>
      <x:c r="L288" s="15" t="str">
        <x:v>Supplier payments</x:v>
      </x:c>
      <x:c r="M288" s="38"/>
      <x:c r="N288" s="38" t="n">
        <x:v>76706</x:v>
      </x:c>
      <x:c r="O288" s="15" t="str"/>
      <x:c r="P288" s="15" t="str">
        <x:v>eml_ALL_currentac__512781 (2).zip &gt; eml7currentac__512781.zip</x:v>
      </x:c>
      <x:c r="Q288" s="15" t="str">
        <x:v>FNB _-) R2000.00 paid from Current a_c..512781 @ Smartapp. Ref.Pj Els - Showp. 23Jan 08_14.eml</x:v>
      </x:c>
      <x:c r="R288" s="15" t="str">
        <x:v>High</x:v>
      </x:c>
      <x:c r="S288" s="15" t="str">
        <x:v>Category confidence Low: Default outflow category; review counterparty/reference.</x:v>
      </x:c>
      <x:c r="T288" s="15" t="str"/>
      <x:c r="U288" s="15" t="str"/>
      <x:c r="V288" s="15" t="str">
        <x:v>Pj Els - Showp</x:v>
      </x:c>
      <x:c r="W288" s="15" t="str">
        <x:v>Smartapp</x:v>
      </x:c>
      <x:c r="X288" s="15" t="str">
        <x:v>FNB :-) R2000.00 paid from Current a/c..512781 @ Smartapp. Avail R76706. Ref.Pj Els - Showp. 23Jan 08:14</x:v>
      </x:c>
      <x:c r="Y288" s="15" t="str">
        <x:v>b600752c49ea2e25</x:v>
      </x:c>
    </x:row>
    <x:row r="289">
      <x:c r="A289" s="34" t="n">
        <x:v>46045.410416666666</x:v>
      </x:c>
      <x:c r="B289" s="36" t="n">
        <x:v>46045</x:v>
      </x:c>
      <x:c r="C289" s="34" t="n">
        <x:v>46045.41076388889</x:v>
      </x:c>
      <x:c r="D289" s="15" t="str">
        <x:v>Current a/c..512781</x:v>
      </x:c>
      <x:c r="E289" s="15" t="str"/>
      <x:c r="F289" s="15" t="str">
        <x:v>R12786.76 paid to Current a/c..512781 @ Retail Forex. Ref.R026z6vq90 Booking.c. 23Jan 09:51</x:v>
      </x:c>
      <x:c r="G289" s="15" t="str">
        <x:v>R026z6vq90 Booking.c</x:v>
      </x:c>
      <x:c r="H289" s="38" t="n">
        <x:v>12786.76</x:v>
      </x:c>
      <x:c r="I289" s="15" t="str">
        <x:v>ZAR</x:v>
      </x:c>
      <x:c r="J289" s="15" t="str">
        <x:v>Inflow</x:v>
      </x:c>
      <x:c r="K289" s="15" t="str">
        <x:v>EFT receipt</x:v>
      </x:c>
      <x:c r="L289" s="15" t="str">
        <x:v>Sales / customer receipts</x:v>
      </x:c>
      <x:c r="M289" s="38"/>
      <x:c r="N289" s="38"/>
      <x:c r="O289" s="15" t="str"/>
      <x:c r="P289" s="15" t="str">
        <x:v>eml_ALL_currentac__512781 (2).zip &gt; eml7currentac__512781.zip</x:v>
      </x:c>
      <x:c r="Q289" s="15" t="str">
        <x:v>FNB _-) R12786.76 paid to Current a_c..512781 @ Retail Forex. Ref.R026z6vq90 Booking.c. 23Jan 09_51.eml</x:v>
      </x:c>
      <x:c r="R289" s="15" t="str">
        <x:v>High</x:v>
      </x:c>
      <x:c r="S289" s="15" t="str">
        <x:v>Category confidence Medium: Default for incoming EFT/PayShap/online receipt.</x:v>
      </x:c>
      <x:c r="T289" s="15" t="str"/>
      <x:c r="U289" s="15" t="str"/>
      <x:c r="V289" s="15" t="str">
        <x:v>R026z6vq90 Booking.c</x:v>
      </x:c>
      <x:c r="W289" s="15" t="str">
        <x:v>Retail Forex</x:v>
      </x:c>
      <x:c r="X289" s="15" t="str">
        <x:v>FNB :-) R12786.76 paid to Current a/c..512781 @ Retail Forex. Ref.R026z6vq90 Booking.c. 23Jan 09:51</x:v>
      </x:c>
      <x:c r="Y289" s="15" t="str">
        <x:v>7c1c9be65e0d384e</x:v>
      </x:c>
    </x:row>
    <x:row r="290">
      <x:c r="A290" s="34" t="n">
        <x:v>46045.620833333334</x:v>
      </x:c>
      <x:c r="B290" s="36" t="n">
        <x:v>46045</x:v>
      </x:c>
      <x:c r="C290" s="34" t="n">
        <x:v>46045.62126157407</x:v>
      </x:c>
      <x:c r="D290" s="15" t="str">
        <x:v>Current a/c..512781</x:v>
      </x:c>
      <x:c r="E290" s="15" t="str">
        <x:v>card..2924</x:v>
      </x:c>
      <x:c r="F290" s="15" t="str">
        <x:v>R175.97 reserved for purchase @ Savemor Marloth Liqu from Current a/c..512781 using card..2924. Avail R89255. 23Jan 14:54</x:v>
      </x:c>
      <x:c r="G290" s="15" t="str">
        <x:v>Savemor Marloth Liqu</x:v>
      </x:c>
      <x:c r="H290" s="38" t="n">
        <x:v>175.97</x:v>
      </x:c>
      <x:c r="I290" s="15" t="str">
        <x:v>ZAR</x:v>
      </x:c>
      <x:c r="J290" s="15" t="str">
        <x:v>Outflow</x:v>
      </x:c>
      <x:c r="K290" s="15" t="str">
        <x:v>Card purchase</x:v>
      </x:c>
      <x:c r="L290" s="15" t="str">
        <x:v>Meals / restaurants / entertainment</x:v>
      </x:c>
      <x:c r="M290" s="38"/>
      <x:c r="N290" s="38" t="n">
        <x:v>89255</x:v>
      </x:c>
      <x:c r="O290" s="15" t="str"/>
      <x:c r="P290" s="15" t="str">
        <x:v>eml_ALL_currentac__512781 (2).zip &gt; eml7currentac__512781.zip</x:v>
      </x:c>
      <x:c r="Q290" s="15" t="str">
        <x:v>FNB _-) R175.97 reserved for purchase @ Savemor Marloth Liqu from Current a_c..512781 using card..2924. 23Jan 14_54.eml</x:v>
      </x:c>
      <x:c r="R290" s="15" t="str">
        <x:v>High</x:v>
      </x:c>
      <x:c r="S290" s="15" t="str"/>
      <x:c r="T290" s="15" t="str"/>
      <x:c r="U290" s="15" t="str"/>
      <x:c r="V290" s="15" t="str"/>
      <x:c r="W290" s="15" t="str"/>
      <x:c r="X290" s="15" t="str">
        <x:v>FNB :-) R175.97 reserved for purchase @ Savemor Marloth Liqu from Current a/c..512781 using card..2924. Avail R89255. 23Jan 14:54</x:v>
      </x:c>
      <x:c r="Y290" s="15" t="str">
        <x:v>a21781d2611acb36</x:v>
      </x:c>
    </x:row>
    <x:row r="291">
      <x:c r="A291" s="34" t="n">
        <x:v>46045.6625</x:v>
      </x:c>
      <x:c r="B291" s="36" t="n">
        <x:v>46045</x:v>
      </x:c>
      <x:c r="C291" s="34" t="n">
        <x:v>46045.66278935185</x:v>
      </x:c>
      <x:c r="D291" s="15" t="str">
        <x:v>Current a/c..512781</x:v>
      </x:c>
      <x:c r="E291" s="15" t="str"/>
      <x:c r="F291" s="15" t="str">
        <x:v>Payment Link created from Current a/c..512781 To Stratton Property Ma..072310 @ Smartapp. 23Jan 15:54 Call 087 575 9404 for help.</x:v>
      </x:c>
      <x:c r="G291" s="15" t="str">
        <x:v>Stratton Property Ma..072310</x:v>
      </x:c>
      <x:c r="H291" s="38"/>
      <x:c r="I291" s="15" t="str"/>
      <x:c r="J291" s="15" t="str">
        <x:v>Neutral/Information Only</x:v>
      </x:c>
      <x:c r="K291" s="15" t="str">
        <x:v>Other</x:v>
      </x:c>
      <x:c r="L291" s="15" t="str">
        <x:v>Other</x:v>
      </x:c>
      <x:c r="M291" s="38"/>
      <x:c r="N291" s="38"/>
      <x:c r="O291" s="15" t="str"/>
      <x:c r="P291" s="15" t="str">
        <x:v>eml_ALL_currentac__512781 (2).zip &gt; eml7currentac__512781.zip</x:v>
      </x:c>
      <x:c r="Q291" s="15" t="str">
        <x:v>FNB _-) Payment Link created from Current a_c..512781 To Stratton Property Ma..072310 @ Smartapp. 23Jan 15_54 Call 087 575 9404  for help..eml</x:v>
      </x:c>
      <x:c r="R291" s="15" t="str">
        <x:v>High</x:v>
      </x:c>
      <x:c r="S291" s="15" t="str">
        <x:v>Payment link creation only; no money movement indicated. Category confidence Low: Unable to map confidently.</x:v>
      </x:c>
      <x:c r="T291" s="15" t="str">
        <x:v>Current a/c..512781</x:v>
      </x:c>
      <x:c r="U291" s="15" t="str">
        <x:v>Stratton Property Ma..072310</x:v>
      </x:c>
      <x:c r="V291" s="15" t="str"/>
      <x:c r="W291" s="15" t="str">
        <x:v>Smartapp</x:v>
      </x:c>
      <x:c r="X291" s="15" t="str">
        <x:v>FNB :-) Payment Link created from Current a/c..512781 To Stratton Property Ma..072310 @ Smartapp. 23Jan 15:54 Call 087 575 9404 for help.</x:v>
      </x:c>
      <x:c r="Y291" s="15" t="str">
        <x:v>5d60fd1db4060780</x:v>
      </x:c>
    </x:row>
    <x:row r="292">
      <x:c r="A292" s="34" t="n">
        <x:v>46045.6625</x:v>
      </x:c>
      <x:c r="B292" s="36" t="n">
        <x:v>46045</x:v>
      </x:c>
      <x:c r="C292" s="34" t="n">
        <x:v>46045.66307870371</x:v>
      </x:c>
      <x:c r="D292" s="15" t="str">
        <x:v>Current a/c..512781</x:v>
      </x:c>
      <x:c r="E292" s="15" t="str"/>
      <x:c r="F292" s="15" t="str">
        <x:v>R13271.53 paid from Current a/c..512781 @ Smartapp. Avail R75895. Ref.Stratton Prop Mng. 23Jan 15:54</x:v>
      </x:c>
      <x:c r="G292" s="15" t="str">
        <x:v>Stratton Prop Mng</x:v>
      </x:c>
      <x:c r="H292" s="38" t="n">
        <x:v>13271.53</x:v>
      </x:c>
      <x:c r="I292" s="15" t="str">
        <x:v>ZAR</x:v>
      </x:c>
      <x:c r="J292" s="15" t="str">
        <x:v>Outflow</x:v>
      </x:c>
      <x:c r="K292" s="15" t="str">
        <x:v>EFT payment</x:v>
      </x:c>
      <x:c r="L292" s="15" t="str">
        <x:v>Supplier payments</x:v>
      </x:c>
      <x:c r="M292" s="38"/>
      <x:c r="N292" s="38" t="n">
        <x:v>75895</x:v>
      </x:c>
      <x:c r="O292" s="15" t="str"/>
      <x:c r="P292" s="15" t="str">
        <x:v>eml_ALL_currentac__512781 (2).zip &gt; eml7currentac__512781.zip</x:v>
      </x:c>
      <x:c r="Q292" s="15" t="str">
        <x:v>FNB _-) R13271.53 paid from Current a_c..512781 @ Smartapp. Ref.Stratton Prop Mng. 23Jan 15_54.eml</x:v>
      </x:c>
      <x:c r="R292" s="15" t="str">
        <x:v>High</x:v>
      </x:c>
      <x:c r="S292" s="15" t="str">
        <x:v>Category confidence Low: Default outflow category; review counterparty/reference.</x:v>
      </x:c>
      <x:c r="T292" s="15" t="str"/>
      <x:c r="U292" s="15" t="str"/>
      <x:c r="V292" s="15" t="str">
        <x:v>Stratton Prop Mng</x:v>
      </x:c>
      <x:c r="W292" s="15" t="str">
        <x:v>Smartapp</x:v>
      </x:c>
      <x:c r="X292" s="15" t="str">
        <x:v>FNB :-) R13271.53 paid from Current a/c..512781 @ Smartapp. Avail R75895. Ref.Stratton Prop Mng. 23Jan 15:54</x:v>
      </x:c>
      <x:c r="Y292" s="15" t="str">
        <x:v>766eba3ba00b3fc5</x:v>
      </x:c>
    </x:row>
    <x:row r="293">
      <x:c r="A293" s="34" t="n">
        <x:v>46045.697222222225</x:v>
      </x:c>
      <x:c r="B293" s="36" t="n">
        <x:v>46045</x:v>
      </x:c>
      <x:c r="C293" s="34" t="n">
        <x:v>46045.69725694445</x:v>
      </x:c>
      <x:c r="D293" s="15" t="str">
        <x:v>Current a/c..512781</x:v>
      </x:c>
      <x:c r="E293" s="15" t="str"/>
      <x:c r="F293" s="15" t="str">
        <x:v>R1000.00 paid from Current a/c..512781 @ Smartapp. Avail R74892. Ref.Electricity 04279376. 23Jan 16:44</x:v>
      </x:c>
      <x:c r="G293" s="15" t="str">
        <x:v>Electricity 04279376</x:v>
      </x:c>
      <x:c r="H293" s="38" t="n">
        <x:v>1000</x:v>
      </x:c>
      <x:c r="I293" s="15" t="str">
        <x:v>ZAR</x:v>
      </x:c>
      <x:c r="J293" s="15" t="str">
        <x:v>Outflow</x:v>
      </x:c>
      <x:c r="K293" s="15" t="str">
        <x:v>EFT payment</x:v>
      </x:c>
      <x:c r="L293" s="15" t="str">
        <x:v>Telecom / utilities</x:v>
      </x:c>
      <x:c r="M293" s="38"/>
      <x:c r="N293" s="38" t="n">
        <x:v>74892</x:v>
      </x:c>
      <x:c r="O293" s="15" t="str"/>
      <x:c r="P293" s="15" t="str">
        <x:v>eml_ALL_currentac__512781 (2).zip &gt; eml7currentac__512781.zip</x:v>
      </x:c>
      <x:c r="Q293" s="15" t="str">
        <x:v>FNB _-) R1000.00 paid from Current a_c..512781 @ Smartapp. Ref.Electricity 04279376. 23Jan 16_44.eml</x:v>
      </x:c>
      <x:c r="R293" s="15" t="str">
        <x:v>High</x:v>
      </x:c>
      <x:c r="S293" s="15" t="str"/>
      <x:c r="T293" s="15" t="str"/>
      <x:c r="U293" s="15" t="str"/>
      <x:c r="V293" s="15" t="str">
        <x:v>Electricity 04279376</x:v>
      </x:c>
      <x:c r="W293" s="15" t="str">
        <x:v>Smartapp</x:v>
      </x:c>
      <x:c r="X293" s="15" t="str">
        <x:v>FNB :-) R1000.00 paid from Current a/c..512781 @ Smartapp. Avail R74892. Ref.Electricity 04279376. 23Jan 16:44</x:v>
      </x:c>
      <x:c r="Y293" s="15" t="str">
        <x:v>f62b222352eb3685</x:v>
      </x:c>
    </x:row>
    <x:row r="294">
      <x:c r="A294" s="34" t="n">
        <x:v>46046.44375</x:v>
      </x:c>
      <x:c r="B294" s="36" t="n">
        <x:v>46046</x:v>
      </x:c>
      <x:c r="C294" s="34" t="n">
        <x:v>46046.444340277776</x:v>
      </x:c>
      <x:c r="D294" s="15" t="str">
        <x:v>Current a/c..512781</x:v>
      </x:c>
      <x:c r="E294" s="15" t="str"/>
      <x:c r="F294" s="15" t="str">
        <x:v>R819.47 paid to Current a/c..512781 @ Payshap. Ref.Ik Pay 487882. 24Jan 10:39</x:v>
      </x:c>
      <x:c r="G294" s="15" t="str">
        <x:v>Ik Pay 487882</x:v>
      </x:c>
      <x:c r="H294" s="38" t="n">
        <x:v>819.47</x:v>
      </x:c>
      <x:c r="I294" s="15" t="str">
        <x:v>ZAR</x:v>
      </x:c>
      <x:c r="J294" s="15" t="str">
        <x:v>Inflow</x:v>
      </x:c>
      <x:c r="K294" s="15" t="str">
        <x:v>EFT receipt</x:v>
      </x:c>
      <x:c r="L294" s="15" t="str">
        <x:v>Sales / customer receipts</x:v>
      </x:c>
      <x:c r="M294" s="38"/>
      <x:c r="N294" s="38"/>
      <x:c r="O294" s="15" t="str"/>
      <x:c r="P294" s="15" t="str">
        <x:v>eml_ALL_currentac__512781 (2).zip &gt; eml7currentac__512781.zip</x:v>
      </x:c>
      <x:c r="Q294" s="15" t="str">
        <x:v>FNB _-) R819.47 paid to Current a_c..512781 @ Payshap. Ref.Ik Pay 487882. 24Jan 10_39.eml</x:v>
      </x:c>
      <x:c r="R294" s="15" t="str">
        <x:v>High</x:v>
      </x:c>
      <x:c r="S294" s="15" t="str">
        <x:v>Category confidence Medium: Default for incoming EFT/PayShap/online receipt.</x:v>
      </x:c>
      <x:c r="T294" s="15" t="str"/>
      <x:c r="U294" s="15" t="str"/>
      <x:c r="V294" s="15" t="str">
        <x:v>Ik Pay 487882</x:v>
      </x:c>
      <x:c r="W294" s="15" t="str">
        <x:v>Payshap</x:v>
      </x:c>
      <x:c r="X294" s="15" t="str">
        <x:v>FNB :-) R819.47 paid to Current a/c..512781 @ Payshap. Ref.Ik Pay 487882. 24Jan 10:39</x:v>
      </x:c>
      <x:c r="Y294" s="15" t="str">
        <x:v>6e8c42e3d141a0ef</x:v>
      </x:c>
    </x:row>
    <x:row r="295">
      <x:c r="A295" s="34" t="n">
        <x:v>46046.51458333333</x:v>
      </x:c>
      <x:c r="B295" s="36" t="n">
        <x:v>46046</x:v>
      </x:c>
      <x:c r="C295" s="34" t="n">
        <x:v>46046.51525462963</x:v>
      </x:c>
      <x:c r="D295" s="15" t="str">
        <x:v>Current a/c..512781</x:v>
      </x:c>
      <x:c r="E295" s="15" t="str">
        <x:v>card..2924</x:v>
      </x:c>
      <x:c r="F295" s="15" t="str">
        <x:v>R282.99 reserved for purchase @ Savemor Marloth from Current a/c..512781 using card..2924. Avail R75429. 24Jan 12:21</x:v>
      </x:c>
      <x:c r="G295" s="15" t="str">
        <x:v>Savemor Marloth</x:v>
      </x:c>
      <x:c r="H295" s="38" t="n">
        <x:v>282.99</x:v>
      </x:c>
      <x:c r="I295" s="15" t="str">
        <x:v>ZAR</x:v>
      </x:c>
      <x:c r="J295" s="15" t="str">
        <x:v>Outflow</x:v>
      </x:c>
      <x:c r="K295" s="15" t="str">
        <x:v>Card purchase</x:v>
      </x:c>
      <x:c r="L295" s="15" t="str">
        <x:v>Supplier payments</x:v>
      </x:c>
      <x:c r="M295" s="38"/>
      <x:c r="N295" s="38" t="n">
        <x:v>75429</x:v>
      </x:c>
      <x:c r="O295" s="15" t="str"/>
      <x:c r="P295" s="15" t="str">
        <x:v>eml_ALL_currentac__512781 (2).zip &gt; eml7currentac__512781.zip</x:v>
      </x:c>
      <x:c r="Q295" s="15" t="str">
        <x:v>FNB _-) R282.99 reserved for purchase @ Savemor Marloth from Current a_c..512781 using card..2924. 24Jan 12_21.eml</x:v>
      </x:c>
      <x:c r="R295" s="15" t="str">
        <x:v>High</x:v>
      </x:c>
      <x:c r="S295" s="15" t="str">
        <x:v>Category confidence Medium: Retail/supplier merchant keyword.</x:v>
      </x:c>
      <x:c r="T295" s="15" t="str"/>
      <x:c r="U295" s="15" t="str"/>
      <x:c r="V295" s="15" t="str"/>
      <x:c r="W295" s="15" t="str"/>
      <x:c r="X295" s="15" t="str">
        <x:v>FNB :-) R282.99 reserved for purchase @ Savemor Marloth from Current a/c..512781 using card..2924. Avail R75429. 24Jan 12:21</x:v>
      </x:c>
      <x:c r="Y295" s="15" t="str">
        <x:v>9d9e17a7057c98c4</x:v>
      </x:c>
    </x:row>
    <x:row r="296">
      <x:c r="A296" s="34" t="n">
        <x:v>46046.53472222222</x:v>
      </x:c>
      <x:c r="B296" s="36" t="n">
        <x:v>46046</x:v>
      </x:c>
      <x:c r="C296" s="34" t="n">
        <x:v>46046.53506944444</x:v>
      </x:c>
      <x:c r="D296" s="15" t="str">
        <x:v>Current a/c..512781</x:v>
      </x:c>
      <x:c r="E296" s="15" t="str">
        <x:v>card..2924</x:v>
      </x:c>
      <x:c r="F296" s="15" t="str">
        <x:v>R330.20 reserved for purchase @ Oasis Water Komatipo from Current a/c..512781 using card..2924. Avail R75098. 24Jan 12:50</x:v>
      </x:c>
      <x:c r="G296" s="15" t="str">
        <x:v>Oasis Water Komatipo</x:v>
      </x:c>
      <x:c r="H296" s="38" t="n">
        <x:v>330.2</x:v>
      </x:c>
      <x:c r="I296" s="15" t="str">
        <x:v>ZAR</x:v>
      </x:c>
      <x:c r="J296" s="15" t="str">
        <x:v>Outflow</x:v>
      </x:c>
      <x:c r="K296" s="15" t="str">
        <x:v>Card purchase</x:v>
      </x:c>
      <x:c r="L296" s="15" t="str">
        <x:v>Supplier payments</x:v>
      </x:c>
      <x:c r="M296" s="38"/>
      <x:c r="N296" s="38" t="n">
        <x:v>75098</x:v>
      </x:c>
      <x:c r="O296" s="15" t="str"/>
      <x:c r="P296" s="15" t="str">
        <x:v>eml_ALL_currentac__512781 (2).zip &gt; eml7currentac__512781.zip</x:v>
      </x:c>
      <x:c r="Q296" s="15" t="str">
        <x:v>FNB _-) R330.20 reserved for purchase @ Oasis Water Komatipo from Current a_c..512781 using card..2924. 24Jan 12_50.eml</x:v>
      </x:c>
      <x:c r="R296" s="15" t="str">
        <x:v>High</x:v>
      </x:c>
      <x:c r="S296" s="15" t="str">
        <x:v>Category confidence Medium: Retail/supplier merchant keyword.</x:v>
      </x:c>
      <x:c r="T296" s="15" t="str"/>
      <x:c r="U296" s="15" t="str"/>
      <x:c r="V296" s="15" t="str"/>
      <x:c r="W296" s="15" t="str"/>
      <x:c r="X296" s="15" t="str">
        <x:v>FNB :-) R330.20 reserved for purchase @ Oasis Water Komatipo from Current a/c..512781 using card..2924. Avail R75098. 24Jan 12:50</x:v>
      </x:c>
      <x:c r="Y296" s="15" t="str">
        <x:v>4ee0b67ca0386143</x:v>
      </x:c>
    </x:row>
    <x:row r="297">
      <x:c r="A297" s="34" t="n">
        <x:v>46046.57847222222</x:v>
      </x:c>
      <x:c r="B297" s="36" t="n">
        <x:v>46046</x:v>
      </x:c>
      <x:c r="C297" s="34" t="n">
        <x:v>46046.57902777778</x:v>
      </x:c>
      <x:c r="D297" s="15" t="str">
        <x:v>Current a/c..512781</x:v>
      </x:c>
      <x:c r="E297" s="15" t="str">
        <x:v>card..2924</x:v>
      </x:c>
      <x:c r="F297" s="15" t="str">
        <x:v>R1704.64 reserved for purchase @ Superspar Komatipoor from Current a/c..512781 using card..2924. Avail R73394. 24Jan 13:53</x:v>
      </x:c>
      <x:c r="G297" s="15" t="str">
        <x:v>Superspar Komatipoor</x:v>
      </x:c>
      <x:c r="H297" s="38" t="n">
        <x:v>1704.64</x:v>
      </x:c>
      <x:c r="I297" s="15" t="str">
        <x:v>ZAR</x:v>
      </x:c>
      <x:c r="J297" s="15" t="str">
        <x:v>Outflow</x:v>
      </x:c>
      <x:c r="K297" s="15" t="str">
        <x:v>Card purchase</x:v>
      </x:c>
      <x:c r="L297" s="15" t="str">
        <x:v>Supplier payments</x:v>
      </x:c>
      <x:c r="M297" s="38"/>
      <x:c r="N297" s="38" t="n">
        <x:v>73394</x:v>
      </x:c>
      <x:c r="O297" s="15" t="str"/>
      <x:c r="P297" s="15" t="str">
        <x:v>eml_ALL_currentac__512781 (2).zip &gt; eml7currentac__512781.zip</x:v>
      </x:c>
      <x:c r="Q297" s="15" t="str">
        <x:v>FNB _-) R1704.64 reserved for purchase @ Superspar Komatipoor from Current a_c..512781 using card..2924. 24Jan 13_53.eml</x:v>
      </x:c>
      <x:c r="R297" s="15" t="str">
        <x:v>High</x:v>
      </x:c>
      <x:c r="S297" s="15" t="str">
        <x:v>Category confidence Medium: Retail/supplier merchant keyword.</x:v>
      </x:c>
      <x:c r="T297" s="15" t="str"/>
      <x:c r="U297" s="15" t="str"/>
      <x:c r="V297" s="15" t="str"/>
      <x:c r="W297" s="15" t="str"/>
      <x:c r="X297" s="15" t="str">
        <x:v>FNB :-) R1704.64 reserved for purchase @ Superspar Komatipoor from Current a/c..512781 using card..2924. Avail R73394. 24Jan 13:53</x:v>
      </x:c>
      <x:c r="Y297" s="15" t="str">
        <x:v>f9e76b2ac0c3983f</x:v>
      </x:c>
    </x:row>
    <x:row r="298">
      <x:c r="A298" s="34" t="n">
        <x:v>46046.92638888889</x:v>
      </x:c>
      <x:c r="B298" s="36" t="n">
        <x:v>46046</x:v>
      </x:c>
      <x:c r="C298" s="34" t="n">
        <x:v>46046.92649305556</x:v>
      </x:c>
      <x:c r="D298" s="15" t="str">
        <x:v>Current a/c..512781</x:v>
      </x:c>
      <x:c r="E298" s="15" t="str"/>
      <x:c r="F298" s="15" t="str">
        <x:v>R4000.00 paid from Current a/c..512781 @ Gen Ph. Avail R69379. Ref.Staff Tips For Dec. 24Jan 22:14</x:v>
      </x:c>
      <x:c r="G298" s="15" t="str">
        <x:v>Staff Tips For Dec</x:v>
      </x:c>
      <x:c r="H298" s="38" t="n">
        <x:v>4000</x:v>
      </x:c>
      <x:c r="I298" s="15" t="str">
        <x:v>ZAR</x:v>
      </x:c>
      <x:c r="J298" s="15" t="str">
        <x:v>Outflow</x:v>
      </x:c>
      <x:c r="K298" s="15" t="str">
        <x:v>EFT payment</x:v>
      </x:c>
      <x:c r="L298" s="15" t="str">
        <x:v>Salary / wages</x:v>
      </x:c>
      <x:c r="M298" s="38"/>
      <x:c r="N298" s="38" t="n">
        <x:v>69379</x:v>
      </x:c>
      <x:c r="O298" s="15" t="str"/>
      <x:c r="P298" s="15" t="str">
        <x:v>eml_ALL_currentac__512781 (2).zip &gt; eml7currentac__512781.zip</x:v>
      </x:c>
      <x:c r="Q298" s="15" t="str">
        <x:v>FNB _-) R4000.00 paid from Current a_c..512781 @ Gen Ph. Ref.Staff Tips For Dec. 24Jan 22_14.eml</x:v>
      </x:c>
      <x:c r="R298" s="15" t="str">
        <x:v>High</x:v>
      </x:c>
      <x:c r="S298" s="15" t="str"/>
      <x:c r="T298" s="15" t="str"/>
      <x:c r="U298" s="15" t="str"/>
      <x:c r="V298" s="15" t="str">
        <x:v>Staff Tips For Dec</x:v>
      </x:c>
      <x:c r="W298" s="15" t="str">
        <x:v>Gen Ph</x:v>
      </x:c>
      <x:c r="X298" s="15" t="str">
        <x:v>FNB :-) R4000.00 paid from Current a/c..512781 @ Gen Ph. Avail R69379. Ref.Staff Tips For Dec. 24Jan 22:14</x:v>
      </x:c>
      <x:c r="Y298" s="15" t="str">
        <x:v>377bec0d7cc133c1</x:v>
      </x:c>
    </x:row>
    <x:row r="299">
      <x:c r="A299" s="34" t="n">
        <x:v>46047.01736111111</x:v>
      </x:c>
      <x:c r="B299" s="36" t="n">
        <x:v>46047</x:v>
      </x:c>
      <x:c r="C299" s="34" t="n">
        <x:v>46047.01793981482</x:v>
      </x:c>
      <x:c r="D299" s="15" t="str">
        <x:v>Current a/c..512781</x:v>
      </x:c>
      <x:c r="E299" s="15" t="str"/>
      <x:c r="F299" s="15" t="str">
        <x:v>R5250.00 paid from Current a/c..512781 @ Gen Ph. Avail R64129. Ref.Staff Tips Jan. 25Jan 00:25</x:v>
      </x:c>
      <x:c r="G299" s="15" t="str">
        <x:v>Staff Tips Jan</x:v>
      </x:c>
      <x:c r="H299" s="38" t="n">
        <x:v>5250</x:v>
      </x:c>
      <x:c r="I299" s="15" t="str">
        <x:v>ZAR</x:v>
      </x:c>
      <x:c r="J299" s="15" t="str">
        <x:v>Outflow</x:v>
      </x:c>
      <x:c r="K299" s="15" t="str">
        <x:v>EFT payment</x:v>
      </x:c>
      <x:c r="L299" s="15" t="str">
        <x:v>Salary / wages</x:v>
      </x:c>
      <x:c r="M299" s="38"/>
      <x:c r="N299" s="38" t="n">
        <x:v>64129</x:v>
      </x:c>
      <x:c r="O299" s="15" t="str"/>
      <x:c r="P299" s="15" t="str">
        <x:v>eml_ALL_currentac__512781 (2).zip &gt; eml7currentac__512781.zip</x:v>
      </x:c>
      <x:c r="Q299" s="15" t="str">
        <x:v>FNB _-) R5250.00 paid from Current a_c..512781 @ Gen Ph. Ref.Staff Tips Jan. 25Jan 00_25.eml</x:v>
      </x:c>
      <x:c r="R299" s="15" t="str">
        <x:v>High</x:v>
      </x:c>
      <x:c r="S299" s="15" t="str"/>
      <x:c r="T299" s="15" t="str"/>
      <x:c r="U299" s="15" t="str"/>
      <x:c r="V299" s="15" t="str">
        <x:v>Staff Tips Jan</x:v>
      </x:c>
      <x:c r="W299" s="15" t="str">
        <x:v>Gen Ph</x:v>
      </x:c>
      <x:c r="X299" s="15" t="str">
        <x:v>FNB :-) R5250.00 paid from Current a/c..512781 @ Gen Ph. Avail R64129. Ref.Staff Tips Jan. 25Jan 00:25</x:v>
      </x:c>
      <x:c r="Y299" s="15" t="str">
        <x:v>72a8d2a30563e672</x:v>
      </x:c>
    </x:row>
    <x:row r="300">
      <x:c r="A300" s="34" t="n">
        <x:v>46047.03680555556</x:v>
      </x:c>
      <x:c r="B300" s="36" t="n">
        <x:v>46047</x:v>
      </x:c>
      <x:c r="C300" s="34" t="n">
        <x:v>46047.03703703704</x:v>
      </x:c>
      <x:c r="D300" s="15" t="str">
        <x:v>Current a/c..512781</x:v>
      </x:c>
      <x:c r="E300" s="15" t="str"/>
      <x:c r="F300" s="15" t="str">
        <x:v>R4000.00 paid from Current a/c..512781 @ Gen Ph. Avail R60129. Ref.Staff Tips. 25Jan 00:53</x:v>
      </x:c>
      <x:c r="G300" s="15" t="str">
        <x:v>Staff Tips</x:v>
      </x:c>
      <x:c r="H300" s="38" t="n">
        <x:v>4000</x:v>
      </x:c>
      <x:c r="I300" s="15" t="str">
        <x:v>ZAR</x:v>
      </x:c>
      <x:c r="J300" s="15" t="str">
        <x:v>Outflow</x:v>
      </x:c>
      <x:c r="K300" s="15" t="str">
        <x:v>EFT payment</x:v>
      </x:c>
      <x:c r="L300" s="15" t="str">
        <x:v>Salary / wages</x:v>
      </x:c>
      <x:c r="M300" s="38"/>
      <x:c r="N300" s="38" t="n">
        <x:v>60129</x:v>
      </x:c>
      <x:c r="O300" s="15" t="str"/>
      <x:c r="P300" s="15" t="str">
        <x:v>eml_ALL_currentac__512781 (2).zip &gt; eml7currentac__512781.zip</x:v>
      </x:c>
      <x:c r="Q300" s="15" t="str">
        <x:v>FNB _-) R4000.00 paid from Current a_c..512781 @ Gen Ph. Ref.Staff Tips. 25Jan 00_53.eml</x:v>
      </x:c>
      <x:c r="R300" s="15" t="str">
        <x:v>High</x:v>
      </x:c>
      <x:c r="S300" s="15" t="str"/>
      <x:c r="T300" s="15" t="str"/>
      <x:c r="U300" s="15" t="str"/>
      <x:c r="V300" s="15" t="str">
        <x:v>Staff Tips</x:v>
      </x:c>
      <x:c r="W300" s="15" t="str">
        <x:v>Gen Ph</x:v>
      </x:c>
      <x:c r="X300" s="15" t="str">
        <x:v>FNB :-) R4000.00 paid from Current a/c..512781 @ Gen Ph. Avail R60129. Ref.Staff Tips. 25Jan 00:53</x:v>
      </x:c>
      <x:c r="Y300" s="15" t="str">
        <x:v>d2b521d3e1195f1d</x:v>
      </x:c>
    </x:row>
    <x:row r="301">
      <x:c r="A301" s="34" t="n">
        <x:v>46048.370833333334</x:v>
      </x:c>
      <x:c r="B301" s="36" t="n">
        <x:v>46048</x:v>
      </x:c>
      <x:c r="C301" s="34" t="n">
        <x:v>46048.371157407404</x:v>
      </x:c>
      <x:c r="D301" s="15" t="str">
        <x:v>Current a/c..512781</x:v>
      </x:c>
      <x:c r="E301" s="15" t="str"/>
      <x:c r="F301" s="15" t="str">
        <x:v>R6500.00 paid from Current a/c..512781 @ Gen Ph. Avail R53552. Ref.Pj Els - Showp. 26Jan 08:54</x:v>
      </x:c>
      <x:c r="G301" s="15" t="str">
        <x:v>Pj Els - Showp</x:v>
      </x:c>
      <x:c r="H301" s="38" t="n">
        <x:v>6500</x:v>
      </x:c>
      <x:c r="I301" s="15" t="str">
        <x:v>ZAR</x:v>
      </x:c>
      <x:c r="J301" s="15" t="str">
        <x:v>Outflow</x:v>
      </x:c>
      <x:c r="K301" s="15" t="str">
        <x:v>EFT payment</x:v>
      </x:c>
      <x:c r="L301" s="15" t="str">
        <x:v>Supplier payments</x:v>
      </x:c>
      <x:c r="M301" s="38"/>
      <x:c r="N301" s="38" t="n">
        <x:v>53552</x:v>
      </x:c>
      <x:c r="O301" s="15" t="str"/>
      <x:c r="P301" s="15" t="str">
        <x:v>eml_ALL_currentac__512781 (2).zip &gt; eml7currentac__512781.zip</x:v>
      </x:c>
      <x:c r="Q301" s="15" t="str">
        <x:v>FNB _-) R6500.00 paid from Current a_c..512781 @ Gen Ph. Ref.Pj Els - Showp. 26Jan 08_54.eml</x:v>
      </x:c>
      <x:c r="R301" s="15" t="str">
        <x:v>High</x:v>
      </x:c>
      <x:c r="S301" s="15" t="str">
        <x:v>Category confidence Low: Default outflow category; review counterparty/reference.</x:v>
      </x:c>
      <x:c r="T301" s="15" t="str"/>
      <x:c r="U301" s="15" t="str"/>
      <x:c r="V301" s="15" t="str">
        <x:v>Pj Els - Showp</x:v>
      </x:c>
      <x:c r="W301" s="15" t="str">
        <x:v>Gen Ph</x:v>
      </x:c>
      <x:c r="X301" s="15" t="str">
        <x:v>FNB :-) R6500.00 paid from Current a/c..512781 @ Gen Ph. Avail R53552. Ref.Pj Els - Showp. 26Jan 08:54</x:v>
      </x:c>
      <x:c r="Y301" s="15" t="str">
        <x:v>390e5494f7e38d90</x:v>
      </x:c>
    </x:row>
    <x:row r="302">
      <x:c r="A302" s="34" t="n">
        <x:v>46048.45694444444</x:v>
      </x:c>
      <x:c r="B302" s="36" t="n">
        <x:v>46048</x:v>
      </x:c>
      <x:c r="C302" s="34" t="n">
        <x:v>46048.45699074074</x:v>
      </x:c>
      <x:c r="D302" s="15" t="str">
        <x:v>Current a/c..512781</x:v>
      </x:c>
      <x:c r="E302" s="15" t="str"/>
      <x:c r="F302" s="15" t="str">
        <x:v>Payment Link created from Current a/c..512781 To Lebombo Verkoeling..990821 @ Smartapp. 26Jan 10:58 Call 087 575 9404 for help.</x:v>
      </x:c>
      <x:c r="G302" s="15" t="str">
        <x:v>Lebombo Verkoeling..990821</x:v>
      </x:c>
      <x:c r="H302" s="38"/>
      <x:c r="I302" s="15" t="str"/>
      <x:c r="J302" s="15" t="str">
        <x:v>Neutral/Information Only</x:v>
      </x:c>
      <x:c r="K302" s="15" t="str">
        <x:v>Other</x:v>
      </x:c>
      <x:c r="L302" s="15" t="str">
        <x:v>Other</x:v>
      </x:c>
      <x:c r="M302" s="38"/>
      <x:c r="N302" s="38"/>
      <x:c r="O302" s="15" t="str"/>
      <x:c r="P302" s="15" t="str">
        <x:v>eml_ALL_currentac__512781 (2).zip &gt; eml7currentac__512781.zip</x:v>
      </x:c>
      <x:c r="Q302" s="15" t="str">
        <x:v>FNB _-) Payment Link created from Current a_c..512781 To Lebombo Verkoeling..990821 @ Smartapp. 26Jan 10_58 Call 087 575 9404  for help..eml</x:v>
      </x:c>
      <x:c r="R302" s="15" t="str">
        <x:v>High</x:v>
      </x:c>
      <x:c r="S302" s="15" t="str">
        <x:v>Payment link creation only; no money movement indicated. Category confidence Low: Unable to map confidently.</x:v>
      </x:c>
      <x:c r="T302" s="15" t="str">
        <x:v>Current a/c..512781</x:v>
      </x:c>
      <x:c r="U302" s="15" t="str">
        <x:v>Lebombo Verkoeling..990821</x:v>
      </x:c>
      <x:c r="V302" s="15" t="str"/>
      <x:c r="W302" s="15" t="str">
        <x:v>Smartapp</x:v>
      </x:c>
      <x:c r="X302" s="15" t="str">
        <x:v>FNB :-) Payment Link created from Current a/c..512781 To Lebombo Verkoeling..990821 @ Smartapp. 26Jan 10:58 Call 087 575 9404 for help.</x:v>
      </x:c>
      <x:c r="Y302" s="15" t="str">
        <x:v>6d1266892bab916d</x:v>
      </x:c>
    </x:row>
    <x:row r="303">
      <x:c r="A303" s="34" t="n">
        <x:v>46048.45694444444</x:v>
      </x:c>
      <x:c r="B303" s="36" t="n">
        <x:v>46048</x:v>
      </x:c>
      <x:c r="C303" s="34" t="n">
        <x:v>46048.45712962963</x:v>
      </x:c>
      <x:c r="D303" s="15" t="str">
        <x:v>Current a/c..512781</x:v>
      </x:c>
      <x:c r="E303" s="15" t="str"/>
      <x:c r="F303" s="15" t="str">
        <x:v>R1625.00 paid from Current a/c..512781 @ Smartapp. Avail R51919. Ref.Lebombo Washing Mach. 26Jan 10:58</x:v>
      </x:c>
      <x:c r="G303" s="15" t="str">
        <x:v>Lebombo Washing Mach</x:v>
      </x:c>
      <x:c r="H303" s="38" t="n">
        <x:v>1625</x:v>
      </x:c>
      <x:c r="I303" s="15" t="str">
        <x:v>ZAR</x:v>
      </x:c>
      <x:c r="J303" s="15" t="str">
        <x:v>Outflow</x:v>
      </x:c>
      <x:c r="K303" s="15" t="str">
        <x:v>EFT payment</x:v>
      </x:c>
      <x:c r="L303" s="15" t="str">
        <x:v>Supplier payments</x:v>
      </x:c>
      <x:c r="M303" s="38"/>
      <x:c r="N303" s="38" t="n">
        <x:v>51919</x:v>
      </x:c>
      <x:c r="O303" s="15" t="str"/>
      <x:c r="P303" s="15" t="str">
        <x:v>eml_ALL_currentac__512781 (2).zip &gt; eml7currentac__512781.zip</x:v>
      </x:c>
      <x:c r="Q303" s="15" t="str">
        <x:v>FNB _-) R1625.00 paid from Current a_c..512781 @ Smartapp. Ref.Lebombo Washing Mach. 26Jan 10_58.eml</x:v>
      </x:c>
      <x:c r="R303" s="15" t="str">
        <x:v>High</x:v>
      </x:c>
      <x:c r="S303" s="15" t="str">
        <x:v>Category confidence Low: Default outflow category; review counterparty/reference.</x:v>
      </x:c>
      <x:c r="T303" s="15" t="str"/>
      <x:c r="U303" s="15" t="str"/>
      <x:c r="V303" s="15" t="str">
        <x:v>Lebombo Washing Mach</x:v>
      </x:c>
      <x:c r="W303" s="15" t="str">
        <x:v>Smartapp</x:v>
      </x:c>
      <x:c r="X303" s="15" t="str">
        <x:v>FNB :-) R1625.00 paid from Current a/c..512781 @ Smartapp. Avail R51919. Ref.Lebombo Washing Mach. 26Jan 10:58</x:v>
      </x:c>
      <x:c r="Y303" s="15" t="str">
        <x:v>e9f97b278d3d2a3d</x:v>
      </x:c>
    </x:row>
    <x:row r="304">
      <x:c r="A304" s="34" t="n">
        <x:v>46048.63402777778</x:v>
      </x:c>
      <x:c r="B304" s="36" t="n">
        <x:v>46048</x:v>
      </x:c>
      <x:c r="C304" s="34" t="n">
        <x:v>46048.63418981482</x:v>
      </x:c>
      <x:c r="D304" s="15" t="str">
        <x:v>Current a/c..512781</x:v>
      </x:c>
      <x:c r="E304" s="15" t="str">
        <x:v>card..2924</x:v>
      </x:c>
      <x:c r="F304" s="15" t="str">
        <x:v>R328.94 reserved for purchase @ Savemor Marloth from Current a/c..512781 using card..2924. Avail R51590. 26Jan 15:13</x:v>
      </x:c>
      <x:c r="G304" s="15" t="str">
        <x:v>Savemor Marloth</x:v>
      </x:c>
      <x:c r="H304" s="38" t="n">
        <x:v>328.94</x:v>
      </x:c>
      <x:c r="I304" s="15" t="str">
        <x:v>ZAR</x:v>
      </x:c>
      <x:c r="J304" s="15" t="str">
        <x:v>Outflow</x:v>
      </x:c>
      <x:c r="K304" s="15" t="str">
        <x:v>Card purchase</x:v>
      </x:c>
      <x:c r="L304" s="15" t="str">
        <x:v>Supplier payments</x:v>
      </x:c>
      <x:c r="M304" s="38"/>
      <x:c r="N304" s="38" t="n">
        <x:v>51590</x:v>
      </x:c>
      <x:c r="O304" s="15" t="str"/>
      <x:c r="P304" s="15" t="str">
        <x:v>eml_ALL_currentac__512781 (2).zip &gt; eml7currentac__512781.zip</x:v>
      </x:c>
      <x:c r="Q304" s="15" t="str">
        <x:v>FNB _-) R328.94 reserved for purchase @ Savemor Marloth from Current a_c..512781 using card..2924. 26Jan 15_13.eml</x:v>
      </x:c>
      <x:c r="R304" s="15" t="str">
        <x:v>High</x:v>
      </x:c>
      <x:c r="S304" s="15" t="str">
        <x:v>Category confidence Medium: Retail/supplier merchant keyword.</x:v>
      </x:c>
      <x:c r="T304" s="15" t="str"/>
      <x:c r="U304" s="15" t="str"/>
      <x:c r="V304" s="15" t="str"/>
      <x:c r="W304" s="15" t="str"/>
      <x:c r="X304" s="15" t="str">
        <x:v>FNB :-) R328.94 reserved for purchase @ Savemor Marloth from Current a/c..512781 using card..2924. Avail R51590. 26Jan 15:13</x:v>
      </x:c>
      <x:c r="Y304" s="15" t="str">
        <x:v>85f19285edfe3bfb</x:v>
      </x:c>
    </x:row>
    <x:row r="305">
      <x:c r="A305" s="34" t="n">
        <x:v>46048.64097222222</x:v>
      </x:c>
      <x:c r="B305" s="36" t="n">
        <x:v>46048</x:v>
      </x:c>
      <x:c r="C305" s="34" t="n">
        <x:v>46048.64129629629</x:v>
      </x:c>
      <x:c r="D305" s="15" t="str">
        <x:v>Current a/c..512781</x:v>
      </x:c>
      <x:c r="E305" s="15" t="str">
        <x:v>card..2924</x:v>
      </x:c>
      <x:c r="F305" s="15" t="str">
        <x:v>R134.00 reserved for purchase @ Boskombuis 116 from Current a/c..512781 using card..2924. Avail R51456. 26Jan 15:23</x:v>
      </x:c>
      <x:c r="G305" s="15" t="str">
        <x:v>Boskombuis 116</x:v>
      </x:c>
      <x:c r="H305" s="38" t="n">
        <x:v>134</x:v>
      </x:c>
      <x:c r="I305" s="15" t="str">
        <x:v>ZAR</x:v>
      </x:c>
      <x:c r="J305" s="15" t="str">
        <x:v>Outflow</x:v>
      </x:c>
      <x:c r="K305" s="15" t="str">
        <x:v>Card purchase</x:v>
      </x:c>
      <x:c r="L305" s="15" t="str">
        <x:v>Card spend</x:v>
      </x:c>
      <x:c r="M305" s="38"/>
      <x:c r="N305" s="38" t="n">
        <x:v>51456</x:v>
      </x:c>
      <x:c r="O305" s="15" t="str"/>
      <x:c r="P305" s="15" t="str">
        <x:v>eml_ALL_currentac__512781 (2).zip &gt; eml7currentac__512781.zip</x:v>
      </x:c>
      <x:c r="Q305" s="15" t="str">
        <x:v>FNB _-) R134.00 reserved for purchase @ Boskombuis 116 from Current a_c..512781 using card..2924. 26Jan 15_23.eml</x:v>
      </x:c>
      <x:c r="R305" s="15" t="str">
        <x:v>High</x:v>
      </x:c>
      <x:c r="S305" s="15" t="str">
        <x:v>Category confidence Low: Default card-spend category; merchant not confidently mapped.</x:v>
      </x:c>
      <x:c r="T305" s="15" t="str"/>
      <x:c r="U305" s="15" t="str"/>
      <x:c r="V305" s="15" t="str"/>
      <x:c r="W305" s="15" t="str"/>
      <x:c r="X305" s="15" t="str">
        <x:v>FNB :-) R134.00 reserved for purchase @ Boskombuis 116 from Current a/c..512781 using card..2924. Avail R51456. 26Jan 15:23</x:v>
      </x:c>
      <x:c r="Y305" s="15" t="str">
        <x:v>44e6f3f209dee9c9</x:v>
      </x:c>
    </x:row>
    <x:row r="306">
      <x:c r="A306" s="34" t="n">
        <x:v>46048.720138888886</x:v>
      </x:c>
      <x:c r="B306" s="36" t="n">
        <x:v>46048</x:v>
      </x:c>
      <x:c r="C306" s="34" t="n">
        <x:v>46048.72047453704</x:v>
      </x:c>
      <x:c r="D306" s="15" t="str">
        <x:v>Current a/c..512781</x:v>
      </x:c>
      <x:c r="E306" s="15" t="str">
        <x:v>card..2924</x:v>
      </x:c>
      <x:c r="F306" s="15" t="str">
        <x:v>R152.64 reserved for purchase @ Savemor Marloth from Current a/c..512781 using card..2924. Avail R51304. 26Jan 17:17</x:v>
      </x:c>
      <x:c r="G306" s="15" t="str">
        <x:v>Savemor Marloth</x:v>
      </x:c>
      <x:c r="H306" s="38" t="n">
        <x:v>152.64</x:v>
      </x:c>
      <x:c r="I306" s="15" t="str">
        <x:v>ZAR</x:v>
      </x:c>
      <x:c r="J306" s="15" t="str">
        <x:v>Outflow</x:v>
      </x:c>
      <x:c r="K306" s="15" t="str">
        <x:v>Card purchase</x:v>
      </x:c>
      <x:c r="L306" s="15" t="str">
        <x:v>Supplier payments</x:v>
      </x:c>
      <x:c r="M306" s="38"/>
      <x:c r="N306" s="38" t="n">
        <x:v>51304</x:v>
      </x:c>
      <x:c r="O306" s="15" t="str"/>
      <x:c r="P306" s="15" t="str">
        <x:v>eml_ALL_currentac__512781 (2).zip &gt; eml7currentac__512781.zip</x:v>
      </x:c>
      <x:c r="Q306" s="15" t="str">
        <x:v>FNB _-) R152.64 reserved for purchase @ Savemor Marloth from Current a_c..512781 using card..2924. 26Jan 17_17.eml</x:v>
      </x:c>
      <x:c r="R306" s="15" t="str">
        <x:v>High</x:v>
      </x:c>
      <x:c r="S306" s="15" t="str">
        <x:v>Category confidence Medium: Retail/supplier merchant keyword.</x:v>
      </x:c>
      <x:c r="T306" s="15" t="str"/>
      <x:c r="U306" s="15" t="str"/>
      <x:c r="V306" s="15" t="str"/>
      <x:c r="W306" s="15" t="str"/>
      <x:c r="X306" s="15" t="str">
        <x:v>FNB :-) R152.64 reserved for purchase @ Savemor Marloth from Current a/c..512781 using card..2924. Avail R51304. 26Jan 17:17</x:v>
      </x:c>
      <x:c r="Y306" s="15" t="str">
        <x:v>2195aba9aa547747</x:v>
      </x:c>
    </x:row>
    <x:row r="307">
      <x:c r="A307" s="34" t="n">
        <x:v>46048.88888888889</x:v>
      </x:c>
      <x:c r="B307" s="36" t="n">
        <x:v>46048</x:v>
      </x:c>
      <x:c r="C307" s="34" t="n">
        <x:v>46048.889027777775</x:v>
      </x:c>
      <x:c r="D307" s="15" t="str">
        <x:v>Current a/c..512781</x:v>
      </x:c>
      <x:c r="E307" s="15" t="str"/>
      <x:c r="F307" s="15" t="str">
        <x:v>R15000.00 paid from Current a/c..512781 @ Smartapp. Avail R36304. Ref.Repairs + Maintenanc. 26Jan 21:20</x:v>
      </x:c>
      <x:c r="G307" s="15" t="str">
        <x:v>Repairs + Maintenanc</x:v>
      </x:c>
      <x:c r="H307" s="38" t="n">
        <x:v>15000</x:v>
      </x:c>
      <x:c r="I307" s="15" t="str">
        <x:v>ZAR</x:v>
      </x:c>
      <x:c r="J307" s="15" t="str">
        <x:v>Outflow</x:v>
      </x:c>
      <x:c r="K307" s="15" t="str">
        <x:v>EFT payment</x:v>
      </x:c>
      <x:c r="L307" s="15" t="str">
        <x:v>Supplier payments</x:v>
      </x:c>
      <x:c r="M307" s="38"/>
      <x:c r="N307" s="38" t="n">
        <x:v>36304</x:v>
      </x:c>
      <x:c r="O307" s="15" t="str"/>
      <x:c r="P307" s="15" t="str">
        <x:v>eml_ALL_currentac__512781 (2).zip &gt; eml7currentac__512781.zip</x:v>
      </x:c>
      <x:c r="Q307" s="15" t="str">
        <x:v>FNB _-) R15000.00 paid from Current a_c..512781 @ Smartapp. Ref.Repairs + Maintenanc. 26Jan 21_20.eml</x:v>
      </x:c>
      <x:c r="R307" s="15" t="str">
        <x:v>High</x:v>
      </x:c>
      <x:c r="S307" s="15" t="str">
        <x:v>Category confidence Low: Default outflow category; review counterparty/reference.</x:v>
      </x:c>
      <x:c r="T307" s="15" t="str"/>
      <x:c r="U307" s="15" t="str"/>
      <x:c r="V307" s="15" t="str">
        <x:v>Repairs + Maintenanc</x:v>
      </x:c>
      <x:c r="W307" s="15" t="str">
        <x:v>Smartapp</x:v>
      </x:c>
      <x:c r="X307" s="15" t="str">
        <x:v>FNB :-) R15000.00 paid from Current a/c..512781 @ Smartapp. Avail R36304. Ref.Repairs + Maintenanc. 26Jan 21:20</x:v>
      </x:c>
      <x:c r="Y307" s="15" t="str">
        <x:v>560170a739b8922b</x:v>
      </x:c>
    </x:row>
    <x:row r="308">
      <x:c r="A308" s="34" t="n">
        <x:v>46049</x:v>
      </x:c>
      <x:c r="B308" s="36" t="n">
        <x:v>46049</x:v>
      </x:c>
      <x:c r="C308" s="34" t="n">
        <x:v>46049.093310185184</x:v>
      </x:c>
      <x:c r="D308" s="15" t="str">
        <x:v>Current a/c..512781</x:v>
      </x:c>
      <x:c r="E308" s="15" t="str"/>
      <x:c r="F308" s="15" t="str">
        <x:v>R5071.50 paid to Current a/c..512781 @ Eft. Ref.Capitec I Strydom. 27Jan 00:00</x:v>
      </x:c>
      <x:c r="G308" s="15" t="str">
        <x:v>Capitec I Strydom</x:v>
      </x:c>
      <x:c r="H308" s="38" t="n">
        <x:v>5071.5</x:v>
      </x:c>
      <x:c r="I308" s="15" t="str">
        <x:v>ZAR</x:v>
      </x:c>
      <x:c r="J308" s="15" t="str">
        <x:v>Inflow</x:v>
      </x:c>
      <x:c r="K308" s="15" t="str">
        <x:v>EFT receipt</x:v>
      </x:c>
      <x:c r="L308" s="15" t="str">
        <x:v>Sales / customer receipts</x:v>
      </x:c>
      <x:c r="M308" s="38"/>
      <x:c r="N308" s="38"/>
      <x:c r="O308" s="15" t="str"/>
      <x:c r="P308" s="15" t="str">
        <x:v>eml_ALL_currentac__512781 (2).zip &gt; eml7currentac__512781.zip</x:v>
      </x:c>
      <x:c r="Q308" s="15" t="str">
        <x:v>FNB _-) R5071.50 paid to Current a_c..512781 @ Eft. Ref.Capitec I Strydom. 27Jan 00_00.eml</x:v>
      </x:c>
      <x:c r="R308" s="15" t="str">
        <x:v>High</x:v>
      </x:c>
      <x:c r="S308" s="15" t="str">
        <x:v>Category confidence Medium: Default for incoming EFT/PayShap/online receipt.</x:v>
      </x:c>
      <x:c r="T308" s="15" t="str"/>
      <x:c r="U308" s="15" t="str"/>
      <x:c r="V308" s="15" t="str">
        <x:v>Capitec I Strydom</x:v>
      </x:c>
      <x:c r="W308" s="15" t="str">
        <x:v>Eft</x:v>
      </x:c>
      <x:c r="X308" s="15" t="str">
        <x:v>FNB :-) R5071.50 paid to Current a/c..512781 @ Eft. Ref.Capitec I Strydom. 27Jan 00:00</x:v>
      </x:c>
      <x:c r="Y308" s="15" t="str">
        <x:v>813008adfc4a5773</x:v>
      </x:c>
    </x:row>
    <x:row r="309">
      <x:c r="A309" s="34" t="n">
        <x:v>46049.365277777775</x:v>
      </x:c>
      <x:c r="B309" s="36" t="n">
        <x:v>46049</x:v>
      </x:c>
      <x:c r="C309" s="34" t="n">
        <x:v>46049.36555555555</x:v>
      </x:c>
      <x:c r="D309" s="15" t="str">
        <x:v>Current a/c..512781</x:v>
      </x:c>
      <x:c r="E309" s="15" t="str"/>
      <x:c r="F309" s="15" t="str">
        <x:v>R500.00 paid from Current a/c..512781 @ Smartapp. Avail R40824. Ref.Electricity 04294887. 27Jan 08:46</x:v>
      </x:c>
      <x:c r="G309" s="15" t="str">
        <x:v>Electricity 04294887</x:v>
      </x:c>
      <x:c r="H309" s="38" t="n">
        <x:v>500</x:v>
      </x:c>
      <x:c r="I309" s="15" t="str">
        <x:v>ZAR</x:v>
      </x:c>
      <x:c r="J309" s="15" t="str">
        <x:v>Outflow</x:v>
      </x:c>
      <x:c r="K309" s="15" t="str">
        <x:v>EFT payment</x:v>
      </x:c>
      <x:c r="L309" s="15" t="str">
        <x:v>Telecom / utilities</x:v>
      </x:c>
      <x:c r="M309" s="38"/>
      <x:c r="N309" s="38" t="n">
        <x:v>40824</x:v>
      </x:c>
      <x:c r="O309" s="15" t="str"/>
      <x:c r="P309" s="15" t="str">
        <x:v>eml_ALL_currentac__512781 (2).zip &gt; eml7currentac__512781.zip</x:v>
      </x:c>
      <x:c r="Q309" s="15" t="str">
        <x:v>FNB _-) R500.00 paid from Current a_c..512781 @ Smartapp. Ref.Electricity 04294887. 27Jan 08_46.eml</x:v>
      </x:c>
      <x:c r="R309" s="15" t="str">
        <x:v>High</x:v>
      </x:c>
      <x:c r="S309" s="15" t="str"/>
      <x:c r="T309" s="15" t="str"/>
      <x:c r="U309" s="15" t="str"/>
      <x:c r="V309" s="15" t="str">
        <x:v>Electricity 04294887</x:v>
      </x:c>
      <x:c r="W309" s="15" t="str">
        <x:v>Smartapp</x:v>
      </x:c>
      <x:c r="X309" s="15" t="str">
        <x:v>FNB :-) R500.00 paid from Current a/c..512781 @ Smartapp. Avail R40824. Ref.Electricity 04294887. 27Jan 08:46</x:v>
      </x:c>
      <x:c r="Y309" s="15" t="str">
        <x:v>1dd0957f780cc8ae</x:v>
      </x:c>
    </x:row>
    <x:row r="310">
      <x:c r="A310" s="34" t="n">
        <x:v>46049.39236111111</x:v>
      </x:c>
      <x:c r="B310" s="36" t="n">
        <x:v>46049</x:v>
      </x:c>
      <x:c r="C310" s="34" t="n">
        <x:v>46049.392696759256</x:v>
      </x:c>
      <x:c r="D310" s="15" t="str">
        <x:v>Current a/c..512781</x:v>
      </x:c>
      <x:c r="E310" s="15" t="str"/>
      <x:c r="F310" s="15" t="str">
        <x:v>R3004.00 paid from Current a/c..512781 @ Gen Ph. Avail R37805. Ref.Kruger Safari 1679. 27Jan 09:25</x:v>
      </x:c>
      <x:c r="G310" s="15" t="str">
        <x:v>Kruger Safari 1679</x:v>
      </x:c>
      <x:c r="H310" s="38" t="n">
        <x:v>3004</x:v>
      </x:c>
      <x:c r="I310" s="15" t="str">
        <x:v>ZAR</x:v>
      </x:c>
      <x:c r="J310" s="15" t="str">
        <x:v>Outflow</x:v>
      </x:c>
      <x:c r="K310" s="15" t="str">
        <x:v>EFT payment</x:v>
      </x:c>
      <x:c r="L310" s="15" t="str">
        <x:v>Supplier payments</x:v>
      </x:c>
      <x:c r="M310" s="38"/>
      <x:c r="N310" s="38" t="n">
        <x:v>37805</x:v>
      </x:c>
      <x:c r="O310" s="15" t="str"/>
      <x:c r="P310" s="15" t="str">
        <x:v>eml_ALL_currentac__512781 (2).zip &gt; eml7currentac__512781.zip</x:v>
      </x:c>
      <x:c r="Q310" s="15" t="str">
        <x:v>FNB _-) R3004.00 paid from Current a_c..512781 @ Gen Ph. Ref.Kruger Safari 1679. 27Jan 09_25.eml</x:v>
      </x:c>
      <x:c r="R310" s="15" t="str">
        <x:v>High</x:v>
      </x:c>
      <x:c r="S310" s="15" t="str">
        <x:v>Category confidence Low: Default outflow category; review counterparty/reference.</x:v>
      </x:c>
      <x:c r="T310" s="15" t="str"/>
      <x:c r="U310" s="15" t="str"/>
      <x:c r="V310" s="15" t="str">
        <x:v>Kruger Safari 1679</x:v>
      </x:c>
      <x:c r="W310" s="15" t="str">
        <x:v>Gen Ph</x:v>
      </x:c>
      <x:c r="X310" s="15" t="str">
        <x:v>FNB :-) R3004.00 paid from Current a/c..512781 @ Gen Ph. Avail R37805. Ref.Kruger Safari 1679. 27Jan 09:25</x:v>
      </x:c>
      <x:c r="Y310" s="15" t="str">
        <x:v>20af462038b0bce0</x:v>
      </x:c>
    </x:row>
    <x:row r="311">
      <x:c r="A311" s="34" t="n">
        <x:v>46049.393055555556</x:v>
      </x:c>
      <x:c r="B311" s="36" t="n">
        <x:v>46049</x:v>
      </x:c>
      <x:c r="C311" s="34" t="n">
        <x:v>46049.39357638889</x:v>
      </x:c>
      <x:c r="D311" s="15" t="str">
        <x:v>Current a/c..512781</x:v>
      </x:c>
      <x:c r="E311" s="15" t="str"/>
      <x:c r="F311" s="15" t="str">
        <x:v>R1768.20 paid from Current a/c..512781 @ Smartapp. Avail R36029. Ref.Dinner Box 105910. 27Jan 09:26</x:v>
      </x:c>
      <x:c r="G311" s="15" t="str">
        <x:v>Dinner Box 105910</x:v>
      </x:c>
      <x:c r="H311" s="38" t="n">
        <x:v>1768.2</x:v>
      </x:c>
      <x:c r="I311" s="15" t="str">
        <x:v>ZAR</x:v>
      </x:c>
      <x:c r="J311" s="15" t="str">
        <x:v>Outflow</x:v>
      </x:c>
      <x:c r="K311" s="15" t="str">
        <x:v>EFT payment</x:v>
      </x:c>
      <x:c r="L311" s="15" t="str">
        <x:v>Meals / restaurants / entertainment</x:v>
      </x:c>
      <x:c r="M311" s="38"/>
      <x:c r="N311" s="38" t="n">
        <x:v>36029</x:v>
      </x:c>
      <x:c r="O311" s="15" t="str"/>
      <x:c r="P311" s="15" t="str">
        <x:v>eml_ALL_currentac__512781 (2).zip &gt; eml7currentac__512781.zip</x:v>
      </x:c>
      <x:c r="Q311" s="15" t="str">
        <x:v>FNB _-) R1768.20 paid from Current a_c..512781 @ Smartapp. Ref.Dinner Box 105910. 27Jan 09_26.eml</x:v>
      </x:c>
      <x:c r="R311" s="15" t="str">
        <x:v>High</x:v>
      </x:c>
      <x:c r="S311" s="15" t="str"/>
      <x:c r="T311" s="15" t="str"/>
      <x:c r="U311" s="15" t="str"/>
      <x:c r="V311" s="15" t="str">
        <x:v>Dinner Box 105910</x:v>
      </x:c>
      <x:c r="W311" s="15" t="str">
        <x:v>Smartapp</x:v>
      </x:c>
      <x:c r="X311" s="15" t="str">
        <x:v>FNB :-) R1768.20 paid from Current a/c..512781 @ Smartapp. Avail R36029. Ref.Dinner Box 105910. 27Jan 09:26</x:v>
      </x:c>
      <x:c r="Y311" s="15" t="str">
        <x:v>259a8a404cd89963</x:v>
      </x:c>
    </x:row>
    <x:row r="312">
      <x:c r="A312" s="34" t="n">
        <x:v>46049.558333333334</x:v>
      </x:c>
      <x:c r="B312" s="36" t="n">
        <x:v>46049</x:v>
      </x:c>
      <x:c r="C312" s="34" t="n">
        <x:v>46049.55875</x:v>
      </x:c>
      <x:c r="D312" s="15" t="str">
        <x:v>Current a/c..512781</x:v>
      </x:c>
      <x:c r="E312" s="15" t="str">
        <x:v>card..2924</x:v>
      </x:c>
      <x:c r="F312" s="15" t="str">
        <x:v>R1758.90 reserved for purchase @ Superspar Komatipoor from Current a/c..512781 using card..2924. Avail R34270. 27Jan 13:24</x:v>
      </x:c>
      <x:c r="G312" s="15" t="str">
        <x:v>Superspar Komatipoor</x:v>
      </x:c>
      <x:c r="H312" s="38" t="n">
        <x:v>1758.9</x:v>
      </x:c>
      <x:c r="I312" s="15" t="str">
        <x:v>ZAR</x:v>
      </x:c>
      <x:c r="J312" s="15" t="str">
        <x:v>Outflow</x:v>
      </x:c>
      <x:c r="K312" s="15" t="str">
        <x:v>Card purchase</x:v>
      </x:c>
      <x:c r="L312" s="15" t="str">
        <x:v>Supplier payments</x:v>
      </x:c>
      <x:c r="M312" s="38"/>
      <x:c r="N312" s="38" t="n">
        <x:v>34270</x:v>
      </x:c>
      <x:c r="O312" s="15" t="str"/>
      <x:c r="P312" s="15" t="str">
        <x:v>eml_ALL_currentac__512781 (2).zip &gt; eml7currentac__512781.zip</x:v>
      </x:c>
      <x:c r="Q312" s="15" t="str">
        <x:v>FNB _-) R1758.90 reserved for purchase @ Superspar Komatipoor from Current a_c..512781 using card..2924. 27Jan 13_24.eml</x:v>
      </x:c>
      <x:c r="R312" s="15" t="str">
        <x:v>High</x:v>
      </x:c>
      <x:c r="S312" s="15" t="str">
        <x:v>Category confidence Medium: Retail/supplier merchant keyword.</x:v>
      </x:c>
      <x:c r="T312" s="15" t="str"/>
      <x:c r="U312" s="15" t="str"/>
      <x:c r="V312" s="15" t="str"/>
      <x:c r="W312" s="15" t="str"/>
      <x:c r="X312" s="15" t="str">
        <x:v>FNB :-) R1758.90 reserved for purchase @ Superspar Komatipoor from Current a/c..512781 using card..2924. Avail R34270. 27Jan 13:24</x:v>
      </x:c>
      <x:c r="Y312" s="15" t="str">
        <x:v>b1f807e37e2bcea8</x:v>
      </x:c>
    </x:row>
    <x:row r="313">
      <x:c r="A313" s="34" t="n">
        <x:v>46049.58125</x:v>
      </x:c>
      <x:c r="B313" s="36" t="n">
        <x:v>46049</x:v>
      </x:c>
      <x:c r="C313" s="34" t="n">
        <x:v>46049.581400462965</x:v>
      </x:c>
      <x:c r="D313" s="15" t="str">
        <x:v>Current a/c..512781</x:v>
      </x:c>
      <x:c r="E313" s="15" t="str"/>
      <x:c r="F313" s="15" t="str">
        <x:v>R5773.25 paid to Current a/c..512781 @ Payshap. Ref.Ik Pay 487882. 27Jan 13:57</x:v>
      </x:c>
      <x:c r="G313" s="15" t="str">
        <x:v>Ik Pay 487882</x:v>
      </x:c>
      <x:c r="H313" s="38" t="n">
        <x:v>5773.25</x:v>
      </x:c>
      <x:c r="I313" s="15" t="str">
        <x:v>ZAR</x:v>
      </x:c>
      <x:c r="J313" s="15" t="str">
        <x:v>Inflow</x:v>
      </x:c>
      <x:c r="K313" s="15" t="str">
        <x:v>EFT receipt</x:v>
      </x:c>
      <x:c r="L313" s="15" t="str">
        <x:v>Sales / customer receipts</x:v>
      </x:c>
      <x:c r="M313" s="38"/>
      <x:c r="N313" s="38"/>
      <x:c r="O313" s="15" t="str"/>
      <x:c r="P313" s="15" t="str">
        <x:v>eml_ALL_currentac__512781 (2).zip &gt; eml7currentac__512781.zip</x:v>
      </x:c>
      <x:c r="Q313" s="15" t="str">
        <x:v>FNB _-) R5773.25 paid to Current a_c..512781 @ Payshap. Ref.Ik Pay 487882. 27Jan 13_57.eml</x:v>
      </x:c>
      <x:c r="R313" s="15" t="str">
        <x:v>High</x:v>
      </x:c>
      <x:c r="S313" s="15" t="str">
        <x:v>Category confidence Medium: Default for incoming EFT/PayShap/online receipt.</x:v>
      </x:c>
      <x:c r="T313" s="15" t="str"/>
      <x:c r="U313" s="15" t="str"/>
      <x:c r="V313" s="15" t="str">
        <x:v>Ik Pay 487882</x:v>
      </x:c>
      <x:c r="W313" s="15" t="str">
        <x:v>Payshap</x:v>
      </x:c>
      <x:c r="X313" s="15" t="str">
        <x:v>FNB :-) R5773.25 paid to Current a/c..512781 @ Payshap. Ref.Ik Pay 487882. 27Jan 13:57</x:v>
      </x:c>
      <x:c r="Y313" s="15" t="str">
        <x:v>20eea2398bb3e7fc</x:v>
      </x:c>
    </x:row>
    <x:row r="314">
      <x:c r="A314" s="34" t="n">
        <x:v>46050.467361111114</x:v>
      </x:c>
      <x:c r="B314" s="36" t="n">
        <x:v>46050</x:v>
      </x:c>
      <x:c r="C314" s="34" t="n">
        <x:v>46050.46739583334</x:v>
      </x:c>
      <x:c r="D314" s="15" t="str">
        <x:v>Current a/c..512781</x:v>
      </x:c>
      <x:c r="E314" s="15" t="str">
        <x:v>card..2924</x:v>
      </x:c>
      <x:c r="F314" s="15" t="str">
        <x:v>R518.49 reserved for purchase @ Savemor Marloth from Current a/c..512781 using card..2924. Avail R39438. 28Jan 11:13</x:v>
      </x:c>
      <x:c r="G314" s="15" t="str">
        <x:v>Savemor Marloth</x:v>
      </x:c>
      <x:c r="H314" s="38" t="n">
        <x:v>518.49</x:v>
      </x:c>
      <x:c r="I314" s="15" t="str">
        <x:v>ZAR</x:v>
      </x:c>
      <x:c r="J314" s="15" t="str">
        <x:v>Outflow</x:v>
      </x:c>
      <x:c r="K314" s="15" t="str">
        <x:v>Card purchase</x:v>
      </x:c>
      <x:c r="L314" s="15" t="str">
        <x:v>Supplier payments</x:v>
      </x:c>
      <x:c r="M314" s="38"/>
      <x:c r="N314" s="38" t="n">
        <x:v>39438</x:v>
      </x:c>
      <x:c r="O314" s="15" t="str"/>
      <x:c r="P314" s="15" t="str">
        <x:v>eml_ALL_currentac__512781 (2).zip &gt; eml7currentac__512781.zip</x:v>
      </x:c>
      <x:c r="Q314" s="15" t="str">
        <x:v>FNB _-) R518.49 reserved for purchase @ Savemor Marloth from Current a_c..512781 using card..2924. 28Jan 11_13.eml</x:v>
      </x:c>
      <x:c r="R314" s="15" t="str">
        <x:v>High</x:v>
      </x:c>
      <x:c r="S314" s="15" t="str">
        <x:v>Category confidence Medium: Retail/supplier merchant keyword.</x:v>
      </x:c>
      <x:c r="T314" s="15" t="str"/>
      <x:c r="U314" s="15" t="str"/>
      <x:c r="V314" s="15" t="str"/>
      <x:c r="W314" s="15" t="str"/>
      <x:c r="X314" s="15" t="str">
        <x:v>FNB :-) R518.49 reserved for purchase @ Savemor Marloth from Current a/c..512781 using card..2924. Avail R39438. 28Jan 11:13</x:v>
      </x:c>
      <x:c r="Y314" s="15" t="str">
        <x:v>7b77d2edd32ef7cc</x:v>
      </x:c>
    </x:row>
    <x:row r="315">
      <x:c r="A315" s="34" t="n">
        <x:v>46050.59583333333</x:v>
      </x:c>
      <x:c r="B315" s="36" t="n">
        <x:v>46050</x:v>
      </x:c>
      <x:c r="C315" s="34" t="n">
        <x:v>46050.59646990741</x:v>
      </x:c>
      <x:c r="D315" s="15" t="str">
        <x:v>Current a/c..512781</x:v>
      </x:c>
      <x:c r="E315" s="15" t="str">
        <x:v>card..2924</x:v>
      </x:c>
      <x:c r="F315" s="15" t="str">
        <x:v>R283.25 reserved for purchase @ Buco Komatipoort from Current a/c..512781 using card..2924. Avail R39155. 28Jan 14:18</x:v>
      </x:c>
      <x:c r="G315" s="15" t="str">
        <x:v>Buco Komatipoort</x:v>
      </x:c>
      <x:c r="H315" s="38" t="n">
        <x:v>283.25</x:v>
      </x:c>
      <x:c r="I315" s="15" t="str">
        <x:v>ZAR</x:v>
      </x:c>
      <x:c r="J315" s="15" t="str">
        <x:v>Outflow</x:v>
      </x:c>
      <x:c r="K315" s="15" t="str">
        <x:v>Card purchase</x:v>
      </x:c>
      <x:c r="L315" s="15" t="str">
        <x:v>Supplier payments</x:v>
      </x:c>
      <x:c r="M315" s="38"/>
      <x:c r="N315" s="38" t="n">
        <x:v>39155</x:v>
      </x:c>
      <x:c r="O315" s="15" t="str"/>
      <x:c r="P315" s="15" t="str">
        <x:v>eml_ALL_currentac__512781 (2).zip &gt; eml7currentac__512781.zip</x:v>
      </x:c>
      <x:c r="Q315" s="15" t="str">
        <x:v>FNB _-) R283.25 reserved for purchase @ Buco Komatipoort from Current a_c..512781 using card..2924. 28Jan 14_18.eml</x:v>
      </x:c>
      <x:c r="R315" s="15" t="str">
        <x:v>High</x:v>
      </x:c>
      <x:c r="S315" s="15" t="str">
        <x:v>Category confidence Medium: Retail/supplier merchant keyword.</x:v>
      </x:c>
      <x:c r="T315" s="15" t="str"/>
      <x:c r="U315" s="15" t="str"/>
      <x:c r="V315" s="15" t="str"/>
      <x:c r="W315" s="15" t="str"/>
      <x:c r="X315" s="15" t="str">
        <x:v>FNB :-) R283.25 reserved for purchase @ Buco Komatipoort from Current a/c..512781 using card..2924. Avail R39155. 28Jan 14:18</x:v>
      </x:c>
      <x:c r="Y315" s="15" t="str">
        <x:v>01096cac744f72b4</x:v>
      </x:c>
    </x:row>
    <x:row r="316">
      <x:c r="A316" s="34" t="n">
        <x:v>46050.61388888889</x:v>
      </x:c>
      <x:c r="B316" s="36" t="n">
        <x:v>46050</x:v>
      </x:c>
      <x:c r="C316" s="34" t="n">
        <x:v>46050.614166666666</x:v>
      </x:c>
      <x:c r="D316" s="15" t="str">
        <x:v>Current a/c..512781</x:v>
      </x:c>
      <x:c r="E316" s="15" t="str">
        <x:v>card..2924</x:v>
      </x:c>
      <x:c r="F316" s="15" t="str">
        <x:v>R243.00 reserved for purchase @ Komati Liquor from Current a/c..512781 using card..2924. Avail R38912. 28Jan 14:44</x:v>
      </x:c>
      <x:c r="G316" s="15" t="str">
        <x:v>Komati Liquor</x:v>
      </x:c>
      <x:c r="H316" s="38" t="n">
        <x:v>243</x:v>
      </x:c>
      <x:c r="I316" s="15" t="str">
        <x:v>ZAR</x:v>
      </x:c>
      <x:c r="J316" s="15" t="str">
        <x:v>Outflow</x:v>
      </x:c>
      <x:c r="K316" s="15" t="str">
        <x:v>Card purchase</x:v>
      </x:c>
      <x:c r="L316" s="15" t="str">
        <x:v>Meals / restaurants / entertainment</x:v>
      </x:c>
      <x:c r="M316" s="38"/>
      <x:c r="N316" s="38" t="n">
        <x:v>38912</x:v>
      </x:c>
      <x:c r="O316" s="15" t="str"/>
      <x:c r="P316" s="15" t="str">
        <x:v>eml_ALL_currentac__512781 (2).zip &gt; eml7currentac__512781.zip</x:v>
      </x:c>
      <x:c r="Q316" s="15" t="str">
        <x:v>FNB _-) R243.00 reserved for purchase @ Komati Liquor from Current a_c..512781 using card..2924. 28Jan 14_44.eml</x:v>
      </x:c>
      <x:c r="R316" s="15" t="str">
        <x:v>High</x:v>
      </x:c>
      <x:c r="S316" s="15" t="str"/>
      <x:c r="T316" s="15" t="str"/>
      <x:c r="U316" s="15" t="str"/>
      <x:c r="V316" s="15" t="str"/>
      <x:c r="W316" s="15" t="str"/>
      <x:c r="X316" s="15" t="str">
        <x:v>FNB :-) R243.00 reserved for purchase @ Komati Liquor from Current a/c..512781 using card..2924. Avail R38912. 28Jan 14:44</x:v>
      </x:c>
      <x:c r="Y316" s="15" t="str">
        <x:v>86ef3f2dae88d045</x:v>
      </x:c>
    </x:row>
    <x:row r="317">
      <x:c r="A317" s="34" t="n">
        <x:v>46050.62708333333</x:v>
      </x:c>
      <x:c r="B317" s="36" t="n">
        <x:v>46050</x:v>
      </x:c>
      <x:c r="C317" s="34" t="n">
        <x:v>46050.627592592595</x:v>
      </x:c>
      <x:c r="D317" s="15" t="str">
        <x:v>Current a/c..512781</x:v>
      </x:c>
      <x:c r="E317" s="15" t="str">
        <x:v>card..2924</x:v>
      </x:c>
      <x:c r="F317" s="15" t="str">
        <x:v>R269.47 reserved for purchase @ Superspar Komatipoor from Current a/c..512781 using card..2924. Avail R38643. 28Jan 15:03</x:v>
      </x:c>
      <x:c r="G317" s="15" t="str">
        <x:v>Superspar Komatipoor</x:v>
      </x:c>
      <x:c r="H317" s="38" t="n">
        <x:v>269.47</x:v>
      </x:c>
      <x:c r="I317" s="15" t="str">
        <x:v>ZAR</x:v>
      </x:c>
      <x:c r="J317" s="15" t="str">
        <x:v>Outflow</x:v>
      </x:c>
      <x:c r="K317" s="15" t="str">
        <x:v>Card purchase</x:v>
      </x:c>
      <x:c r="L317" s="15" t="str">
        <x:v>Supplier payments</x:v>
      </x:c>
      <x:c r="M317" s="38"/>
      <x:c r="N317" s="38" t="n">
        <x:v>38643</x:v>
      </x:c>
      <x:c r="O317" s="15" t="str"/>
      <x:c r="P317" s="15" t="str">
        <x:v>eml_ALL_currentac__512781 (2).zip &gt; eml7currentac__512781.zip</x:v>
      </x:c>
      <x:c r="Q317" s="15" t="str">
        <x:v>FNB _-) R269.47 reserved for purchase @ Superspar Komatipoor from Current a_c..512781 using card..2924. 28Jan 15_03.eml</x:v>
      </x:c>
      <x:c r="R317" s="15" t="str">
        <x:v>High</x:v>
      </x:c>
      <x:c r="S317" s="15" t="str">
        <x:v>Category confidence Medium: Retail/supplier merchant keyword.</x:v>
      </x:c>
      <x:c r="T317" s="15" t="str"/>
      <x:c r="U317" s="15" t="str"/>
      <x:c r="V317" s="15" t="str"/>
      <x:c r="W317" s="15" t="str"/>
      <x:c r="X317" s="15" t="str">
        <x:v>FNB :-) R269.47 reserved for purchase @ Superspar Komatipoor from Current a/c..512781 using card..2924. Avail R38643. 28Jan 15:03</x:v>
      </x:c>
      <x:c r="Y317" s="15" t="str">
        <x:v>34bb0284c829ab3d</x:v>
      </x:c>
    </x:row>
    <x:row r="318">
      <x:c r="A318" s="34" t="n">
        <x:v>46050.62777777778</x:v>
      </x:c>
      <x:c r="B318" s="36" t="n">
        <x:v>46050</x:v>
      </x:c>
      <x:c r="C318" s="34" t="n">
        <x:v>46050.62826388889</x:v>
      </x:c>
      <x:c r="D318" s="15" t="str">
        <x:v>Current a/c..512781</x:v>
      </x:c>
      <x:c r="E318" s="15" t="str">
        <x:v>card..2924</x:v>
      </x:c>
      <x:c r="F318" s="15" t="str">
        <x:v>R107.99 reserved for purchase @ Superspar Komatipoor from Current a/c..512781 using card..2924. Avail R38535. 28Jan 15:04</x:v>
      </x:c>
      <x:c r="G318" s="15" t="str">
        <x:v>Superspar Komatipoor</x:v>
      </x:c>
      <x:c r="H318" s="38" t="n">
        <x:v>107.99</x:v>
      </x:c>
      <x:c r="I318" s="15" t="str">
        <x:v>ZAR</x:v>
      </x:c>
      <x:c r="J318" s="15" t="str">
        <x:v>Outflow</x:v>
      </x:c>
      <x:c r="K318" s="15" t="str">
        <x:v>Card purchase</x:v>
      </x:c>
      <x:c r="L318" s="15" t="str">
        <x:v>Supplier payments</x:v>
      </x:c>
      <x:c r="M318" s="38"/>
      <x:c r="N318" s="38" t="n">
        <x:v>38535</x:v>
      </x:c>
      <x:c r="O318" s="15" t="str"/>
      <x:c r="P318" s="15" t="str">
        <x:v>eml_ALL_currentac__512781 (2).zip &gt; eml7currentac__512781.zip</x:v>
      </x:c>
      <x:c r="Q318" s="15" t="str">
        <x:v>FNB _-) R107.99 reserved for purchase @ Superspar Komatipoor from Current a_c..512781 using card..2924. 28Jan 15_04.eml</x:v>
      </x:c>
      <x:c r="R318" s="15" t="str">
        <x:v>High</x:v>
      </x:c>
      <x:c r="S318" s="15" t="str">
        <x:v>Category confidence Medium: Retail/supplier merchant keyword.</x:v>
      </x:c>
      <x:c r="T318" s="15" t="str"/>
      <x:c r="U318" s="15" t="str"/>
      <x:c r="V318" s="15" t="str"/>
      <x:c r="W318" s="15" t="str"/>
      <x:c r="X318" s="15" t="str">
        <x:v>FNB :-) R107.99 reserved for purchase @ Superspar Komatipoor from Current a/c..512781 using card..2924. Avail R38535. 28Jan 15:04</x:v>
      </x:c>
      <x:c r="Y318" s="15" t="str">
        <x:v>2a1b07a5f82bad64</x:v>
      </x:c>
    </x:row>
    <x:row r="319">
      <x:c r="A319" s="34" t="n">
        <x:v>46050.64722222222</x:v>
      </x:c>
      <x:c r="B319" s="36" t="n">
        <x:v>46050</x:v>
      </x:c>
      <x:c r="C319" s="34" t="n">
        <x:v>46050.64741898148</x:v>
      </x:c>
      <x:c r="D319" s="15" t="str">
        <x:v>Current a/c..512781</x:v>
      </x:c>
      <x:c r="E319" s="15" t="str">
        <x:v>card..2924</x:v>
      </x:c>
      <x:c r="F319" s="15" t="str">
        <x:v>R137.20 reserved for purchase @ Oasis Water Komatipo from Current a/c..512781 using card..2924. Avail R38383. 28Jan 15:32</x:v>
      </x:c>
      <x:c r="G319" s="15" t="str">
        <x:v>Oasis Water Komatipo</x:v>
      </x:c>
      <x:c r="H319" s="38" t="n">
        <x:v>137.2</x:v>
      </x:c>
      <x:c r="I319" s="15" t="str">
        <x:v>ZAR</x:v>
      </x:c>
      <x:c r="J319" s="15" t="str">
        <x:v>Outflow</x:v>
      </x:c>
      <x:c r="K319" s="15" t="str">
        <x:v>Card purchase</x:v>
      </x:c>
      <x:c r="L319" s="15" t="str">
        <x:v>Supplier payments</x:v>
      </x:c>
      <x:c r="M319" s="38"/>
      <x:c r="N319" s="38" t="n">
        <x:v>38383</x:v>
      </x:c>
      <x:c r="O319" s="15" t="str"/>
      <x:c r="P319" s="15" t="str">
        <x:v>eml_ALL_currentac__512781 (2).zip &gt; eml7currentac__512781.zip</x:v>
      </x:c>
      <x:c r="Q319" s="15" t="str">
        <x:v>FNB _-) R137.20 reserved for purchase @ Oasis Water Komatipo from Current a_c..512781 using card..2924. 28Jan 15_32.eml</x:v>
      </x:c>
      <x:c r="R319" s="15" t="str">
        <x:v>High</x:v>
      </x:c>
      <x:c r="S319" s="15" t="str">
        <x:v>Category confidence Medium: Retail/supplier merchant keyword.</x:v>
      </x:c>
      <x:c r="T319" s="15" t="str"/>
      <x:c r="U319" s="15" t="str"/>
      <x:c r="V319" s="15" t="str"/>
      <x:c r="W319" s="15" t="str"/>
      <x:c r="X319" s="15" t="str">
        <x:v>FNB :-) R137.20 reserved for purchase @ Oasis Water Komatipo from Current a/c..512781 using card..2924. Avail R38383. 28Jan 15:32</x:v>
      </x:c>
      <x:c r="Y319" s="15" t="str">
        <x:v>c020e19915cb1644</x:v>
      </x:c>
    </x:row>
    <x:row r="320">
      <x:c r="A320" s="34" t="n">
        <x:v>46051.53611111111</x:v>
      </x:c>
      <x:c r="B320" s="36" t="n">
        <x:v>46051</x:v>
      </x:c>
      <x:c r="C320" s="34" t="n">
        <x:v>46051.53622685185</x:v>
      </x:c>
      <x:c r="D320" s="15" t="str">
        <x:v>Current a/c..512781</x:v>
      </x:c>
      <x:c r="E320" s="15" t="str">
        <x:v>card..2924</x:v>
      </x:c>
      <x:c r="F320" s="15" t="str">
        <x:v>R508.84 reserved for purchase @ Superspar Komatipoor from Current a/c..512781 using card..2924. Avail R37777. 29Jan 12:52</x:v>
      </x:c>
      <x:c r="G320" s="15" t="str">
        <x:v>Superspar Komatipoor</x:v>
      </x:c>
      <x:c r="H320" s="38" t="n">
        <x:v>508.84</x:v>
      </x:c>
      <x:c r="I320" s="15" t="str">
        <x:v>ZAR</x:v>
      </x:c>
      <x:c r="J320" s="15" t="str">
        <x:v>Outflow</x:v>
      </x:c>
      <x:c r="K320" s="15" t="str">
        <x:v>Card purchase</x:v>
      </x:c>
      <x:c r="L320" s="15" t="str">
        <x:v>Supplier payments</x:v>
      </x:c>
      <x:c r="M320" s="38"/>
      <x:c r="N320" s="38" t="n">
        <x:v>37777</x:v>
      </x:c>
      <x:c r="O320" s="15" t="str"/>
      <x:c r="P320" s="15" t="str">
        <x:v>eml_ALL_currentac__512781 (2).zip &gt; eml7currentac__512781.zip</x:v>
      </x:c>
      <x:c r="Q320" s="15" t="str">
        <x:v>FNB _-) R508.84 reserved for purchase @ Superspar Komatipoor from Current a_c..512781 using card..2924. 29Jan 12_52.eml</x:v>
      </x:c>
      <x:c r="R320" s="15" t="str">
        <x:v>High</x:v>
      </x:c>
      <x:c r="S320" s="15" t="str">
        <x:v>Category confidence Medium: Retail/supplier merchant keyword.</x:v>
      </x:c>
      <x:c r="T320" s="15" t="str"/>
      <x:c r="U320" s="15" t="str"/>
      <x:c r="V320" s="15" t="str"/>
      <x:c r="W320" s="15" t="str"/>
      <x:c r="X320" s="15" t="str">
        <x:v>FNB :-) R508.84 reserved for purchase @ Superspar Komatipoor from Current a/c..512781 using card..2924. Avail R37777. 29Jan 12:52</x:v>
      </x:c>
      <x:c r="Y320" s="15" t="str">
        <x:v>b0e7d91005339fc4</x:v>
      </x:c>
    </x:row>
    <x:row r="321">
      <x:c r="A321" s="34" t="n">
        <x:v>46051.57916666667</x:v>
      </x:c>
      <x:c r="B321" s="36" t="n">
        <x:v>46051</x:v>
      </x:c>
      <x:c r="C321" s="34" t="n">
        <x:v>46051.57975694445</x:v>
      </x:c>
      <x:c r="D321" s="15" t="str">
        <x:v>Current a/c..512781</x:v>
      </x:c>
      <x:c r="E321" s="15" t="str"/>
      <x:c r="F321" s="15" t="str">
        <x:v>R1312.64 paid to Current a/c..512781 @ Payshap. Ref.Ik Pay 487882. 29Jan 13:54</x:v>
      </x:c>
      <x:c r="G321" s="15" t="str">
        <x:v>Ik Pay 487882</x:v>
      </x:c>
      <x:c r="H321" s="38" t="n">
        <x:v>1312.64</x:v>
      </x:c>
      <x:c r="I321" s="15" t="str">
        <x:v>ZAR</x:v>
      </x:c>
      <x:c r="J321" s="15" t="str">
        <x:v>Inflow</x:v>
      </x:c>
      <x:c r="K321" s="15" t="str">
        <x:v>EFT receipt</x:v>
      </x:c>
      <x:c r="L321" s="15" t="str">
        <x:v>Sales / customer receipts</x:v>
      </x:c>
      <x:c r="M321" s="38"/>
      <x:c r="N321" s="38"/>
      <x:c r="O321" s="15" t="str"/>
      <x:c r="P321" s="15" t="str">
        <x:v>eml_ALL_currentac__512781 (2).zip &gt; eml7currentac__512781.zip</x:v>
      </x:c>
      <x:c r="Q321" s="15" t="str">
        <x:v>FNB _-) R1312.64 paid to Current a_c..512781 @ Payshap. Ref.Ik Pay 487882. 29Jan 13_54.eml</x:v>
      </x:c>
      <x:c r="R321" s="15" t="str">
        <x:v>High</x:v>
      </x:c>
      <x:c r="S321" s="15" t="str">
        <x:v>Category confidence Medium: Default for incoming EFT/PayShap/online receipt.</x:v>
      </x:c>
      <x:c r="T321" s="15" t="str"/>
      <x:c r="U321" s="15" t="str"/>
      <x:c r="V321" s="15" t="str">
        <x:v>Ik Pay 487882</x:v>
      </x:c>
      <x:c r="W321" s="15" t="str">
        <x:v>Payshap</x:v>
      </x:c>
      <x:c r="X321" s="15" t="str">
        <x:v>FNB :-) R1312.64 paid to Current a/c..512781 @ Payshap. Ref.Ik Pay 487882. 29Jan 13:54</x:v>
      </x:c>
      <x:c r="Y321" s="15" t="str">
        <x:v>b17a8bfbc7b5e08d</x:v>
      </x:c>
    </x:row>
    <x:row r="322">
      <x:c r="A322" s="34" t="n">
        <x:v>46051.614583333336</x:v>
      </x:c>
      <x:c r="B322" s="36" t="n">
        <x:v>46051</x:v>
      </x:c>
      <x:c r="C322" s="34" t="n">
        <x:v>46051.615277777775</x:v>
      </x:c>
      <x:c r="D322" s="15" t="str">
        <x:v>Current a/c..512781</x:v>
      </x:c>
      <x:c r="E322" s="15" t="str">
        <x:v>card..2924</x:v>
      </x:c>
      <x:c r="F322" s="15" t="str">
        <x:v>R279.99 reserved for purchase @ Savemor Marloth from Current a/c..512781 using card..2924. Avail R38809. 29Jan 14:45</x:v>
      </x:c>
      <x:c r="G322" s="15" t="str">
        <x:v>Savemor Marloth</x:v>
      </x:c>
      <x:c r="H322" s="38" t="n">
        <x:v>279.99</x:v>
      </x:c>
      <x:c r="I322" s="15" t="str">
        <x:v>ZAR</x:v>
      </x:c>
      <x:c r="J322" s="15" t="str">
        <x:v>Outflow</x:v>
      </x:c>
      <x:c r="K322" s="15" t="str">
        <x:v>Card purchase</x:v>
      </x:c>
      <x:c r="L322" s="15" t="str">
        <x:v>Supplier payments</x:v>
      </x:c>
      <x:c r="M322" s="38"/>
      <x:c r="N322" s="38" t="n">
        <x:v>38809</x:v>
      </x:c>
      <x:c r="O322" s="15" t="str"/>
      <x:c r="P322" s="15" t="str">
        <x:v>eml_ALL_currentac__512781 (2).zip &gt; eml7currentac__512781.zip</x:v>
      </x:c>
      <x:c r="Q322" s="15" t="str">
        <x:v>FNB _-) R279.99 reserved for purchase @ Savemor Marloth from Current a_c..512781 using card..2924. 29Jan 14_45.eml</x:v>
      </x:c>
      <x:c r="R322" s="15" t="str">
        <x:v>High</x:v>
      </x:c>
      <x:c r="S322" s="15" t="str">
        <x:v>Category confidence Medium: Retail/supplier merchant keyword.</x:v>
      </x:c>
      <x:c r="T322" s="15" t="str"/>
      <x:c r="U322" s="15" t="str"/>
      <x:c r="V322" s="15" t="str"/>
      <x:c r="W322" s="15" t="str"/>
      <x:c r="X322" s="15" t="str">
        <x:v>FNB :-) R279.99 reserved for purchase @ Savemor Marloth from Current a/c..512781 using card..2924. Avail R38809. 29Jan 14:45</x:v>
      </x:c>
      <x:c r="Y322" s="15" t="str">
        <x:v>8e5565591b7d98d9</x:v>
      </x:c>
    </x:row>
    <x:row r="323">
      <x:c r="A323" s="34" t="n">
        <x:v>46051.70625</x:v>
      </x:c>
      <x:c r="B323" s="36" t="n">
        <x:v>46051</x:v>
      </x:c>
      <x:c r="C323" s="34" t="n">
        <x:v>46051.70663194444</x:v>
      </x:c>
      <x:c r="D323" s="15" t="str">
        <x:v>Current a/c..512781</x:v>
      </x:c>
      <x:c r="E323" s="15" t="str">
        <x:v>card..2924</x:v>
      </x:c>
      <x:c r="F323" s="15" t="str">
        <x:v>R370.94 reserved for purchase @ Savemor Marloth from Current a/c..512781 using card..2924. Avail R38438. 29Jan 16:57</x:v>
      </x:c>
      <x:c r="G323" s="15" t="str">
        <x:v>Savemor Marloth</x:v>
      </x:c>
      <x:c r="H323" s="38" t="n">
        <x:v>370.94</x:v>
      </x:c>
      <x:c r="I323" s="15" t="str">
        <x:v>ZAR</x:v>
      </x:c>
      <x:c r="J323" s="15" t="str">
        <x:v>Outflow</x:v>
      </x:c>
      <x:c r="K323" s="15" t="str">
        <x:v>Card purchase</x:v>
      </x:c>
      <x:c r="L323" s="15" t="str">
        <x:v>Supplier payments</x:v>
      </x:c>
      <x:c r="M323" s="38"/>
      <x:c r="N323" s="38" t="n">
        <x:v>38438</x:v>
      </x:c>
      <x:c r="O323" s="15" t="str"/>
      <x:c r="P323" s="15" t="str">
        <x:v>eml_ALL_currentac__512781 (2).zip &gt; eml7currentac__512781.zip</x:v>
      </x:c>
      <x:c r="Q323" s="15" t="str">
        <x:v>FNB _-) R370.94 reserved for purchase @ Savemor Marloth from Current a_c..512781 using card..2924. 29Jan 16_57.eml</x:v>
      </x:c>
      <x:c r="R323" s="15" t="str">
        <x:v>High</x:v>
      </x:c>
      <x:c r="S323" s="15" t="str">
        <x:v>Category confidence Medium: Retail/supplier merchant keyword.</x:v>
      </x:c>
      <x:c r="T323" s="15" t="str"/>
      <x:c r="U323" s="15" t="str"/>
      <x:c r="V323" s="15" t="str"/>
      <x:c r="W323" s="15" t="str"/>
      <x:c r="X323" s="15" t="str">
        <x:v>FNB :-) R370.94 reserved for purchase @ Savemor Marloth from Current a/c..512781 using card..2924. Avail R38438. 29Jan 16:57</x:v>
      </x:c>
      <x:c r="Y323" s="15" t="str">
        <x:v>c8b394a10a3a1c9b</x:v>
      </x:c>
    </x:row>
    <x:row r="324">
      <x:c r="A324" s="34" t="n">
        <x:v>46051.725694444445</x:v>
      </x:c>
      <x:c r="B324" s="36" t="n">
        <x:v>46051</x:v>
      </x:c>
      <x:c r="C324" s="34" t="n">
        <x:v>46051.72613425926</x:v>
      </x:c>
      <x:c r="D324" s="15" t="str">
        <x:v>Current a/c..512781</x:v>
      </x:c>
      <x:c r="E324" s="15" t="str">
        <x:v>card..2924</x:v>
      </x:c>
      <x:c r="F324" s="15" t="str">
        <x:v>R500.00 reserved for purchase @ Marlothi Petrol Stat from Current a/c..512781 using card..2924. Avail R37938. 29Jan 17:25</x:v>
      </x:c>
      <x:c r="G324" s="15" t="str">
        <x:v>Marlothi Petrol Stat</x:v>
      </x:c>
      <x:c r="H324" s="38" t="n">
        <x:v>500</x:v>
      </x:c>
      <x:c r="I324" s="15" t="str">
        <x:v>ZAR</x:v>
      </x:c>
      <x:c r="J324" s="15" t="str">
        <x:v>Outflow</x:v>
      </x:c>
      <x:c r="K324" s="15" t="str">
        <x:v>Card purchase</x:v>
      </x:c>
      <x:c r="L324" s="15" t="str">
        <x:v>Fuel / transport</x:v>
      </x:c>
      <x:c r="M324" s="38"/>
      <x:c r="N324" s="38" t="n">
        <x:v>37938</x:v>
      </x:c>
      <x:c r="O324" s="15" t="str"/>
      <x:c r="P324" s="15" t="str">
        <x:v>eml_ALL_currentac__512781 (2).zip &gt; eml7currentac__512781.zip</x:v>
      </x:c>
      <x:c r="Q324" s="15" t="str">
        <x:v>FNB _-) R500.00 reserved for purchase @ Marlothi Petrol Stat from Current a_c..512781 using card..2924. 29Jan 17_25.eml</x:v>
      </x:c>
      <x:c r="R324" s="15" t="str">
        <x:v>High</x:v>
      </x:c>
      <x:c r="S324" s="15" t="str"/>
      <x:c r="T324" s="15" t="str"/>
      <x:c r="U324" s="15" t="str"/>
      <x:c r="V324" s="15" t="str"/>
      <x:c r="W324" s="15" t="str"/>
      <x:c r="X324" s="15" t="str">
        <x:v>FNB :-) R500.00 reserved for purchase @ Marlothi Petrol Stat from Current a/c..512781 using card..2924. Avail R37938. 29Jan 17:25</x:v>
      </x:c>
      <x:c r="Y324" s="15" t="str">
        <x:v>d8555f8f27b2a8ed</x:v>
      </x:c>
    </x:row>
    <x:row r="325">
      <x:c r="A325" s="34" t="n">
        <x:v>46052.42222222222</x:v>
      </x:c>
      <x:c r="B325" s="36" t="n">
        <x:v>46052</x:v>
      </x:c>
      <x:c r="C325" s="34" t="n">
        <x:v>46052.42254629629</x:v>
      </x:c>
      <x:c r="D325" s="15" t="str">
        <x:v>Current a/c..512781</x:v>
      </x:c>
      <x:c r="E325" s="15" t="str"/>
      <x:c r="F325" s="15" t="str">
        <x:v>R11313.46 paid to Current a/c..512781 @ Retail Forex. Ref.R026xr9cp0 Booking.c. 30Jan 10:08</x:v>
      </x:c>
      <x:c r="G325" s="15" t="str">
        <x:v>R026xr9cp0 Booking.c</x:v>
      </x:c>
      <x:c r="H325" s="38" t="n">
        <x:v>11313.46</x:v>
      </x:c>
      <x:c r="I325" s="15" t="str">
        <x:v>ZAR</x:v>
      </x:c>
      <x:c r="J325" s="15" t="str">
        <x:v>Inflow</x:v>
      </x:c>
      <x:c r="K325" s="15" t="str">
        <x:v>EFT receipt</x:v>
      </x:c>
      <x:c r="L325" s="15" t="str">
        <x:v>Sales / customer receipts</x:v>
      </x:c>
      <x:c r="M325" s="38"/>
      <x:c r="N325" s="38"/>
      <x:c r="O325" s="15" t="str"/>
      <x:c r="P325" s="15" t="str">
        <x:v>eml_ALL_currentac__512781 (2).zip &gt; eml7currentac__512781.zip</x:v>
      </x:c>
      <x:c r="Q325" s="15" t="str">
        <x:v>FNB _-) R11313.46 paid to Current a_c..512781 @ Retail Forex. Ref.R026xr9cp0 Booking.c. 30Jan 10_08.eml</x:v>
      </x:c>
      <x:c r="R325" s="15" t="str">
        <x:v>High</x:v>
      </x:c>
      <x:c r="S325" s="15" t="str">
        <x:v>Category confidence Medium: Default for incoming EFT/PayShap/online receipt.</x:v>
      </x:c>
      <x:c r="T325" s="15" t="str"/>
      <x:c r="U325" s="15" t="str"/>
      <x:c r="V325" s="15" t="str">
        <x:v>R026xr9cp0 Booking.c</x:v>
      </x:c>
      <x:c r="W325" s="15" t="str">
        <x:v>Retail Forex</x:v>
      </x:c>
      <x:c r="X325" s="15" t="str">
        <x:v>FNB :-) R11313.46 paid to Current a/c..512781 @ Retail Forex. Ref.R026xr9cp0 Booking.c. 30Jan 10:08</x:v>
      </x:c>
      <x:c r="Y325" s="15" t="str">
        <x:v>aecb1bca6775d642</x:v>
      </x:c>
    </x:row>
    <x:row r="326">
      <x:c r="A326" s="34" t="n">
        <x:v>46052.54722222222</x:v>
      </x:c>
      <x:c r="B326" s="36" t="n">
        <x:v>46052</x:v>
      </x:c>
      <x:c r="C326" s="34" t="n">
        <x:v>46052.54785879629</x:v>
      </x:c>
      <x:c r="D326" s="15" t="str">
        <x:v>Current a/c..512781</x:v>
      </x:c>
      <x:c r="E326" s="15" t="str"/>
      <x:c r="F326" s="15" t="str">
        <x:v>R6008.00 paid from Current a/c..512781 @ Smartapp. Avail R43109. Ref.Kruger Safari 1680. 30Jan 13:08</x:v>
      </x:c>
      <x:c r="G326" s="15" t="str">
        <x:v>Kruger Safari 1680</x:v>
      </x:c>
      <x:c r="H326" s="38" t="n">
        <x:v>6008</x:v>
      </x:c>
      <x:c r="I326" s="15" t="str">
        <x:v>ZAR</x:v>
      </x:c>
      <x:c r="J326" s="15" t="str">
        <x:v>Outflow</x:v>
      </x:c>
      <x:c r="K326" s="15" t="str">
        <x:v>EFT payment</x:v>
      </x:c>
      <x:c r="L326" s="15" t="str">
        <x:v>Supplier payments</x:v>
      </x:c>
      <x:c r="M326" s="38"/>
      <x:c r="N326" s="38" t="n">
        <x:v>43109</x:v>
      </x:c>
      <x:c r="O326" s="15" t="str"/>
      <x:c r="P326" s="15" t="str">
        <x:v>eml_ALL_currentac__512781 (2).zip &gt; eml7currentac__512781.zip</x:v>
      </x:c>
      <x:c r="Q326" s="15" t="str">
        <x:v>FNB _-) R6008.00 paid from Current a_c..512781 @ Smartapp. Ref.Kruger Safari 1680. 30Jan 13_08.eml</x:v>
      </x:c>
      <x:c r="R326" s="15" t="str">
        <x:v>High</x:v>
      </x:c>
      <x:c r="S326" s="15" t="str">
        <x:v>Category confidence Low: Default outflow category; review counterparty/reference.</x:v>
      </x:c>
      <x:c r="T326" s="15" t="str"/>
      <x:c r="U326" s="15" t="str"/>
      <x:c r="V326" s="15" t="str">
        <x:v>Kruger Safari 1680</x:v>
      </x:c>
      <x:c r="W326" s="15" t="str">
        <x:v>Smartapp</x:v>
      </x:c>
      <x:c r="X326" s="15" t="str">
        <x:v>FNB :-) R6008.00 paid from Current a/c..512781 @ Smartapp. Avail R43109. Ref.Kruger Safari 1680. 30Jan 13:08</x:v>
      </x:c>
      <x:c r="Y326" s="15" t="str">
        <x:v>b3dbd59d5f8a1916</x:v>
      </x:c>
    </x:row>
    <x:row r="327">
      <x:c r="A327" s="34" t="n">
        <x:v>46052.54791666667</x:v>
      </x:c>
      <x:c r="B327" s="36" t="n">
        <x:v>46052</x:v>
      </x:c>
      <x:c r="C327" s="34" t="n">
        <x:v>46052.54834490741</x:v>
      </x:c>
      <x:c r="D327" s="15" t="str">
        <x:v>Current a/c..512781</x:v>
      </x:c>
      <x:c r="E327" s="15" t="str"/>
      <x:c r="F327" s="15" t="str">
        <x:v>R2500.00 paid from Current a/c..512781 @ Smartapp. Avail R40601. Ref.Sakkie Wages Jan. 30Jan 13:09</x:v>
      </x:c>
      <x:c r="G327" s="15" t="str">
        <x:v>Sakkie Wages Jan</x:v>
      </x:c>
      <x:c r="H327" s="38" t="n">
        <x:v>2500</x:v>
      </x:c>
      <x:c r="I327" s="15" t="str">
        <x:v>ZAR</x:v>
      </x:c>
      <x:c r="J327" s="15" t="str">
        <x:v>Outflow</x:v>
      </x:c>
      <x:c r="K327" s="15" t="str">
        <x:v>EFT payment</x:v>
      </x:c>
      <x:c r="L327" s="15" t="str">
        <x:v>Salary / wages</x:v>
      </x:c>
      <x:c r="M327" s="38"/>
      <x:c r="N327" s="38" t="n">
        <x:v>40601</x:v>
      </x:c>
      <x:c r="O327" s="15" t="str"/>
      <x:c r="P327" s="15" t="str">
        <x:v>eml_ALL_currentac__512781 (2).zip &gt; eml7currentac__512781.zip</x:v>
      </x:c>
      <x:c r="Q327" s="15" t="str">
        <x:v>FNB _-) R2500.00 paid from Current a_c..512781 @ Smartapp. Ref.Sakkie Wages Jan. 30Jan 13_09.eml</x:v>
      </x:c>
      <x:c r="R327" s="15" t="str">
        <x:v>High</x:v>
      </x:c>
      <x:c r="S327" s="15" t="str"/>
      <x:c r="T327" s="15" t="str"/>
      <x:c r="U327" s="15" t="str"/>
      <x:c r="V327" s="15" t="str">
        <x:v>Sakkie Wages Jan</x:v>
      </x:c>
      <x:c r="W327" s="15" t="str">
        <x:v>Smartapp</x:v>
      </x:c>
      <x:c r="X327" s="15" t="str">
        <x:v>FNB :-) R2500.00 paid from Current a/c..512781 @ Smartapp. Avail R40601. Ref.Sakkie Wages Jan. 30Jan 13:09</x:v>
      </x:c>
      <x:c r="Y327" s="15" t="str">
        <x:v>572d14cf6d61d495</x:v>
      </x:c>
    </x:row>
    <x:row r="328">
      <x:c r="A328" s="34" t="n">
        <x:v>46052.580555555556</x:v>
      </x:c>
      <x:c r="B328" s="36" t="n">
        <x:v>46052</x:v>
      </x:c>
      <x:c r="C328" s="34" t="n">
        <x:v>46052.58063657407</x:v>
      </x:c>
      <x:c r="D328" s="15" t="str">
        <x:v>Current a/c..512781</x:v>
      </x:c>
      <x:c r="E328" s="15" t="str"/>
      <x:c r="F328" s="15" t="str">
        <x:v>R8951.66 paid to Current a/c..512781 @ Payshap. Ref.Ik Pay 487882. 30Jan 13:56</x:v>
      </x:c>
      <x:c r="G328" s="15" t="str">
        <x:v>Ik Pay 487882</x:v>
      </x:c>
      <x:c r="H328" s="38" t="n">
        <x:v>8951.66</x:v>
      </x:c>
      <x:c r="I328" s="15" t="str">
        <x:v>ZAR</x:v>
      </x:c>
      <x:c r="J328" s="15" t="str">
        <x:v>Inflow</x:v>
      </x:c>
      <x:c r="K328" s="15" t="str">
        <x:v>EFT receipt</x:v>
      </x:c>
      <x:c r="L328" s="15" t="str">
        <x:v>Sales / customer receipts</x:v>
      </x:c>
      <x:c r="M328" s="38"/>
      <x:c r="N328" s="38"/>
      <x:c r="O328" s="15" t="str"/>
      <x:c r="P328" s="15" t="str">
        <x:v>eml_ALL_currentac__512781 (2).zip &gt; eml7currentac__512781.zip</x:v>
      </x:c>
      <x:c r="Q328" s="15" t="str">
        <x:v>FNB _-) R8951.66 paid to Current a_c..512781 @ Payshap. Ref.Ik Pay 487882. 30Jan 13_56.eml</x:v>
      </x:c>
      <x:c r="R328" s="15" t="str">
        <x:v>High</x:v>
      </x:c>
      <x:c r="S328" s="15" t="str">
        <x:v>Category confidence Medium: Default for incoming EFT/PayShap/online receipt.</x:v>
      </x:c>
      <x:c r="T328" s="15" t="str"/>
      <x:c r="U328" s="15" t="str"/>
      <x:c r="V328" s="15" t="str">
        <x:v>Ik Pay 487882</x:v>
      </x:c>
      <x:c r="W328" s="15" t="str">
        <x:v>Payshap</x:v>
      </x:c>
      <x:c r="X328" s="15" t="str">
        <x:v>FNB :-) R8951.66 paid to Current a/c..512781 @ Payshap. Ref.Ik Pay 487882. 30Jan 13:56</x:v>
      </x:c>
      <x:c r="Y328" s="15" t="str">
        <x:v>3105ef548ee92575</x:v>
      </x:c>
    </x:row>
    <x:row r="329">
      <x:c r="A329" s="34" t="n">
        <x:v>46052.63958333333</x:v>
      </x:c>
      <x:c r="B329" s="36" t="n">
        <x:v>46052</x:v>
      </x:c>
      <x:c r="C329" s="34" t="n">
        <x:v>46052.640023148146</x:v>
      </x:c>
      <x:c r="D329" s="15" t="str">
        <x:v>Current a/c..512781</x:v>
      </x:c>
      <x:c r="E329" s="15" t="str">
        <x:v>card..2924</x:v>
      </x:c>
      <x:c r="F329" s="15" t="str">
        <x:v>R265.77 reserved for purchase @ Savemor Marloth from Current a/c..512781 using card..2924. Avail R49286. 30Jan 15:21</x:v>
      </x:c>
      <x:c r="G329" s="15" t="str">
        <x:v>Savemor Marloth</x:v>
      </x:c>
      <x:c r="H329" s="38" t="n">
        <x:v>265.77</x:v>
      </x:c>
      <x:c r="I329" s="15" t="str">
        <x:v>ZAR</x:v>
      </x:c>
      <x:c r="J329" s="15" t="str">
        <x:v>Outflow</x:v>
      </x:c>
      <x:c r="K329" s="15" t="str">
        <x:v>Card purchase</x:v>
      </x:c>
      <x:c r="L329" s="15" t="str">
        <x:v>Supplier payments</x:v>
      </x:c>
      <x:c r="M329" s="38"/>
      <x:c r="N329" s="38" t="n">
        <x:v>49286</x:v>
      </x:c>
      <x:c r="O329" s="15" t="str"/>
      <x:c r="P329" s="15" t="str">
        <x:v>eml_ALL_currentac__512781 (2).zip &gt; eml7currentac__512781.zip</x:v>
      </x:c>
      <x:c r="Q329" s="15" t="str">
        <x:v>FNB _-) R265.77 reserved for purchase @ Savemor Marloth from Current a_c..512781 using card..2924. 30Jan 15_21.eml</x:v>
      </x:c>
      <x:c r="R329" s="15" t="str">
        <x:v>High</x:v>
      </x:c>
      <x:c r="S329" s="15" t="str">
        <x:v>Category confidence Medium: Retail/supplier merchant keyword.</x:v>
      </x:c>
      <x:c r="T329" s="15" t="str"/>
      <x:c r="U329" s="15" t="str"/>
      <x:c r="V329" s="15" t="str"/>
      <x:c r="W329" s="15" t="str"/>
      <x:c r="X329" s="15" t="str">
        <x:v>FNB :-) R265.77 reserved for purchase @ Savemor Marloth from Current a/c..512781 using card..2924. Avail R49286. 30Jan 15:21</x:v>
      </x:c>
      <x:c r="Y329" s="15" t="str">
        <x:v>61994747c2aec18e</x:v>
      </x:c>
    </x:row>
    <x:row r="330">
      <x:c r="A330" s="34" t="n">
        <x:v>46052.64375</x:v>
      </x:c>
      <x:c r="B330" s="36" t="n">
        <x:v>46052</x:v>
      </x:c>
      <x:c r="C330" s="34" t="n">
        <x:v>46052.64418981481</x:v>
      </x:c>
      <x:c r="D330" s="15" t="str">
        <x:v>Current a/c..512781</x:v>
      </x:c>
      <x:c r="E330" s="15" t="str">
        <x:v>card..2924</x:v>
      </x:c>
      <x:c r="F330" s="15" t="str">
        <x:v>R300.00 reserved for purchase @ Marlothi Petrol Stat from Current a/c..512781 using card..2924. Avail R48986. 30Jan 15:27</x:v>
      </x:c>
      <x:c r="G330" s="15" t="str">
        <x:v>Marlothi Petrol Stat</x:v>
      </x:c>
      <x:c r="H330" s="38" t="n">
        <x:v>300</x:v>
      </x:c>
      <x:c r="I330" s="15" t="str">
        <x:v>ZAR</x:v>
      </x:c>
      <x:c r="J330" s="15" t="str">
        <x:v>Outflow</x:v>
      </x:c>
      <x:c r="K330" s="15" t="str">
        <x:v>Card purchase</x:v>
      </x:c>
      <x:c r="L330" s="15" t="str">
        <x:v>Fuel / transport</x:v>
      </x:c>
      <x:c r="M330" s="38"/>
      <x:c r="N330" s="38" t="n">
        <x:v>48986</x:v>
      </x:c>
      <x:c r="O330" s="15" t="str"/>
      <x:c r="P330" s="15" t="str">
        <x:v>eml_ALL_currentac__512781 (2).zip &gt; eml7currentac__512781.zip</x:v>
      </x:c>
      <x:c r="Q330" s="15" t="str">
        <x:v>FNB _-) R300.00 reserved for purchase @ Marlothi Petrol Stat from Current a_c..512781 using card..2924. 30Jan 15_27.eml</x:v>
      </x:c>
      <x:c r="R330" s="15" t="str">
        <x:v>High</x:v>
      </x:c>
      <x:c r="S330" s="15" t="str"/>
      <x:c r="T330" s="15" t="str"/>
      <x:c r="U330" s="15" t="str"/>
      <x:c r="V330" s="15" t="str"/>
      <x:c r="W330" s="15" t="str"/>
      <x:c r="X330" s="15" t="str">
        <x:v>FNB :-) R300.00 reserved for purchase @ Marlothi Petrol Stat from Current a/c..512781 using card..2924. Avail R48986. 30Jan 15:27</x:v>
      </x:c>
      <x:c r="Y330" s="15" t="str">
        <x:v>41afc1420509525e</x:v>
      </x:c>
    </x:row>
    <x:row r="331">
      <x:c r="A331" s="34" t="n">
        <x:v>46053.520833333336</x:v>
      </x:c>
      <x:c r="B331" s="36" t="n">
        <x:v>46053</x:v>
      </x:c>
      <x:c r="C331" s="34" t="n">
        <x:v>46053.52091435185</x:v>
      </x:c>
      <x:c r="D331" s="15" t="str">
        <x:v>Current a/c..512781</x:v>
      </x:c>
      <x:c r="E331" s="15" t="str">
        <x:v>card..2924</x:v>
      </x:c>
      <x:c r="F331" s="15" t="str">
        <x:v>R893.69 reserved for purchase @ Shoprite Komatipoort from Current a/c..512781 using card..2924. Avail R48053. 31Jan 12:30</x:v>
      </x:c>
      <x:c r="G331" s="15" t="str">
        <x:v>Shoprite Komatipoort</x:v>
      </x:c>
      <x:c r="H331" s="38" t="n">
        <x:v>893.69</x:v>
      </x:c>
      <x:c r="I331" s="15" t="str">
        <x:v>ZAR</x:v>
      </x:c>
      <x:c r="J331" s="15" t="str">
        <x:v>Outflow</x:v>
      </x:c>
      <x:c r="K331" s="15" t="str">
        <x:v>Card purchase</x:v>
      </x:c>
      <x:c r="L331" s="15" t="str">
        <x:v>Supplier payments</x:v>
      </x:c>
      <x:c r="M331" s="38"/>
      <x:c r="N331" s="38" t="n">
        <x:v>48053</x:v>
      </x:c>
      <x:c r="O331" s="15" t="str"/>
      <x:c r="P331" s="15" t="str">
        <x:v>eml_ALL_currentac__512781 (2).zip &gt; eml7currentac__512781.zip</x:v>
      </x:c>
      <x:c r="Q331" s="15" t="str">
        <x:v>FNB _-) R893.69 reserved for purchase @ Shoprite Komatipoort from Current a_c..512781 using card..2924. 31Jan 12_30.eml</x:v>
      </x:c>
      <x:c r="R331" s="15" t="str">
        <x:v>High</x:v>
      </x:c>
      <x:c r="S331" s="15" t="str">
        <x:v>Category confidence Medium: Retail/supplier merchant keyword.</x:v>
      </x:c>
      <x:c r="T331" s="15" t="str"/>
      <x:c r="U331" s="15" t="str"/>
      <x:c r="V331" s="15" t="str"/>
      <x:c r="W331" s="15" t="str"/>
      <x:c r="X331" s="15" t="str">
        <x:v>FNB :-) R893.69 reserved for purchase @ Shoprite Komatipoort from Current a/c..512781 using card..2924. Avail R48053. 31Jan 12:30</x:v>
      </x:c>
      <x:c r="Y331" s="15" t="str">
        <x:v>a3eb88bd79cad6bb</x:v>
      </x:c>
    </x:row>
    <x:row r="332">
      <x:c r="A332" s="34" t="n">
        <x:v>46053.535416666666</x:v>
      </x:c>
      <x:c r="B332" s="36" t="n">
        <x:v>46053</x:v>
      </x:c>
      <x:c r="C332" s="34" t="n">
        <x:v>46053.535520833335</x:v>
      </x:c>
      <x:c r="D332" s="15" t="str">
        <x:v>Current a/c..512781</x:v>
      </x:c>
      <x:c r="E332" s="15" t="str">
        <x:v>card..2924</x:v>
      </x:c>
      <x:c r="F332" s="15" t="str">
        <x:v>R118.83 reserved for purchase @ Lebombo Butchery from Current a/c..512781 using card..2924. Avail R47934. 31Jan 12:51</x:v>
      </x:c>
      <x:c r="G332" s="15" t="str">
        <x:v>Lebombo Butchery</x:v>
      </x:c>
      <x:c r="H332" s="38" t="n">
        <x:v>118.83</x:v>
      </x:c>
      <x:c r="I332" s="15" t="str">
        <x:v>ZAR</x:v>
      </x:c>
      <x:c r="J332" s="15" t="str">
        <x:v>Outflow</x:v>
      </x:c>
      <x:c r="K332" s="15" t="str">
        <x:v>Card purchase</x:v>
      </x:c>
      <x:c r="L332" s="15" t="str">
        <x:v>Supplier payments</x:v>
      </x:c>
      <x:c r="M332" s="38"/>
      <x:c r="N332" s="38" t="n">
        <x:v>47934</x:v>
      </x:c>
      <x:c r="O332" s="15" t="str"/>
      <x:c r="P332" s="15" t="str">
        <x:v>eml_ALL_currentac__512781 (2).zip &gt; eml7currentac__512781.zip</x:v>
      </x:c>
      <x:c r="Q332" s="15" t="str">
        <x:v>FNB _-) R118.83 reserved for purchase @ Lebombo Butchery from Current a_c..512781 using card..2924. 31Jan 12_51.eml</x:v>
      </x:c>
      <x:c r="R332" s="15" t="str">
        <x:v>High</x:v>
      </x:c>
      <x:c r="S332" s="15" t="str">
        <x:v>Category confidence Medium: Retail/supplier merchant keyword.</x:v>
      </x:c>
      <x:c r="T332" s="15" t="str"/>
      <x:c r="U332" s="15" t="str"/>
      <x:c r="V332" s="15" t="str"/>
      <x:c r="W332" s="15" t="str"/>
      <x:c r="X332" s="15" t="str">
        <x:v>FNB :-) R118.83 reserved for purchase @ Lebombo Butchery from Current a/c..512781 using card..2924. Avail R47934. 31Jan 12:51</x:v>
      </x:c>
      <x:c r="Y332" s="15" t="str">
        <x:v>49c13467ea321329</x:v>
      </x:c>
    </x:row>
    <x:row r="333">
      <x:c r="A333" s="34" t="n">
        <x:v>46053.55694444444</x:v>
      </x:c>
      <x:c r="B333" s="36" t="n">
        <x:v>46053</x:v>
      </x:c>
      <x:c r="C333" s="34" t="n">
        <x:v>46053.55708333333</x:v>
      </x:c>
      <x:c r="D333" s="15" t="str">
        <x:v>Current a/c..512781</x:v>
      </x:c>
      <x:c r="E333" s="15" t="str"/>
      <x:c r="F333" s="15" t="str">
        <x:v>R15000.00 paid from Current a/c..512781 @ Smartapp. Avail R32926. Ref.Wage Jan. 31Jan 13:22</x:v>
      </x:c>
      <x:c r="G333" s="15" t="str">
        <x:v>Wage Jan</x:v>
      </x:c>
      <x:c r="H333" s="38" t="n">
        <x:v>15000</x:v>
      </x:c>
      <x:c r="I333" s="15" t="str">
        <x:v>ZAR</x:v>
      </x:c>
      <x:c r="J333" s="15" t="str">
        <x:v>Outflow</x:v>
      </x:c>
      <x:c r="K333" s="15" t="str">
        <x:v>EFT payment</x:v>
      </x:c>
      <x:c r="L333" s="15" t="str">
        <x:v>Salary / wages</x:v>
      </x:c>
      <x:c r="M333" s="38"/>
      <x:c r="N333" s="38" t="n">
        <x:v>32926</x:v>
      </x:c>
      <x:c r="O333" s="15" t="str"/>
      <x:c r="P333" s="15" t="str">
        <x:v>eml_ALL_currentac__512781 (2).zip &gt; eml7currentac__512781.zip</x:v>
      </x:c>
      <x:c r="Q333" s="15" t="str">
        <x:v>FNB _-) R15000.00 paid from Current a_c..512781 @ Smartapp. Ref.Wage Jan. 31Jan 13_22.eml</x:v>
      </x:c>
      <x:c r="R333" s="15" t="str">
        <x:v>High</x:v>
      </x:c>
      <x:c r="S333" s="15" t="str"/>
      <x:c r="T333" s="15" t="str"/>
      <x:c r="U333" s="15" t="str"/>
      <x:c r="V333" s="15" t="str">
        <x:v>Wage Jan</x:v>
      </x:c>
      <x:c r="W333" s="15" t="str">
        <x:v>Smartapp</x:v>
      </x:c>
      <x:c r="X333" s="15" t="str">
        <x:v>FNB :-) R15000.00 paid from Current a/c..512781 @ Smartapp. Avail R32926. Ref.Wage Jan. 31Jan 13:22</x:v>
      </x:c>
      <x:c r="Y333" s="15" t="str">
        <x:v>6c9a63fe75c97bd1</x:v>
      </x:c>
    </x:row>
    <x:row r="334">
      <x:c r="A334" s="34" t="n">
        <x:v>46053.55763888889</x:v>
      </x:c>
      <x:c r="B334" s="36" t="n">
        <x:v>46053</x:v>
      </x:c>
      <x:c r="C334" s="34" t="n">
        <x:v>46053.557800925926</x:v>
      </x:c>
      <x:c r="D334" s="15" t="str">
        <x:v>Current a/c..512781</x:v>
      </x:c>
      <x:c r="E334" s="15" t="str"/>
      <x:c r="F334" s="15" t="str">
        <x:v>R12000.00 paid from Current a/c..512781 @ Smartapp. Avail R20918. Ref.Wage - Jan 2026. 31Jan 13:23</x:v>
      </x:c>
      <x:c r="G334" s="15" t="str">
        <x:v>Wage - Jan 2026</x:v>
      </x:c>
      <x:c r="H334" s="38" t="n">
        <x:v>12000</x:v>
      </x:c>
      <x:c r="I334" s="15" t="str">
        <x:v>ZAR</x:v>
      </x:c>
      <x:c r="J334" s="15" t="str">
        <x:v>Outflow</x:v>
      </x:c>
      <x:c r="K334" s="15" t="str">
        <x:v>EFT payment</x:v>
      </x:c>
      <x:c r="L334" s="15" t="str">
        <x:v>Salary / wages</x:v>
      </x:c>
      <x:c r="M334" s="38"/>
      <x:c r="N334" s="38" t="n">
        <x:v>20918</x:v>
      </x:c>
      <x:c r="O334" s="15" t="str"/>
      <x:c r="P334" s="15" t="str">
        <x:v>eml_ALL_currentac__512781 (2).zip &gt; eml7currentac__512781.zip</x:v>
      </x:c>
      <x:c r="Q334" s="15" t="str">
        <x:v>FNB _-) R12000.00 paid from Current a_c..512781 @ Smartapp. Ref.Wage - Jan 2026. 31Jan 13_23.eml</x:v>
      </x:c>
      <x:c r="R334" s="15" t="str">
        <x:v>High</x:v>
      </x:c>
      <x:c r="S334" s="15" t="str"/>
      <x:c r="T334" s="15" t="str"/>
      <x:c r="U334" s="15" t="str"/>
      <x:c r="V334" s="15" t="str">
        <x:v>Wage - Jan 2026</x:v>
      </x:c>
      <x:c r="W334" s="15" t="str">
        <x:v>Smartapp</x:v>
      </x:c>
      <x:c r="X334" s="15" t="str">
        <x:v>FNB :-) R12000.00 paid from Current a/c..512781 @ Smartapp. Avail R20918. Ref.Wage - Jan 2026. 31Jan 13:23</x:v>
      </x:c>
      <x:c r="Y334" s="15" t="str">
        <x:v>7faf2e2822572c71</x:v>
      </x:c>
    </x:row>
    <x:row r="335">
      <x:c r="A335" s="34" t="n">
        <x:v>46053.55902777778</x:v>
      </x:c>
      <x:c r="B335" s="36" t="n">
        <x:v>46053</x:v>
      </x:c>
      <x:c r="C335" s="34" t="n">
        <x:v>46053.5594212963</x:v>
      </x:c>
      <x:c r="D335" s="15" t="str">
        <x:v>Current a/c..512781</x:v>
      </x:c>
      <x:c r="E335" s="15" t="str"/>
      <x:c r="F335" s="15" t="str">
        <x:v>R500.00 paid from Current a/c..512781 @ Smartapp. Avail R20416. Ref.Electricity 04294887. 31Jan 13:25</x:v>
      </x:c>
      <x:c r="G335" s="15" t="str">
        <x:v>Electricity 04294887</x:v>
      </x:c>
      <x:c r="H335" s="38" t="n">
        <x:v>500</x:v>
      </x:c>
      <x:c r="I335" s="15" t="str">
        <x:v>ZAR</x:v>
      </x:c>
      <x:c r="J335" s="15" t="str">
        <x:v>Outflow</x:v>
      </x:c>
      <x:c r="K335" s="15" t="str">
        <x:v>EFT payment</x:v>
      </x:c>
      <x:c r="L335" s="15" t="str">
        <x:v>Telecom / utilities</x:v>
      </x:c>
      <x:c r="M335" s="38"/>
      <x:c r="N335" s="38" t="n">
        <x:v>20416</x:v>
      </x:c>
      <x:c r="O335" s="15" t="str"/>
      <x:c r="P335" s="15" t="str">
        <x:v>eml_ALL_currentac__512781 (2).zip &gt; eml7currentac__512781.zip</x:v>
      </x:c>
      <x:c r="Q335" s="15" t="str">
        <x:v>FNB _-) R500.00 paid from Current a_c..512781 @ Smartapp. Ref.Electricity 04294887. 31Jan 13_25.eml</x:v>
      </x:c>
      <x:c r="R335" s="15" t="str">
        <x:v>High</x:v>
      </x:c>
      <x:c r="S335" s="15" t="str"/>
      <x:c r="T335" s="15" t="str"/>
      <x:c r="U335" s="15" t="str"/>
      <x:c r="V335" s="15" t="str">
        <x:v>Electricity 04294887</x:v>
      </x:c>
      <x:c r="W335" s="15" t="str">
        <x:v>Smartapp</x:v>
      </x:c>
      <x:c r="X335" s="15" t="str">
        <x:v>FNB :-) R500.00 paid from Current a/c..512781 @ Smartapp. Avail R20416. Ref.Electricity 04294887. 31Jan 13:25</x:v>
      </x:c>
      <x:c r="Y335" s="15" t="str">
        <x:v>34c9b858a20dee05</x:v>
      </x:c>
    </x:row>
    <x:row r="336">
      <x:c r="A336" s="34" t="n">
        <x:v>46053.55972222222</x:v>
      </x:c>
      <x:c r="B336" s="36" t="n">
        <x:v>46053</x:v>
      </x:c>
      <x:c r="C336" s="34" t="n">
        <x:v>46053.560324074075</x:v>
      </x:c>
      <x:c r="D336" s="15" t="str">
        <x:v>Current a/c..512781</x:v>
      </x:c>
      <x:c r="E336" s="15" t="str">
        <x:v>card..2924</x:v>
      </x:c>
      <x:c r="F336" s="15" t="str">
        <x:v>R1235.30 reserved for purchase @ Superspar Komatipoor from Current a/c..512781 using card..2924. Avail R19180. 31Jan 13:26</x:v>
      </x:c>
      <x:c r="G336" s="15" t="str">
        <x:v>Superspar Komatipoor</x:v>
      </x:c>
      <x:c r="H336" s="38" t="n">
        <x:v>1235.3</x:v>
      </x:c>
      <x:c r="I336" s="15" t="str">
        <x:v>ZAR</x:v>
      </x:c>
      <x:c r="J336" s="15" t="str">
        <x:v>Outflow</x:v>
      </x:c>
      <x:c r="K336" s="15" t="str">
        <x:v>Card purchase</x:v>
      </x:c>
      <x:c r="L336" s="15" t="str">
        <x:v>Supplier payments</x:v>
      </x:c>
      <x:c r="M336" s="38"/>
      <x:c r="N336" s="38" t="n">
        <x:v>19180</x:v>
      </x:c>
      <x:c r="O336" s="15" t="str"/>
      <x:c r="P336" s="15" t="str">
        <x:v>eml_ALL_currentac__512781 (2).zip &gt; eml7currentac__512781.zip</x:v>
      </x:c>
      <x:c r="Q336" s="15" t="str">
        <x:v>FNB _-) R1235.30 reserved for purchase @ Superspar Komatipoor from Current a_c..512781 using card..2924. 31Jan 13_26.eml</x:v>
      </x:c>
      <x:c r="R336" s="15" t="str">
        <x:v>High</x:v>
      </x:c>
      <x:c r="S336" s="15" t="str">
        <x:v>Category confidence Medium: Retail/supplier merchant keyword.</x:v>
      </x:c>
      <x:c r="T336" s="15" t="str"/>
      <x:c r="U336" s="15" t="str"/>
      <x:c r="V336" s="15" t="str"/>
      <x:c r="W336" s="15" t="str"/>
      <x:c r="X336" s="15" t="str">
        <x:v>FNB :-) R1235.30 reserved for purchase @ Superspar Komatipoor from Current a/c..512781 using card..2924. Avail R19180. 31Jan 13:26</x:v>
      </x:c>
      <x:c r="Y336" s="15" t="str">
        <x:v>583723624c155a1c</x:v>
      </x:c>
    </x:row>
    <x:row r="337">
      <x:c r="A337" s="34" t="n">
        <x:v>46053.57152777778</x:v>
      </x:c>
      <x:c r="B337" s="36" t="n">
        <x:v>46053</x:v>
      </x:c>
      <x:c r="C337" s="34" t="n">
        <x:v>46053.57219907407</x:v>
      </x:c>
      <x:c r="D337" s="15" t="str">
        <x:v>Current a/c..512781</x:v>
      </x:c>
      <x:c r="E337" s="15" t="str">
        <x:v>card..2924</x:v>
      </x:c>
      <x:c r="F337" s="15" t="str">
        <x:v>R275.02 reserved for purchase @ Pep Home 5771 Komati from Current a/c..512781 using card..2924. Avail R18905. 31Jan 13:43</x:v>
      </x:c>
      <x:c r="G337" s="15" t="str">
        <x:v>Pep Home 5771 Komati</x:v>
      </x:c>
      <x:c r="H337" s="38" t="n">
        <x:v>275.02</x:v>
      </x:c>
      <x:c r="I337" s="15" t="str">
        <x:v>ZAR</x:v>
      </x:c>
      <x:c r="J337" s="15" t="str">
        <x:v>Outflow</x:v>
      </x:c>
      <x:c r="K337" s="15" t="str">
        <x:v>Card purchase</x:v>
      </x:c>
      <x:c r="L337" s="15" t="str">
        <x:v>Supplier payments</x:v>
      </x:c>
      <x:c r="M337" s="38"/>
      <x:c r="N337" s="38" t="n">
        <x:v>18905</x:v>
      </x:c>
      <x:c r="O337" s="15" t="str"/>
      <x:c r="P337" s="15" t="str">
        <x:v>eml_ALL_currentac__512781 (2).zip &gt; eml7currentac__512781.zip</x:v>
      </x:c>
      <x:c r="Q337" s="15" t="str">
        <x:v>FNB _-) R275.02 reserved for purchase @ Pep Home 5771 Komati from Current a_c..512781 using card..2924. 31Jan 13_43.eml</x:v>
      </x:c>
      <x:c r="R337" s="15" t="str">
        <x:v>High</x:v>
      </x:c>
      <x:c r="S337" s="15" t="str">
        <x:v>Category confidence Medium: Retail/supplier merchant keyword.</x:v>
      </x:c>
      <x:c r="T337" s="15" t="str"/>
      <x:c r="U337" s="15" t="str"/>
      <x:c r="V337" s="15" t="str"/>
      <x:c r="W337" s="15" t="str"/>
      <x:c r="X337" s="15" t="str">
        <x:v>FNB :-) R275.02 reserved for purchase @ Pep Home 5771 Komati from Current a/c..512781 using card..2924. Avail R18905. 31Jan 13:43</x:v>
      </x:c>
      <x:c r="Y337" s="15" t="str">
        <x:v>5cdbbe1318b99fbd</x:v>
      </x:c>
    </x:row>
    <x:row r="338">
      <x:c r="A338" s="34" t="n">
        <x:v>46054.34583333333</x:v>
      </x:c>
      <x:c r="B338" s="36" t="n">
        <x:v>46054</x:v>
      </x:c>
      <x:c r="C338" s="34" t="n">
        <x:v>46054.34616898148</x:v>
      </x:c>
      <x:c r="D338" s="15" t="str">
        <x:v>Current a/c..512781</x:v>
      </x:c>
      <x:c r="E338" s="15" t="str"/>
      <x:c r="F338" s="15" t="str">
        <x:v>R1707.86 paid from Current a/c..512781 @ Smartapp. Avail R17005. Ref.Ac De Jager Vleis. 1Feb 08:18</x:v>
      </x:c>
      <x:c r="G338" s="15" t="str">
        <x:v>Ac De Jager Vleis</x:v>
      </x:c>
      <x:c r="H338" s="38" t="n">
        <x:v>1707.86</x:v>
      </x:c>
      <x:c r="I338" s="15" t="str">
        <x:v>ZAR</x:v>
      </x:c>
      <x:c r="J338" s="15" t="str">
        <x:v>Outflow</x:v>
      </x:c>
      <x:c r="K338" s="15" t="str">
        <x:v>EFT payment</x:v>
      </x:c>
      <x:c r="L338" s="15" t="str">
        <x:v>Supplier payments</x:v>
      </x:c>
      <x:c r="M338" s="38"/>
      <x:c r="N338" s="38" t="n">
        <x:v>17005</x:v>
      </x:c>
      <x:c r="O338" s="15" t="str"/>
      <x:c r="P338" s="15" t="str">
        <x:v>eml_ALL_currentac__512781 (2).zip &gt; eml7currentac__512781.zip</x:v>
      </x:c>
      <x:c r="Q338" s="15" t="str">
        <x:v>FNB _-) R1707.86 paid from Current a_c..512781 @ Smartapp. Ref.Ac De Jager Vleis.  1Feb 08_18.eml</x:v>
      </x:c>
      <x:c r="R338" s="15" t="str">
        <x:v>High</x:v>
      </x:c>
      <x:c r="S338" s="15" t="str">
        <x:v>Category confidence Low: Default outflow category; review counterparty/reference.</x:v>
      </x:c>
      <x:c r="T338" s="15" t="str"/>
      <x:c r="U338" s="15" t="str"/>
      <x:c r="V338" s="15" t="str">
        <x:v>Ac De Jager Vleis</x:v>
      </x:c>
      <x:c r="W338" s="15" t="str">
        <x:v>Smartapp</x:v>
      </x:c>
      <x:c r="X338" s="15" t="str">
        <x:v>FNB :-) R1707.86 paid from Current a/c..512781 @ Smartapp. Avail R17005. Ref.Ac De Jager Vleis. 1Feb 08:18</x:v>
      </x:c>
      <x:c r="Y338" s="15" t="str">
        <x:v>2b238c9ead53b3ad</x:v>
      </x:c>
    </x:row>
    <x:row r="339">
      <x:c r="A339" s="34" t="n">
        <x:v>46054.46527777778</x:v>
      </x:c>
      <x:c r="B339" s="36" t="n">
        <x:v>46054</x:v>
      </x:c>
      <x:c r="C339" s="34" t="n">
        <x:v>46054.46592592593</x:v>
      </x:c>
      <x:c r="D339" s="15" t="str">
        <x:v>Current a/c..512781</x:v>
      </x:c>
      <x:c r="E339" s="15" t="str"/>
      <x:c r="F339" s="15" t="str">
        <x:v>Payment Link created from Current a/c..512781 To Dj Ludik Honeysucker..496920 @ Smartapp. 1Feb 11:10 Call 087 575 9404 for help.</x:v>
      </x:c>
      <x:c r="G339" s="15" t="str">
        <x:v>Dj Ludik Honeysucker..496920</x:v>
      </x:c>
      <x:c r="H339" s="38"/>
      <x:c r="I339" s="15" t="str"/>
      <x:c r="J339" s="15" t="str">
        <x:v>Neutral/Information Only</x:v>
      </x:c>
      <x:c r="K339" s="15" t="str">
        <x:v>Other</x:v>
      </x:c>
      <x:c r="L339" s="15" t="str">
        <x:v>Other</x:v>
      </x:c>
      <x:c r="M339" s="38"/>
      <x:c r="N339" s="38"/>
      <x:c r="O339" s="15" t="str"/>
      <x:c r="P339" s="15" t="str">
        <x:v>eml_ALL_currentac__512781 (2).zip &gt; eml7currentac__512781.zip</x:v>
      </x:c>
      <x:c r="Q339" s="15" t="str">
        <x:v>FNB _-) Payment Link created from Current a_c..512781 To Dj Ludik Honeysucker..496920 @ Smartapp.  1Feb 11_10 Call 087 575 9404  for help..eml</x:v>
      </x:c>
      <x:c r="R339" s="15" t="str">
        <x:v>High</x:v>
      </x:c>
      <x:c r="S339" s="15" t="str">
        <x:v>Payment link creation only; no money movement indicated. Category confidence Low: Unable to map confidently.</x:v>
      </x:c>
      <x:c r="T339" s="15" t="str">
        <x:v>Current a/c..512781</x:v>
      </x:c>
      <x:c r="U339" s="15" t="str">
        <x:v>Dj Ludik Honeysucker..496920</x:v>
      </x:c>
      <x:c r="V339" s="15" t="str"/>
      <x:c r="W339" s="15" t="str">
        <x:v>Smartapp</x:v>
      </x:c>
      <x:c r="X339" s="15" t="str">
        <x:v>FNB :-) Payment Link created from Current a/c..512781 To Dj Ludik Honeysucker..496920 @ Smartapp. 1Feb 11:10 Call 087 575 9404 for help.</x:v>
      </x:c>
      <x:c r="Y339" s="15" t="str">
        <x:v>62fc6a8510b33051</x:v>
      </x:c>
    </x:row>
    <x:row r="340">
      <x:c r="A340" s="34" t="n">
        <x:v>46054.46597222222</x:v>
      </x:c>
      <x:c r="B340" s="36" t="n">
        <x:v>46054</x:v>
      </x:c>
      <x:c r="C340" s="34" t="n">
        <x:v>46054.46607638889</x:v>
      </x:c>
      <x:c r="D340" s="15" t="str">
        <x:v>Current a/c..512781</x:v>
      </x:c>
      <x:c r="E340" s="15" t="str"/>
      <x:c r="F340" s="15" t="str">
        <x:v>R1500.00 paid from Current a/c..512781 @ Smartapp. Avail R15505. Ref.Honeysucker. 1Feb 11:11</x:v>
      </x:c>
      <x:c r="G340" s="15" t="str">
        <x:v>Honeysucker</x:v>
      </x:c>
      <x:c r="H340" s="38" t="n">
        <x:v>1500</x:v>
      </x:c>
      <x:c r="I340" s="15" t="str">
        <x:v>ZAR</x:v>
      </x:c>
      <x:c r="J340" s="15" t="str">
        <x:v>Outflow</x:v>
      </x:c>
      <x:c r="K340" s="15" t="str">
        <x:v>EFT payment</x:v>
      </x:c>
      <x:c r="L340" s="15" t="str">
        <x:v>Supplier payments</x:v>
      </x:c>
      <x:c r="M340" s="38"/>
      <x:c r="N340" s="38" t="n">
        <x:v>15505</x:v>
      </x:c>
      <x:c r="O340" s="15" t="str"/>
      <x:c r="P340" s="15" t="str">
        <x:v>eml_ALL_currentac__512781 (2).zip &gt; eml7currentac__512781.zip</x:v>
      </x:c>
      <x:c r="Q340" s="15" t="str">
        <x:v>FNB _-) R1500.00 paid from Current a_c..512781 @ Smartapp. Ref.Honeysucker.  1Feb 11_11.eml</x:v>
      </x:c>
      <x:c r="R340" s="15" t="str">
        <x:v>High</x:v>
      </x:c>
      <x:c r="S340" s="15" t="str">
        <x:v>Category confidence Low: Default outflow category; review counterparty/reference.</x:v>
      </x:c>
      <x:c r="T340" s="15" t="str"/>
      <x:c r="U340" s="15" t="str"/>
      <x:c r="V340" s="15" t="str">
        <x:v>Honeysucker</x:v>
      </x:c>
      <x:c r="W340" s="15" t="str">
        <x:v>Smartapp</x:v>
      </x:c>
      <x:c r="X340" s="15" t="str">
        <x:v>FNB :-) R1500.00 paid from Current a/c..512781 @ Smartapp. Avail R15505. Ref.Honeysucker. 1Feb 11:11</x:v>
      </x:c>
      <x:c r="Y340" s="15" t="str">
        <x:v>3cc175c091ec3cc6</x:v>
      </x:c>
    </x:row>
    <x:row r="341">
      <x:c r="A341" s="34" t="n">
        <x:v>46054.768055555556</x:v>
      </x:c>
      <x:c r="B341" s="36" t="n">
        <x:v>46054</x:v>
      </x:c>
      <x:c r="C341" s="34" t="n">
        <x:v>46054.76809027778</x:v>
      </x:c>
      <x:c r="D341" s="15" t="str">
        <x:v>Current a/c..512781</x:v>
      </x:c>
      <x:c r="E341" s="15" t="str">
        <x:v>card..2924</x:v>
      </x:c>
      <x:c r="F341" s="15" t="str">
        <x:v>R625.00 reserved for purchase @ The Tin Shack from Current a/c..512781 using card..2924. Avail R14880. 1Feb 18:26</x:v>
      </x:c>
      <x:c r="G341" s="15" t="str">
        <x:v>The Tin Shack</x:v>
      </x:c>
      <x:c r="H341" s="38" t="n">
        <x:v>625</x:v>
      </x:c>
      <x:c r="I341" s="15" t="str">
        <x:v>ZAR</x:v>
      </x:c>
      <x:c r="J341" s="15" t="str">
        <x:v>Outflow</x:v>
      </x:c>
      <x:c r="K341" s="15" t="str">
        <x:v>Card purchase</x:v>
      </x:c>
      <x:c r="L341" s="15" t="str">
        <x:v>Meals / restaurants / entertainment</x:v>
      </x:c>
      <x:c r="M341" s="38"/>
      <x:c r="N341" s="38" t="n">
        <x:v>14880</x:v>
      </x:c>
      <x:c r="O341" s="15" t="str"/>
      <x:c r="P341" s="15" t="str">
        <x:v>eml_ALL_currentac__512781 (2).zip &gt; eml7currentac__512781.zip</x:v>
      </x:c>
      <x:c r="Q341" s="15" t="str">
        <x:v>FNB _-) R625.00 reserved for purchase @ The Tin Shack from Current a_c..512781 using card..2924.  1Feb 18_26.eml</x:v>
      </x:c>
      <x:c r="R341" s="15" t="str">
        <x:v>High</x:v>
      </x:c>
      <x:c r="S341" s="15" t="str"/>
      <x:c r="T341" s="15" t="str"/>
      <x:c r="U341" s="15" t="str"/>
      <x:c r="V341" s="15" t="str"/>
      <x:c r="W341" s="15" t="str"/>
      <x:c r="X341" s="15" t="str">
        <x:v>FNB :-) R625.00 reserved for purchase @ The Tin Shack from Current a/c..512781 using card..2924. Avail R14880. 1Feb 18:26</x:v>
      </x:c>
      <x:c r="Y341" s="15" t="str">
        <x:v>1b717f9a3b166aef</x:v>
      </x:c>
    </x:row>
    <x:row r="342">
      <x:c r="A342" s="34" t="n">
        <x:v>46054.819444444445</x:v>
      </x:c>
      <x:c r="B342" s="36" t="n">
        <x:v>46054</x:v>
      </x:c>
      <x:c r="C342" s="34" t="n">
        <x:v>46054.81947916667</x:v>
      </x:c>
      <x:c r="D342" s="15" t="str">
        <x:v>Current a/c..512781</x:v>
      </x:c>
      <x:c r="E342" s="15" t="str">
        <x:v>card..2924</x:v>
      </x:c>
      <x:c r="F342" s="15" t="str">
        <x:v>R419.34 reserved for purchase @ Sqsp* Domain from Current a/c..512781 using card..2924. Avail R14461. 1Feb 19:40</x:v>
      </x:c>
      <x:c r="G342" s="15" t="str">
        <x:v>Sqsp* Domain</x:v>
      </x:c>
      <x:c r="H342" s="38" t="n">
        <x:v>419.34</x:v>
      </x:c>
      <x:c r="I342" s="15" t="str">
        <x:v>ZAR</x:v>
      </x:c>
      <x:c r="J342" s="15" t="str">
        <x:v>Outflow</x:v>
      </x:c>
      <x:c r="K342" s="15" t="str">
        <x:v>Card purchase</x:v>
      </x:c>
      <x:c r="L342" s="15" t="str">
        <x:v>Software / subscriptions</x:v>
      </x:c>
      <x:c r="M342" s="38"/>
      <x:c r="N342" s="38" t="n">
        <x:v>14461</x:v>
      </x:c>
      <x:c r="O342" s="15" t="str"/>
      <x:c r="P342" s="15" t="str">
        <x:v>eml_ALL_currentac__512781 (2).zip &gt; eml7currentac__512781.zip</x:v>
      </x:c>
      <x:c r="Q342" s="15" t="str">
        <x:v>FNB _-) R419.34 reserved for purchase @ Sqsp_ Domain from Current a_c..512781 using card..2924.  1Feb 19_40.eml</x:v>
      </x:c>
      <x:c r="R342" s="15" t="str">
        <x:v>High</x:v>
      </x:c>
      <x:c r="S342" s="15" t="str"/>
      <x:c r="T342" s="15" t="str"/>
      <x:c r="U342" s="15" t="str"/>
      <x:c r="V342" s="15" t="str"/>
      <x:c r="W342" s="15" t="str"/>
      <x:c r="X342" s="15" t="str">
        <x:v>FNB :-) R419.34 reserved for purchase @ Sqsp* Domain from Current a/c..512781 using card..2924. Avail R14461. 1Feb 19:40</x:v>
      </x:c>
      <x:c r="Y342" s="15" t="str">
        <x:v>0db85aeb91657d78</x:v>
      </x:c>
    </x:row>
    <x:row r="343">
      <x:c r="A343" s="34" t="n">
        <x:v>46055.41527777778</x:v>
      </x:c>
      <x:c r="B343" s="36" t="n">
        <x:v>46055</x:v>
      </x:c>
      <x:c r="C343" s="34" t="n">
        <x:v>46055.41585648148</x:v>
      </x:c>
      <x:c r="D343" s="15" t="str">
        <x:v>Current a/c..512781</x:v>
      </x:c>
      <x:c r="E343" s="15" t="str"/>
      <x:c r="F343" s="15" t="str">
        <x:v>R500.00 paid from Current a/c..512781 @ Smartapp. Avail R13961. Ref.Kpci - C1736 Feb. 2Feb 09:58</x:v>
      </x:c>
      <x:c r="G343" s="15" t="str">
        <x:v>Kpci - C1736 Feb</x:v>
      </x:c>
      <x:c r="H343" s="38" t="n">
        <x:v>500</x:v>
      </x:c>
      <x:c r="I343" s="15" t="str">
        <x:v>ZAR</x:v>
      </x:c>
      <x:c r="J343" s="15" t="str">
        <x:v>Outflow</x:v>
      </x:c>
      <x:c r="K343" s="15" t="str">
        <x:v>EFT payment</x:v>
      </x:c>
      <x:c r="L343" s="15" t="str">
        <x:v>Supplier payments</x:v>
      </x:c>
      <x:c r="M343" s="38"/>
      <x:c r="N343" s="38" t="n">
        <x:v>13961</x:v>
      </x:c>
      <x:c r="O343" s="15" t="str"/>
      <x:c r="P343" s="15" t="str">
        <x:v>eml_ALL_currentac__512781 (2).zip &gt; eml7currentac__512781.zip</x:v>
      </x:c>
      <x:c r="Q343" s="15" t="str">
        <x:v>FNB _-) R500.00 paid from Current a_c..512781 @ Smartapp. Ref.Kpci - C1736 Feb.  2Feb 09_58.eml</x:v>
      </x:c>
      <x:c r="R343" s="15" t="str">
        <x:v>High</x:v>
      </x:c>
      <x:c r="S343" s="15" t="str">
        <x:v>Category confidence Low: Default outflow category; review counterparty/reference.</x:v>
      </x:c>
      <x:c r="T343" s="15" t="str"/>
      <x:c r="U343" s="15" t="str"/>
      <x:c r="V343" s="15" t="str">
        <x:v>Kpci - C1736 Feb</x:v>
      </x:c>
      <x:c r="W343" s="15" t="str">
        <x:v>Smartapp</x:v>
      </x:c>
      <x:c r="X343" s="15" t="str">
        <x:v>FNB :-) R500.00 paid from Current a/c..512781 @ Smartapp. Avail R13961. Ref.Kpci - C1736 Feb. 2Feb 09:58</x:v>
      </x:c>
      <x:c r="Y343" s="15" t="str">
        <x:v>970ebe534933ea3b</x:v>
      </x:c>
    </x:row>
    <x:row r="344">
      <x:c r="A344" s="34" t="n">
        <x:v>46055.416666666664</x:v>
      </x:c>
      <x:c r="B344" s="36" t="n">
        <x:v>46055</x:v>
      </x:c>
      <x:c r="C344" s="34" t="n">
        <x:v>46055.4168287037</x:v>
      </x:c>
      <x:c r="D344" s="15" t="str">
        <x:v>Current a/c..512781</x:v>
      </x:c>
      <x:c r="E344" s="15" t="str"/>
      <x:c r="F344" s="15" t="str">
        <x:v>R300.00 paid from Current a/c..512781 @ Smartapp. Avail R13661. Ref.Deon"s Diy. 2Feb 10:00</x:v>
      </x:c>
      <x:c r="G344" s="15" t="str">
        <x:v>Deon"s Diy</x:v>
      </x:c>
      <x:c r="H344" s="38" t="n">
        <x:v>300</x:v>
      </x:c>
      <x:c r="I344" s="15" t="str">
        <x:v>ZAR</x:v>
      </x:c>
      <x:c r="J344" s="15" t="str">
        <x:v>Outflow</x:v>
      </x:c>
      <x:c r="K344" s="15" t="str">
        <x:v>EFT payment</x:v>
      </x:c>
      <x:c r="L344" s="15" t="str">
        <x:v>Supplier payments</x:v>
      </x:c>
      <x:c r="M344" s="38"/>
      <x:c r="N344" s="38" t="n">
        <x:v>13661</x:v>
      </x:c>
      <x:c r="O344" s="15" t="str"/>
      <x:c r="P344" s="15" t="str">
        <x:v>eml_ALL_currentac__512781 (2).zip &gt; eml7currentac__512781.zip</x:v>
      </x:c>
      <x:c r="Q344" s="15" t="str">
        <x:v>FNB _-) R300.00 paid from Current a_c..512781 @ Smartapp. Ref.Deon_s Diy.  2Feb 10_00.eml</x:v>
      </x:c>
      <x:c r="R344" s="15" t="str">
        <x:v>High</x:v>
      </x:c>
      <x:c r="S344" s="15" t="str">
        <x:v>Category confidence Low: Default outflow category; review counterparty/reference.</x:v>
      </x:c>
      <x:c r="T344" s="15" t="str"/>
      <x:c r="U344" s="15" t="str"/>
      <x:c r="V344" s="15" t="str">
        <x:v>Deon"s Diy</x:v>
      </x:c>
      <x:c r="W344" s="15" t="str">
        <x:v>Smartapp</x:v>
      </x:c>
      <x:c r="X344" s="15" t="str">
        <x:v>FNB :-) R300.00 paid from Current a/c..512781 @ Smartapp. Avail R13661. Ref.Deon"s Diy. 2Feb 10:00</x:v>
      </x:c>
      <x:c r="Y344" s="15" t="str">
        <x:v>c6ed9ea5feb6861e</x:v>
      </x:c>
    </x:row>
    <x:row r="345">
      <x:c r="A345" s="34" t="n">
        <x:v>46055.42638888889</x:v>
      </x:c>
      <x:c r="B345" s="36" t="n">
        <x:v>46055</x:v>
      </x:c>
      <x:c r="C345" s="34" t="n">
        <x:v>46055.42690972222</x:v>
      </x:c>
      <x:c r="D345" s="15" t="str">
        <x:v>Current a/c..512781</x:v>
      </x:c>
      <x:c r="E345" s="15" t="str"/>
      <x:c r="F345" s="15" t="str">
        <x:v>Payment Link created from Current a/c..512781 To Southern Kruger Saf..698317 @ Smartapp. 2Feb 10:14 Call 087 575 9404 for help.</x:v>
      </x:c>
      <x:c r="G345" s="15" t="str">
        <x:v>Southern Kruger Saf..698317</x:v>
      </x:c>
      <x:c r="H345" s="38"/>
      <x:c r="I345" s="15" t="str"/>
      <x:c r="J345" s="15" t="str">
        <x:v>Neutral/Information Only</x:v>
      </x:c>
      <x:c r="K345" s="15" t="str">
        <x:v>Other</x:v>
      </x:c>
      <x:c r="L345" s="15" t="str">
        <x:v>Other</x:v>
      </x:c>
      <x:c r="M345" s="38"/>
      <x:c r="N345" s="38"/>
      <x:c r="O345" s="15" t="str"/>
      <x:c r="P345" s="15" t="str">
        <x:v>eml_ALL_currentac__512781 (2).zip &gt; eml7currentac__512781.zip</x:v>
      </x:c>
      <x:c r="Q345" s="15" t="str">
        <x:v>FNB _-) Payment Link created from Current a_c..512781 To Southern Kruger Saf..698317 @ Smartapp.  2Feb 10_14 Call 087 575 9404  for help..eml</x:v>
      </x:c>
      <x:c r="R345" s="15" t="str">
        <x:v>High</x:v>
      </x:c>
      <x:c r="S345" s="15" t="str">
        <x:v>Payment link creation only; no money movement indicated. Category confidence Low: Unable to map confidently.</x:v>
      </x:c>
      <x:c r="T345" s="15" t="str">
        <x:v>Current a/c..512781</x:v>
      </x:c>
      <x:c r="U345" s="15" t="str">
        <x:v>Southern Kruger Saf..698317</x:v>
      </x:c>
      <x:c r="V345" s="15" t="str"/>
      <x:c r="W345" s="15" t="str">
        <x:v>Smartapp</x:v>
      </x:c>
      <x:c r="X345" s="15" t="str">
        <x:v>FNB :-) Payment Link created from Current a/c..512781 To Southern Kruger Saf..698317 @ Smartapp. 2Feb 10:14 Call 087 575 9404 for help.</x:v>
      </x:c>
      <x:c r="Y345" s="15" t="str">
        <x:v>12de743e92101c67</x:v>
      </x:c>
    </x:row>
    <x:row r="346">
      <x:c r="A346" s="34" t="n">
        <x:v>46055.42638888889</x:v>
      </x:c>
      <x:c r="B346" s="36" t="n">
        <x:v>46055</x:v>
      </x:c>
      <x:c r="C346" s="34" t="n">
        <x:v>46055.42707175926</x:v>
      </x:c>
      <x:c r="D346" s="15" t="str">
        <x:v>Current a/c..512781</x:v>
      </x:c>
      <x:c r="E346" s="15" t="str"/>
      <x:c r="F346" s="15" t="str">
        <x:v>R4900.00 paid from Current a/c..512781 @ Smartapp. Avail R8761. Ref.Southern Kruger - Sw. 2Feb 10:14</x:v>
      </x:c>
      <x:c r="G346" s="15" t="str">
        <x:v>Southern Kruger - Sw</x:v>
      </x:c>
      <x:c r="H346" s="38" t="n">
        <x:v>4900</x:v>
      </x:c>
      <x:c r="I346" s="15" t="str">
        <x:v>ZAR</x:v>
      </x:c>
      <x:c r="J346" s="15" t="str">
        <x:v>Outflow</x:v>
      </x:c>
      <x:c r="K346" s="15" t="str">
        <x:v>EFT payment</x:v>
      </x:c>
      <x:c r="L346" s="15" t="str">
        <x:v>Supplier payments</x:v>
      </x:c>
      <x:c r="M346" s="38"/>
      <x:c r="N346" s="38" t="n">
        <x:v>8761</x:v>
      </x:c>
      <x:c r="O346" s="15" t="str"/>
      <x:c r="P346" s="15" t="str">
        <x:v>eml_ALL_currentac__512781 (2).zip &gt; eml7currentac__512781.zip</x:v>
      </x:c>
      <x:c r="Q346" s="15" t="str">
        <x:v>FNB _-) R4900.00 paid from Current a_c..512781 @ Smartapp. Ref.Southern Kruger - Sw.  2Feb 10_14.eml</x:v>
      </x:c>
      <x:c r="R346" s="15" t="str">
        <x:v>High</x:v>
      </x:c>
      <x:c r="S346" s="15" t="str">
        <x:v>Category confidence Low: Default outflow category; review counterparty/reference.</x:v>
      </x:c>
      <x:c r="T346" s="15" t="str"/>
      <x:c r="U346" s="15" t="str"/>
      <x:c r="V346" s="15" t="str">
        <x:v>Southern Kruger - Sw</x:v>
      </x:c>
      <x:c r="W346" s="15" t="str">
        <x:v>Smartapp</x:v>
      </x:c>
      <x:c r="X346" s="15" t="str">
        <x:v>FNB :-) R4900.00 paid from Current a/c..512781 @ Smartapp. Avail R8761. Ref.Southern Kruger - Sw. 2Feb 10:14</x:v>
      </x:c>
      <x:c r="Y346" s="15" t="str">
        <x:v>5d3e2f5922ae4455</x:v>
      </x:c>
    </x:row>
    <x:row r="347">
      <x:c r="A347" s="34" t="n">
        <x:v>46055.580555555556</x:v>
      </x:c>
      <x:c r="B347" s="36" t="n">
        <x:v>46055</x:v>
      </x:c>
      <x:c r="C347" s="34" t="n">
        <x:v>46055.580775462964</x:v>
      </x:c>
      <x:c r="D347" s="15" t="str">
        <x:v>Current a/c..512781</x:v>
      </x:c>
      <x:c r="E347" s="15" t="str"/>
      <x:c r="F347" s="15" t="str">
        <x:v>R17517.27 paid to Current a/c..512781 @ Payshap. Ref.Ik Pay 487882. 2Feb 13:56</x:v>
      </x:c>
      <x:c r="G347" s="15" t="str">
        <x:v>Ik Pay 487882</x:v>
      </x:c>
      <x:c r="H347" s="38" t="n">
        <x:v>17517.27</x:v>
      </x:c>
      <x:c r="I347" s="15" t="str">
        <x:v>ZAR</x:v>
      </x:c>
      <x:c r="J347" s="15" t="str">
        <x:v>Inflow</x:v>
      </x:c>
      <x:c r="K347" s="15" t="str">
        <x:v>EFT receipt</x:v>
      </x:c>
      <x:c r="L347" s="15" t="str">
        <x:v>Sales / customer receipts</x:v>
      </x:c>
      <x:c r="M347" s="38"/>
      <x:c r="N347" s="38"/>
      <x:c r="O347" s="15" t="str"/>
      <x:c r="P347" s="15" t="str">
        <x:v>eml_ALL_currentac__512781 (2).zip &gt; eml7currentac__512781.zip</x:v>
      </x:c>
      <x:c r="Q347" s="15" t="str">
        <x:v>FNB _-) R17517.27 paid to Current a_c..512781 @ Payshap. Ref.Ik Pay 487882.  2Feb 13_56.eml</x:v>
      </x:c>
      <x:c r="R347" s="15" t="str">
        <x:v>High</x:v>
      </x:c>
      <x:c r="S347" s="15" t="str">
        <x:v>Category confidence Medium: Default for incoming EFT/PayShap/online receipt.</x:v>
      </x:c>
      <x:c r="T347" s="15" t="str"/>
      <x:c r="U347" s="15" t="str"/>
      <x:c r="V347" s="15" t="str">
        <x:v>Ik Pay 487882</x:v>
      </x:c>
      <x:c r="W347" s="15" t="str">
        <x:v>Payshap</x:v>
      </x:c>
      <x:c r="X347" s="15" t="str">
        <x:v>FNB :-) R17517.27 paid to Current a/c..512781 @ Payshap. Ref.Ik Pay 487882. 2Feb 13:56</x:v>
      </x:c>
      <x:c r="Y347" s="15" t="str">
        <x:v>73dec51271eff4b0</x:v>
      </x:c>
    </x:row>
    <x:row r="348">
      <x:c r="A348" s="34" t="n">
        <x:v>46055.615277777775</x:v>
      </x:c>
      <x:c r="B348" s="36" t="n">
        <x:v>46055</x:v>
      </x:c>
      <x:c r="C348" s="34" t="n">
        <x:v>46055.61541666667</x:v>
      </x:c>
      <x:c r="D348" s="15" t="str">
        <x:v>Current a/c..512781</x:v>
      </x:c>
      <x:c r="E348" s="15" t="str">
        <x:v>card..2924</x:v>
      </x:c>
      <x:c r="F348" s="15" t="str">
        <x:v>R113.44 reserved for purchase @ Savemor Marloth from Current a/c..512781 using card..2924. Avail R26164. 2Feb 14:46</x:v>
      </x:c>
      <x:c r="G348" s="15" t="str">
        <x:v>Savemor Marloth</x:v>
      </x:c>
      <x:c r="H348" s="38" t="n">
        <x:v>113.44</x:v>
      </x:c>
      <x:c r="I348" s="15" t="str">
        <x:v>ZAR</x:v>
      </x:c>
      <x:c r="J348" s="15" t="str">
        <x:v>Outflow</x:v>
      </x:c>
      <x:c r="K348" s="15" t="str">
        <x:v>Card purchase</x:v>
      </x:c>
      <x:c r="L348" s="15" t="str">
        <x:v>Supplier payments</x:v>
      </x:c>
      <x:c r="M348" s="38"/>
      <x:c r="N348" s="38" t="n">
        <x:v>26164</x:v>
      </x:c>
      <x:c r="O348" s="15" t="str"/>
      <x:c r="P348" s="15" t="str">
        <x:v>eml_ALL_currentac__512781 (2).zip &gt; eml7currentac__512781.zip</x:v>
      </x:c>
      <x:c r="Q348" s="15" t="str">
        <x:v>FNB _-) R113.44 reserved for purchase @ Savemor Marloth from Current a_c..512781 using card..2924.  2Feb 14_46.eml</x:v>
      </x:c>
      <x:c r="R348" s="15" t="str">
        <x:v>High</x:v>
      </x:c>
      <x:c r="S348" s="15" t="str">
        <x:v>Category confidence Medium: Retail/supplier merchant keyword.</x:v>
      </x:c>
      <x:c r="T348" s="15" t="str"/>
      <x:c r="U348" s="15" t="str"/>
      <x:c r="V348" s="15" t="str"/>
      <x:c r="W348" s="15" t="str"/>
      <x:c r="X348" s="15" t="str">
        <x:v>FNB :-) R113.44 reserved for purchase @ Savemor Marloth from Current a/c..512781 using card..2924. Avail R26164. 2Feb 14:46</x:v>
      </x:c>
      <x:c r="Y348" s="15" t="str">
        <x:v>c3e5ca43b446744c</x:v>
      </x:c>
    </x:row>
    <x:row r="349">
      <x:c r="A349" s="34" t="n">
        <x:v>46055.626388888886</x:v>
      </x:c>
      <x:c r="B349" s="36" t="n">
        <x:v>46055</x:v>
      </x:c>
      <x:c r="C349" s="34" t="n">
        <x:v>46055.62706018519</x:v>
      </x:c>
      <x:c r="D349" s="15" t="str">
        <x:v>Current a/c..512781</x:v>
      </x:c>
      <x:c r="E349" s="15" t="str"/>
      <x:c r="F349" s="15" t="str">
        <x:v>R257.18 paid to Current a/c..512781 @ Payshap. Ref.Warner. 2Feb 15:02</x:v>
      </x:c>
      <x:c r="G349" s="15" t="str">
        <x:v>Warner</x:v>
      </x:c>
      <x:c r="H349" s="38" t="n">
        <x:v>257.18</x:v>
      </x:c>
      <x:c r="I349" s="15" t="str">
        <x:v>ZAR</x:v>
      </x:c>
      <x:c r="J349" s="15" t="str">
        <x:v>Inflow</x:v>
      </x:c>
      <x:c r="K349" s="15" t="str">
        <x:v>EFT receipt</x:v>
      </x:c>
      <x:c r="L349" s="15" t="str">
        <x:v>Sales / customer receipts</x:v>
      </x:c>
      <x:c r="M349" s="38"/>
      <x:c r="N349" s="38"/>
      <x:c r="O349" s="15" t="str"/>
      <x:c r="P349" s="15" t="str">
        <x:v>eml_ALL_currentac__512781 (2).zip &gt; eml7currentac__512781.zip</x:v>
      </x:c>
      <x:c r="Q349" s="15" t="str">
        <x:v>FNB _-) R257.18 paid to Current a_c..512781 @ Payshap. Ref.Warner.  2Feb 15_02.eml</x:v>
      </x:c>
      <x:c r="R349" s="15" t="str">
        <x:v>High</x:v>
      </x:c>
      <x:c r="S349" s="15" t="str">
        <x:v>Category confidence Medium: Default for incoming EFT/PayShap/online receipt.</x:v>
      </x:c>
      <x:c r="T349" s="15" t="str"/>
      <x:c r="U349" s="15" t="str"/>
      <x:c r="V349" s="15" t="str">
        <x:v>Warner</x:v>
      </x:c>
      <x:c r="W349" s="15" t="str">
        <x:v>Payshap</x:v>
      </x:c>
      <x:c r="X349" s="15" t="str">
        <x:v>FNB :-) R257.18 paid to Current a/c..512781 @ Payshap. Ref.Warner. 2Feb 15:02</x:v>
      </x:c>
      <x:c r="Y349" s="15" t="str">
        <x:v>dda759b738efbc05</x:v>
      </x:c>
    </x:row>
    <x:row r="350">
      <x:c r="A350" s="34" t="n">
        <x:v>46055.63333333333</x:v>
      </x:c>
      <x:c r="B350" s="36" t="n">
        <x:v>46055</x:v>
      </x:c>
      <x:c r="C350" s="34" t="n">
        <x:v>46055.63364583333</x:v>
      </x:c>
      <x:c r="D350" s="15" t="str">
        <x:v>Current a/c..512781</x:v>
      </x:c>
      <x:c r="E350" s="15" t="str"/>
      <x:c r="F350" s="15" t="str">
        <x:v>R6472.00 paid from Current a/c..512781 @ Smartapp. Avail R19950. Ref.Royal Bush 3597. 2Feb 15:12</x:v>
      </x:c>
      <x:c r="G350" s="15" t="str">
        <x:v>Royal Bush 3597</x:v>
      </x:c>
      <x:c r="H350" s="38" t="n">
        <x:v>6472</x:v>
      </x:c>
      <x:c r="I350" s="15" t="str">
        <x:v>ZAR</x:v>
      </x:c>
      <x:c r="J350" s="15" t="str">
        <x:v>Outflow</x:v>
      </x:c>
      <x:c r="K350" s="15" t="str">
        <x:v>EFT payment</x:v>
      </x:c>
      <x:c r="L350" s="15" t="str">
        <x:v>Supplier payments</x:v>
      </x:c>
      <x:c r="M350" s="38"/>
      <x:c r="N350" s="38" t="n">
        <x:v>19950</x:v>
      </x:c>
      <x:c r="O350" s="15" t="str"/>
      <x:c r="P350" s="15" t="str">
        <x:v>eml_ALL_currentac__512781 (2).zip &gt; eml7currentac__512781.zip</x:v>
      </x:c>
      <x:c r="Q350" s="15" t="str">
        <x:v>FNB _-) R6472.00 paid from Current a_c..512781 @ Smartapp. Ref.Royal Bush 3597.  2Feb 15_12.eml</x:v>
      </x:c>
      <x:c r="R350" s="15" t="str">
        <x:v>High</x:v>
      </x:c>
      <x:c r="S350" s="15" t="str">
        <x:v>Category confidence Low: Default outflow category; review counterparty/reference.</x:v>
      </x:c>
      <x:c r="T350" s="15" t="str"/>
      <x:c r="U350" s="15" t="str"/>
      <x:c r="V350" s="15" t="str">
        <x:v>Royal Bush 3597</x:v>
      </x:c>
      <x:c r="W350" s="15" t="str">
        <x:v>Smartapp</x:v>
      </x:c>
      <x:c r="X350" s="15" t="str">
        <x:v>FNB :-) R6472.00 paid from Current a/c..512781 @ Smartapp. Avail R19950. Ref.Royal Bush 3597. 2Feb 15:12</x:v>
      </x:c>
      <x:c r="Y350" s="15" t="str">
        <x:v>bd51606d5cfd3e0f</x:v>
      </x:c>
    </x:row>
    <x:row r="351">
      <x:c r="A351" s="34" t="n">
        <x:v>46056.48263888889</x:v>
      </x:c>
      <x:c r="B351" s="36" t="n">
        <x:v>46056</x:v>
      </x:c>
      <x:c r="C351" s="34" t="n">
        <x:v>46056.483252314814</x:v>
      </x:c>
      <x:c r="D351" s="15" t="str">
        <x:v>Current a/c..512781</x:v>
      </x:c>
      <x:c r="E351" s="15" t="str">
        <x:v>card..2924</x:v>
      </x:c>
      <x:c r="F351" s="15" t="str">
        <x:v>R170.00 reserved for purchase @ Sparkling Auto Nelsp from Current a/c..512781 using card..2924. Avail R19685. 3Feb 11:35</x:v>
      </x:c>
      <x:c r="G351" s="15" t="str">
        <x:v>Sparkling Auto Nelsp</x:v>
      </x:c>
      <x:c r="H351" s="38" t="n">
        <x:v>170</x:v>
      </x:c>
      <x:c r="I351" s="15" t="str">
        <x:v>ZAR</x:v>
      </x:c>
      <x:c r="J351" s="15" t="str">
        <x:v>Outflow</x:v>
      </x:c>
      <x:c r="K351" s="15" t="str">
        <x:v>Card purchase</x:v>
      </x:c>
      <x:c r="L351" s="15" t="str">
        <x:v>Supplier payments</x:v>
      </x:c>
      <x:c r="M351" s="38"/>
      <x:c r="N351" s="38" t="n">
        <x:v>19685</x:v>
      </x:c>
      <x:c r="O351" s="15" t="str"/>
      <x:c r="P351" s="15" t="str">
        <x:v>eml_ALL_currentac__512781 (2).zip &gt; eml7currentac__512781.zip</x:v>
      </x:c>
      <x:c r="Q351" s="15" t="str">
        <x:v>FNB _-) R170.00 reserved for purchase @ Sparkling Auto Nelsp from Current a_c..512781 using card..2924.  3Feb 11_35.eml</x:v>
      </x:c>
      <x:c r="R351" s="15" t="str">
        <x:v>High</x:v>
      </x:c>
      <x:c r="S351" s="15" t="str">
        <x:v>Category confidence Medium: Retail/supplier merchant keyword.</x:v>
      </x:c>
      <x:c r="T351" s="15" t="str"/>
      <x:c r="U351" s="15" t="str"/>
      <x:c r="V351" s="15" t="str"/>
      <x:c r="W351" s="15" t="str"/>
      <x:c r="X351" s="15" t="str">
        <x:v>FNB :-) R170.00 reserved for purchase @ Sparkling Auto Nelsp from Current a/c..512781 using card..2924. Avail R19685. 3Feb 11:35</x:v>
      </x:c>
      <x:c r="Y351" s="15" t="str">
        <x:v>4f75fa08d4819543</x:v>
      </x:c>
    </x:row>
    <x:row r="352">
      <x:c r="A352" s="34" t="n">
        <x:v>46056.50347222222</x:v>
      </x:c>
      <x:c r="B352" s="36" t="n">
        <x:v>46056</x:v>
      </x:c>
      <x:c r="C352" s="34" t="n">
        <x:v>46056.50392361111</x:v>
      </x:c>
      <x:c r="D352" s="15" t="str">
        <x:v>Current a/c..512781</x:v>
      </x:c>
      <x:c r="E352" s="15" t="str">
        <x:v>card..2924</x:v>
      </x:c>
      <x:c r="F352" s="15" t="str">
        <x:v>R299.97 reserved for purchase @ Superspar The Grove from Current a/c..512781 using card..2924. Avail R19385. 3Feb 12:05</x:v>
      </x:c>
      <x:c r="G352" s="15" t="str">
        <x:v>Superspar The Grove</x:v>
      </x:c>
      <x:c r="H352" s="38" t="n">
        <x:v>299.97</x:v>
      </x:c>
      <x:c r="I352" s="15" t="str">
        <x:v>ZAR</x:v>
      </x:c>
      <x:c r="J352" s="15" t="str">
        <x:v>Outflow</x:v>
      </x:c>
      <x:c r="K352" s="15" t="str">
        <x:v>Card purchase</x:v>
      </x:c>
      <x:c r="L352" s="15" t="str">
        <x:v>Supplier payments</x:v>
      </x:c>
      <x:c r="M352" s="38"/>
      <x:c r="N352" s="38" t="n">
        <x:v>19385</x:v>
      </x:c>
      <x:c r="O352" s="15" t="str"/>
      <x:c r="P352" s="15" t="str">
        <x:v>eml_ALL_currentac__512781 (2).zip &gt; eml7currentac__512781.zip</x:v>
      </x:c>
      <x:c r="Q352" s="15" t="str">
        <x:v>FNB _-) R299.97 reserved for purchase @ Superspar The Grove from Current a_c..512781 using card..2924.  3Feb 12_05.eml</x:v>
      </x:c>
      <x:c r="R352" s="15" t="str">
        <x:v>High</x:v>
      </x:c>
      <x:c r="S352" s="15" t="str">
        <x:v>Category confidence Medium: Retail/supplier merchant keyword.</x:v>
      </x:c>
      <x:c r="T352" s="15" t="str"/>
      <x:c r="U352" s="15" t="str"/>
      <x:c r="V352" s="15" t="str"/>
      <x:c r="W352" s="15" t="str"/>
      <x:c r="X352" s="15" t="str">
        <x:v>FNB :-) R299.97 reserved for purchase @ Superspar The Grove from Current a/c..512781 using card..2924. Avail R19385. 3Feb 12:05</x:v>
      </x:c>
      <x:c r="Y352" s="15" t="str">
        <x:v>8891024496426c28</x:v>
      </x:c>
    </x:row>
    <x:row r="353">
      <x:c r="A353" s="34" t="n">
        <x:v>46056.54375</x:v>
      </x:c>
      <x:c r="B353" s="36" t="n">
        <x:v>46056</x:v>
      </x:c>
      <x:c r="C353" s="34" t="n">
        <x:v>46056.54420138889</x:v>
      </x:c>
      <x:c r="D353" s="15" t="str">
        <x:v>Current a/c..512781</x:v>
      </x:c>
      <x:c r="E353" s="15" t="str">
        <x:v>card..2924</x:v>
      </x:c>
      <x:c r="F353" s="15" t="str">
        <x:v>R500.00 reserved for purchase @ Engen Prime Corner C from Current a/c..512781 using card..2924. Avail R18885. 3Feb 13:03</x:v>
      </x:c>
      <x:c r="G353" s="15" t="str">
        <x:v>Engen Prime Corner C</x:v>
      </x:c>
      <x:c r="H353" s="38" t="n">
        <x:v>500</x:v>
      </x:c>
      <x:c r="I353" s="15" t="str">
        <x:v>ZAR</x:v>
      </x:c>
      <x:c r="J353" s="15" t="str">
        <x:v>Outflow</x:v>
      </x:c>
      <x:c r="K353" s="15" t="str">
        <x:v>Card purchase</x:v>
      </x:c>
      <x:c r="L353" s="15" t="str">
        <x:v>Fuel / transport</x:v>
      </x:c>
      <x:c r="M353" s="38"/>
      <x:c r="N353" s="38" t="n">
        <x:v>18885</x:v>
      </x:c>
      <x:c r="O353" s="15" t="str"/>
      <x:c r="P353" s="15" t="str">
        <x:v>eml_ALL_currentac__512781 (2).zip &gt; eml7currentac__512781.zip</x:v>
      </x:c>
      <x:c r="Q353" s="15" t="str">
        <x:v>FNB _-) R500.00 reserved for purchase @ Engen Prime Corner C from Current a_c..512781 using card..2924.  3Feb 13_03.eml</x:v>
      </x:c>
      <x:c r="R353" s="15" t="str">
        <x:v>High</x:v>
      </x:c>
      <x:c r="S353" s="15" t="str"/>
      <x:c r="T353" s="15" t="str"/>
      <x:c r="U353" s="15" t="str"/>
      <x:c r="V353" s="15" t="str"/>
      <x:c r="W353" s="15" t="str"/>
      <x:c r="X353" s="15" t="str">
        <x:v>FNB :-) R500.00 reserved for purchase @ Engen Prime Corner C from Current a/c..512781 using card..2924. Avail R18885. 3Feb 13:03</x:v>
      </x:c>
      <x:c r="Y353" s="15" t="str">
        <x:v>5d99e0f292326a1c</x:v>
      </x:c>
    </x:row>
    <x:row r="354">
      <x:c r="A354" s="34" t="n">
        <x:v>46057.333333333336</x:v>
      </x:c>
      <x:c r="B354" s="36" t="n">
        <x:v>46057</x:v>
      </x:c>
      <x:c r="C354" s="34" t="n">
        <x:v>46057.333761574075</x:v>
      </x:c>
      <x:c r="D354" s="15" t="str">
        <x:v>Current a/c..512781</x:v>
      </x:c>
      <x:c r="E354" s="15" t="str"/>
      <x:c r="F354" s="15" t="str">
        <x:v>R500.00 paid from Current a/c..512781 @ Smartapp. Avail R18194. Ref.Electricity 04294887. 4Feb 08:00</x:v>
      </x:c>
      <x:c r="G354" s="15" t="str">
        <x:v>Electricity 04294887</x:v>
      </x:c>
      <x:c r="H354" s="38" t="n">
        <x:v>500</x:v>
      </x:c>
      <x:c r="I354" s="15" t="str">
        <x:v>ZAR</x:v>
      </x:c>
      <x:c r="J354" s="15" t="str">
        <x:v>Outflow</x:v>
      </x:c>
      <x:c r="K354" s="15" t="str">
        <x:v>EFT payment</x:v>
      </x:c>
      <x:c r="L354" s="15" t="str">
        <x:v>Telecom / utilities</x:v>
      </x:c>
      <x:c r="M354" s="38"/>
      <x:c r="N354" s="38" t="n">
        <x:v>18194</x:v>
      </x:c>
      <x:c r="O354" s="15" t="str"/>
      <x:c r="P354" s="15" t="str">
        <x:v>eml_ALL_currentac__512781 (2).zip &gt; eml7currentac__512781.zip</x:v>
      </x:c>
      <x:c r="Q354" s="15" t="str">
        <x:v>FNB _-) R500.00 paid from Current a_c..512781 @ Smartapp. Ref.Electricity 04294887.  4Feb 08_00.eml</x:v>
      </x:c>
      <x:c r="R354" s="15" t="str">
        <x:v>High</x:v>
      </x:c>
      <x:c r="S354" s="15" t="str"/>
      <x:c r="T354" s="15" t="str"/>
      <x:c r="U354" s="15" t="str"/>
      <x:c r="V354" s="15" t="str">
        <x:v>Electricity 04294887</x:v>
      </x:c>
      <x:c r="W354" s="15" t="str">
        <x:v>Smartapp</x:v>
      </x:c>
      <x:c r="X354" s="15" t="str">
        <x:v>FNB :-) R500.00 paid from Current a/c..512781 @ Smartapp. Avail R18194. Ref.Electricity 04294887. 4Feb 08:00</x:v>
      </x:c>
      <x:c r="Y354" s="15" t="str">
        <x:v>b4dcf866b170b14f</x:v>
      </x:c>
    </x:row>
    <x:row r="355">
      <x:c r="A355" s="34" t="n">
        <x:v>46057.51527777778</x:v>
      </x:c>
      <x:c r="B355" s="36" t="n">
        <x:v>46057</x:v>
      </x:c>
      <x:c r="C355" s="34" t="n">
        <x:v>46057.51577546296</x:v>
      </x:c>
      <x:c r="D355" s="15" t="str">
        <x:v>Current a/c..512781</x:v>
      </x:c>
      <x:c r="E355" s="15" t="str"/>
      <x:c r="F355" s="15" t="str">
        <x:v>R6008.00 paid from Current a/c..512781 @ Gen Ph. Avail R12171. Ref.Kruger Safari 1681. 4Feb 12:22</x:v>
      </x:c>
      <x:c r="G355" s="15" t="str">
        <x:v>Kruger Safari 1681</x:v>
      </x:c>
      <x:c r="H355" s="38" t="n">
        <x:v>6008</x:v>
      </x:c>
      <x:c r="I355" s="15" t="str">
        <x:v>ZAR</x:v>
      </x:c>
      <x:c r="J355" s="15" t="str">
        <x:v>Outflow</x:v>
      </x:c>
      <x:c r="K355" s="15" t="str">
        <x:v>EFT payment</x:v>
      </x:c>
      <x:c r="L355" s="15" t="str">
        <x:v>Supplier payments</x:v>
      </x:c>
      <x:c r="M355" s="38"/>
      <x:c r="N355" s="38" t="n">
        <x:v>12171</x:v>
      </x:c>
      <x:c r="O355" s="15" t="str"/>
      <x:c r="P355" s="15" t="str">
        <x:v>eml_ALL_currentac__512781 (2).zip &gt; eml7currentac__512781.zip</x:v>
      </x:c>
      <x:c r="Q355" s="15" t="str">
        <x:v>FNB _-) R6008.00 paid from Current a_c..512781 @ Gen Ph. Ref.Kruger Safari 1681.  4Feb 12_22.eml</x:v>
      </x:c>
      <x:c r="R355" s="15" t="str">
        <x:v>High</x:v>
      </x:c>
      <x:c r="S355" s="15" t="str">
        <x:v>Category confidence Low: Default outflow category; review counterparty/reference.</x:v>
      </x:c>
      <x:c r="T355" s="15" t="str"/>
      <x:c r="U355" s="15" t="str"/>
      <x:c r="V355" s="15" t="str">
        <x:v>Kruger Safari 1681</x:v>
      </x:c>
      <x:c r="W355" s="15" t="str">
        <x:v>Gen Ph</x:v>
      </x:c>
      <x:c r="X355" s="15" t="str">
        <x:v>FNB :-) R6008.00 paid from Current a/c..512781 @ Gen Ph. Avail R12171. Ref.Kruger Safari 1681. 4Feb 12:22</x:v>
      </x:c>
      <x:c r="Y355" s="15" t="str">
        <x:v>5a65a97fb213aa81</x:v>
      </x:c>
    </x:row>
    <x:row r="356">
      <x:c r="A356" s="34" t="n">
        <x:v>46057.62986111111</x:v>
      </x:c>
      <x:c r="B356" s="36" t="n">
        <x:v>46057</x:v>
      </x:c>
      <x:c r="C356" s="34" t="n">
        <x:v>46057.630324074074</x:v>
      </x:c>
      <x:c r="D356" s="15" t="str">
        <x:v>Current a/c..512781</x:v>
      </x:c>
      <x:c r="E356" s="15" t="str">
        <x:v>card..2924</x:v>
      </x:c>
      <x:c r="F356" s="15" t="str">
        <x:v>R524.81 reserved for purchase @ Savemor Marloth from Current a/c..512781 using card..2924. Avail R11646. 4Feb 15:07</x:v>
      </x:c>
      <x:c r="G356" s="15" t="str">
        <x:v>Savemor Marloth</x:v>
      </x:c>
      <x:c r="H356" s="38" t="n">
        <x:v>524.81</x:v>
      </x:c>
      <x:c r="I356" s="15" t="str">
        <x:v>ZAR</x:v>
      </x:c>
      <x:c r="J356" s="15" t="str">
        <x:v>Outflow</x:v>
      </x:c>
      <x:c r="K356" s="15" t="str">
        <x:v>Card purchase</x:v>
      </x:c>
      <x:c r="L356" s="15" t="str">
        <x:v>Supplier payments</x:v>
      </x:c>
      <x:c r="M356" s="38"/>
      <x:c r="N356" s="38" t="n">
        <x:v>11646</x:v>
      </x:c>
      <x:c r="O356" s="15" t="str"/>
      <x:c r="P356" s="15" t="str">
        <x:v>eml_ALL_currentac__512781 (2).zip &gt; eml7currentac__512781.zip</x:v>
      </x:c>
      <x:c r="Q356" s="15" t="str">
        <x:v>FNB _-) R524.81 reserved for purchase @ Savemor Marloth from Current a_c..512781 using card..2924.  4Feb 15_07.eml</x:v>
      </x:c>
      <x:c r="R356" s="15" t="str">
        <x:v>High</x:v>
      </x:c>
      <x:c r="S356" s="15" t="str">
        <x:v>Category confidence Medium: Retail/supplier merchant keyword.</x:v>
      </x:c>
      <x:c r="T356" s="15" t="str"/>
      <x:c r="U356" s="15" t="str"/>
      <x:c r="V356" s="15" t="str"/>
      <x:c r="W356" s="15" t="str"/>
      <x:c r="X356" s="15" t="str">
        <x:v>FNB :-) R524.81 reserved for purchase @ Savemor Marloth from Current a/c..512781 using card..2924. Avail R11646. 4Feb 15:07</x:v>
      </x:c>
      <x:c r="Y356" s="15" t="str">
        <x:v>f2336bd3cd561a2c</x:v>
      </x:c>
    </x:row>
    <x:row r="357">
      <x:c r="A357" s="34" t="n">
        <x:v>46058.38333333333</x:v>
      </x:c>
      <x:c r="B357" s="36" t="n">
        <x:v>46058</x:v>
      </x:c>
      <x:c r="C357" s="34" t="n">
        <x:v>46058.383564814816</x:v>
      </x:c>
      <x:c r="D357" s="15" t="str">
        <x:v>Current a/c..512781</x:v>
      </x:c>
      <x:c r="E357" s="15" t="str"/>
      <x:c r="F357" s="15" t="str">
        <x:v>Payment Link created from Current a/c..512781 To L Meiring Laundry..679185 @ Smartapp. 5Feb 09:12 Call 087 575 9404 for help.</x:v>
      </x:c>
      <x:c r="G357" s="15" t="str">
        <x:v>L Meiring Laundry..679185</x:v>
      </x:c>
      <x:c r="H357" s="38"/>
      <x:c r="I357" s="15" t="str"/>
      <x:c r="J357" s="15" t="str">
        <x:v>Neutral/Information Only</x:v>
      </x:c>
      <x:c r="K357" s="15" t="str">
        <x:v>Other</x:v>
      </x:c>
      <x:c r="L357" s="15" t="str">
        <x:v>Other</x:v>
      </x:c>
      <x:c r="M357" s="38"/>
      <x:c r="N357" s="38"/>
      <x:c r="O357" s="15" t="str"/>
      <x:c r="P357" s="15" t="str">
        <x:v>eml_ALL_currentac__512781 (2).zip &gt; eml7currentac__512781.zip</x:v>
      </x:c>
      <x:c r="Q357" s="15" t="str">
        <x:v>FNB _-) Payment Link created from Current a_c..512781 To L Meiring Laundry..679185 @ Smartapp.  5Feb 09_12 Call 087 575 9404  for help..eml</x:v>
      </x:c>
      <x:c r="R357" s="15" t="str">
        <x:v>High</x:v>
      </x:c>
      <x:c r="S357" s="15" t="str">
        <x:v>Payment link creation only; no money movement indicated. Category confidence Low: Unable to map confidently.</x:v>
      </x:c>
      <x:c r="T357" s="15" t="str">
        <x:v>Current a/c..512781</x:v>
      </x:c>
      <x:c r="U357" s="15" t="str">
        <x:v>L Meiring Laundry..679185</x:v>
      </x:c>
      <x:c r="V357" s="15" t="str"/>
      <x:c r="W357" s="15" t="str">
        <x:v>Smartapp</x:v>
      </x:c>
      <x:c r="X357" s="15" t="str">
        <x:v>FNB :-) Payment Link created from Current a/c..512781 To L Meiring Laundry..679185 @ Smartapp. 5Feb 09:12 Call 087 575 9404 for help.</x:v>
      </x:c>
      <x:c r="Y357" s="15" t="str">
        <x:v>f9a96428f0c7e86e</x:v>
      </x:c>
    </x:row>
    <x:row r="358">
      <x:c r="A358" s="34" t="n">
        <x:v>46058.38333333333</x:v>
      </x:c>
      <x:c r="B358" s="36" t="n">
        <x:v>46058</x:v>
      </x:c>
      <x:c r="C358" s="34" t="n">
        <x:v>46058.38375</x:v>
      </x:c>
      <x:c r="D358" s="15" t="str">
        <x:v>Current a/c..512781</x:v>
      </x:c>
      <x:c r="E358" s="15" t="str"/>
      <x:c r="F358" s="15" t="str">
        <x:v>R442.25 paid from Current a/c..512781 @ Smartapp. Avail R11189. Ref.Laundry Bigbay. 5Feb 09:12</x:v>
      </x:c>
      <x:c r="G358" s="15" t="str">
        <x:v>Laundry Bigbay</x:v>
      </x:c>
      <x:c r="H358" s="38" t="n">
        <x:v>442.25</x:v>
      </x:c>
      <x:c r="I358" s="15" t="str">
        <x:v>ZAR</x:v>
      </x:c>
      <x:c r="J358" s="15" t="str">
        <x:v>Outflow</x:v>
      </x:c>
      <x:c r="K358" s="15" t="str">
        <x:v>EFT payment</x:v>
      </x:c>
      <x:c r="L358" s="15" t="str">
        <x:v>Supplier payments</x:v>
      </x:c>
      <x:c r="M358" s="38"/>
      <x:c r="N358" s="38" t="n">
        <x:v>11189</x:v>
      </x:c>
      <x:c r="O358" s="15" t="str"/>
      <x:c r="P358" s="15" t="str">
        <x:v>eml_ALL_currentac__512781 (2).zip &gt; eml7currentac__512781.zip</x:v>
      </x:c>
      <x:c r="Q358" s="15" t="str">
        <x:v>FNB _-) R442.25 paid from Current a_c..512781 @ Smartapp. Ref.Laundry Bigbay.  5Feb 09_12.eml</x:v>
      </x:c>
      <x:c r="R358" s="15" t="str">
        <x:v>High</x:v>
      </x:c>
      <x:c r="S358" s="15" t="str">
        <x:v>Category confidence Low: Default outflow category; review counterparty/reference.</x:v>
      </x:c>
      <x:c r="T358" s="15" t="str"/>
      <x:c r="U358" s="15" t="str"/>
      <x:c r="V358" s="15" t="str">
        <x:v>Laundry Bigbay</x:v>
      </x:c>
      <x:c r="W358" s="15" t="str">
        <x:v>Smartapp</x:v>
      </x:c>
      <x:c r="X358" s="15" t="str">
        <x:v>FNB :-) R442.25 paid from Current a/c..512781 @ Smartapp. Avail R11189. Ref.Laundry Bigbay. 5Feb 09:12</x:v>
      </x:c>
      <x:c r="Y358" s="15" t="str">
        <x:v>66c88ed516e49526</x:v>
      </x:c>
    </x:row>
    <x:row r="359">
      <x:c r="A359" s="34" t="n">
        <x:v>46058.490277777775</x:v>
      </x:c>
      <x:c r="B359" s="36" t="n">
        <x:v>46058</x:v>
      </x:c>
      <x:c r="C359" s="34" t="n">
        <x:v>46058.490428240744</x:v>
      </x:c>
      <x:c r="D359" s="15" t="str">
        <x:v>Current a/c..512781</x:v>
      </x:c>
      <x:c r="E359" s="15" t="str">
        <x:v>card..2924</x:v>
      </x:c>
      <x:c r="F359" s="15" t="str">
        <x:v>R1791.43 reserved for purchase @ Superspar Komatipoor from Current a/c..512781 using card..2924. Avail R9397. 5Feb 11:46</x:v>
      </x:c>
      <x:c r="G359" s="15" t="str">
        <x:v>Superspar Komatipoor</x:v>
      </x:c>
      <x:c r="H359" s="38" t="n">
        <x:v>1791.43</x:v>
      </x:c>
      <x:c r="I359" s="15" t="str">
        <x:v>ZAR</x:v>
      </x:c>
      <x:c r="J359" s="15" t="str">
        <x:v>Outflow</x:v>
      </x:c>
      <x:c r="K359" s="15" t="str">
        <x:v>Card purchase</x:v>
      </x:c>
      <x:c r="L359" s="15" t="str">
        <x:v>Supplier payments</x:v>
      </x:c>
      <x:c r="M359" s="38"/>
      <x:c r="N359" s="38" t="n">
        <x:v>9397</x:v>
      </x:c>
      <x:c r="O359" s="15" t="str"/>
      <x:c r="P359" s="15" t="str">
        <x:v>eml_ALL_currentac__512781 (2).zip &gt; eml7currentac__512781.zip</x:v>
      </x:c>
      <x:c r="Q359" s="15" t="str">
        <x:v>FNB _-) R1791.43 reserved for purchase @ Superspar Komatipoor from Current a_c..512781 using card..2924.  5Feb 11_46.eml</x:v>
      </x:c>
      <x:c r="R359" s="15" t="str">
        <x:v>High</x:v>
      </x:c>
      <x:c r="S359" s="15" t="str">
        <x:v>Category confidence Medium: Retail/supplier merchant keyword.</x:v>
      </x:c>
      <x:c r="T359" s="15" t="str"/>
      <x:c r="U359" s="15" t="str"/>
      <x:c r="V359" s="15" t="str"/>
      <x:c r="W359" s="15" t="str"/>
      <x:c r="X359" s="15" t="str">
        <x:v>FNB :-) R1791.43 reserved for purchase @ Superspar Komatipoor from Current a/c..512781 using card..2924. Avail R9397. 5Feb 11:46</x:v>
      </x:c>
      <x:c r="Y359" s="15" t="str">
        <x:v>16fb70c45f8eece1</x:v>
      </x:c>
    </x:row>
    <x:row r="360">
      <x:c r="A360" s="34" t="n">
        <x:v>46058.50486111111</x:v>
      </x:c>
      <x:c r="B360" s="36" t="n">
        <x:v>46058</x:v>
      </x:c>
      <x:c r="C360" s="34" t="n">
        <x:v>46058.50508101852</x:v>
      </x:c>
      <x:c r="D360" s="15" t="str">
        <x:v>Current a/c..512781</x:v>
      </x:c>
      <x:c r="E360" s="15" t="str">
        <x:v>card..2924</x:v>
      </x:c>
      <x:c r="F360" s="15" t="str">
        <x:v>R600.00 reserved for purchase @ Obaro Komatipoort Fc from Current a/c..512781 using card..2924. Avail R8797. 5Feb 12:07</x:v>
      </x:c>
      <x:c r="G360" s="15" t="str">
        <x:v>Obaro Komatipoort Fc</x:v>
      </x:c>
      <x:c r="H360" s="38" t="n">
        <x:v>600</x:v>
      </x:c>
      <x:c r="I360" s="15" t="str">
        <x:v>ZAR</x:v>
      </x:c>
      <x:c r="J360" s="15" t="str">
        <x:v>Outflow</x:v>
      </x:c>
      <x:c r="K360" s="15" t="str">
        <x:v>Card purchase</x:v>
      </x:c>
      <x:c r="L360" s="15" t="str">
        <x:v>Supplier payments</x:v>
      </x:c>
      <x:c r="M360" s="38"/>
      <x:c r="N360" s="38" t="n">
        <x:v>8797</x:v>
      </x:c>
      <x:c r="O360" s="15" t="str"/>
      <x:c r="P360" s="15" t="str">
        <x:v>eml_ALL_currentac__512781 (2).zip &gt; eml7currentac__512781.zip</x:v>
      </x:c>
      <x:c r="Q360" s="15" t="str">
        <x:v>FNB _-) R600.00 reserved for purchase @ Obaro Komatipoort Fc from Current a_c..512781 using card..2924.  5Feb 12_07.eml</x:v>
      </x:c>
      <x:c r="R360" s="15" t="str">
        <x:v>High</x:v>
      </x:c>
      <x:c r="S360" s="15" t="str">
        <x:v>Category confidence Medium: Retail/supplier merchant keyword.</x:v>
      </x:c>
      <x:c r="T360" s="15" t="str"/>
      <x:c r="U360" s="15" t="str"/>
      <x:c r="V360" s="15" t="str"/>
      <x:c r="W360" s="15" t="str"/>
      <x:c r="X360" s="15" t="str">
        <x:v>FNB :-) R600.00 reserved for purchase @ Obaro Komatipoort Fc from Current a/c..512781 using card..2924. Avail R8797. 5Feb 12:07</x:v>
      </x:c>
      <x:c r="Y360" s="15" t="str">
        <x:v>3e252ce2f8cd7388</x:v>
      </x:c>
    </x:row>
    <x:row r="361">
      <x:c r="A361" s="34" t="n">
        <x:v>46058.510416666664</x:v>
      </x:c>
      <x:c r="B361" s="36" t="n">
        <x:v>46058</x:v>
      </x:c>
      <x:c r="C361" s="34" t="n">
        <x:v>46058.51068287037</x:v>
      </x:c>
      <x:c r="D361" s="15" t="str">
        <x:v>Current a/c..512781</x:v>
      </x:c>
      <x:c r="E361" s="15" t="str">
        <x:v>card..2924</x:v>
      </x:c>
      <x:c r="F361" s="15" t="str">
        <x:v>R254.40 reserved for purchase @ Oasis Water Komatipo from Current a/c..512781 using card..2924. Avail R8543. 5Feb 12:15</x:v>
      </x:c>
      <x:c r="G361" s="15" t="str">
        <x:v>Oasis Water Komatipo</x:v>
      </x:c>
      <x:c r="H361" s="38" t="n">
        <x:v>254.4</x:v>
      </x:c>
      <x:c r="I361" s="15" t="str">
        <x:v>ZAR</x:v>
      </x:c>
      <x:c r="J361" s="15" t="str">
        <x:v>Outflow</x:v>
      </x:c>
      <x:c r="K361" s="15" t="str">
        <x:v>Card purchase</x:v>
      </x:c>
      <x:c r="L361" s="15" t="str">
        <x:v>Supplier payments</x:v>
      </x:c>
      <x:c r="M361" s="38"/>
      <x:c r="N361" s="38" t="n">
        <x:v>8543</x:v>
      </x:c>
      <x:c r="O361" s="15" t="str"/>
      <x:c r="P361" s="15" t="str">
        <x:v>eml_ALL_currentac__512781 (2).zip &gt; eml7currentac__512781.zip</x:v>
      </x:c>
      <x:c r="Q361" s="15" t="str">
        <x:v>FNB _-) R254.40 reserved for purchase @ Oasis Water Komatipo from Current a_c..512781 using card..2924.  5Feb 12_15.eml</x:v>
      </x:c>
      <x:c r="R361" s="15" t="str">
        <x:v>High</x:v>
      </x:c>
      <x:c r="S361" s="15" t="str">
        <x:v>Category confidence Medium: Retail/supplier merchant keyword.</x:v>
      </x:c>
      <x:c r="T361" s="15" t="str"/>
      <x:c r="U361" s="15" t="str"/>
      <x:c r="V361" s="15" t="str"/>
      <x:c r="W361" s="15" t="str"/>
      <x:c r="X361" s="15" t="str">
        <x:v>FNB :-) R254.40 reserved for purchase @ Oasis Water Komatipo from Current a/c..512781 using card..2924. Avail R8543. 5Feb 12:15</x:v>
      </x:c>
      <x:c r="Y361" s="15" t="str">
        <x:v>554b9bde59edb0c0</x:v>
      </x:c>
    </x:row>
    <x:row r="362">
      <x:c r="A362" s="34" t="n">
        <x:v>46059.07361111111</x:v>
      </x:c>
      <x:c r="B362" s="36" t="n">
        <x:v>46059</x:v>
      </x:c>
      <x:c r="C362" s="34" t="n">
        <x:v>46059.07429398148</x:v>
      </x:c>
      <x:c r="D362" s="15" t="str">
        <x:v>Current a/c..512781</x:v>
      </x:c>
      <x:c r="E362" s="15" t="str"/>
      <x:c r="F362" s="15" t="str">
        <x:v>R5000.00 paid from Current a/c..512781 @ Gen Ph. Avail R3174. Ref.Salary Jan. 6Feb 01:46</x:v>
      </x:c>
      <x:c r="G362" s="15" t="str">
        <x:v>Salary Jan</x:v>
      </x:c>
      <x:c r="H362" s="38" t="n">
        <x:v>5000</x:v>
      </x:c>
      <x:c r="I362" s="15" t="str">
        <x:v>ZAR</x:v>
      </x:c>
      <x:c r="J362" s="15" t="str">
        <x:v>Outflow</x:v>
      </x:c>
      <x:c r="K362" s="15" t="str">
        <x:v>EFT payment</x:v>
      </x:c>
      <x:c r="L362" s="15" t="str">
        <x:v>Salary / wages</x:v>
      </x:c>
      <x:c r="M362" s="38"/>
      <x:c r="N362" s="38" t="n">
        <x:v>3174</x:v>
      </x:c>
      <x:c r="O362" s="15" t="str"/>
      <x:c r="P362" s="15" t="str">
        <x:v>eml_ALL_currentac__512781 (2).zip &gt; eml6currentac__512781.zip</x:v>
      </x:c>
      <x:c r="Q362" s="15" t="str">
        <x:v>FNB _-) R5000.00 paid from Current a_c..512781 @ Gen Ph. Ref.Salary Jan.  6Feb 01_46.eml</x:v>
      </x:c>
      <x:c r="R362" s="15" t="str">
        <x:v>High</x:v>
      </x:c>
      <x:c r="S362" s="15" t="str"/>
      <x:c r="T362" s="15" t="str"/>
      <x:c r="U362" s="15" t="str"/>
      <x:c r="V362" s="15" t="str">
        <x:v>Salary Jan</x:v>
      </x:c>
      <x:c r="W362" s="15" t="str">
        <x:v>Gen Ph</x:v>
      </x:c>
      <x:c r="X362" s="15" t="str">
        <x:v>FNB :-) R5000.00 paid from Current a/c..512781 @ Gen Ph. Avail R3174. Ref.Salary Jan. 6Feb 01:46</x:v>
      </x:c>
      <x:c r="Y362" s="15" t="str">
        <x:v>6730895bf7daaae0</x:v>
      </x:c>
    </x:row>
    <x:row r="363">
      <x:c r="A363" s="34" t="n">
        <x:v>46059.17986111111</x:v>
      </x:c>
      <x:c r="B363" s="36" t="n">
        <x:v>46059</x:v>
      </x:c>
      <x:c r="C363" s="34" t="n">
        <x:v>46059.18005787037</x:v>
      </x:c>
      <x:c r="D363" s="15" t="str">
        <x:v>Current a/c..512781</x:v>
      </x:c>
      <x:c r="E363" s="15" t="str"/>
      <x:c r="F363" s="15" t="str">
        <x:v>R2000.00 paid from Current a/c..512781 @ Smartapp. Avail R1171. Ref.Salary Jan. 6Feb 04:19</x:v>
      </x:c>
      <x:c r="G363" s="15" t="str">
        <x:v>Salary Jan</x:v>
      </x:c>
      <x:c r="H363" s="38" t="n">
        <x:v>2000</x:v>
      </x:c>
      <x:c r="I363" s="15" t="str">
        <x:v>ZAR</x:v>
      </x:c>
      <x:c r="J363" s="15" t="str">
        <x:v>Outflow</x:v>
      </x:c>
      <x:c r="K363" s="15" t="str">
        <x:v>EFT payment</x:v>
      </x:c>
      <x:c r="L363" s="15" t="str">
        <x:v>Salary / wages</x:v>
      </x:c>
      <x:c r="M363" s="38"/>
      <x:c r="N363" s="38" t="n">
        <x:v>1171</x:v>
      </x:c>
      <x:c r="O363" s="15" t="str"/>
      <x:c r="P363" s="15" t="str">
        <x:v>eml_ALL_currentac__512781 (2).zip &gt; eml6currentac__512781.zip</x:v>
      </x:c>
      <x:c r="Q363" s="15" t="str">
        <x:v>FNB _-) R2000.00 paid from Current a_c..512781 @ Smartapp. Ref.Salary Jan.  6Feb 04_19.eml</x:v>
      </x:c>
      <x:c r="R363" s="15" t="str">
        <x:v>High</x:v>
      </x:c>
      <x:c r="S363" s="15" t="str"/>
      <x:c r="T363" s="15" t="str"/>
      <x:c r="U363" s="15" t="str"/>
      <x:c r="V363" s="15" t="str">
        <x:v>Salary Jan</x:v>
      </x:c>
      <x:c r="W363" s="15" t="str">
        <x:v>Smartapp</x:v>
      </x:c>
      <x:c r="X363" s="15" t="str">
        <x:v>FNB :-) R2000.00 paid from Current a/c..512781 @ Smartapp. Avail R1171. Ref.Salary Jan. 6Feb 04:19</x:v>
      </x:c>
      <x:c r="Y363" s="15" t="str">
        <x:v>3ec60c07de7c08ca</x:v>
      </x:c>
    </x:row>
    <x:row r="364">
      <x:c r="A364" s="34" t="n">
        <x:v>46059.40833333333</x:v>
      </x:c>
      <x:c r="B364" s="36" t="n">
        <x:v>46059</x:v>
      </x:c>
      <x:c r="C364" s="34" t="n">
        <x:v>46059.40893518519</x:v>
      </x:c>
      <x:c r="D364" s="15" t="str">
        <x:v>Current a/c..512781</x:v>
      </x:c>
      <x:c r="E364" s="15" t="str">
        <x:v>card..2924</x:v>
      </x:c>
      <x:c r="F364" s="15" t="str">
        <x:v>R499.99 reserved for purchase @ Savemor Marloth from Current a/c..512781 using card..2924. Avail R671. 6Feb 09:48</x:v>
      </x:c>
      <x:c r="G364" s="15" t="str">
        <x:v>Savemor Marloth</x:v>
      </x:c>
      <x:c r="H364" s="38" t="n">
        <x:v>499.99</x:v>
      </x:c>
      <x:c r="I364" s="15" t="str">
        <x:v>ZAR</x:v>
      </x:c>
      <x:c r="J364" s="15" t="str">
        <x:v>Outflow</x:v>
      </x:c>
      <x:c r="K364" s="15" t="str">
        <x:v>Card purchase</x:v>
      </x:c>
      <x:c r="L364" s="15" t="str">
        <x:v>Supplier payments</x:v>
      </x:c>
      <x:c r="M364" s="38"/>
      <x:c r="N364" s="38" t="n">
        <x:v>671</x:v>
      </x:c>
      <x:c r="O364" s="15" t="str"/>
      <x:c r="P364" s="15" t="str">
        <x:v>eml_ALL_currentac__512781 (2).zip &gt; eml6currentac__512781.zip</x:v>
      </x:c>
      <x:c r="Q364" s="15" t="str">
        <x:v>FNB _-) R499.99 reserved for purchase @ Savemor Marloth from Current a_c..512781 using card..2924.  6Feb 09_48.eml</x:v>
      </x:c>
      <x:c r="R364" s="15" t="str">
        <x:v>High</x:v>
      </x:c>
      <x:c r="S364" s="15" t="str">
        <x:v>Category confidence Medium: Retail/supplier merchant keyword.</x:v>
      </x:c>
      <x:c r="T364" s="15" t="str"/>
      <x:c r="U364" s="15" t="str"/>
      <x:c r="V364" s="15" t="str"/>
      <x:c r="W364" s="15" t="str"/>
      <x:c r="X364" s="15" t="str">
        <x:v>FNB :-) R499.99 reserved for purchase @ Savemor Marloth from Current a/c..512781 using card..2924. Avail R671. 6Feb 09:48</x:v>
      </x:c>
      <x:c r="Y364" s="15" t="str">
        <x:v>de19f7b8ccede07e</x:v>
      </x:c>
    </x:row>
    <x:row r="365">
      <x:c r="A365" s="34" t="n">
        <x:v>46059.42361111111</x:v>
      </x:c>
      <x:c r="B365" s="36" t="n">
        <x:v>46059</x:v>
      </x:c>
      <x:c r="C365" s="34" t="n">
        <x:v>46059.42392361111</x:v>
      </x:c>
      <x:c r="D365" s="15" t="str">
        <x:v>Current a/c..512781</x:v>
      </x:c>
      <x:c r="E365" s="15" t="str"/>
      <x:c r="F365" s="15" t="str">
        <x:v>R12861.68 paid to Current a/c..512781 @ Retail Forex. Ref.R026xf8n60 Booking.c. 6Feb 10:10</x:v>
      </x:c>
      <x:c r="G365" s="15" t="str">
        <x:v>R026xf8n60 Booking.c</x:v>
      </x:c>
      <x:c r="H365" s="38" t="n">
        <x:v>12861.68</x:v>
      </x:c>
      <x:c r="I365" s="15" t="str">
        <x:v>ZAR</x:v>
      </x:c>
      <x:c r="J365" s="15" t="str">
        <x:v>Inflow</x:v>
      </x:c>
      <x:c r="K365" s="15" t="str">
        <x:v>EFT receipt</x:v>
      </x:c>
      <x:c r="L365" s="15" t="str">
        <x:v>Sales / customer receipts</x:v>
      </x:c>
      <x:c r="M365" s="38"/>
      <x:c r="N365" s="38"/>
      <x:c r="O365" s="15" t="str"/>
      <x:c r="P365" s="15" t="str">
        <x:v>eml_ALL_currentac__512781 (2).zip &gt; eml6currentac__512781.zip</x:v>
      </x:c>
      <x:c r="Q365" s="15" t="str">
        <x:v>FNB _-) R12861.68 paid to Current a_c..512781 @ Retail Forex. Ref.R026xf8n60 Booking.c.  6Feb 10_10.eml</x:v>
      </x:c>
      <x:c r="R365" s="15" t="str">
        <x:v>High</x:v>
      </x:c>
      <x:c r="S365" s="15" t="str">
        <x:v>Category confidence Medium: Default for incoming EFT/PayShap/online receipt.</x:v>
      </x:c>
      <x:c r="T365" s="15" t="str"/>
      <x:c r="U365" s="15" t="str"/>
      <x:c r="V365" s="15" t="str">
        <x:v>R026xf8n60 Booking.c</x:v>
      </x:c>
      <x:c r="W365" s="15" t="str">
        <x:v>Retail Forex</x:v>
      </x:c>
      <x:c r="X365" s="15" t="str">
        <x:v>FNB :-) R12861.68 paid to Current a/c..512781 @ Retail Forex. Ref.R026xf8n60 Booking.c. 6Feb 10:10</x:v>
      </x:c>
      <x:c r="Y365" s="15" t="str">
        <x:v>2185efaafc04c5e4</x:v>
      </x:c>
    </x:row>
    <x:row r="366">
      <x:c r="A366" s="34" t="n">
        <x:v>46059.48819444444</x:v>
      </x:c>
      <x:c r="B366" s="36" t="n">
        <x:v>46059</x:v>
      </x:c>
      <x:c r="C366" s="34" t="n">
        <x:v>46059.48877314815</x:v>
      </x:c>
      <x:c r="D366" s="15" t="str">
        <x:v>Current a/c..512781</x:v>
      </x:c>
      <x:c r="E366" s="15" t="str">
        <x:v>card..2924</x:v>
      </x:c>
      <x:c r="F366" s="15" t="str">
        <x:v>R573.50 reserved for purchase @ Engen Siyaya Numbi from Current a/c..512781 using card..2924. Avail R12867. 6Feb 11:43</x:v>
      </x:c>
      <x:c r="G366" s="15" t="str">
        <x:v>Engen Siyaya Numbi</x:v>
      </x:c>
      <x:c r="H366" s="38" t="n">
        <x:v>573.5</x:v>
      </x:c>
      <x:c r="I366" s="15" t="str">
        <x:v>ZAR</x:v>
      </x:c>
      <x:c r="J366" s="15" t="str">
        <x:v>Outflow</x:v>
      </x:c>
      <x:c r="K366" s="15" t="str">
        <x:v>Card purchase</x:v>
      </x:c>
      <x:c r="L366" s="15" t="str">
        <x:v>Fuel / transport</x:v>
      </x:c>
      <x:c r="M366" s="38"/>
      <x:c r="N366" s="38" t="n">
        <x:v>12867</x:v>
      </x:c>
      <x:c r="O366" s="15" t="str"/>
      <x:c r="P366" s="15" t="str">
        <x:v>eml_ALL_currentac__512781 (2).zip &gt; eml6currentac__512781.zip</x:v>
      </x:c>
      <x:c r="Q366" s="15" t="str">
        <x:v>FNB _-) R573.50 reserved for purchase @ Engen Siyaya Numbi from Current a_c..512781 using card..2924.  6Feb 11_43.eml</x:v>
      </x:c>
      <x:c r="R366" s="15" t="str">
        <x:v>High</x:v>
      </x:c>
      <x:c r="S366" s="15" t="str"/>
      <x:c r="T366" s="15" t="str"/>
      <x:c r="U366" s="15" t="str"/>
      <x:c r="V366" s="15" t="str"/>
      <x:c r="W366" s="15" t="str"/>
      <x:c r="X366" s="15" t="str">
        <x:v>FNB :-) R573.50 reserved for purchase @ Engen Siyaya Numbi from Current a/c..512781 using card..2924. Avail R12867. 6Feb 11:43</x:v>
      </x:c>
      <x:c r="Y366" s="15" t="str">
        <x:v>d17f1f7df6c26756</x:v>
      </x:c>
    </x:row>
    <x:row r="367">
      <x:c r="A367" s="34" t="n">
        <x:v>46059.65833333333</x:v>
      </x:c>
      <x:c r="B367" s="36" t="n">
        <x:v>46059</x:v>
      </x:c>
      <x:c r="C367" s="34" t="n">
        <x:v>46059.65903935185</x:v>
      </x:c>
      <x:c r="D367" s="15" t="str">
        <x:v>Current a/c..512781</x:v>
      </x:c>
      <x:c r="E367" s="15" t="str"/>
      <x:c r="F367" s="15" t="str">
        <x:v>R600.00 paid from Current a/c..512781 @ Smartapp. Avail R12167. Ref.Sakkie Wages. 6Feb 15:48</x:v>
      </x:c>
      <x:c r="G367" s="15" t="str">
        <x:v>Sakkie Wages</x:v>
      </x:c>
      <x:c r="H367" s="38" t="n">
        <x:v>600</x:v>
      </x:c>
      <x:c r="I367" s="15" t="str">
        <x:v>ZAR</x:v>
      </x:c>
      <x:c r="J367" s="15" t="str">
        <x:v>Outflow</x:v>
      </x:c>
      <x:c r="K367" s="15" t="str">
        <x:v>EFT payment</x:v>
      </x:c>
      <x:c r="L367" s="15" t="str">
        <x:v>Salary / wages</x:v>
      </x:c>
      <x:c r="M367" s="38"/>
      <x:c r="N367" s="38" t="n">
        <x:v>12167</x:v>
      </x:c>
      <x:c r="O367" s="15" t="str"/>
      <x:c r="P367" s="15" t="str">
        <x:v>eml_ALL_currentac__512781 (2).zip &gt; eml6currentac__512781.zip</x:v>
      </x:c>
      <x:c r="Q367" s="15" t="str">
        <x:v>FNB _-) R600.00 paid from Current a_c..512781 @ Smartapp. Ref.Sakkie Wages.  6Feb 15_48.eml</x:v>
      </x:c>
      <x:c r="R367" s="15" t="str">
        <x:v>High</x:v>
      </x:c>
      <x:c r="S367" s="15" t="str"/>
      <x:c r="T367" s="15" t="str"/>
      <x:c r="U367" s="15" t="str"/>
      <x:c r="V367" s="15" t="str">
        <x:v>Sakkie Wages</x:v>
      </x:c>
      <x:c r="W367" s="15" t="str">
        <x:v>Smartapp</x:v>
      </x:c>
      <x:c r="X367" s="15" t="str">
        <x:v>FNB :-) R600.00 paid from Current a/c..512781 @ Smartapp. Avail R12167. Ref.Sakkie Wages. 6Feb 15:48</x:v>
      </x:c>
      <x:c r="Y367" s="15" t="str">
        <x:v>12412a5644b60b45</x:v>
      </x:c>
    </x:row>
    <x:row r="368">
      <x:c r="A368" s="34" t="n">
        <x:v>46059.73472222222</x:v>
      </x:c>
      <x:c r="B368" s="36" t="n">
        <x:v>46059</x:v>
      </x:c>
      <x:c r="C368" s="34" t="n">
        <x:v>46059.735034722224</x:v>
      </x:c>
      <x:c r="D368" s="15" t="str">
        <x:v>Current a/c..512781</x:v>
      </x:c>
      <x:c r="E368" s="15" t="str">
        <x:v>card..2924</x:v>
      </x:c>
      <x:c r="F368" s="15" t="str">
        <x:v>R469.95 reserved for purchase @ Savemor Marloth Liqu from Current a/c..512781 using card..2924. Avail R11619. 6Feb 17:38</x:v>
      </x:c>
      <x:c r="G368" s="15" t="str">
        <x:v>Savemor Marloth Liqu</x:v>
      </x:c>
      <x:c r="H368" s="38" t="n">
        <x:v>469.95</x:v>
      </x:c>
      <x:c r="I368" s="15" t="str">
        <x:v>ZAR</x:v>
      </x:c>
      <x:c r="J368" s="15" t="str">
        <x:v>Outflow</x:v>
      </x:c>
      <x:c r="K368" s="15" t="str">
        <x:v>Card purchase</x:v>
      </x:c>
      <x:c r="L368" s="15" t="str">
        <x:v>Meals / restaurants / entertainment</x:v>
      </x:c>
      <x:c r="M368" s="38"/>
      <x:c r="N368" s="38" t="n">
        <x:v>11619</x:v>
      </x:c>
      <x:c r="O368" s="15" t="str"/>
      <x:c r="P368" s="15" t="str">
        <x:v>eml_ALL_currentac__512781 (2).zip &gt; eml6currentac__512781.zip</x:v>
      </x:c>
      <x:c r="Q368" s="15" t="str">
        <x:v>FNB _-) R469.95 reserved for purchase @ Savemor Marloth Liqu from Current a_c..512781 using card..2924.  6Feb 17_38.eml</x:v>
      </x:c>
      <x:c r="R368" s="15" t="str">
        <x:v>High</x:v>
      </x:c>
      <x:c r="S368" s="15" t="str"/>
      <x:c r="T368" s="15" t="str"/>
      <x:c r="U368" s="15" t="str"/>
      <x:c r="V368" s="15" t="str"/>
      <x:c r="W368" s="15" t="str"/>
      <x:c r="X368" s="15" t="str">
        <x:v>FNB :-) R469.95 reserved for purchase @ Savemor Marloth Liqu from Current a/c..512781 using card..2924. Avail R11619. 6Feb 17:38</x:v>
      </x:c>
      <x:c r="Y368" s="15" t="str">
        <x:v>02f71b531acb80a9</x:v>
      </x:c>
    </x:row>
    <x:row r="369">
      <x:c r="A369" s="34" t="n">
        <x:v>46060.42083333333</x:v>
      </x:c>
      <x:c r="B369" s="36" t="n">
        <x:v>46060</x:v>
      </x:c>
      <x:c r="C369" s="34" t="n">
        <x:v>46060.421435185184</x:v>
      </x:c>
      <x:c r="D369" s="15" t="str">
        <x:v>Current a/c..512781</x:v>
      </x:c>
      <x:c r="E369" s="15" t="str">
        <x:v>card..2924</x:v>
      </x:c>
      <x:c r="F369" s="15" t="str">
        <x:v>R500.00 reserved for purchase @ Sasol Emkhatsini from Current a/c..512781 using card..2924. Avail R11011. 7Feb 10:06</x:v>
      </x:c>
      <x:c r="G369" s="15" t="str">
        <x:v>Sasol Emkhatsini</x:v>
      </x:c>
      <x:c r="H369" s="38" t="n">
        <x:v>500</x:v>
      </x:c>
      <x:c r="I369" s="15" t="str">
        <x:v>ZAR</x:v>
      </x:c>
      <x:c r="J369" s="15" t="str">
        <x:v>Outflow</x:v>
      </x:c>
      <x:c r="K369" s="15" t="str">
        <x:v>Card purchase</x:v>
      </x:c>
      <x:c r="L369" s="15" t="str">
        <x:v>Fuel / transport</x:v>
      </x:c>
      <x:c r="M369" s="38"/>
      <x:c r="N369" s="38" t="n">
        <x:v>11011</x:v>
      </x:c>
      <x:c r="O369" s="15" t="str"/>
      <x:c r="P369" s="15" t="str">
        <x:v>eml_ALL_currentac__512781 (2).zip &gt; eml6currentac__512781.zip</x:v>
      </x:c>
      <x:c r="Q369" s="15" t="str">
        <x:v>FNB _-) R500.00 reserved for purchase @ Sasol Emkhatsini from Current a_c..512781 using card..2924.  7Feb 10_06.eml</x:v>
      </x:c>
      <x:c r="R369" s="15" t="str">
        <x:v>High</x:v>
      </x:c>
      <x:c r="S369" s="15" t="str"/>
      <x:c r="T369" s="15" t="str"/>
      <x:c r="U369" s="15" t="str"/>
      <x:c r="V369" s="15" t="str"/>
      <x:c r="W369" s="15" t="str"/>
      <x:c r="X369" s="15" t="str">
        <x:v>FNB :-) R500.00 reserved for purchase @ Sasol Emkhatsini from Current a/c..512781 using card..2924. Avail R11011. 7Feb 10:06</x:v>
      </x:c>
      <x:c r="Y369" s="15" t="str">
        <x:v>55d7261d6a79965a</x:v>
      </x:c>
    </x:row>
    <x:row r="370">
      <x:c r="A370" s="34" t="n">
        <x:v>46060.44861111111</x:v>
      </x:c>
      <x:c r="B370" s="36" t="n">
        <x:v>46060</x:v>
      </x:c>
      <x:c r="C370" s="34" t="n">
        <x:v>46060.44920138889</x:v>
      </x:c>
      <x:c r="D370" s="15" t="str">
        <x:v>Current a/c..512781</x:v>
      </x:c>
      <x:c r="E370" s="15" t="str"/>
      <x:c r="F370" s="15" t="str">
        <x:v>R6094.96 paid to Current a/c..512781 @ Payshap. Ref.Ik Pay 487882. 7Feb 10:46</x:v>
      </x:c>
      <x:c r="G370" s="15" t="str">
        <x:v>Ik Pay 487882</x:v>
      </x:c>
      <x:c r="H370" s="38" t="n">
        <x:v>6094.96</x:v>
      </x:c>
      <x:c r="I370" s="15" t="str">
        <x:v>ZAR</x:v>
      </x:c>
      <x:c r="J370" s="15" t="str">
        <x:v>Inflow</x:v>
      </x:c>
      <x:c r="K370" s="15" t="str">
        <x:v>EFT receipt</x:v>
      </x:c>
      <x:c r="L370" s="15" t="str">
        <x:v>Sales / customer receipts</x:v>
      </x:c>
      <x:c r="M370" s="38"/>
      <x:c r="N370" s="38"/>
      <x:c r="O370" s="15" t="str"/>
      <x:c r="P370" s="15" t="str">
        <x:v>eml_ALL_currentac__512781 (2).zip &gt; eml6currentac__512781.zip</x:v>
      </x:c>
      <x:c r="Q370" s="15" t="str">
        <x:v>FNB _-) R6094.96 paid to Current a_c..512781 @ Payshap. Ref.Ik Pay 487882.  7Feb 10_46.eml</x:v>
      </x:c>
      <x:c r="R370" s="15" t="str">
        <x:v>High</x:v>
      </x:c>
      <x:c r="S370" s="15" t="str">
        <x:v>Category confidence Medium: Default for incoming EFT/PayShap/online receipt.</x:v>
      </x:c>
      <x:c r="T370" s="15" t="str"/>
      <x:c r="U370" s="15" t="str"/>
      <x:c r="V370" s="15" t="str">
        <x:v>Ik Pay 487882</x:v>
      </x:c>
      <x:c r="W370" s="15" t="str">
        <x:v>Payshap</x:v>
      </x:c>
      <x:c r="X370" s="15" t="str">
        <x:v>FNB :-) R6094.96 paid to Current a/c..512781 @ Payshap. Ref.Ik Pay 487882. 7Feb 10:46</x:v>
      </x:c>
      <x:c r="Y370" s="15" t="str">
        <x:v>215747d5b4ae4180</x:v>
      </x:c>
    </x:row>
    <x:row r="371">
      <x:c r="A371" s="34" t="n">
        <x:v>46060.45763888889</x:v>
      </x:c>
      <x:c r="B371" s="36" t="n">
        <x:v>46060</x:v>
      </x:c>
      <x:c r="C371" s="34" t="n">
        <x:v>46060.45778935185</x:v>
      </x:c>
      <x:c r="D371" s="15" t="str">
        <x:v>Current a/c..512781</x:v>
      </x:c>
      <x:c r="E371" s="15" t="str">
        <x:v>card..2924</x:v>
      </x:c>
      <x:c r="F371" s="15" t="str">
        <x:v>R339.97 reserved for purchase @ Superspar Malelane from Current a/c..512781 using card..2924. Avail R16674. 7Feb 10:59</x:v>
      </x:c>
      <x:c r="G371" s="15" t="str">
        <x:v>Superspar Malelane</x:v>
      </x:c>
      <x:c r="H371" s="38" t="n">
        <x:v>339.97</x:v>
      </x:c>
      <x:c r="I371" s="15" t="str">
        <x:v>ZAR</x:v>
      </x:c>
      <x:c r="J371" s="15" t="str">
        <x:v>Outflow</x:v>
      </x:c>
      <x:c r="K371" s="15" t="str">
        <x:v>Card purchase</x:v>
      </x:c>
      <x:c r="L371" s="15" t="str">
        <x:v>Supplier payments</x:v>
      </x:c>
      <x:c r="M371" s="38"/>
      <x:c r="N371" s="38" t="n">
        <x:v>16674</x:v>
      </x:c>
      <x:c r="O371" s="15" t="str"/>
      <x:c r="P371" s="15" t="str">
        <x:v>eml_ALL_currentac__512781 (2).zip &gt; eml6currentac__512781.zip</x:v>
      </x:c>
      <x:c r="Q371" s="15" t="str">
        <x:v>FNB _-) R339.97 reserved for purchase @ Superspar Malelane from Current a_c..512781 using card..2924.  7Feb 10_59.eml</x:v>
      </x:c>
      <x:c r="R371" s="15" t="str">
        <x:v>High</x:v>
      </x:c>
      <x:c r="S371" s="15" t="str">
        <x:v>Category confidence Medium: Retail/supplier merchant keyword.</x:v>
      </x:c>
      <x:c r="T371" s="15" t="str"/>
      <x:c r="U371" s="15" t="str"/>
      <x:c r="V371" s="15" t="str"/>
      <x:c r="W371" s="15" t="str"/>
      <x:c r="X371" s="15" t="str">
        <x:v>FNB :-) R339.97 reserved for purchase @ Superspar Malelane from Current a/c..512781 using card..2924. Avail R16674. 7Feb 10:59</x:v>
      </x:c>
      <x:c r="Y371" s="15" t="str">
        <x:v>6cb62f4cf09c7a0c</x:v>
      </x:c>
    </x:row>
    <x:row r="372">
      <x:c r="A372" s="34" t="n">
        <x:v>46060.53402777778</x:v>
      </x:c>
      <x:c r="B372" s="36" t="n">
        <x:v>46060</x:v>
      </x:c>
      <x:c r="C372" s="34" t="n">
        <x:v>46060.53435185185</x:v>
      </x:c>
      <x:c r="D372" s="15" t="str">
        <x:v>Current a/c..512781</x:v>
      </x:c>
      <x:c r="E372" s="15" t="str">
        <x:v>card..2924</x:v>
      </x:c>
      <x:c r="F372" s="15" t="str">
        <x:v>R200.00 withdrawn from Current a/c..512781 using card..2924 @ Atmh11960000001. Avail R16474. 7Feb 12:49</x:v>
      </x:c>
      <x:c r="G372" s="15" t="str">
        <x:v>Atmh11960000001</x:v>
      </x:c>
      <x:c r="H372" s="38" t="n">
        <x:v>200</x:v>
      </x:c>
      <x:c r="I372" s="15" t="str">
        <x:v>ZAR</x:v>
      </x:c>
      <x:c r="J372" s="15" t="str">
        <x:v>Outflow</x:v>
      </x:c>
      <x:c r="K372" s="15" t="str">
        <x:v>ATM / cash withdrawal</x:v>
      </x:c>
      <x:c r="L372" s="15" t="str">
        <x:v>Cash withdrawal</x:v>
      </x:c>
      <x:c r="M372" s="38"/>
      <x:c r="N372" s="38" t="n">
        <x:v>16474</x:v>
      </x:c>
      <x:c r="O372" s="15" t="str">
        <x:v>Atmh11960000001</x:v>
      </x:c>
      <x:c r="P372" s="15" t="str">
        <x:v>eml_ALL_currentac__512781 (2).zip &gt; eml6currentac__512781.zip</x:v>
      </x:c>
      <x:c r="Q372" s="15" t="str">
        <x:v>FNB _-) R200.00 withdrawn from Current a_c..512781 using card..2924 @ Atmh11960000001.  7Feb 12_49.eml</x:v>
      </x:c>
      <x:c r="R372" s="15" t="str">
        <x:v>High</x:v>
      </x:c>
      <x:c r="S372" s="15" t="str">
        <x:v>Cash withdrawal; included in outflows and separated in income statement.</x:v>
      </x:c>
      <x:c r="T372" s="15" t="str"/>
      <x:c r="U372" s="15" t="str"/>
      <x:c r="V372" s="15" t="str"/>
      <x:c r="W372" s="15" t="str"/>
      <x:c r="X372" s="15" t="str">
        <x:v>FNB :-) R200.00 withdrawn from Current a/c..512781 using card..2924 @ Atmh11960000001. Avail R16474. 7Feb 12:49</x:v>
      </x:c>
      <x:c r="Y372" s="15" t="str">
        <x:v>b55e5f81118892c7</x:v>
      </x:c>
    </x:row>
    <x:row r="373">
      <x:c r="A373" s="34" t="n">
        <x:v>46060.53472222222</x:v>
      </x:c>
      <x:c r="B373" s="36" t="n">
        <x:v>46060</x:v>
      </x:c>
      <x:c r="C373" s="34" t="n">
        <x:v>46060.53497685185</x:v>
      </x:c>
      <x:c r="D373" s="15" t="str">
        <x:v>Current a/c..512781</x:v>
      </x:c>
      <x:c r="E373" s="15" t="str"/>
      <x:c r="F373" s="15" t="str">
        <x:v>REVERSAL of R200.00 withdrawn from Current a/c..512781. 7Feb 12:50</x:v>
      </x:c>
      <x:c r="G373" s="15" t="str">
        <x:v>Cash withdrawal reversal</x:v>
      </x:c>
      <x:c r="H373" s="38" t="n">
        <x:v>200</x:v>
      </x:c>
      <x:c r="I373" s="15" t="str">
        <x:v>ZAR</x:v>
      </x:c>
      <x:c r="J373" s="15" t="str">
        <x:v>Inflow</x:v>
      </x:c>
      <x:c r="K373" s="15" t="str">
        <x:v>Reversal</x:v>
      </x:c>
      <x:c r="L373" s="15" t="str">
        <x:v>Refunds / reversals</x:v>
      </x:c>
      <x:c r="M373" s="38"/>
      <x:c r="N373" s="38"/>
      <x:c r="O373" s="15" t="str"/>
      <x:c r="P373" s="15" t="str">
        <x:v>eml_ALL_currentac__512781 (2).zip &gt; eml6currentac__512781.zip</x:v>
      </x:c>
      <x:c r="Q373" s="15" t="str">
        <x:v>FNB _-) REVERSAL of R200.00 withdrawn from Current a_c..512781.  7Feb 12_50.eml</x:v>
      </x:c>
      <x:c r="R373" s="15" t="str">
        <x:v>High</x:v>
      </x:c>
      <x:c r="S373" s="15" t="str">
        <x:v>Reversal/refund cashflow separated from regular income.</x:v>
      </x:c>
      <x:c r="T373" s="15" t="str"/>
      <x:c r="U373" s="15" t="str"/>
      <x:c r="V373" s="15" t="str"/>
      <x:c r="W373" s="15" t="str"/>
      <x:c r="X373" s="15" t="str">
        <x:v>FNB :-) REVERSAL of R200.00 withdrawn from Current a/c..512781. 7Feb 12:50</x:v>
      </x:c>
      <x:c r="Y373" s="15" t="str">
        <x:v>18cc8a2f4375b6fb</x:v>
      </x:c>
    </x:row>
    <x:row r="374">
      <x:c r="A374" s="34" t="n">
        <x:v>46060.535416666666</x:v>
      </x:c>
      <x:c r="B374" s="36" t="n">
        <x:v>46060</x:v>
      </x:c>
      <x:c r="C374" s="34" t="n">
        <x:v>46060.535787037035</x:v>
      </x:c>
      <x:c r="D374" s="15" t="str">
        <x:v>Current a/c..512781</x:v>
      </x:c>
      <x:c r="E374" s="15" t="str">
        <x:v>card..2924</x:v>
      </x:c>
      <x:c r="F374" s="15" t="str">
        <x:v>R200.00 withdrawn from Current a/c..512781 using card..2924 @ Atmh11960000001. Avail R16474. 7Feb 12:51</x:v>
      </x:c>
      <x:c r="G374" s="15" t="str">
        <x:v>Atmh11960000001</x:v>
      </x:c>
      <x:c r="H374" s="38" t="n">
        <x:v>200</x:v>
      </x:c>
      <x:c r="I374" s="15" t="str">
        <x:v>ZAR</x:v>
      </x:c>
      <x:c r="J374" s="15" t="str">
        <x:v>Outflow</x:v>
      </x:c>
      <x:c r="K374" s="15" t="str">
        <x:v>ATM / cash withdrawal</x:v>
      </x:c>
      <x:c r="L374" s="15" t="str">
        <x:v>Cash withdrawal</x:v>
      </x:c>
      <x:c r="M374" s="38"/>
      <x:c r="N374" s="38" t="n">
        <x:v>16474</x:v>
      </x:c>
      <x:c r="O374" s="15" t="str">
        <x:v>Atmh11960000001</x:v>
      </x:c>
      <x:c r="P374" s="15" t="str">
        <x:v>eml_ALL_currentac__512781 (2).zip &gt; eml6currentac__512781.zip</x:v>
      </x:c>
      <x:c r="Q374" s="15" t="str">
        <x:v>FNB _-) R200.00 withdrawn from Current a_c..512781 using card..2924 @ Atmh11960000001.  7Feb 12_51.eml</x:v>
      </x:c>
      <x:c r="R374" s="15" t="str">
        <x:v>High</x:v>
      </x:c>
      <x:c r="S374" s="15" t="str">
        <x:v>Cash withdrawal; included in outflows and separated in income statement.</x:v>
      </x:c>
      <x:c r="T374" s="15" t="str"/>
      <x:c r="U374" s="15" t="str"/>
      <x:c r="V374" s="15" t="str"/>
      <x:c r="W374" s="15" t="str"/>
      <x:c r="X374" s="15" t="str">
        <x:v>FNB :-) R200.00 withdrawn from Current a/c..512781 using card..2924 @ Atmh11960000001. Avail R16474. 7Feb 12:51</x:v>
      </x:c>
      <x:c r="Y374" s="15" t="str">
        <x:v>49b8e13c4d9ab448</x:v>
      </x:c>
    </x:row>
    <x:row r="375">
      <x:c r="A375" s="34" t="n">
        <x:v>46060.54652777778</x:v>
      </x:c>
      <x:c r="B375" s="36" t="n">
        <x:v>46060</x:v>
      </x:c>
      <x:c r="C375" s="34" t="n">
        <x:v>46060.54677083333</x:v>
      </x:c>
      <x:c r="D375" s="15" t="str">
        <x:v>Current a/c..512781</x:v>
      </x:c>
      <x:c r="E375" s="15" t="str">
        <x:v>card..2924</x:v>
      </x:c>
      <x:c r="F375" s="15" t="str">
        <x:v>R351.88 reserved for purchase @ Savemor Marloth from Current a/c..512781 using card..2924. Avail R16122. 7Feb 13:07</x:v>
      </x:c>
      <x:c r="G375" s="15" t="str">
        <x:v>Savemor Marloth</x:v>
      </x:c>
      <x:c r="H375" s="38" t="n">
        <x:v>351.88</x:v>
      </x:c>
      <x:c r="I375" s="15" t="str">
        <x:v>ZAR</x:v>
      </x:c>
      <x:c r="J375" s="15" t="str">
        <x:v>Outflow</x:v>
      </x:c>
      <x:c r="K375" s="15" t="str">
        <x:v>Card purchase</x:v>
      </x:c>
      <x:c r="L375" s="15" t="str">
        <x:v>Supplier payments</x:v>
      </x:c>
      <x:c r="M375" s="38"/>
      <x:c r="N375" s="38" t="n">
        <x:v>16122</x:v>
      </x:c>
      <x:c r="O375" s="15" t="str"/>
      <x:c r="P375" s="15" t="str">
        <x:v>eml_ALL_currentac__512781 (2).zip &gt; eml6currentac__512781.zip</x:v>
      </x:c>
      <x:c r="Q375" s="15" t="str">
        <x:v>FNB _-) R351.88 reserved for purchase @ Savemor Marloth from Current a_c..512781 using card..2924.  7Feb 13_07.eml</x:v>
      </x:c>
      <x:c r="R375" s="15" t="str">
        <x:v>High</x:v>
      </x:c>
      <x:c r="S375" s="15" t="str">
        <x:v>Category confidence Medium: Retail/supplier merchant keyword.</x:v>
      </x:c>
      <x:c r="T375" s="15" t="str"/>
      <x:c r="U375" s="15" t="str"/>
      <x:c r="V375" s="15" t="str"/>
      <x:c r="W375" s="15" t="str"/>
      <x:c r="X375" s="15" t="str">
        <x:v>FNB :-) R351.88 reserved for purchase @ Savemor Marloth from Current a/c..512781 using card..2924. Avail R16122. 7Feb 13:07</x:v>
      </x:c>
      <x:c r="Y375" s="15" t="str">
        <x:v>274b2c39d58d776c</x:v>
      </x:c>
    </x:row>
    <x:row r="376">
      <x:c r="A376" s="34" t="n">
        <x:v>46060.70694444444</x:v>
      </x:c>
      <x:c r="B376" s="36" t="n">
        <x:v>46060</x:v>
      </x:c>
      <x:c r="C376" s="34" t="n">
        <x:v>46060.70752314815</x:v>
      </x:c>
      <x:c r="D376" s="15" t="str">
        <x:v>Current a/c..512781</x:v>
      </x:c>
      <x:c r="E376" s="15" t="str"/>
      <x:c r="F376" s="15" t="str">
        <x:v>R500.00 paid from Current a/c..512781 @ Smartapp. Avail R15619. Ref.Electricity 04294887. 7Feb 16:58</x:v>
      </x:c>
      <x:c r="G376" s="15" t="str">
        <x:v>Electricity 04294887</x:v>
      </x:c>
      <x:c r="H376" s="38" t="n">
        <x:v>500</x:v>
      </x:c>
      <x:c r="I376" s="15" t="str">
        <x:v>ZAR</x:v>
      </x:c>
      <x:c r="J376" s="15" t="str">
        <x:v>Outflow</x:v>
      </x:c>
      <x:c r="K376" s="15" t="str">
        <x:v>EFT payment</x:v>
      </x:c>
      <x:c r="L376" s="15" t="str">
        <x:v>Telecom / utilities</x:v>
      </x:c>
      <x:c r="M376" s="38"/>
      <x:c r="N376" s="38" t="n">
        <x:v>15619</x:v>
      </x:c>
      <x:c r="O376" s="15" t="str"/>
      <x:c r="P376" s="15" t="str">
        <x:v>eml_ALL_currentac__512781 (2).zip &gt; eml6currentac__512781.zip</x:v>
      </x:c>
      <x:c r="Q376" s="15" t="str">
        <x:v>FNB _-) R500.00 paid from Current a_c..512781 @ Smartapp. Ref.Electricity 04294887.  7Feb 16_58.eml</x:v>
      </x:c>
      <x:c r="R376" s="15" t="str">
        <x:v>High</x:v>
      </x:c>
      <x:c r="S376" s="15" t="str"/>
      <x:c r="T376" s="15" t="str"/>
      <x:c r="U376" s="15" t="str"/>
      <x:c r="V376" s="15" t="str">
        <x:v>Electricity 04294887</x:v>
      </x:c>
      <x:c r="W376" s="15" t="str">
        <x:v>Smartapp</x:v>
      </x:c>
      <x:c r="X376" s="15" t="str">
        <x:v>FNB :-) R500.00 paid from Current a/c..512781 @ Smartapp. Avail R15619. Ref.Electricity 04294887. 7Feb 16:58</x:v>
      </x:c>
      <x:c r="Y376" s="15" t="str">
        <x:v>84ea55615acfce51</x:v>
      </x:c>
    </x:row>
    <x:row r="377">
      <x:c r="A377" s="34" t="n">
        <x:v>46062.57152777778</x:v>
      </x:c>
      <x:c r="B377" s="36" t="n">
        <x:v>46062</x:v>
      </x:c>
      <x:c r="C377" s="34" t="n">
        <x:v>46062.571967592594</x:v>
      </x:c>
      <x:c r="D377" s="15" t="str">
        <x:v>Current a/c..512781</x:v>
      </x:c>
      <x:c r="E377" s="15" t="str"/>
      <x:c r="F377" s="15" t="str">
        <x:v>R14766.58 paid to Current a/c..512781 @ Payshap. Ref.Ik Pay 487882. 9Feb 13:43</x:v>
      </x:c>
      <x:c r="G377" s="15" t="str">
        <x:v>Ik Pay 487882</x:v>
      </x:c>
      <x:c r="H377" s="38" t="n">
        <x:v>14766.58</x:v>
      </x:c>
      <x:c r="I377" s="15" t="str">
        <x:v>ZAR</x:v>
      </x:c>
      <x:c r="J377" s="15" t="str">
        <x:v>Inflow</x:v>
      </x:c>
      <x:c r="K377" s="15" t="str">
        <x:v>EFT receipt</x:v>
      </x:c>
      <x:c r="L377" s="15" t="str">
        <x:v>Sales / customer receipts</x:v>
      </x:c>
      <x:c r="M377" s="38"/>
      <x:c r="N377" s="38"/>
      <x:c r="O377" s="15" t="str"/>
      <x:c r="P377" s="15" t="str">
        <x:v>eml_ALL_currentac__512781 (2).zip &gt; eml6currentac__512781.zip</x:v>
      </x:c>
      <x:c r="Q377" s="15" t="str">
        <x:v>FNB _-) R14766.58 paid to Current a_c..512781 @ Payshap. Ref.Ik Pay 487882.  9Feb 13_43.eml</x:v>
      </x:c>
      <x:c r="R377" s="15" t="str">
        <x:v>High</x:v>
      </x:c>
      <x:c r="S377" s="15" t="str">
        <x:v>Category confidence Medium: Default for incoming EFT/PayShap/online receipt.</x:v>
      </x:c>
      <x:c r="T377" s="15" t="str"/>
      <x:c r="U377" s="15" t="str"/>
      <x:c r="V377" s="15" t="str">
        <x:v>Ik Pay 487882</x:v>
      </x:c>
      <x:c r="W377" s="15" t="str">
        <x:v>Payshap</x:v>
      </x:c>
      <x:c r="X377" s="15" t="str">
        <x:v>FNB :-) R14766.58 paid to Current a/c..512781 @ Payshap. Ref.Ik Pay 487882. 9Feb 13:43</x:v>
      </x:c>
      <x:c r="Y377" s="15" t="str">
        <x:v>514bd753a6413d61</x:v>
      </x:c>
    </x:row>
    <x:row r="378">
      <x:c r="A378" s="34" t="n">
        <x:v>46062.59027777778</x:v>
      </x:c>
      <x:c r="B378" s="36" t="n">
        <x:v>46062</x:v>
      </x:c>
      <x:c r="C378" s="34" t="n">
        <x:v>46062.59087962963</x:v>
      </x:c>
      <x:c r="D378" s="15" t="str">
        <x:v>Current a/c..512781</x:v>
      </x:c>
      <x:c r="E378" s="15" t="str"/>
      <x:c r="F378" s="15" t="str">
        <x:v>R759.00 paid from Current a/c..512781 @ Smartapp. Avail R29539. Ref.Nb 26696. 9Feb 14:10</x:v>
      </x:c>
      <x:c r="G378" s="15" t="str">
        <x:v>Nb 26696</x:v>
      </x:c>
      <x:c r="H378" s="38" t="n">
        <x:v>759</x:v>
      </x:c>
      <x:c r="I378" s="15" t="str">
        <x:v>ZAR</x:v>
      </x:c>
      <x:c r="J378" s="15" t="str">
        <x:v>Outflow</x:v>
      </x:c>
      <x:c r="K378" s="15" t="str">
        <x:v>EFT payment</x:v>
      </x:c>
      <x:c r="L378" s="15" t="str">
        <x:v>Supplier payments</x:v>
      </x:c>
      <x:c r="M378" s="38"/>
      <x:c r="N378" s="38" t="n">
        <x:v>29539</x:v>
      </x:c>
      <x:c r="O378" s="15" t="str"/>
      <x:c r="P378" s="15" t="str">
        <x:v>eml_ALL_currentac__512781 (2).zip &gt; eml6currentac__512781.zip</x:v>
      </x:c>
      <x:c r="Q378" s="15" t="str">
        <x:v>FNB _-) R759.00 paid from Current a_c..512781 @ Smartapp. Ref.Nb 26696.  9Feb 14_10.eml</x:v>
      </x:c>
      <x:c r="R378" s="15" t="str">
        <x:v>High</x:v>
      </x:c>
      <x:c r="S378" s="15" t="str">
        <x:v>Category confidence Low: Default outflow category; review counterparty/reference.</x:v>
      </x:c>
      <x:c r="T378" s="15" t="str"/>
      <x:c r="U378" s="15" t="str"/>
      <x:c r="V378" s="15" t="str">
        <x:v>Nb 26696</x:v>
      </x:c>
      <x:c r="W378" s="15" t="str">
        <x:v>Smartapp</x:v>
      </x:c>
      <x:c r="X378" s="15" t="str">
        <x:v>FNB :-) R759.00 paid from Current a/c..512781 @ Smartapp. Avail R29539. Ref.Nb 26696. 9Feb 14:10</x:v>
      </x:c>
      <x:c r="Y378" s="15" t="str">
        <x:v>921008673821995e</x:v>
      </x:c>
    </x:row>
    <x:row r="379">
      <x:c r="A379" s="34" t="n">
        <x:v>46062.59097222222</x:v>
      </x:c>
      <x:c r="B379" s="36" t="n">
        <x:v>46062</x:v>
      </x:c>
      <x:c r="C379" s="34" t="n">
        <x:v>46062.5916087963</x:v>
      </x:c>
      <x:c r="D379" s="15" t="str">
        <x:v>Current a/c..512781</x:v>
      </x:c>
      <x:c r="E379" s="15" t="str"/>
      <x:c r="F379" s="15" t="str">
        <x:v>R3036.00 paid from Current a/c..512781 @ Smartapp. Avail R26495. Ref.Royal Bush 3610. 9Feb 14:11</x:v>
      </x:c>
      <x:c r="G379" s="15" t="str">
        <x:v>Royal Bush 3610</x:v>
      </x:c>
      <x:c r="H379" s="38" t="n">
        <x:v>3036</x:v>
      </x:c>
      <x:c r="I379" s="15" t="str">
        <x:v>ZAR</x:v>
      </x:c>
      <x:c r="J379" s="15" t="str">
        <x:v>Outflow</x:v>
      </x:c>
      <x:c r="K379" s="15" t="str">
        <x:v>EFT payment</x:v>
      </x:c>
      <x:c r="L379" s="15" t="str">
        <x:v>Supplier payments</x:v>
      </x:c>
      <x:c r="M379" s="38"/>
      <x:c r="N379" s="38" t="n">
        <x:v>26495</x:v>
      </x:c>
      <x:c r="O379" s="15" t="str"/>
      <x:c r="P379" s="15" t="str">
        <x:v>eml_ALL_currentac__512781 (2).zip &gt; eml6currentac__512781.zip</x:v>
      </x:c>
      <x:c r="Q379" s="15" t="str">
        <x:v>FNB _-) R3036.00 paid from Current a_c..512781 @ Smartapp. Ref.Royal Bush 3610.  9Feb 14_11.eml</x:v>
      </x:c>
      <x:c r="R379" s="15" t="str">
        <x:v>High</x:v>
      </x:c>
      <x:c r="S379" s="15" t="str">
        <x:v>Category confidence Low: Default outflow category; review counterparty/reference.</x:v>
      </x:c>
      <x:c r="T379" s="15" t="str"/>
      <x:c r="U379" s="15" t="str"/>
      <x:c r="V379" s="15" t="str">
        <x:v>Royal Bush 3610</x:v>
      </x:c>
      <x:c r="W379" s="15" t="str">
        <x:v>Smartapp</x:v>
      </x:c>
      <x:c r="X379" s="15" t="str">
        <x:v>FNB :-) R3036.00 paid from Current a/c..512781 @ Smartapp. Avail R26495. Ref.Royal Bush 3610. 9Feb 14:11</x:v>
      </x:c>
      <x:c r="Y379" s="15" t="str">
        <x:v>f295aa2317f0bff2</x:v>
      </x:c>
    </x:row>
    <x:row r="380">
      <x:c r="A380" s="34" t="n">
        <x:v>46062.63263888889</x:v>
      </x:c>
      <x:c r="B380" s="36" t="n">
        <x:v>46062</x:v>
      </x:c>
      <x:c r="C380" s="34" t="n">
        <x:v>46062.63329861111</x:v>
      </x:c>
      <x:c r="D380" s="15" t="str">
        <x:v>Current a/c..512781</x:v>
      </x:c>
      <x:c r="E380" s="15" t="str">
        <x:v>card..2924</x:v>
      </x:c>
      <x:c r="F380" s="15" t="str">
        <x:v>R242.90 reserved for purchase @ Savemor Marloth from Current a/c..512781 using card..2924. Avail R26252. 9Feb 15:11</x:v>
      </x:c>
      <x:c r="G380" s="15" t="str">
        <x:v>Savemor Marloth</x:v>
      </x:c>
      <x:c r="H380" s="38" t="n">
        <x:v>242.9</x:v>
      </x:c>
      <x:c r="I380" s="15" t="str">
        <x:v>ZAR</x:v>
      </x:c>
      <x:c r="J380" s="15" t="str">
        <x:v>Outflow</x:v>
      </x:c>
      <x:c r="K380" s="15" t="str">
        <x:v>Card purchase</x:v>
      </x:c>
      <x:c r="L380" s="15" t="str">
        <x:v>Supplier payments</x:v>
      </x:c>
      <x:c r="M380" s="38"/>
      <x:c r="N380" s="38" t="n">
        <x:v>26252</x:v>
      </x:c>
      <x:c r="O380" s="15" t="str"/>
      <x:c r="P380" s="15" t="str">
        <x:v>eml_ALL_currentac__512781 (2).zip &gt; eml6currentac__512781.zip</x:v>
      </x:c>
      <x:c r="Q380" s="15" t="str">
        <x:v>FNB _-) R242.90 reserved for purchase @ Savemor Marloth from Current a_c..512781 using card..2924.  9Feb 15_11.eml</x:v>
      </x:c>
      <x:c r="R380" s="15" t="str">
        <x:v>High</x:v>
      </x:c>
      <x:c r="S380" s="15" t="str">
        <x:v>Category confidence Medium: Retail/supplier merchant keyword.</x:v>
      </x:c>
      <x:c r="T380" s="15" t="str"/>
      <x:c r="U380" s="15" t="str"/>
      <x:c r="V380" s="15" t="str"/>
      <x:c r="W380" s="15" t="str"/>
      <x:c r="X380" s="15" t="str">
        <x:v>FNB :-) R242.90 reserved for purchase @ Savemor Marloth from Current a/c..512781 using card..2924. Avail R26252. 9Feb 15:11</x:v>
      </x:c>
      <x:c r="Y380" s="15" t="str">
        <x:v>a0c899c35775f953</x:v>
      </x:c>
    </x:row>
    <x:row r="381">
      <x:c r="A381" s="34" t="n">
        <x:v>46062.82430555556</x:v>
      </x:c>
      <x:c r="B381" s="36" t="n">
        <x:v>46062</x:v>
      </x:c>
      <x:c r="C381" s="34" t="n">
        <x:v>46062.824895833335</x:v>
      </x:c>
      <x:c r="D381" s="15" t="str">
        <x:v>Current a/c..512781</x:v>
      </x:c>
      <x:c r="E381" s="15" t="str">
        <x:v>card..2924</x:v>
      </x:c>
      <x:c r="F381" s="15" t="str">
        <x:v>R380.00 reserved for purchase @ The Tin Shack from Current a/c..512781 using card..2924. Avail R25872. 9Feb 19:47</x:v>
      </x:c>
      <x:c r="G381" s="15" t="str">
        <x:v>The Tin Shack</x:v>
      </x:c>
      <x:c r="H381" s="38" t="n">
        <x:v>380</x:v>
      </x:c>
      <x:c r="I381" s="15" t="str">
        <x:v>ZAR</x:v>
      </x:c>
      <x:c r="J381" s="15" t="str">
        <x:v>Outflow</x:v>
      </x:c>
      <x:c r="K381" s="15" t="str">
        <x:v>Card purchase</x:v>
      </x:c>
      <x:c r="L381" s="15" t="str">
        <x:v>Meals / restaurants / entertainment</x:v>
      </x:c>
      <x:c r="M381" s="38"/>
      <x:c r="N381" s="38" t="n">
        <x:v>25872</x:v>
      </x:c>
      <x:c r="O381" s="15" t="str"/>
      <x:c r="P381" s="15" t="str">
        <x:v>eml_ALL_currentac__512781 (2).zip &gt; eml6currentac__512781.zip</x:v>
      </x:c>
      <x:c r="Q381" s="15" t="str">
        <x:v>FNB _-) R380.00 reserved for purchase @ The Tin Shack from Current a_c..512781 using card..2924.  9Feb 19_47.eml</x:v>
      </x:c>
      <x:c r="R381" s="15" t="str">
        <x:v>High</x:v>
      </x:c>
      <x:c r="S381" s="15" t="str"/>
      <x:c r="T381" s="15" t="str"/>
      <x:c r="U381" s="15" t="str"/>
      <x:c r="V381" s="15" t="str"/>
      <x:c r="W381" s="15" t="str"/>
      <x:c r="X381" s="15" t="str">
        <x:v>FNB :-) R380.00 reserved for purchase @ The Tin Shack from Current a/c..512781 using card..2924. Avail R25872. 9Feb 19:47</x:v>
      </x:c>
      <x:c r="Y381" s="15" t="str">
        <x:v>fe987898a45c3c83</x:v>
      </x:c>
    </x:row>
    <x:row r="382">
      <x:c r="A382" s="34" t="n">
        <x:v>46063.45</x:v>
      </x:c>
      <x:c r="B382" s="36" t="n">
        <x:v>46063</x:v>
      </x:c>
      <x:c r="C382" s="34" t="n">
        <x:v>46063.45009259259</x:v>
      </x:c>
      <x:c r="D382" s="15" t="str">
        <x:v>Current a/c..512781</x:v>
      </x:c>
      <x:c r="E382" s="15" t="str">
        <x:v>card..2924</x:v>
      </x:c>
      <x:c r="F382" s="15" t="str">
        <x:v>R489.84 reserved for purchase @ Shoprite Komatipoort from Current a/c..512781 using card..2924. Avail R25301. 10Feb 10:48</x:v>
      </x:c>
      <x:c r="G382" s="15" t="str">
        <x:v>Shoprite Komatipoort</x:v>
      </x:c>
      <x:c r="H382" s="38" t="n">
        <x:v>489.84</x:v>
      </x:c>
      <x:c r="I382" s="15" t="str">
        <x:v>ZAR</x:v>
      </x:c>
      <x:c r="J382" s="15" t="str">
        <x:v>Outflow</x:v>
      </x:c>
      <x:c r="K382" s="15" t="str">
        <x:v>Card purchase</x:v>
      </x:c>
      <x:c r="L382" s="15" t="str">
        <x:v>Supplier payments</x:v>
      </x:c>
      <x:c r="M382" s="38"/>
      <x:c r="N382" s="38" t="n">
        <x:v>25301</x:v>
      </x:c>
      <x:c r="O382" s="15" t="str"/>
      <x:c r="P382" s="15" t="str">
        <x:v>eml_ALL_currentac__512781 (2).zip &gt; eml6currentac__512781.zip</x:v>
      </x:c>
      <x:c r="Q382" s="15" t="str">
        <x:v>FNB _-) R489.84 reserved for purchase @ Shoprite Komatipoort from Current a_c..512781 using card..2924. 10Feb 10_48.eml</x:v>
      </x:c>
      <x:c r="R382" s="15" t="str">
        <x:v>High</x:v>
      </x:c>
      <x:c r="S382" s="15" t="str">
        <x:v>Category confidence Medium: Retail/supplier merchant keyword.</x:v>
      </x:c>
      <x:c r="T382" s="15" t="str"/>
      <x:c r="U382" s="15" t="str"/>
      <x:c r="V382" s="15" t="str"/>
      <x:c r="W382" s="15" t="str"/>
      <x:c r="X382" s="15" t="str">
        <x:v>FNB :-) R489.84 reserved for purchase @ Shoprite Komatipoort from Current a/c..512781 using card..2924. Avail R25301. 10Feb 10:48</x:v>
      </x:c>
      <x:c r="Y382" s="15" t="str">
        <x:v>85beb7d3882db858</x:v>
      </x:c>
    </x:row>
    <x:row r="383">
      <x:c r="A383" s="34" t="n">
        <x:v>46063.472916666666</x:v>
      </x:c>
      <x:c r="B383" s="36" t="n">
        <x:v>46063</x:v>
      </x:c>
      <x:c r="C383" s="34" t="n">
        <x:v>46063.47337962963</x:v>
      </x:c>
      <x:c r="D383" s="15" t="str">
        <x:v>Current a/c..512781</x:v>
      </x:c>
      <x:c r="E383" s="15" t="str">
        <x:v>card..2924</x:v>
      </x:c>
      <x:c r="F383" s="15" t="str">
        <x:v>R769.67 reserved for purchase @ Buco Komatipoort 116 from Current a/c..512781 using card..2924. Avail R24531. 10Feb 11:21</x:v>
      </x:c>
      <x:c r="G383" s="15" t="str">
        <x:v>Buco Komatipoort 116</x:v>
      </x:c>
      <x:c r="H383" s="38" t="n">
        <x:v>769.67</x:v>
      </x:c>
      <x:c r="I383" s="15" t="str">
        <x:v>ZAR</x:v>
      </x:c>
      <x:c r="J383" s="15" t="str">
        <x:v>Outflow</x:v>
      </x:c>
      <x:c r="K383" s="15" t="str">
        <x:v>Card purchase</x:v>
      </x:c>
      <x:c r="L383" s="15" t="str">
        <x:v>Supplier payments</x:v>
      </x:c>
      <x:c r="M383" s="38"/>
      <x:c r="N383" s="38" t="n">
        <x:v>24531</x:v>
      </x:c>
      <x:c r="O383" s="15" t="str"/>
      <x:c r="P383" s="15" t="str">
        <x:v>eml_ALL_currentac__512781 (2).zip &gt; eml6currentac__512781.zip</x:v>
      </x:c>
      <x:c r="Q383" s="15" t="str">
        <x:v>FNB _-) R769.67 reserved for purchase @ Buco Komatipoort 116 from Current a_c..512781 using card..2924. 10Feb 11_21.eml</x:v>
      </x:c>
      <x:c r="R383" s="15" t="str">
        <x:v>High</x:v>
      </x:c>
      <x:c r="S383" s="15" t="str">
        <x:v>Category confidence Medium: Retail/supplier merchant keyword.</x:v>
      </x:c>
      <x:c r="T383" s="15" t="str"/>
      <x:c r="U383" s="15" t="str"/>
      <x:c r="V383" s="15" t="str"/>
      <x:c r="W383" s="15" t="str"/>
      <x:c r="X383" s="15" t="str">
        <x:v>FNB :-) R769.67 reserved for purchase @ Buco Komatipoort 116 from Current a/c..512781 using card..2924. Avail R24531. 10Feb 11:21</x:v>
      </x:c>
      <x:c r="Y383" s="15" t="str">
        <x:v>42e1661fb20e8cea</x:v>
      </x:c>
    </x:row>
    <x:row r="384">
      <x:c r="A384" s="34" t="n">
        <x:v>46063.490277777775</x:v>
      </x:c>
      <x:c r="B384" s="36" t="n">
        <x:v>46063</x:v>
      </x:c>
      <x:c r="C384" s="34" t="n">
        <x:v>46063.49028935185</x:v>
      </x:c>
      <x:c r="D384" s="15" t="str">
        <x:v>Current a/c..512781</x:v>
      </x:c>
      <x:c r="E384" s="15" t="str">
        <x:v>card..2924</x:v>
      </x:c>
      <x:c r="F384" s="15" t="str">
        <x:v>R395.99 reserved for purchase @ Pep Home 5771 Komati from Current a/c..512781 using card..2924. Avail R24135. 10Feb 11:46</x:v>
      </x:c>
      <x:c r="G384" s="15" t="str">
        <x:v>Pep Home 5771 Komati</x:v>
      </x:c>
      <x:c r="H384" s="38" t="n">
        <x:v>395.99</x:v>
      </x:c>
      <x:c r="I384" s="15" t="str">
        <x:v>ZAR</x:v>
      </x:c>
      <x:c r="J384" s="15" t="str">
        <x:v>Outflow</x:v>
      </x:c>
      <x:c r="K384" s="15" t="str">
        <x:v>Card purchase</x:v>
      </x:c>
      <x:c r="L384" s="15" t="str">
        <x:v>Supplier payments</x:v>
      </x:c>
      <x:c r="M384" s="38"/>
      <x:c r="N384" s="38" t="n">
        <x:v>24135</x:v>
      </x:c>
      <x:c r="O384" s="15" t="str"/>
      <x:c r="P384" s="15" t="str">
        <x:v>eml_ALL_currentac__512781 (2).zip &gt; eml6currentac__512781.zip</x:v>
      </x:c>
      <x:c r="Q384" s="15" t="str">
        <x:v>FNB _-) R395.99 reserved for purchase @ Pep Home 5771 Komati from Current a_c..512781 using card..2924. 10Feb 11_46.eml</x:v>
      </x:c>
      <x:c r="R384" s="15" t="str">
        <x:v>High</x:v>
      </x:c>
      <x:c r="S384" s="15" t="str">
        <x:v>Category confidence Medium: Retail/supplier merchant keyword.</x:v>
      </x:c>
      <x:c r="T384" s="15" t="str"/>
      <x:c r="U384" s="15" t="str"/>
      <x:c r="V384" s="15" t="str"/>
      <x:c r="W384" s="15" t="str"/>
      <x:c r="X384" s="15" t="str">
        <x:v>FNB :-) R395.99 reserved for purchase @ Pep Home 5771 Komati from Current a/c..512781 using card..2924. Avail R24135. 10Feb 11:46</x:v>
      </x:c>
      <x:c r="Y384" s="15" t="str">
        <x:v>3fad2e717b41043c</x:v>
      </x:c>
    </x:row>
    <x:row r="385">
      <x:c r="A385" s="34" t="n">
        <x:v>46063.53958333333</x:v>
      </x:c>
      <x:c r="B385" s="36" t="n">
        <x:v>46063</x:v>
      </x:c>
      <x:c r="C385" s="34" t="n">
        <x:v>46063.539814814816</x:v>
      </x:c>
      <x:c r="D385" s="15" t="str">
        <x:v>Current a/c..512781</x:v>
      </x:c>
      <x:c r="E385" s="15" t="str">
        <x:v>card..2924</x:v>
      </x:c>
      <x:c r="F385" s="15" t="str">
        <x:v>R1433.22 reserved for purchase @ Superspar Komatipoor from Current a/c..512781 using card..2924. Avail R22702. 10Feb 12:57</x:v>
      </x:c>
      <x:c r="G385" s="15" t="str">
        <x:v>Superspar Komatipoor</x:v>
      </x:c>
      <x:c r="H385" s="38" t="n">
        <x:v>1433.22</x:v>
      </x:c>
      <x:c r="I385" s="15" t="str">
        <x:v>ZAR</x:v>
      </x:c>
      <x:c r="J385" s="15" t="str">
        <x:v>Outflow</x:v>
      </x:c>
      <x:c r="K385" s="15" t="str">
        <x:v>Card purchase</x:v>
      </x:c>
      <x:c r="L385" s="15" t="str">
        <x:v>Supplier payments</x:v>
      </x:c>
      <x:c r="M385" s="38"/>
      <x:c r="N385" s="38" t="n">
        <x:v>22702</x:v>
      </x:c>
      <x:c r="O385" s="15" t="str"/>
      <x:c r="P385" s="15" t="str">
        <x:v>eml_ALL_currentac__512781 (2).zip &gt; eml6currentac__512781.zip</x:v>
      </x:c>
      <x:c r="Q385" s="15" t="str">
        <x:v>FNB _-) R1433.22 reserved for purchase @ Superspar Komatipoor from Current a_c..512781 using card..2924. 10Feb 12_57.eml</x:v>
      </x:c>
      <x:c r="R385" s="15" t="str">
        <x:v>High</x:v>
      </x:c>
      <x:c r="S385" s="15" t="str">
        <x:v>Category confidence Medium: Retail/supplier merchant keyword.</x:v>
      </x:c>
      <x:c r="T385" s="15" t="str"/>
      <x:c r="U385" s="15" t="str"/>
      <x:c r="V385" s="15" t="str"/>
      <x:c r="W385" s="15" t="str"/>
      <x:c r="X385" s="15" t="str">
        <x:v>FNB :-) R1433.22 reserved for purchase @ Superspar Komatipoor from Current a/c..512781 using card..2924. Avail R22702. 10Feb 12:57</x:v>
      </x:c>
      <x:c r="Y385" s="15" t="str">
        <x:v>781db53971032eab</x:v>
      </x:c>
    </x:row>
    <x:row r="386">
      <x:c r="A386" s="34" t="n">
        <x:v>46063.57777777778</x:v>
      </x:c>
      <x:c r="B386" s="36" t="n">
        <x:v>46063</x:v>
      </x:c>
      <x:c r="C386" s="34" t="n">
        <x:v>46063.577893518515</x:v>
      </x:c>
      <x:c r="D386" s="15" t="str">
        <x:v>Current a/c..512781</x:v>
      </x:c>
      <x:c r="E386" s="15" t="str"/>
      <x:c r="F386" s="15" t="str">
        <x:v>R2266.11 paid to Current a/c..512781 @ Payshap. Ref.Ik Pay 487882. 10Feb 13:52</x:v>
      </x:c>
      <x:c r="G386" s="15" t="str">
        <x:v>Ik Pay 487882</x:v>
      </x:c>
      <x:c r="H386" s="38" t="n">
        <x:v>2266.11</x:v>
      </x:c>
      <x:c r="I386" s="15" t="str">
        <x:v>ZAR</x:v>
      </x:c>
      <x:c r="J386" s="15" t="str">
        <x:v>Inflow</x:v>
      </x:c>
      <x:c r="K386" s="15" t="str">
        <x:v>EFT receipt</x:v>
      </x:c>
      <x:c r="L386" s="15" t="str">
        <x:v>Sales / customer receipts</x:v>
      </x:c>
      <x:c r="M386" s="38"/>
      <x:c r="N386" s="38"/>
      <x:c r="O386" s="15" t="str"/>
      <x:c r="P386" s="15" t="str">
        <x:v>eml_ALL_currentac__512781 (2).zip &gt; eml6currentac__512781.zip</x:v>
      </x:c>
      <x:c r="Q386" s="15" t="str">
        <x:v>FNB _-) R2266.11 paid to Current a_c..512781 @ Payshap. Ref.Ik Pay 487882. 10Feb 13_52.eml</x:v>
      </x:c>
      <x:c r="R386" s="15" t="str">
        <x:v>High</x:v>
      </x:c>
      <x:c r="S386" s="15" t="str">
        <x:v>Category confidence Medium: Default for incoming EFT/PayShap/online receipt.</x:v>
      </x:c>
      <x:c r="T386" s="15" t="str"/>
      <x:c r="U386" s="15" t="str"/>
      <x:c r="V386" s="15" t="str">
        <x:v>Ik Pay 487882</x:v>
      </x:c>
      <x:c r="W386" s="15" t="str">
        <x:v>Payshap</x:v>
      </x:c>
      <x:c r="X386" s="15" t="str">
        <x:v>FNB :-) R2266.11 paid to Current a/c..512781 @ Payshap. Ref.Ik Pay 487882. 10Feb 13:52</x:v>
      </x:c>
      <x:c r="Y386" s="15" t="str">
        <x:v>e76415ea81c0edfa</x:v>
      </x:c>
    </x:row>
    <x:row r="387">
      <x:c r="A387" s="34" t="n">
        <x:v>46064</x:v>
      </x:c>
      <x:c r="B387" s="36" t="n">
        <x:v>46064</x:v>
      </x:c>
      <x:c r="C387" s="34" t="n">
        <x:v>46064.09537037037</x:v>
      </x:c>
      <x:c r="D387" s="15" t="str">
        <x:v>Current a/c..512781</x:v>
      </x:c>
      <x:c r="E387" s="15" t="str"/>
      <x:c r="F387" s="15" t="str">
        <x:v>R200.00 paid to Current a/c..512781 @ Eft. Ref.Rev Ag18 3884 Olif. 11Feb 00:00</x:v>
      </x:c>
      <x:c r="G387" s="15" t="str">
        <x:v>Rev Ag18 3884 Olif</x:v>
      </x:c>
      <x:c r="H387" s="38" t="n">
        <x:v>200</x:v>
      </x:c>
      <x:c r="I387" s="15" t="str">
        <x:v>ZAR</x:v>
      </x:c>
      <x:c r="J387" s="15" t="str">
        <x:v>Inflow</x:v>
      </x:c>
      <x:c r="K387" s="15" t="str">
        <x:v>EFT receipt</x:v>
      </x:c>
      <x:c r="L387" s="15" t="str">
        <x:v>Sales / customer receipts</x:v>
      </x:c>
      <x:c r="M387" s="38"/>
      <x:c r="N387" s="38"/>
      <x:c r="O387" s="15" t="str"/>
      <x:c r="P387" s="15" t="str">
        <x:v>eml_ALL_currentac__512781 (2).zip &gt; eml6currentac__512781.zip</x:v>
      </x:c>
      <x:c r="Q387" s="15" t="str">
        <x:v>FNB _-) R200.00 paid to Current a_c..512781 @ Eft. Ref.Rev Ag18 3884 Olif. 11Feb 00_00.eml</x:v>
      </x:c>
      <x:c r="R387" s="15" t="str">
        <x:v>High</x:v>
      </x:c>
      <x:c r="S387" s="15" t="str">
        <x:v>Category confidence Medium: Default for incoming EFT/PayShap/online receipt.</x:v>
      </x:c>
      <x:c r="T387" s="15" t="str"/>
      <x:c r="U387" s="15" t="str"/>
      <x:c r="V387" s="15" t="str">
        <x:v>Rev Ag18 3884 Olif</x:v>
      </x:c>
      <x:c r="W387" s="15" t="str">
        <x:v>Eft</x:v>
      </x:c>
      <x:c r="X387" s="15" t="str">
        <x:v>FNB :-) R200.00 paid to Current a/c..512781 @ Eft. Ref.Rev Ag18 3884 Olif. 11Feb 00:00</x:v>
      </x:c>
      <x:c r="Y387" s="15" t="str">
        <x:v>b53e3c865bd5fbb6</x:v>
      </x:c>
    </x:row>
    <x:row r="388">
      <x:c r="A388" s="34" t="n">
        <x:v>46064</x:v>
      </x:c>
      <x:c r="B388" s="36" t="n">
        <x:v>46064</x:v>
      </x:c>
      <x:c r="C388" s="34" t="n">
        <x:v>46064.0955787037</x:v>
      </x:c>
      <x:c r="D388" s="15" t="str">
        <x:v>Current a/c..512781</x:v>
      </x:c>
      <x:c r="E388" s="15" t="str"/>
      <x:c r="F388" s="15" t="str">
        <x:v>R200.00 paid from Current a/c..512781 @ Eft. Avail R24852. Ref.Cash Ag18 3884 Olif. 11Feb 00:00</x:v>
      </x:c>
      <x:c r="G388" s="15" t="str">
        <x:v>Cash Ag18 3884 Olif</x:v>
      </x:c>
      <x:c r="H388" s="38" t="n">
        <x:v>200</x:v>
      </x:c>
      <x:c r="I388" s="15" t="str">
        <x:v>ZAR</x:v>
      </x:c>
      <x:c r="J388" s="15" t="str">
        <x:v>Outflow</x:v>
      </x:c>
      <x:c r="K388" s="15" t="str">
        <x:v>EFT payment</x:v>
      </x:c>
      <x:c r="L388" s="15" t="str">
        <x:v>Cash withdrawal</x:v>
      </x:c>
      <x:c r="M388" s="38"/>
      <x:c r="N388" s="38" t="n">
        <x:v>24852</x:v>
      </x:c>
      <x:c r="O388" s="15" t="str"/>
      <x:c r="P388" s="15" t="str">
        <x:v>eml_ALL_currentac__512781 (2).zip &gt; eml6currentac__512781.zip</x:v>
      </x:c>
      <x:c r="Q388" s="15" t="str">
        <x:v>Payments for 11 Feb.eml</x:v>
      </x:c>
      <x:c r="R388" s="15" t="str">
        <x:v>High</x:v>
      </x:c>
      <x:c r="S388" s="15" t="str">
        <x:v>Category confidence Medium: Cash keyword in payment reference; verify manually.</x:v>
      </x:c>
      <x:c r="T388" s="15" t="str"/>
      <x:c r="U388" s="15" t="str"/>
      <x:c r="V388" s="15" t="str">
        <x:v>Cash Ag18 3884 Olif</x:v>
      </x:c>
      <x:c r="W388" s="15" t="str">
        <x:v>Eft</x:v>
      </x:c>
      <x:c r="X388" s="15" t="str">
        <x:v>FNB :-) R200.00 paid from Current a/c..512781 @ Eft. Avail R24852. Ref.Cash Ag18 3884 Olif. 11Feb 00:00</x:v>
      </x:c>
      <x:c r="Y388" s="15" t="str">
        <x:v>2bcb1397f46f6c49</x:v>
      </x:c>
    </x:row>
    <x:row r="389">
      <x:c r="A389" s="34" t="n">
        <x:v>46064.404861111114</x:v>
      </x:c>
      <x:c r="B389" s="36" t="n">
        <x:v>46064</x:v>
      </x:c>
      <x:c r="C389" s="34" t="n">
        <x:v>46064.40508101852</x:v>
      </x:c>
      <x:c r="D389" s="15" t="str">
        <x:v>Current a/c..512781</x:v>
      </x:c>
      <x:c r="E389" s="15" t="str">
        <x:v>card..2924</x:v>
      </x:c>
      <x:c r="F389" s="15" t="str">
        <x:v>R200.00 reserved for purchase @ Marlothi Petrol Stat from Current a/c..512781 using card..2924. Avail R24652. 11Feb 09:43</x:v>
      </x:c>
      <x:c r="G389" s="15" t="str">
        <x:v>Marlothi Petrol Stat</x:v>
      </x:c>
      <x:c r="H389" s="38" t="n">
        <x:v>200</x:v>
      </x:c>
      <x:c r="I389" s="15" t="str">
        <x:v>ZAR</x:v>
      </x:c>
      <x:c r="J389" s="15" t="str">
        <x:v>Outflow</x:v>
      </x:c>
      <x:c r="K389" s="15" t="str">
        <x:v>Card purchase</x:v>
      </x:c>
      <x:c r="L389" s="15" t="str">
        <x:v>Fuel / transport</x:v>
      </x:c>
      <x:c r="M389" s="38"/>
      <x:c r="N389" s="38" t="n">
        <x:v>24652</x:v>
      </x:c>
      <x:c r="O389" s="15" t="str"/>
      <x:c r="P389" s="15" t="str">
        <x:v>eml_ALL_currentac__512781 (2).zip &gt; eml6currentac__512781.zip</x:v>
      </x:c>
      <x:c r="Q389" s="15" t="str">
        <x:v>FNB _-) R200.00 reserved for purchase @ Marlothi Petrol Stat from Current a_c..512781 using card..2924. 11Feb 09_43.eml</x:v>
      </x:c>
      <x:c r="R389" s="15" t="str">
        <x:v>High</x:v>
      </x:c>
      <x:c r="S389" s="15" t="str"/>
      <x:c r="T389" s="15" t="str"/>
      <x:c r="U389" s="15" t="str"/>
      <x:c r="V389" s="15" t="str"/>
      <x:c r="W389" s="15" t="str"/>
      <x:c r="X389" s="15" t="str">
        <x:v>FNB :-) R200.00 reserved for purchase @ Marlothi Petrol Stat from Current a/c..512781 using card..2924. Avail R24652. 11Feb 09:43</x:v>
      </x:c>
      <x:c r="Y389" s="15" t="str">
        <x:v>b2dfd62c26fea374</x:v>
      </x:c>
    </x:row>
    <x:row r="390">
      <x:c r="A390" s="34" t="n">
        <x:v>46064.521527777775</x:v>
      </x:c>
      <x:c r="B390" s="36" t="n">
        <x:v>46064</x:v>
      </x:c>
      <x:c r="C390" s="34" t="n">
        <x:v>46064.5219212963</x:v>
      </x:c>
      <x:c r="D390" s="15" t="str">
        <x:v>Current a/c..512781</x:v>
      </x:c>
      <x:c r="E390" s="15" t="str"/>
      <x:c r="F390" s="15" t="str">
        <x:v>Payment Link created from Current a/c..512781 To Mj Taback..052173 @ Smartapp. 11Feb 12:31 Call 087 575 9404 for help.</x:v>
      </x:c>
      <x:c r="G390" s="15" t="str">
        <x:v>Mj Taback..052173</x:v>
      </x:c>
      <x:c r="H390" s="38"/>
      <x:c r="I390" s="15" t="str"/>
      <x:c r="J390" s="15" t="str">
        <x:v>Neutral/Information Only</x:v>
      </x:c>
      <x:c r="K390" s="15" t="str">
        <x:v>Other</x:v>
      </x:c>
      <x:c r="L390" s="15" t="str">
        <x:v>Other</x:v>
      </x:c>
      <x:c r="M390" s="38"/>
      <x:c r="N390" s="38"/>
      <x:c r="O390" s="15" t="str"/>
      <x:c r="P390" s="15" t="str">
        <x:v>eml_ALL_currentac__512781 (2).zip &gt; eml6currentac__512781.zip</x:v>
      </x:c>
      <x:c r="Q390" s="15" t="str">
        <x:v>FNB _-) Payment Link created from Current a_c..512781 To Mj Taback..052173 @ Smartapp. 11Feb 12_31 Call 087 575 9404  for help..eml</x:v>
      </x:c>
      <x:c r="R390" s="15" t="str">
        <x:v>High</x:v>
      </x:c>
      <x:c r="S390" s="15" t="str">
        <x:v>Payment link creation only; no money movement indicated. Category confidence Low: Unable to map confidently.</x:v>
      </x:c>
      <x:c r="T390" s="15" t="str">
        <x:v>Current a/c..512781</x:v>
      </x:c>
      <x:c r="U390" s="15" t="str">
        <x:v>Mj Taback..052173</x:v>
      </x:c>
      <x:c r="V390" s="15" t="str"/>
      <x:c r="W390" s="15" t="str">
        <x:v>Smartapp</x:v>
      </x:c>
      <x:c r="X390" s="15" t="str">
        <x:v>FNB :-) Payment Link created from Current a/c..512781 To Mj Taback..052173 @ Smartapp. 11Feb 12:31 Call 087 575 9404 for help.</x:v>
      </x:c>
      <x:c r="Y390" s="15" t="str">
        <x:v>4ba89aedf93980d1</x:v>
      </x:c>
    </x:row>
    <x:row r="391">
      <x:c r="A391" s="34" t="n">
        <x:v>46064.521527777775</x:v>
      </x:c>
      <x:c r="B391" s="36" t="n">
        <x:v>46064</x:v>
      </x:c>
      <x:c r="C391" s="34" t="n">
        <x:v>46064.52210648148</x:v>
      </x:c>
      <x:c r="D391" s="15" t="str">
        <x:v>Current a/c..512781</x:v>
      </x:c>
      <x:c r="E391" s="15" t="str"/>
      <x:c r="F391" s="15" t="str">
        <x:v>R2049.00 paid from Current a/c..512781 @ Smartapp. Avail R22595. Ref.Cf Moto Saf - Inv 1.. 11Feb 12:31</x:v>
      </x:c>
      <x:c r="G391" s="15" t="str">
        <x:v>Cf Moto Saf - Inv 1</x:v>
      </x:c>
      <x:c r="H391" s="38" t="n">
        <x:v>2049</x:v>
      </x:c>
      <x:c r="I391" s="15" t="str">
        <x:v>ZAR</x:v>
      </x:c>
      <x:c r="J391" s="15" t="str">
        <x:v>Outflow</x:v>
      </x:c>
      <x:c r="K391" s="15" t="str">
        <x:v>EFT payment</x:v>
      </x:c>
      <x:c r="L391" s="15" t="str">
        <x:v>Supplier payments</x:v>
      </x:c>
      <x:c r="M391" s="38"/>
      <x:c r="N391" s="38" t="n">
        <x:v>22595</x:v>
      </x:c>
      <x:c r="O391" s="15" t="str"/>
      <x:c r="P391" s="15" t="str">
        <x:v>eml_ALL_currentac__512781 (2).zip &gt; eml6currentac__512781.zip</x:v>
      </x:c>
      <x:c r="Q391" s="15" t="str">
        <x:v>FNB _-) R2049.00 paid from Current a_c..512781 @ Smartapp. Ref.Cf Moto Saf - Inv 1.. 11Feb 12_31.eml</x:v>
      </x:c>
      <x:c r="R391" s="15" t="str">
        <x:v>High</x:v>
      </x:c>
      <x:c r="S391" s="15" t="str">
        <x:v>Category confidence Low: Default outflow category; review counterparty/reference.</x:v>
      </x:c>
      <x:c r="T391" s="15" t="str"/>
      <x:c r="U391" s="15" t="str"/>
      <x:c r="V391" s="15" t="str">
        <x:v>Cf Moto Saf - Inv 1</x:v>
      </x:c>
      <x:c r="W391" s="15" t="str">
        <x:v>Smartapp</x:v>
      </x:c>
      <x:c r="X391" s="15" t="str">
        <x:v>FNB :-) R2049.00 paid from Current a/c..512781 @ Smartapp. Avail R22595. Ref.Cf Moto Saf - Inv 1.. 11Feb 12:31</x:v>
      </x:c>
      <x:c r="Y391" s="15" t="str">
        <x:v>99bb4b31cfab42b4</x:v>
      </x:c>
    </x:row>
    <x:row r="392">
      <x:c r="A392" s="34" t="n">
        <x:v>46064.52291666667</x:v>
      </x:c>
      <x:c r="B392" s="36" t="n">
        <x:v>46064</x:v>
      </x:c>
      <x:c r="C392" s="34" t="n">
        <x:v>46064.52292824074</x:v>
      </x:c>
      <x:c r="D392" s="15" t="str">
        <x:v>Current a/c..512781</x:v>
      </x:c>
      <x:c r="E392" s="15" t="str"/>
      <x:c r="F392" s="15" t="str">
        <x:v>R1760.00 paid from Current a/c..512781 @ Smartapp. Avail R20827. Ref.Dinner Box 106824. 11Feb 12:33</x:v>
      </x:c>
      <x:c r="G392" s="15" t="str">
        <x:v>Dinner Box 106824</x:v>
      </x:c>
      <x:c r="H392" s="38" t="n">
        <x:v>1760</x:v>
      </x:c>
      <x:c r="I392" s="15" t="str">
        <x:v>ZAR</x:v>
      </x:c>
      <x:c r="J392" s="15" t="str">
        <x:v>Outflow</x:v>
      </x:c>
      <x:c r="K392" s="15" t="str">
        <x:v>EFT payment</x:v>
      </x:c>
      <x:c r="L392" s="15" t="str">
        <x:v>Meals / restaurants / entertainment</x:v>
      </x:c>
      <x:c r="M392" s="38"/>
      <x:c r="N392" s="38" t="n">
        <x:v>20827</x:v>
      </x:c>
      <x:c r="O392" s="15" t="str"/>
      <x:c r="P392" s="15" t="str">
        <x:v>eml_ALL_currentac__512781 (2).zip &gt; eml6currentac__512781.zip</x:v>
      </x:c>
      <x:c r="Q392" s="15" t="str">
        <x:v>FNB _-) R1760.00 paid from Current a_c..512781 @ Smartapp. Ref.Dinner Box 106824. 11Feb 12_33.eml</x:v>
      </x:c>
      <x:c r="R392" s="15" t="str">
        <x:v>High</x:v>
      </x:c>
      <x:c r="S392" s="15" t="str"/>
      <x:c r="T392" s="15" t="str"/>
      <x:c r="U392" s="15" t="str"/>
      <x:c r="V392" s="15" t="str">
        <x:v>Dinner Box 106824</x:v>
      </x:c>
      <x:c r="W392" s="15" t="str">
        <x:v>Smartapp</x:v>
      </x:c>
      <x:c r="X392" s="15" t="str">
        <x:v>FNB :-) R1760.00 paid from Current a/c..512781 @ Smartapp. Avail R20827. Ref.Dinner Box 106824. 11Feb 12:33</x:v>
      </x:c>
      <x:c r="Y392" s="15" t="str">
        <x:v>5120ee4c4ba9ce26</x:v>
      </x:c>
    </x:row>
    <x:row r="393">
      <x:c r="A393" s="34" t="n">
        <x:v>46064.525</x:v>
      </x:c>
      <x:c r="B393" s="36" t="n">
        <x:v>46064</x:v>
      </x:c>
      <x:c r="C393" s="34" t="n">
        <x:v>46064.525555555556</x:v>
      </x:c>
      <x:c r="D393" s="15" t="str">
        <x:v>Current a/c..512781</x:v>
      </x:c>
      <x:c r="E393" s="15" t="str"/>
      <x:c r="F393" s="15" t="str">
        <x:v>R3000.00 paid from Current a/c..512781 @ Smartapp. Avail R17824. Ref.Salary Jan. 11Feb 12:36</x:v>
      </x:c>
      <x:c r="G393" s="15" t="str">
        <x:v>Salary Jan</x:v>
      </x:c>
      <x:c r="H393" s="38" t="n">
        <x:v>3000</x:v>
      </x:c>
      <x:c r="I393" s="15" t="str">
        <x:v>ZAR</x:v>
      </x:c>
      <x:c r="J393" s="15" t="str">
        <x:v>Outflow</x:v>
      </x:c>
      <x:c r="K393" s="15" t="str">
        <x:v>EFT payment</x:v>
      </x:c>
      <x:c r="L393" s="15" t="str">
        <x:v>Salary / wages</x:v>
      </x:c>
      <x:c r="M393" s="38"/>
      <x:c r="N393" s="38" t="n">
        <x:v>17824</x:v>
      </x:c>
      <x:c r="O393" s="15" t="str"/>
      <x:c r="P393" s="15" t="str">
        <x:v>eml_ALL_currentac__512781 (2).zip &gt; eml6currentac__512781.zip</x:v>
      </x:c>
      <x:c r="Q393" s="15" t="str">
        <x:v>FNB _-) R3000.00 paid from Current a_c..512781 @ Smartapp. Ref.Salary Jan. 11Feb 12_36.eml</x:v>
      </x:c>
      <x:c r="R393" s="15" t="str">
        <x:v>High</x:v>
      </x:c>
      <x:c r="S393" s="15" t="str"/>
      <x:c r="T393" s="15" t="str"/>
      <x:c r="U393" s="15" t="str"/>
      <x:c r="V393" s="15" t="str">
        <x:v>Salary Jan</x:v>
      </x:c>
      <x:c r="W393" s="15" t="str">
        <x:v>Smartapp</x:v>
      </x:c>
      <x:c r="X393" s="15" t="str">
        <x:v>FNB :-) R3000.00 paid from Current a/c..512781 @ Smartapp. Avail R17824. Ref.Salary Jan. 11Feb 12:36</x:v>
      </x:c>
      <x:c r="Y393" s="15" t="str">
        <x:v>26d1a78bd886893c</x:v>
      </x:c>
    </x:row>
    <x:row r="394">
      <x:c r="A394" s="34" t="n">
        <x:v>46064.529861111114</x:v>
      </x:c>
      <x:c r="B394" s="36" t="n">
        <x:v>46064</x:v>
      </x:c>
      <x:c r="C394" s="34" t="n">
        <x:v>46064.53040509259</x:v>
      </x:c>
      <x:c r="D394" s="15" t="str">
        <x:v>Current a/c..512781</x:v>
      </x:c>
      <x:c r="E394" s="15" t="str">
        <x:v>card..2924</x:v>
      </x:c>
      <x:c r="F394" s="15" t="str">
        <x:v>R135.61 reserved for purchase @ Superspar Komatipoor from Current a/c..512781 using card..2924. Avail R17689. 11Feb 12:43</x:v>
      </x:c>
      <x:c r="G394" s="15" t="str">
        <x:v>Superspar Komatipoor</x:v>
      </x:c>
      <x:c r="H394" s="38" t="n">
        <x:v>135.61</x:v>
      </x:c>
      <x:c r="I394" s="15" t="str">
        <x:v>ZAR</x:v>
      </x:c>
      <x:c r="J394" s="15" t="str">
        <x:v>Outflow</x:v>
      </x:c>
      <x:c r="K394" s="15" t="str">
        <x:v>Card purchase</x:v>
      </x:c>
      <x:c r="L394" s="15" t="str">
        <x:v>Supplier payments</x:v>
      </x:c>
      <x:c r="M394" s="38"/>
      <x:c r="N394" s="38" t="n">
        <x:v>17689</x:v>
      </x:c>
      <x:c r="O394" s="15" t="str"/>
      <x:c r="P394" s="15" t="str">
        <x:v>eml_ALL_currentac__512781 (2).zip &gt; eml6currentac__512781.zip</x:v>
      </x:c>
      <x:c r="Q394" s="15" t="str">
        <x:v>FNB _-) R135.61 reserved for purchase @ Superspar Komatipoor from Current a_c..512781 using card..2924. 11Feb 12_43.eml</x:v>
      </x:c>
      <x:c r="R394" s="15" t="str">
        <x:v>High</x:v>
      </x:c>
      <x:c r="S394" s="15" t="str">
        <x:v>Category confidence Medium: Retail/supplier merchant keyword.</x:v>
      </x:c>
      <x:c r="T394" s="15" t="str"/>
      <x:c r="U394" s="15" t="str"/>
      <x:c r="V394" s="15" t="str"/>
      <x:c r="W394" s="15" t="str"/>
      <x:c r="X394" s="15" t="str">
        <x:v>FNB :-) R135.61 reserved for purchase @ Superspar Komatipoor from Current a/c..512781 using card..2924. Avail R17689. 11Feb 12:43</x:v>
      </x:c>
      <x:c r="Y394" s="15" t="str">
        <x:v>30900ed2ef0d7894</x:v>
      </x:c>
    </x:row>
    <x:row r="395">
      <x:c r="A395" s="34" t="n">
        <x:v>46064.549305555556</x:v>
      </x:c>
      <x:c r="B395" s="36" t="n">
        <x:v>46064</x:v>
      </x:c>
      <x:c r="C395" s="34" t="n">
        <x:v>46064.54954861111</x:v>
      </x:c>
      <x:c r="D395" s="15" t="str">
        <x:v>Current a/c..512781</x:v>
      </x:c>
      <x:c r="E395" s="15" t="str">
        <x:v>card..2924</x:v>
      </x:c>
      <x:c r="F395" s="15" t="str">
        <x:v>R233.00 reserved for purchase @ Obaro Komatipoort from Current a/c..512781 using card..2924. Avail R17456. 11Feb 13:11</x:v>
      </x:c>
      <x:c r="G395" s="15" t="str">
        <x:v>Obaro Komatipoort</x:v>
      </x:c>
      <x:c r="H395" s="38" t="n">
        <x:v>233</x:v>
      </x:c>
      <x:c r="I395" s="15" t="str">
        <x:v>ZAR</x:v>
      </x:c>
      <x:c r="J395" s="15" t="str">
        <x:v>Outflow</x:v>
      </x:c>
      <x:c r="K395" s="15" t="str">
        <x:v>Card purchase</x:v>
      </x:c>
      <x:c r="L395" s="15" t="str">
        <x:v>Supplier payments</x:v>
      </x:c>
      <x:c r="M395" s="38"/>
      <x:c r="N395" s="38" t="n">
        <x:v>17456</x:v>
      </x:c>
      <x:c r="O395" s="15" t="str"/>
      <x:c r="P395" s="15" t="str">
        <x:v>eml_ALL_currentac__512781 (2).zip &gt; eml6currentac__512781.zip</x:v>
      </x:c>
      <x:c r="Q395" s="15" t="str">
        <x:v>FNB _-) R233.00 reserved for purchase @ Obaro Komatipoort from Current a_c..512781 using card..2924. 11Feb 13_11.eml</x:v>
      </x:c>
      <x:c r="R395" s="15" t="str">
        <x:v>High</x:v>
      </x:c>
      <x:c r="S395" s="15" t="str">
        <x:v>Category confidence Medium: Retail/supplier merchant keyword.</x:v>
      </x:c>
      <x:c r="T395" s="15" t="str"/>
      <x:c r="U395" s="15" t="str"/>
      <x:c r="V395" s="15" t="str"/>
      <x:c r="W395" s="15" t="str"/>
      <x:c r="X395" s="15" t="str">
        <x:v>FNB :-) R233.00 reserved for purchase @ Obaro Komatipoort from Current a/c..512781 using card..2924. Avail R17456. 11Feb 13:11</x:v>
      </x:c>
      <x:c r="Y395" s="15" t="str">
        <x:v>1dfc5f9e5a637e84</x:v>
      </x:c>
    </x:row>
    <x:row r="396">
      <x:c r="A396" s="34" t="n">
        <x:v>46064.61944444444</x:v>
      </x:c>
      <x:c r="B396" s="36" t="n">
        <x:v>46064</x:v>
      </x:c>
      <x:c r="C396" s="34" t="n">
        <x:v>46064.61996527778</x:v>
      </x:c>
      <x:c r="D396" s="15" t="str">
        <x:v>Current a/c..512781</x:v>
      </x:c>
      <x:c r="E396" s="15" t="str">
        <x:v>card..2924</x:v>
      </x:c>
      <x:c r="F396" s="15" t="str">
        <x:v>R400.00 reserved for purchase @ Marlothi Petrol Stat from Current a/c..512781 using card..2924. Avail R17056. 11Feb 14:52</x:v>
      </x:c>
      <x:c r="G396" s="15" t="str">
        <x:v>Marlothi Petrol Stat</x:v>
      </x:c>
      <x:c r="H396" s="38" t="n">
        <x:v>400</x:v>
      </x:c>
      <x:c r="I396" s="15" t="str">
        <x:v>ZAR</x:v>
      </x:c>
      <x:c r="J396" s="15" t="str">
        <x:v>Outflow</x:v>
      </x:c>
      <x:c r="K396" s="15" t="str">
        <x:v>Card purchase</x:v>
      </x:c>
      <x:c r="L396" s="15" t="str">
        <x:v>Fuel / transport</x:v>
      </x:c>
      <x:c r="M396" s="38"/>
      <x:c r="N396" s="38" t="n">
        <x:v>17056</x:v>
      </x:c>
      <x:c r="O396" s="15" t="str"/>
      <x:c r="P396" s="15" t="str">
        <x:v>eml_ALL_currentac__512781 (2).zip &gt; eml6currentac__512781.zip</x:v>
      </x:c>
      <x:c r="Q396" s="15" t="str">
        <x:v>FNB _-) R400.00 reserved for purchase @ Marlothi Petrol Stat from Current a_c..512781 using card..2924. 11Feb 14_52.eml</x:v>
      </x:c>
      <x:c r="R396" s="15" t="str">
        <x:v>High</x:v>
      </x:c>
      <x:c r="S396" s="15" t="str"/>
      <x:c r="T396" s="15" t="str"/>
      <x:c r="U396" s="15" t="str"/>
      <x:c r="V396" s="15" t="str"/>
      <x:c r="W396" s="15" t="str"/>
      <x:c r="X396" s="15" t="str">
        <x:v>FNB :-) R400.00 reserved for purchase @ Marlothi Petrol Stat from Current a/c..512781 using card..2924. Avail R17056. 11Feb 14:52</x:v>
      </x:c>
      <x:c r="Y396" s="15" t="str">
        <x:v>869f916ff6e27ad0</x:v>
      </x:c>
    </x:row>
    <x:row r="397">
      <x:c r="A397" s="34" t="n">
        <x:v>46065.353472222225</x:v>
      </x:c>
      <x:c r="B397" s="36" t="n">
        <x:v>46065</x:v>
      </x:c>
      <x:c r="C397" s="34" t="n">
        <x:v>46065.35408564815</x:v>
      </x:c>
      <x:c r="D397" s="15" t="str">
        <x:v>Current a/c..512781</x:v>
      </x:c>
      <x:c r="E397" s="15" t="str"/>
      <x:c r="F397" s="15" t="str">
        <x:v>R35459.34 paid to Current a/c..512781 @ Retail Forex. Ref.R026x4wv90 Booking.c. 12Feb 08:29</x:v>
      </x:c>
      <x:c r="G397" s="15" t="str">
        <x:v>R026x4wv90 Booking.c</x:v>
      </x:c>
      <x:c r="H397" s="38" t="n">
        <x:v>35459.34</x:v>
      </x:c>
      <x:c r="I397" s="15" t="str">
        <x:v>ZAR</x:v>
      </x:c>
      <x:c r="J397" s="15" t="str">
        <x:v>Inflow</x:v>
      </x:c>
      <x:c r="K397" s="15" t="str">
        <x:v>EFT receipt</x:v>
      </x:c>
      <x:c r="L397" s="15" t="str">
        <x:v>Sales / customer receipts</x:v>
      </x:c>
      <x:c r="M397" s="38"/>
      <x:c r="N397" s="38"/>
      <x:c r="O397" s="15" t="str"/>
      <x:c r="P397" s="15" t="str">
        <x:v>eml_ALL_currentac__512781 (2).zip &gt; eml6currentac__512781.zip</x:v>
      </x:c>
      <x:c r="Q397" s="15" t="str">
        <x:v>FNB _-) R35459.34 paid to Current a_c..512781 @ Retail Forex. Ref.R026x4wv90 Booking.c. 12Feb 08_29.eml</x:v>
      </x:c>
      <x:c r="R397" s="15" t="str">
        <x:v>High</x:v>
      </x:c>
      <x:c r="S397" s="15" t="str">
        <x:v>Category confidence Medium: Default for incoming EFT/PayShap/online receipt.</x:v>
      </x:c>
      <x:c r="T397" s="15" t="str"/>
      <x:c r="U397" s="15" t="str"/>
      <x:c r="V397" s="15" t="str">
        <x:v>R026x4wv90 Booking.c</x:v>
      </x:c>
      <x:c r="W397" s="15" t="str">
        <x:v>Retail Forex</x:v>
      </x:c>
      <x:c r="X397" s="15" t="str">
        <x:v>FNB :-) R35459.34 paid to Current a/c..512781 @ Retail Forex. Ref.R026x4wv90 Booking.c. 12Feb 08:29</x:v>
      </x:c>
      <x:c r="Y397" s="15" t="str">
        <x:v>befbbdfd9c72bd98</x:v>
      </x:c>
    </x:row>
    <x:row r="398">
      <x:c r="A398" s="34" t="n">
        <x:v>46065.43194444444</x:v>
      </x:c>
      <x:c r="B398" s="36" t="n">
        <x:v>46065</x:v>
      </x:c>
      <x:c r="C398" s="34" t="n">
        <x:v>46065.43224537037</x:v>
      </x:c>
      <x:c r="D398" s="15" t="str">
        <x:v>Current a/c..512781</x:v>
      </x:c>
      <x:c r="E398" s="15" t="str"/>
      <x:c r="F398" s="15" t="str">
        <x:v>R345.00 paid from Current a/c..512781 @ Smartapp. Avail R51708. Ref.Bon Express 007661. 12Feb 10:22</x:v>
      </x:c>
      <x:c r="G398" s="15" t="str">
        <x:v>Bon Express 007661</x:v>
      </x:c>
      <x:c r="H398" s="38" t="n">
        <x:v>345</x:v>
      </x:c>
      <x:c r="I398" s="15" t="str">
        <x:v>ZAR</x:v>
      </x:c>
      <x:c r="J398" s="15" t="str">
        <x:v>Outflow</x:v>
      </x:c>
      <x:c r="K398" s="15" t="str">
        <x:v>EFT payment</x:v>
      </x:c>
      <x:c r="L398" s="15" t="str">
        <x:v>Supplier payments</x:v>
      </x:c>
      <x:c r="M398" s="38"/>
      <x:c r="N398" s="38" t="n">
        <x:v>51708</x:v>
      </x:c>
      <x:c r="O398" s="15" t="str"/>
      <x:c r="P398" s="15" t="str">
        <x:v>eml_ALL_currentac__512781 (2).zip &gt; eml6currentac__512781.zip</x:v>
      </x:c>
      <x:c r="Q398" s="15" t="str">
        <x:v>FNB _-) R345.00 paid from Current a_c..512781 @ Smartapp. Ref.Bon Express 007661. 12Feb 10_22.eml</x:v>
      </x:c>
      <x:c r="R398" s="15" t="str">
        <x:v>High</x:v>
      </x:c>
      <x:c r="S398" s="15" t="str">
        <x:v>Category confidence Low: Default outflow category; review counterparty/reference.</x:v>
      </x:c>
      <x:c r="T398" s="15" t="str"/>
      <x:c r="U398" s="15" t="str"/>
      <x:c r="V398" s="15" t="str">
        <x:v>Bon Express 007661</x:v>
      </x:c>
      <x:c r="W398" s="15" t="str">
        <x:v>Smartapp</x:v>
      </x:c>
      <x:c r="X398" s="15" t="str">
        <x:v>FNB :-) R345.00 paid from Current a/c..512781 @ Smartapp. Avail R51708. Ref.Bon Express 007661. 12Feb 10:22</x:v>
      </x:c>
      <x:c r="Y398" s="15" t="str">
        <x:v>047c512d9fde232a</x:v>
      </x:c>
    </x:row>
    <x:row r="399">
      <x:c r="A399" s="34" t="n">
        <x:v>46065.43194444444</x:v>
      </x:c>
      <x:c r="B399" s="36" t="n">
        <x:v>46065</x:v>
      </x:c>
      <x:c r="C399" s="34" t="n">
        <x:v>46065.43201388889</x:v>
      </x:c>
      <x:c r="D399" s="15" t="str">
        <x:v>Current a/c..512781</x:v>
      </x:c>
      <x:c r="E399" s="15" t="str"/>
      <x:c r="F399" s="15" t="str">
        <x:v>R380.65 paid from Current a/c..512781 @ Smartapp. Avail R52061. Ref.Bon Express 007623. 12Feb 10:22</x:v>
      </x:c>
      <x:c r="G399" s="15" t="str">
        <x:v>Bon Express 007623</x:v>
      </x:c>
      <x:c r="H399" s="38" t="n">
        <x:v>380.65</x:v>
      </x:c>
      <x:c r="I399" s="15" t="str">
        <x:v>ZAR</x:v>
      </x:c>
      <x:c r="J399" s="15" t="str">
        <x:v>Outflow</x:v>
      </x:c>
      <x:c r="K399" s="15" t="str">
        <x:v>EFT payment</x:v>
      </x:c>
      <x:c r="L399" s="15" t="str">
        <x:v>Supplier payments</x:v>
      </x:c>
      <x:c r="M399" s="38"/>
      <x:c r="N399" s="38" t="n">
        <x:v>52061</x:v>
      </x:c>
      <x:c r="O399" s="15" t="str"/>
      <x:c r="P399" s="15" t="str">
        <x:v>eml_ALL_currentac__512781 (2).zip &gt; eml6currentac__512781.zip</x:v>
      </x:c>
      <x:c r="Q399" s="15" t="str">
        <x:v>FNB _-) R380.65 paid from Current a_c..512781 @ Smartapp. Ref.Bon Express 007623. 12Feb 10_22.eml</x:v>
      </x:c>
      <x:c r="R399" s="15" t="str">
        <x:v>High</x:v>
      </x:c>
      <x:c r="S399" s="15" t="str">
        <x:v>Category confidence Low: Default outflow category; review counterparty/reference.</x:v>
      </x:c>
      <x:c r="T399" s="15" t="str"/>
      <x:c r="U399" s="15" t="str"/>
      <x:c r="V399" s="15" t="str">
        <x:v>Bon Express 007623</x:v>
      </x:c>
      <x:c r="W399" s="15" t="str">
        <x:v>Smartapp</x:v>
      </x:c>
      <x:c r="X399" s="15" t="str">
        <x:v>FNB :-) R380.65 paid from Current a/c..512781 @ Smartapp. Avail R52061. Ref.Bon Express 007623. 12Feb 10:22</x:v>
      </x:c>
      <x:c r="Y399" s="15" t="str">
        <x:v>4de2f834aad37f61</x:v>
      </x:c>
    </x:row>
    <x:row r="400">
      <x:c r="A400" s="34" t="n">
        <x:v>46065.43402777778</x:v>
      </x:c>
      <x:c r="B400" s="36" t="n">
        <x:v>46065</x:v>
      </x:c>
      <x:c r="C400" s="34" t="n">
        <x:v>46065.43407407407</x:v>
      </x:c>
      <x:c r="D400" s="15" t="str">
        <x:v>Current a/c..512781</x:v>
      </x:c>
      <x:c r="E400" s="15" t="str"/>
      <x:c r="F400" s="15" t="str">
        <x:v>Payment Link created from Current a/c..512781 To Fr Steyn..296546 @ Smartapp. 12Feb 10:25 Call 087 575 9404 for help.</x:v>
      </x:c>
      <x:c r="G400" s="15" t="str">
        <x:v>Fr Steyn..296546</x:v>
      </x:c>
      <x:c r="H400" s="38"/>
      <x:c r="I400" s="15" t="str"/>
      <x:c r="J400" s="15" t="str">
        <x:v>Neutral/Information Only</x:v>
      </x:c>
      <x:c r="K400" s="15" t="str">
        <x:v>Other</x:v>
      </x:c>
      <x:c r="L400" s="15" t="str">
        <x:v>Other</x:v>
      </x:c>
      <x:c r="M400" s="38"/>
      <x:c r="N400" s="38"/>
      <x:c r="O400" s="15" t="str"/>
      <x:c r="P400" s="15" t="str">
        <x:v>eml_ALL_currentac__512781 (2).zip &gt; eml6currentac__512781.zip</x:v>
      </x:c>
      <x:c r="Q400" s="15" t="str">
        <x:v>FNB _-) Payment Link created from Current a_c..512781 To Fr Steyn..296546 @ Smartapp. 12Feb 10_25 Call 087 575 9404  for help..eml</x:v>
      </x:c>
      <x:c r="R400" s="15" t="str">
        <x:v>High</x:v>
      </x:c>
      <x:c r="S400" s="15" t="str">
        <x:v>Payment link creation only; no money movement indicated. Category confidence Low: Unable to map confidently.</x:v>
      </x:c>
      <x:c r="T400" s="15" t="str">
        <x:v>Current a/c..512781</x:v>
      </x:c>
      <x:c r="U400" s="15" t="str">
        <x:v>Fr Steyn..296546</x:v>
      </x:c>
      <x:c r="V400" s="15" t="str"/>
      <x:c r="W400" s="15" t="str">
        <x:v>Smartapp</x:v>
      </x:c>
      <x:c r="X400" s="15" t="str">
        <x:v>FNB :-) Payment Link created from Current a/c..512781 To Fr Steyn..296546 @ Smartapp. 12Feb 10:25 Call 087 575 9404 for help.</x:v>
      </x:c>
      <x:c r="Y400" s="15" t="str">
        <x:v>9a961c7fa1242143</x:v>
      </x:c>
    </x:row>
    <x:row r="401">
      <x:c r="A401" s="34" t="n">
        <x:v>46065.43402777778</x:v>
      </x:c>
      <x:c r="B401" s="36" t="n">
        <x:v>46065</x:v>
      </x:c>
      <x:c r="C401" s="34" t="n">
        <x:v>46065.434328703705</x:v>
      </x:c>
      <x:c r="D401" s="15" t="str">
        <x:v>Current a/c..512781</x:v>
      </x:c>
      <x:c r="E401" s="15" t="str"/>
      <x:c r="F401" s="15" t="str">
        <x:v>R815.00 paid from Current a/c..512781 @ Smartapp. Avail R50885. Ref.Printing. 12Feb 10:25</x:v>
      </x:c>
      <x:c r="G401" s="15" t="str">
        <x:v>Printing</x:v>
      </x:c>
      <x:c r="H401" s="38" t="n">
        <x:v>815</x:v>
      </x:c>
      <x:c r="I401" s="15" t="str">
        <x:v>ZAR</x:v>
      </x:c>
      <x:c r="J401" s="15" t="str">
        <x:v>Outflow</x:v>
      </x:c>
      <x:c r="K401" s="15" t="str">
        <x:v>EFT payment</x:v>
      </x:c>
      <x:c r="L401" s="15" t="str">
        <x:v>Supplier payments</x:v>
      </x:c>
      <x:c r="M401" s="38"/>
      <x:c r="N401" s="38" t="n">
        <x:v>50885</x:v>
      </x:c>
      <x:c r="O401" s="15" t="str"/>
      <x:c r="P401" s="15" t="str">
        <x:v>eml_ALL_currentac__512781 (2).zip &gt; eml6currentac__512781.zip</x:v>
      </x:c>
      <x:c r="Q401" s="15" t="str">
        <x:v>FNB _-) R815.00 paid from Current a_c..512781 @ Smartapp. Ref.Printing. 12Feb 10_25.eml</x:v>
      </x:c>
      <x:c r="R401" s="15" t="str">
        <x:v>High</x:v>
      </x:c>
      <x:c r="S401" s="15" t="str">
        <x:v>Category confidence Low: Default outflow category; review counterparty/reference.</x:v>
      </x:c>
      <x:c r="T401" s="15" t="str"/>
      <x:c r="U401" s="15" t="str"/>
      <x:c r="V401" s="15" t="str">
        <x:v>Printing</x:v>
      </x:c>
      <x:c r="W401" s="15" t="str">
        <x:v>Smartapp</x:v>
      </x:c>
      <x:c r="X401" s="15" t="str">
        <x:v>FNB :-) R815.00 paid from Current a/c..512781 @ Smartapp. Avail R50885. Ref.Printing. 12Feb 10:25</x:v>
      </x:c>
      <x:c r="Y401" s="15" t="str">
        <x:v>4461d0c4362f9644</x:v>
      </x:c>
    </x:row>
    <x:row r="402">
      <x:c r="A402" s="34" t="n">
        <x:v>46065.43541666667</x:v>
      </x:c>
      <x:c r="B402" s="36" t="n">
        <x:v>46065</x:v>
      </x:c>
      <x:c r="C402" s="34" t="n">
        <x:v>46065.43549768518</x:v>
      </x:c>
      <x:c r="D402" s="15" t="str">
        <x:v>Current a/c..512781</x:v>
      </x:c>
      <x:c r="E402" s="15" t="str"/>
      <x:c r="F402" s="15" t="str">
        <x:v>R5708.00 paid from Current a/c..512781 @ Smartapp. Avail R45169. Ref.Kruger Safari 1682. 12Feb 10:27</x:v>
      </x:c>
      <x:c r="G402" s="15" t="str">
        <x:v>Kruger Safari 1682</x:v>
      </x:c>
      <x:c r="H402" s="38" t="n">
        <x:v>5708</x:v>
      </x:c>
      <x:c r="I402" s="15" t="str">
        <x:v>ZAR</x:v>
      </x:c>
      <x:c r="J402" s="15" t="str">
        <x:v>Outflow</x:v>
      </x:c>
      <x:c r="K402" s="15" t="str">
        <x:v>EFT payment</x:v>
      </x:c>
      <x:c r="L402" s="15" t="str">
        <x:v>Supplier payments</x:v>
      </x:c>
      <x:c r="M402" s="38"/>
      <x:c r="N402" s="38" t="n">
        <x:v>45169</x:v>
      </x:c>
      <x:c r="O402" s="15" t="str"/>
      <x:c r="P402" s="15" t="str">
        <x:v>eml_ALL_currentac__512781 (2).zip &gt; eml6currentac__512781.zip</x:v>
      </x:c>
      <x:c r="Q402" s="15" t="str">
        <x:v>FNB _-) R5708.00 paid from Current a_c..512781 @ Smartapp. Ref.Kruger Safari 1682. 12Feb 10_27.eml</x:v>
      </x:c>
      <x:c r="R402" s="15" t="str">
        <x:v>High</x:v>
      </x:c>
      <x:c r="S402" s="15" t="str">
        <x:v>Category confidence Low: Default outflow category; review counterparty/reference.</x:v>
      </x:c>
      <x:c r="T402" s="15" t="str"/>
      <x:c r="U402" s="15" t="str"/>
      <x:c r="V402" s="15" t="str">
        <x:v>Kruger Safari 1682</x:v>
      </x:c>
      <x:c r="W402" s="15" t="str">
        <x:v>Smartapp</x:v>
      </x:c>
      <x:c r="X402" s="15" t="str">
        <x:v>FNB :-) R5708.00 paid from Current a/c..512781 @ Smartapp. Avail R45169. Ref.Kruger Safari 1682. 12Feb 10:27</x:v>
      </x:c>
      <x:c r="Y402" s="15" t="str">
        <x:v>03cd089a6dd79f8f</x:v>
      </x:c>
    </x:row>
    <x:row r="403">
      <x:c r="A403" s="34" t="n">
        <x:v>46065.506944444445</x:v>
      </x:c>
      <x:c r="B403" s="36" t="n">
        <x:v>46065</x:v>
      </x:c>
      <x:c r="C403" s="34" t="n">
        <x:v>46065.50696759259</x:v>
      </x:c>
      <x:c r="D403" s="15" t="str">
        <x:v>Current a/c..512781</x:v>
      </x:c>
      <x:c r="E403" s="15" t="str">
        <x:v>card..2924</x:v>
      </x:c>
      <x:c r="F403" s="15" t="str">
        <x:v>R150.00 reserved for purchase @ Hpy*vodafone Cellula from Current a/c..512781 using card..2924. Avail R44922. 12Feb 12:10</x:v>
      </x:c>
      <x:c r="G403" s="15" t="str">
        <x:v>Hpy*vodafone Cellula</x:v>
      </x:c>
      <x:c r="H403" s="38" t="n">
        <x:v>150</x:v>
      </x:c>
      <x:c r="I403" s="15" t="str">
        <x:v>ZAR</x:v>
      </x:c>
      <x:c r="J403" s="15" t="str">
        <x:v>Outflow</x:v>
      </x:c>
      <x:c r="K403" s="15" t="str">
        <x:v>Card purchase</x:v>
      </x:c>
      <x:c r="L403" s="15" t="str">
        <x:v>Card spend</x:v>
      </x:c>
      <x:c r="M403" s="38"/>
      <x:c r="N403" s="38" t="n">
        <x:v>44922</x:v>
      </x:c>
      <x:c r="O403" s="15" t="str"/>
      <x:c r="P403" s="15" t="str">
        <x:v>eml_ALL_currentac__512781 (2).zip &gt; eml6currentac__512781.zip</x:v>
      </x:c>
      <x:c r="Q403" s="15" t="str">
        <x:v>FNB _-) R150.00 reserved for purchase @ Hpy_vodafone Cellula from Current a_c..512781 using card..2924. 12Feb 12_10.eml</x:v>
      </x:c>
      <x:c r="R403" s="15" t="str">
        <x:v>High</x:v>
      </x:c>
      <x:c r="S403" s="15" t="str">
        <x:v>Category confidence Low: Default card-spend category; merchant not confidently mapped.</x:v>
      </x:c>
      <x:c r="T403" s="15" t="str"/>
      <x:c r="U403" s="15" t="str"/>
      <x:c r="V403" s="15" t="str"/>
      <x:c r="W403" s="15" t="str"/>
      <x:c r="X403" s="15" t="str">
        <x:v>FNB :-) R150.00 reserved for purchase @ Hpy*vodafone Cellula from Current a/c..512781 using card..2924. Avail R44922. 12Feb 12:10</x:v>
      </x:c>
      <x:c r="Y403" s="15" t="str">
        <x:v>db241d5bd1bc10cb</x:v>
      </x:c>
    </x:row>
    <x:row r="404">
      <x:c r="A404" s="34" t="n">
        <x:v>46065.521527777775</x:v>
      </x:c>
      <x:c r="B404" s="36" t="n">
        <x:v>46065</x:v>
      </x:c>
      <x:c r="C404" s="34" t="n">
        <x:v>46065.52175925926</x:v>
      </x:c>
      <x:c r="D404" s="15" t="str">
        <x:v>Current a/c..512781</x:v>
      </x:c>
      <x:c r="E404" s="15" t="str">
        <x:v>card..2924</x:v>
      </x:c>
      <x:c r="F404" s="15" t="str">
        <x:v>R489.46 reserved for purchase @ Superspar Komatipoor from Current a/c..512781 using card..2924. Avail R44433. 12Feb 12:31</x:v>
      </x:c>
      <x:c r="G404" s="15" t="str">
        <x:v>Superspar Komatipoor</x:v>
      </x:c>
      <x:c r="H404" s="38" t="n">
        <x:v>489.46</x:v>
      </x:c>
      <x:c r="I404" s="15" t="str">
        <x:v>ZAR</x:v>
      </x:c>
      <x:c r="J404" s="15" t="str">
        <x:v>Outflow</x:v>
      </x:c>
      <x:c r="K404" s="15" t="str">
        <x:v>Card purchase</x:v>
      </x:c>
      <x:c r="L404" s="15" t="str">
        <x:v>Supplier payments</x:v>
      </x:c>
      <x:c r="M404" s="38"/>
      <x:c r="N404" s="38" t="n">
        <x:v>44433</x:v>
      </x:c>
      <x:c r="O404" s="15" t="str"/>
      <x:c r="P404" s="15" t="str">
        <x:v>eml_ALL_currentac__512781 (2).zip &gt; eml6currentac__512781.zip</x:v>
      </x:c>
      <x:c r="Q404" s="15" t="str">
        <x:v>FNB _-) R489.46 reserved for purchase @ Superspar Komatipoor from Current a_c..512781 using card..2924. 12Feb 12_31.eml</x:v>
      </x:c>
      <x:c r="R404" s="15" t="str">
        <x:v>High</x:v>
      </x:c>
      <x:c r="S404" s="15" t="str">
        <x:v>Category confidence Medium: Retail/supplier merchant keyword.</x:v>
      </x:c>
      <x:c r="T404" s="15" t="str"/>
      <x:c r="U404" s="15" t="str"/>
      <x:c r="V404" s="15" t="str"/>
      <x:c r="W404" s="15" t="str"/>
      <x:c r="X404" s="15" t="str">
        <x:v>FNB :-) R489.46 reserved for purchase @ Superspar Komatipoor from Current a/c..512781 using card..2924. Avail R44433. 12Feb 12:31</x:v>
      </x:c>
      <x:c r="Y404" s="15" t="str">
        <x:v>8c64cb547eeb23f0</x:v>
      </x:c>
    </x:row>
    <x:row r="405">
      <x:c r="A405" s="34" t="n">
        <x:v>46065.558333333334</x:v>
      </x:c>
      <x:c r="B405" s="36" t="n">
        <x:v>46065</x:v>
      </x:c>
      <x:c r="C405" s="34" t="n">
        <x:v>46065.55869212963</x:v>
      </x:c>
      <x:c r="D405" s="15" t="str">
        <x:v>Current a/c..512781</x:v>
      </x:c>
      <x:c r="E405" s="15" t="str">
        <x:v>card..2924</x:v>
      </x:c>
      <x:c r="F405" s="15" t="str">
        <x:v>R575.00 reserved for purchase @ Goldwagen Komatipoor from Current a/c..512781 using card..2924. Avail R43858. 12Feb 13:24</x:v>
      </x:c>
      <x:c r="G405" s="15" t="str">
        <x:v>Goldwagen Komatipoor</x:v>
      </x:c>
      <x:c r="H405" s="38" t="n">
        <x:v>575</x:v>
      </x:c>
      <x:c r="I405" s="15" t="str">
        <x:v>ZAR</x:v>
      </x:c>
      <x:c r="J405" s="15" t="str">
        <x:v>Outflow</x:v>
      </x:c>
      <x:c r="K405" s="15" t="str">
        <x:v>Card purchase</x:v>
      </x:c>
      <x:c r="L405" s="15" t="str">
        <x:v>Card spend</x:v>
      </x:c>
      <x:c r="M405" s="38"/>
      <x:c r="N405" s="38" t="n">
        <x:v>43858</x:v>
      </x:c>
      <x:c r="O405" s="15" t="str"/>
      <x:c r="P405" s="15" t="str">
        <x:v>eml_ALL_currentac__512781 (2).zip &gt; eml6currentac__512781.zip</x:v>
      </x:c>
      <x:c r="Q405" s="15" t="str">
        <x:v>FNB _-) R575.00 reserved for purchase @ Goldwagen Komatipoor from Current a_c..512781 using card..2924. 12Feb 13_24.eml</x:v>
      </x:c>
      <x:c r="R405" s="15" t="str">
        <x:v>High</x:v>
      </x:c>
      <x:c r="S405" s="15" t="str">
        <x:v>Category confidence Low: Default card-spend category; merchant not confidently mapped.</x:v>
      </x:c>
      <x:c r="T405" s="15" t="str"/>
      <x:c r="U405" s="15" t="str"/>
      <x:c r="V405" s="15" t="str"/>
      <x:c r="W405" s="15" t="str"/>
      <x:c r="X405" s="15" t="str">
        <x:v>FNB :-) R575.00 reserved for purchase @ Goldwagen Komatipoor from Current a/c..512781 using card..2924. Avail R43858. 12Feb 13:24</x:v>
      </x:c>
      <x:c r="Y405" s="15" t="str">
        <x:v>1dd6e8351b0d2502</x:v>
      </x:c>
    </x:row>
    <x:row r="406">
      <x:c r="A406" s="34" t="n">
        <x:v>46065.58611111111</x:v>
      </x:c>
      <x:c r="B406" s="36" t="n">
        <x:v>46065</x:v>
      </x:c>
      <x:c r="C406" s="34" t="n">
        <x:v>46065.586226851854</x:v>
      </x:c>
      <x:c r="D406" s="15" t="str">
        <x:v>Current a/c..512781</x:v>
      </x:c>
      <x:c r="E406" s="15" t="str"/>
      <x:c r="F406" s="15" t="str">
        <x:v>R3559.21 paid to Current a/c..512781 @ Payshap. Ref.Ik Pay 487882. 12Feb 14:04</x:v>
      </x:c>
      <x:c r="G406" s="15" t="str">
        <x:v>Ik Pay 487882</x:v>
      </x:c>
      <x:c r="H406" s="38" t="n">
        <x:v>3559.21</x:v>
      </x:c>
      <x:c r="I406" s="15" t="str">
        <x:v>ZAR</x:v>
      </x:c>
      <x:c r="J406" s="15" t="str">
        <x:v>Inflow</x:v>
      </x:c>
      <x:c r="K406" s="15" t="str">
        <x:v>EFT receipt</x:v>
      </x:c>
      <x:c r="L406" s="15" t="str">
        <x:v>Sales / customer receipts</x:v>
      </x:c>
      <x:c r="M406" s="38"/>
      <x:c r="N406" s="38"/>
      <x:c r="O406" s="15" t="str"/>
      <x:c r="P406" s="15" t="str">
        <x:v>eml_ALL_currentac__512781 (2).zip &gt; eml6currentac__512781.zip</x:v>
      </x:c>
      <x:c r="Q406" s="15" t="str">
        <x:v>FNB _-) R3559.21 paid to Current a_c..512781 @ Payshap. Ref.Ik Pay 487882. 12Feb 14_04.eml</x:v>
      </x:c>
      <x:c r="R406" s="15" t="str">
        <x:v>High</x:v>
      </x:c>
      <x:c r="S406" s="15" t="str">
        <x:v>Category confidence Medium: Default for incoming EFT/PayShap/online receipt.</x:v>
      </x:c>
      <x:c r="T406" s="15" t="str"/>
      <x:c r="U406" s="15" t="str"/>
      <x:c r="V406" s="15" t="str">
        <x:v>Ik Pay 487882</x:v>
      </x:c>
      <x:c r="W406" s="15" t="str">
        <x:v>Payshap</x:v>
      </x:c>
      <x:c r="X406" s="15" t="str">
        <x:v>FNB :-) R3559.21 paid to Current a/c..512781 @ Payshap. Ref.Ik Pay 487882. 12Feb 14:04</x:v>
      </x:c>
      <x:c r="Y406" s="15" t="str">
        <x:v>131e8a6adbb7c278</x:v>
      </x:c>
    </x:row>
    <x:row r="407">
      <x:c r="A407" s="34" t="n">
        <x:v>46066.490277777775</x:v>
      </x:c>
      <x:c r="B407" s="36" t="n">
        <x:v>46066</x:v>
      </x:c>
      <x:c r="C407" s="34" t="n">
        <x:v>46066.49050925926</x:v>
      </x:c>
      <x:c r="D407" s="15" t="str">
        <x:v>Current a/c..512781</x:v>
      </x:c>
      <x:c r="E407" s="15" t="str">
        <x:v>card..2924</x:v>
      </x:c>
      <x:c r="F407" s="15" t="str">
        <x:v>R2021.17 reserved for purchase @ Buco Komatipoort 116 from Current a/c..512781 using card..2924. Avail R45297. 13Feb 11:46</x:v>
      </x:c>
      <x:c r="G407" s="15" t="str">
        <x:v>Buco Komatipoort 116</x:v>
      </x:c>
      <x:c r="H407" s="38" t="n">
        <x:v>2021.17</x:v>
      </x:c>
      <x:c r="I407" s="15" t="str">
        <x:v>ZAR</x:v>
      </x:c>
      <x:c r="J407" s="15" t="str">
        <x:v>Outflow</x:v>
      </x:c>
      <x:c r="K407" s="15" t="str">
        <x:v>Card purchase</x:v>
      </x:c>
      <x:c r="L407" s="15" t="str">
        <x:v>Supplier payments</x:v>
      </x:c>
      <x:c r="M407" s="38"/>
      <x:c r="N407" s="38" t="n">
        <x:v>45297</x:v>
      </x:c>
      <x:c r="O407" s="15" t="str"/>
      <x:c r="P407" s="15" t="str">
        <x:v>eml_ALL_currentac__512781 (2).zip &gt; eml6currentac__512781.zip</x:v>
      </x:c>
      <x:c r="Q407" s="15" t="str">
        <x:v>FNB _-) R2021.17 reserved for purchase @ Buco Komatipoort 116 from Current a_c..512781 using card..2924. 13Feb 11_46.eml</x:v>
      </x:c>
      <x:c r="R407" s="15" t="str">
        <x:v>High</x:v>
      </x:c>
      <x:c r="S407" s="15" t="str">
        <x:v>Category confidence Medium: Retail/supplier merchant keyword.</x:v>
      </x:c>
      <x:c r="T407" s="15" t="str"/>
      <x:c r="U407" s="15" t="str"/>
      <x:c r="V407" s="15" t="str"/>
      <x:c r="W407" s="15" t="str"/>
      <x:c r="X407" s="15" t="str">
        <x:v>FNB :-) R2021.17 reserved for purchase @ Buco Komatipoort 116 from Current a/c..512781 using card..2924. Avail R45297. 13Feb 11:46</x:v>
      </x:c>
      <x:c r="Y407" s="15" t="str">
        <x:v>e45e7d68faa24f36</x:v>
      </x:c>
    </x:row>
    <x:row r="408">
      <x:c r="A408" s="34" t="n">
        <x:v>46066.504166666666</x:v>
      </x:c>
      <x:c r="B408" s="36" t="n">
        <x:v>46066</x:v>
      </x:c>
      <x:c r="C408" s="34" t="n">
        <x:v>46066.50425925926</x:v>
      </x:c>
      <x:c r="D408" s="15" t="str">
        <x:v>Current a/c..512781</x:v>
      </x:c>
      <x:c r="E408" s="15" t="str">
        <x:v>card..2924</x:v>
      </x:c>
      <x:c r="F408" s="15" t="str">
        <x:v>R355.00 reserved for purchase @ Goldwagen Komatipoor from Current a/c..512781 using card..2924. Avail R44942. 13Feb 12:06</x:v>
      </x:c>
      <x:c r="G408" s="15" t="str">
        <x:v>Goldwagen Komatipoor</x:v>
      </x:c>
      <x:c r="H408" s="38" t="n">
        <x:v>355</x:v>
      </x:c>
      <x:c r="I408" s="15" t="str">
        <x:v>ZAR</x:v>
      </x:c>
      <x:c r="J408" s="15" t="str">
        <x:v>Outflow</x:v>
      </x:c>
      <x:c r="K408" s="15" t="str">
        <x:v>Card purchase</x:v>
      </x:c>
      <x:c r="L408" s="15" t="str">
        <x:v>Card spend</x:v>
      </x:c>
      <x:c r="M408" s="38"/>
      <x:c r="N408" s="38" t="n">
        <x:v>44942</x:v>
      </x:c>
      <x:c r="O408" s="15" t="str"/>
      <x:c r="P408" s="15" t="str">
        <x:v>eml_ALL_currentac__512781 (2).zip &gt; eml6currentac__512781.zip</x:v>
      </x:c>
      <x:c r="Q408" s="15" t="str">
        <x:v>FNB _-) R355.00 reserved for purchase @ Goldwagen Komatipoor from Current a_c..512781 using card..2924. 13Feb 12_06.eml</x:v>
      </x:c>
      <x:c r="R408" s="15" t="str">
        <x:v>High</x:v>
      </x:c>
      <x:c r="S408" s="15" t="str">
        <x:v>Category confidence Low: Default card-spend category; merchant not confidently mapped.</x:v>
      </x:c>
      <x:c r="T408" s="15" t="str"/>
      <x:c r="U408" s="15" t="str"/>
      <x:c r="V408" s="15" t="str"/>
      <x:c r="W408" s="15" t="str"/>
      <x:c r="X408" s="15" t="str">
        <x:v>FNB :-) R355.00 reserved for purchase @ Goldwagen Komatipoor from Current a/c..512781 using card..2924. Avail R44942. 13Feb 12:06</x:v>
      </x:c>
      <x:c r="Y408" s="15" t="str">
        <x:v>1bd5c6927151d78b</x:v>
      </x:c>
    </x:row>
    <x:row r="409">
      <x:c r="A409" s="34" t="n">
        <x:v>46066.59444444445</x:v>
      </x:c>
      <x:c r="B409" s="36" t="n">
        <x:v>46066</x:v>
      </x:c>
      <x:c r="C409" s="34" t="n">
        <x:v>46066.59491898148</x:v>
      </x:c>
      <x:c r="D409" s="15" t="str">
        <x:v>Current a/c..512781</x:v>
      </x:c>
      <x:c r="E409" s="15" t="str">
        <x:v>card..2924</x:v>
      </x:c>
      <x:c r="F409" s="15" t="str">
        <x:v>R2621.98 reserved for purchase @ Superspar Komatipoor from Current a/c..512781 using card..2924. Avail R42234. 13Feb 14:16</x:v>
      </x:c>
      <x:c r="G409" s="15" t="str">
        <x:v>Superspar Komatipoor</x:v>
      </x:c>
      <x:c r="H409" s="38" t="n">
        <x:v>2621.98</x:v>
      </x:c>
      <x:c r="I409" s="15" t="str">
        <x:v>ZAR</x:v>
      </x:c>
      <x:c r="J409" s="15" t="str">
        <x:v>Outflow</x:v>
      </x:c>
      <x:c r="K409" s="15" t="str">
        <x:v>Card purchase</x:v>
      </x:c>
      <x:c r="L409" s="15" t="str">
        <x:v>Supplier payments</x:v>
      </x:c>
      <x:c r="M409" s="38"/>
      <x:c r="N409" s="38" t="n">
        <x:v>42234</x:v>
      </x:c>
      <x:c r="O409" s="15" t="str"/>
      <x:c r="P409" s="15" t="str">
        <x:v>eml_ALL_currentac__512781 (2).zip &gt; eml6currentac__512781.zip</x:v>
      </x:c>
      <x:c r="Q409" s="15" t="str">
        <x:v>FNB _-) R2621.98 reserved for purchase @ Superspar Komatipoor from Current a_c..512781 using card..2924. 13Feb 14_16.eml</x:v>
      </x:c>
      <x:c r="R409" s="15" t="str">
        <x:v>High</x:v>
      </x:c>
      <x:c r="S409" s="15" t="str">
        <x:v>Category confidence Medium: Retail/supplier merchant keyword.</x:v>
      </x:c>
      <x:c r="T409" s="15" t="str"/>
      <x:c r="U409" s="15" t="str"/>
      <x:c r="V409" s="15" t="str"/>
      <x:c r="W409" s="15" t="str"/>
      <x:c r="X409" s="15" t="str">
        <x:v>FNB :-) R2621.98 reserved for purchase @ Superspar Komatipoor from Current a/c..512781 using card..2924. Avail R42234. 13Feb 14:16</x:v>
      </x:c>
      <x:c r="Y409" s="15" t="str">
        <x:v>2a3c95f35ddacba0</x:v>
      </x:c>
    </x:row>
    <x:row r="410">
      <x:c r="A410" s="34" t="n">
        <x:v>46066.60277777778</x:v>
      </x:c>
      <x:c r="B410" s="36" t="n">
        <x:v>46066</x:v>
      </x:c>
      <x:c r="C410" s="34" t="n">
        <x:v>46066.60303240741</x:v>
      </x:c>
      <x:c r="D410" s="15" t="str">
        <x:v>Current a/c..512781</x:v>
      </x:c>
      <x:c r="E410" s="15" t="str">
        <x:v>card..2924</x:v>
      </x:c>
      <x:c r="F410" s="15" t="str">
        <x:v>R500.00 reserved for purchase @ Obaro Komatipoort Fc from Current a/c..512781 using card..2924. Avail R41734. 13Feb 14:28</x:v>
      </x:c>
      <x:c r="G410" s="15" t="str">
        <x:v>Obaro Komatipoort Fc</x:v>
      </x:c>
      <x:c r="H410" s="38" t="n">
        <x:v>500</x:v>
      </x:c>
      <x:c r="I410" s="15" t="str">
        <x:v>ZAR</x:v>
      </x:c>
      <x:c r="J410" s="15" t="str">
        <x:v>Outflow</x:v>
      </x:c>
      <x:c r="K410" s="15" t="str">
        <x:v>Card purchase</x:v>
      </x:c>
      <x:c r="L410" s="15" t="str">
        <x:v>Supplier payments</x:v>
      </x:c>
      <x:c r="M410" s="38"/>
      <x:c r="N410" s="38" t="n">
        <x:v>41734</x:v>
      </x:c>
      <x:c r="O410" s="15" t="str"/>
      <x:c r="P410" s="15" t="str">
        <x:v>eml_ALL_currentac__512781 (2).zip &gt; eml6currentac__512781.zip</x:v>
      </x:c>
      <x:c r="Q410" s="15" t="str">
        <x:v>FNB _-) R500.00 reserved for purchase @ Obaro Komatipoort Fc from Current a_c..512781 using card..2924. 13Feb 14_28.eml</x:v>
      </x:c>
      <x:c r="R410" s="15" t="str">
        <x:v>High</x:v>
      </x:c>
      <x:c r="S410" s="15" t="str">
        <x:v>Category confidence Medium: Retail/supplier merchant keyword.</x:v>
      </x:c>
      <x:c r="T410" s="15" t="str"/>
      <x:c r="U410" s="15" t="str"/>
      <x:c r="V410" s="15" t="str"/>
      <x:c r="W410" s="15" t="str"/>
      <x:c r="X410" s="15" t="str">
        <x:v>FNB :-) R500.00 reserved for purchase @ Obaro Komatipoort Fc from Current a/c..512781 using card..2924. Avail R41734. 13Feb 14:28</x:v>
      </x:c>
      <x:c r="Y410" s="15" t="str">
        <x:v>6ee9432bd72825e0</x:v>
      </x:c>
    </x:row>
    <x:row r="411">
      <x:c r="A411" s="34" t="n">
        <x:v>46066.62777777778</x:v>
      </x:c>
      <x:c r="B411" s="36" t="n">
        <x:v>46066</x:v>
      </x:c>
      <x:c r="C411" s="34" t="n">
        <x:v>46066.627974537034</x:v>
      </x:c>
      <x:c r="D411" s="15" t="str">
        <x:v>Current a/c..512781</x:v>
      </x:c>
      <x:c r="E411" s="15" t="str">
        <x:v>card..2924</x:v>
      </x:c>
      <x:c r="F411" s="15" t="str">
        <x:v>R450.97 reserved for purchase @ Savemor Marloth from Current a/c..512781 using card..2924. Avail R41283. 13Feb 15:04</x:v>
      </x:c>
      <x:c r="G411" s="15" t="str">
        <x:v>Savemor Marloth</x:v>
      </x:c>
      <x:c r="H411" s="38" t="n">
        <x:v>450.97</x:v>
      </x:c>
      <x:c r="I411" s="15" t="str">
        <x:v>ZAR</x:v>
      </x:c>
      <x:c r="J411" s="15" t="str">
        <x:v>Outflow</x:v>
      </x:c>
      <x:c r="K411" s="15" t="str">
        <x:v>Card purchase</x:v>
      </x:c>
      <x:c r="L411" s="15" t="str">
        <x:v>Supplier payments</x:v>
      </x:c>
      <x:c r="M411" s="38"/>
      <x:c r="N411" s="38" t="n">
        <x:v>41283</x:v>
      </x:c>
      <x:c r="O411" s="15" t="str"/>
      <x:c r="P411" s="15" t="str">
        <x:v>eml_ALL_currentac__512781 (2).zip &gt; eml6currentac__512781.zip</x:v>
      </x:c>
      <x:c r="Q411" s="15" t="str">
        <x:v>FNB _-) R450.97 reserved for purchase @ Savemor Marloth from Current a_c..512781 using card..2924. 13Feb 15_04.eml</x:v>
      </x:c>
      <x:c r="R411" s="15" t="str">
        <x:v>High</x:v>
      </x:c>
      <x:c r="S411" s="15" t="str">
        <x:v>Category confidence Medium: Retail/supplier merchant keyword.</x:v>
      </x:c>
      <x:c r="T411" s="15" t="str"/>
      <x:c r="U411" s="15" t="str"/>
      <x:c r="V411" s="15" t="str"/>
      <x:c r="W411" s="15" t="str"/>
      <x:c r="X411" s="15" t="str">
        <x:v>FNB :-) R450.97 reserved for purchase @ Savemor Marloth from Current a/c..512781 using card..2924. Avail R41283. 13Feb 15:04</x:v>
      </x:c>
      <x:c r="Y411" s="15" t="str">
        <x:v>37a24e6ef73a1218</x:v>
      </x:c>
    </x:row>
    <x:row r="412">
      <x:c r="A412" s="34" t="n">
        <x:v>46066.63125</x:v>
      </x:c>
      <x:c r="B412" s="36" t="n">
        <x:v>46066</x:v>
      </x:c>
      <x:c r="C412" s="34" t="n">
        <x:v>46066.631631944445</x:v>
      </x:c>
      <x:c r="D412" s="15" t="str">
        <x:v>Current a/c..512781</x:v>
      </x:c>
      <x:c r="E412" s="15" t="str">
        <x:v>card..2924</x:v>
      </x:c>
      <x:c r="F412" s="15" t="str">
        <x:v>R330.96 reserved for purchase @ Savemor Marloth Liqu from Current a/c..512781 using card..2924. Avail R40952. 13Feb 15:09</x:v>
      </x:c>
      <x:c r="G412" s="15" t="str">
        <x:v>Savemor Marloth Liqu</x:v>
      </x:c>
      <x:c r="H412" s="38" t="n">
        <x:v>330.96</x:v>
      </x:c>
      <x:c r="I412" s="15" t="str">
        <x:v>ZAR</x:v>
      </x:c>
      <x:c r="J412" s="15" t="str">
        <x:v>Outflow</x:v>
      </x:c>
      <x:c r="K412" s="15" t="str">
        <x:v>Card purchase</x:v>
      </x:c>
      <x:c r="L412" s="15" t="str">
        <x:v>Meals / restaurants / entertainment</x:v>
      </x:c>
      <x:c r="M412" s="38"/>
      <x:c r="N412" s="38" t="n">
        <x:v>40952</x:v>
      </x:c>
      <x:c r="O412" s="15" t="str"/>
      <x:c r="P412" s="15" t="str">
        <x:v>eml_ALL_currentac__512781 (2).zip &gt; eml6currentac__512781.zip</x:v>
      </x:c>
      <x:c r="Q412" s="15" t="str">
        <x:v>FNB _-) R330.96 reserved for purchase @ Savemor Marloth Liqu from Current a_c..512781 using card..2924. 13Feb 15_09.eml</x:v>
      </x:c>
      <x:c r="R412" s="15" t="str">
        <x:v>High</x:v>
      </x:c>
      <x:c r="S412" s="15" t="str"/>
      <x:c r="T412" s="15" t="str"/>
      <x:c r="U412" s="15" t="str"/>
      <x:c r="V412" s="15" t="str"/>
      <x:c r="W412" s="15" t="str"/>
      <x:c r="X412" s="15" t="str">
        <x:v>FNB :-) R330.96 reserved for purchase @ Savemor Marloth Liqu from Current a/c..512781 using card..2924. Avail R40952. 13Feb 15:09</x:v>
      </x:c>
      <x:c r="Y412" s="15" t="str">
        <x:v>9c2e819d5d84a71b</x:v>
      </x:c>
    </x:row>
    <x:row r="413">
      <x:c r="A413" s="34" t="n">
        <x:v>46066.67847222222</x:v>
      </x:c>
      <x:c r="B413" s="36" t="n">
        <x:v>46066</x:v>
      </x:c>
      <x:c r="C413" s="34" t="n">
        <x:v>46066.679131944446</x:v>
      </x:c>
      <x:c r="D413" s="15" t="str">
        <x:v>Current a/c..512781</x:v>
      </x:c>
      <x:c r="E413" s="15" t="str"/>
      <x:c r="F413" s="15" t="str">
        <x:v>R500.00 paid from Current a/c..512781 @ Smartapp. Avail R40449. Ref.Electricity 04294887. 13Feb 16:17</x:v>
      </x:c>
      <x:c r="G413" s="15" t="str">
        <x:v>Electricity 04294887</x:v>
      </x:c>
      <x:c r="H413" s="38" t="n">
        <x:v>500</x:v>
      </x:c>
      <x:c r="I413" s="15" t="str">
        <x:v>ZAR</x:v>
      </x:c>
      <x:c r="J413" s="15" t="str">
        <x:v>Outflow</x:v>
      </x:c>
      <x:c r="K413" s="15" t="str">
        <x:v>EFT payment</x:v>
      </x:c>
      <x:c r="L413" s="15" t="str">
        <x:v>Telecom / utilities</x:v>
      </x:c>
      <x:c r="M413" s="38"/>
      <x:c r="N413" s="38" t="n">
        <x:v>40449</x:v>
      </x:c>
      <x:c r="O413" s="15" t="str"/>
      <x:c r="P413" s="15" t="str">
        <x:v>eml_ALL_currentac__512781 (2).zip &gt; eml6currentac__512781.zip</x:v>
      </x:c>
      <x:c r="Q413" s="15" t="str">
        <x:v>FNB _-) R500.00 paid from Current a_c..512781 @ Smartapp. Ref.Electricity 04294887. 13Feb 16_17.eml</x:v>
      </x:c>
      <x:c r="R413" s="15" t="str">
        <x:v>High</x:v>
      </x:c>
      <x:c r="S413" s="15" t="str"/>
      <x:c r="T413" s="15" t="str"/>
      <x:c r="U413" s="15" t="str"/>
      <x:c r="V413" s="15" t="str">
        <x:v>Electricity 04294887</x:v>
      </x:c>
      <x:c r="W413" s="15" t="str">
        <x:v>Smartapp</x:v>
      </x:c>
      <x:c r="X413" s="15" t="str">
        <x:v>FNB :-) R500.00 paid from Current a/c..512781 @ Smartapp. Avail R40449. Ref.Electricity 04294887. 13Feb 16:17</x:v>
      </x:c>
      <x:c r="Y413" s="15" t="str">
        <x:v>b8ecbb687875db29</x:v>
      </x:c>
    </x:row>
    <x:row r="414">
      <x:c r="A414" s="34" t="n">
        <x:v>46066.68263888889</x:v>
      </x:c>
      <x:c r="B414" s="36" t="n">
        <x:v>46066</x:v>
      </x:c>
      <x:c r="C414" s="34" t="n">
        <x:v>46066.68274305556</x:v>
      </x:c>
      <x:c r="D414" s="15" t="str">
        <x:v>Current a/c..512781</x:v>
      </x:c>
      <x:c r="E414" s="15" t="str"/>
      <x:c r="F414" s="15" t="str">
        <x:v>R1000.00 paid from Current a/c..512781 @ Smartapp. Avail R39441. Ref.Seaside Village Elec. 13Feb 16:23</x:v>
      </x:c>
      <x:c r="G414" s="15" t="str">
        <x:v>Seaside Village Elec</x:v>
      </x:c>
      <x:c r="H414" s="38" t="n">
        <x:v>1000</x:v>
      </x:c>
      <x:c r="I414" s="15" t="str">
        <x:v>ZAR</x:v>
      </x:c>
      <x:c r="J414" s="15" t="str">
        <x:v>Outflow</x:v>
      </x:c>
      <x:c r="K414" s="15" t="str">
        <x:v>EFT payment</x:v>
      </x:c>
      <x:c r="L414" s="15" t="str">
        <x:v>Accommodation / hotels</x:v>
      </x:c>
      <x:c r="M414" s="38"/>
      <x:c r="N414" s="38" t="n">
        <x:v>39441</x:v>
      </x:c>
      <x:c r="O414" s="15" t="str"/>
      <x:c r="P414" s="15" t="str">
        <x:v>eml_ALL_currentac__512781 (2).zip &gt; eml6currentac__512781.zip</x:v>
      </x:c>
      <x:c r="Q414" s="15" t="str">
        <x:v>FNB _-) R1000.00 paid from Current a_c..512781 @ Smartapp. Ref.Seaside Village Elec. 13Feb 16_23.eml</x:v>
      </x:c>
      <x:c r="R414" s="15" t="str">
        <x:v>High</x:v>
      </x:c>
      <x:c r="S414" s="15" t="str">
        <x:v>Category confidence Medium: Accommodation/travel keyword.</x:v>
      </x:c>
      <x:c r="T414" s="15" t="str"/>
      <x:c r="U414" s="15" t="str"/>
      <x:c r="V414" s="15" t="str">
        <x:v>Seaside Village Elec</x:v>
      </x:c>
      <x:c r="W414" s="15" t="str">
        <x:v>Smartapp</x:v>
      </x:c>
      <x:c r="X414" s="15" t="str">
        <x:v>FNB :-) R1000.00 paid from Current a/c..512781 @ Smartapp. Avail R39441. Ref.Seaside Village Elec. 13Feb 16:23</x:v>
      </x:c>
      <x:c r="Y414" s="15" t="str">
        <x:v>99b1256e584e50ac</x:v>
      </x:c>
    </x:row>
    <x:row r="415">
      <x:c r="A415" s="34" t="n">
        <x:v>46066.861805555556</x:v>
      </x:c>
      <x:c r="B415" s="36" t="n">
        <x:v>46066</x:v>
      </x:c>
      <x:c r="C415" s="34" t="n">
        <x:v>46066.8625</x:v>
      </x:c>
      <x:c r="D415" s="15" t="str">
        <x:v>Current a/c..512781</x:v>
      </x:c>
      <x:c r="E415" s="15" t="str"/>
      <x:c r="F415" s="15" t="str">
        <x:v>R3000.00 paid from Current a/c..512781 @ Smartapp. Avail R36438. Ref.Salary Feb. 13Feb 20:41</x:v>
      </x:c>
      <x:c r="G415" s="15" t="str">
        <x:v>Salary Feb</x:v>
      </x:c>
      <x:c r="H415" s="38" t="n">
        <x:v>3000</x:v>
      </x:c>
      <x:c r="I415" s="15" t="str">
        <x:v>ZAR</x:v>
      </x:c>
      <x:c r="J415" s="15" t="str">
        <x:v>Outflow</x:v>
      </x:c>
      <x:c r="K415" s="15" t="str">
        <x:v>EFT payment</x:v>
      </x:c>
      <x:c r="L415" s="15" t="str">
        <x:v>Salary / wages</x:v>
      </x:c>
      <x:c r="M415" s="38"/>
      <x:c r="N415" s="38" t="n">
        <x:v>36438</x:v>
      </x:c>
      <x:c r="O415" s="15" t="str"/>
      <x:c r="P415" s="15" t="str">
        <x:v>eml_ALL_currentac__512781 (2).zip &gt; eml6currentac__512781.zip</x:v>
      </x:c>
      <x:c r="Q415" s="15" t="str">
        <x:v>FNB _-) R3000.00 paid from Current a_c..512781 @ Smartapp. Ref.Salary Feb. 13Feb 20_41.eml</x:v>
      </x:c>
      <x:c r="R415" s="15" t="str">
        <x:v>High</x:v>
      </x:c>
      <x:c r="S415" s="15" t="str"/>
      <x:c r="T415" s="15" t="str"/>
      <x:c r="U415" s="15" t="str"/>
      <x:c r="V415" s="15" t="str">
        <x:v>Salary Feb</x:v>
      </x:c>
      <x:c r="W415" s="15" t="str">
        <x:v>Smartapp</x:v>
      </x:c>
      <x:c r="X415" s="15" t="str">
        <x:v>FNB :-) R3000.00 paid from Current a/c..512781 @ Smartapp. Avail R36438. Ref.Salary Feb. 13Feb 20:41</x:v>
      </x:c>
      <x:c r="Y415" s="15" t="str">
        <x:v>3e711bcfcee1c935</x:v>
      </x:c>
    </x:row>
    <x:row r="416">
      <x:c r="A416" s="34" t="n">
        <x:v>46066.92291666667</x:v>
      </x:c>
      <x:c r="B416" s="36" t="n">
        <x:v>46066</x:v>
      </x:c>
      <x:c r="C416" s="34" t="n">
        <x:v>46066.92298611111</x:v>
      </x:c>
      <x:c r="D416" s="15" t="str">
        <x:v>Current a/c..512781</x:v>
      </x:c>
      <x:c r="E416" s="15" t="str"/>
      <x:c r="F416" s="15" t="str">
        <x:v>R5000.00 paid from Current a/c..512781 @ Gen Ph. Avail R31438. Ref.Staff Tips For Aug. 13Feb 22:09</x:v>
      </x:c>
      <x:c r="G416" s="15" t="str">
        <x:v>Staff Tips For Aug</x:v>
      </x:c>
      <x:c r="H416" s="38" t="n">
        <x:v>5000</x:v>
      </x:c>
      <x:c r="I416" s="15" t="str">
        <x:v>ZAR</x:v>
      </x:c>
      <x:c r="J416" s="15" t="str">
        <x:v>Outflow</x:v>
      </x:c>
      <x:c r="K416" s="15" t="str">
        <x:v>EFT payment</x:v>
      </x:c>
      <x:c r="L416" s="15" t="str">
        <x:v>Salary / wages</x:v>
      </x:c>
      <x:c r="M416" s="38"/>
      <x:c r="N416" s="38" t="n">
        <x:v>31438</x:v>
      </x:c>
      <x:c r="O416" s="15" t="str"/>
      <x:c r="P416" s="15" t="str">
        <x:v>eml_ALL_currentac__512781 (2).zip &gt; eml6currentac__512781.zip</x:v>
      </x:c>
      <x:c r="Q416" s="15" t="str">
        <x:v>FNB _-) R5000.00 paid from Current a_c..512781 @ Gen Ph. Ref.Staff Tips For Aug. 13Feb 22_09.eml</x:v>
      </x:c>
      <x:c r="R416" s="15" t="str">
        <x:v>High</x:v>
      </x:c>
      <x:c r="S416" s="15" t="str"/>
      <x:c r="T416" s="15" t="str"/>
      <x:c r="U416" s="15" t="str"/>
      <x:c r="V416" s="15" t="str">
        <x:v>Staff Tips For Aug</x:v>
      </x:c>
      <x:c r="W416" s="15" t="str">
        <x:v>Gen Ph</x:v>
      </x:c>
      <x:c r="X416" s="15" t="str">
        <x:v>FNB :-) R5000.00 paid from Current a/c..512781 @ Gen Ph. Avail R31438. Ref.Staff Tips For Aug. 13Feb 22:09</x:v>
      </x:c>
      <x:c r="Y416" s="15" t="str">
        <x:v>f14798d83c0107b3</x:v>
      </x:c>
    </x:row>
    <x:row r="417">
      <x:c r="A417" s="34" t="n">
        <x:v>46067.00833333333</x:v>
      </x:c>
      <x:c r="B417" s="36" t="n">
        <x:v>46067</x:v>
      </x:c>
      <x:c r="C417" s="34" t="n">
        <x:v>46067.008576388886</x:v>
      </x:c>
      <x:c r="D417" s="15" t="str">
        <x:v>Current a/c..512781</x:v>
      </x:c>
      <x:c r="E417" s="15" t="str"/>
      <x:c r="F417" s="15" t="str">
        <x:v>R3000.00 paid from Current a/c..512781 @ Smartapp. Avail R28420. Ref.Dreyer. 14Feb 00:12</x:v>
      </x:c>
      <x:c r="G417" s="15" t="str">
        <x:v>Dreyer</x:v>
      </x:c>
      <x:c r="H417" s="38" t="n">
        <x:v>3000</x:v>
      </x:c>
      <x:c r="I417" s="15" t="str">
        <x:v>ZAR</x:v>
      </x:c>
      <x:c r="J417" s="15" t="str">
        <x:v>Outflow</x:v>
      </x:c>
      <x:c r="K417" s="15" t="str">
        <x:v>EFT payment</x:v>
      </x:c>
      <x:c r="L417" s="15" t="str">
        <x:v>Supplier payments</x:v>
      </x:c>
      <x:c r="M417" s="38"/>
      <x:c r="N417" s="38" t="n">
        <x:v>28420</x:v>
      </x:c>
      <x:c r="O417" s="15" t="str"/>
      <x:c r="P417" s="15" t="str">
        <x:v>eml_ALL_currentac__512781 (2).zip &gt; eml6currentac__512781.zip</x:v>
      </x:c>
      <x:c r="Q417" s="15" t="str">
        <x:v>FNB _-) R3000.00 paid from Current a_c..512781 @ Smartapp. Ref.Dreyer. 14Feb 00_12.eml</x:v>
      </x:c>
      <x:c r="R417" s="15" t="str">
        <x:v>High</x:v>
      </x:c>
      <x:c r="S417" s="15" t="str">
        <x:v>Category confidence Low: Default outflow category; review counterparty/reference.</x:v>
      </x:c>
      <x:c r="T417" s="15" t="str"/>
      <x:c r="U417" s="15" t="str"/>
      <x:c r="V417" s="15" t="str">
        <x:v>Dreyer</x:v>
      </x:c>
      <x:c r="W417" s="15" t="str">
        <x:v>Smartapp</x:v>
      </x:c>
      <x:c r="X417" s="15" t="str">
        <x:v>FNB :-) R3000.00 paid from Current a/c..512781 @ Smartapp. Avail R28420. Ref.Dreyer. 14Feb 00:12</x:v>
      </x:c>
      <x:c r="Y417" s="15" t="str">
        <x:v>06a738e678f57e0f</x:v>
      </x:c>
    </x:row>
    <x:row r="418">
      <x:c r="A418" s="34" t="n">
        <x:v>46067.36597222222</x:v>
      </x:c>
      <x:c r="B418" s="36" t="n">
        <x:v>46067</x:v>
      </x:c>
      <x:c r="C418" s="34" t="n">
        <x:v>46067.36662037037</x:v>
      </x:c>
      <x:c r="D418" s="15" t="str">
        <x:v>Current a/c..512781</x:v>
      </x:c>
      <x:c r="E418" s="15" t="str"/>
      <x:c r="F418" s="15" t="str">
        <x:v>R2000.00 paid from Current a/c..512781 @ Smartapp. Avail R26412. Ref.Sakkie Wages. 14Feb 08:47</x:v>
      </x:c>
      <x:c r="G418" s="15" t="str">
        <x:v>Sakkie Wages</x:v>
      </x:c>
      <x:c r="H418" s="38" t="n">
        <x:v>2000</x:v>
      </x:c>
      <x:c r="I418" s="15" t="str">
        <x:v>ZAR</x:v>
      </x:c>
      <x:c r="J418" s="15" t="str">
        <x:v>Outflow</x:v>
      </x:c>
      <x:c r="K418" s="15" t="str">
        <x:v>EFT payment</x:v>
      </x:c>
      <x:c r="L418" s="15" t="str">
        <x:v>Salary / wages</x:v>
      </x:c>
      <x:c r="M418" s="38"/>
      <x:c r="N418" s="38" t="n">
        <x:v>26412</x:v>
      </x:c>
      <x:c r="O418" s="15" t="str"/>
      <x:c r="P418" s="15" t="str">
        <x:v>eml_ALL_currentac__512781 (2).zip &gt; eml6currentac__512781.zip</x:v>
      </x:c>
      <x:c r="Q418" s="15" t="str">
        <x:v>FNB _-) R2000.00 paid from Current a_c..512781 @ Smartapp. Ref.Sakkie Wages. 14Feb 08_47.eml</x:v>
      </x:c>
      <x:c r="R418" s="15" t="str">
        <x:v>High</x:v>
      </x:c>
      <x:c r="S418" s="15" t="str"/>
      <x:c r="T418" s="15" t="str"/>
      <x:c r="U418" s="15" t="str"/>
      <x:c r="V418" s="15" t="str">
        <x:v>Sakkie Wages</x:v>
      </x:c>
      <x:c r="W418" s="15" t="str">
        <x:v>Smartapp</x:v>
      </x:c>
      <x:c r="X418" s="15" t="str">
        <x:v>FNB :-) R2000.00 paid from Current a/c..512781 @ Smartapp. Avail R26412. Ref.Sakkie Wages. 14Feb 08:47</x:v>
      </x:c>
      <x:c r="Y418" s="15" t="str">
        <x:v>0208ca8bd39f5f55</x:v>
      </x:c>
    </x:row>
    <x:row r="419">
      <x:c r="A419" s="34" t="n">
        <x:v>46067.525</x:v>
      </x:c>
      <x:c r="B419" s="36" t="n">
        <x:v>46067</x:v>
      </x:c>
      <x:c r="C419" s="34" t="n">
        <x:v>46067.52508101852</x:v>
      </x:c>
      <x:c r="D419" s="15" t="str">
        <x:v>Current a/c..512781</x:v>
      </x:c>
      <x:c r="E419" s="15" t="str">
        <x:v>card..2924</x:v>
      </x:c>
      <x:c r="F419" s="15" t="str">
        <x:v>R620.09 reserved for purchase @ Sqsp* Websit from Current a/c..512781 using card..2924. Avail R25792. 14Feb 12:36</x:v>
      </x:c>
      <x:c r="G419" s="15" t="str">
        <x:v>Sqsp* Websit</x:v>
      </x:c>
      <x:c r="H419" s="38" t="n">
        <x:v>620.09</x:v>
      </x:c>
      <x:c r="I419" s="15" t="str">
        <x:v>ZAR</x:v>
      </x:c>
      <x:c r="J419" s="15" t="str">
        <x:v>Outflow</x:v>
      </x:c>
      <x:c r="K419" s="15" t="str">
        <x:v>Card purchase</x:v>
      </x:c>
      <x:c r="L419" s="15" t="str">
        <x:v>Software / subscriptions</x:v>
      </x:c>
      <x:c r="M419" s="38"/>
      <x:c r="N419" s="38" t="n">
        <x:v>25792</x:v>
      </x:c>
      <x:c r="O419" s="15" t="str"/>
      <x:c r="P419" s="15" t="str">
        <x:v>eml_ALL_currentac__512781 (2).zip &gt; eml6currentac__512781.zip</x:v>
      </x:c>
      <x:c r="Q419" s="15" t="str">
        <x:v>FNB _-) R620.09 reserved for purchase @ Sqsp_ Websit from Current a_c..512781 using card..2924. 14Feb 12_36.eml</x:v>
      </x:c>
      <x:c r="R419" s="15" t="str">
        <x:v>High</x:v>
      </x:c>
      <x:c r="S419" s="15" t="str"/>
      <x:c r="T419" s="15" t="str"/>
      <x:c r="U419" s="15" t="str"/>
      <x:c r="V419" s="15" t="str"/>
      <x:c r="W419" s="15" t="str"/>
      <x:c r="X419" s="15" t="str">
        <x:v>FNB :-) R620.09 reserved for purchase @ Sqsp* Websit from Current a/c..512781 using card..2924. Avail R25792. 14Feb 12:36</x:v>
      </x:c>
      <x:c r="Y419" s="15" t="str">
        <x:v>0053ffec1470e873</x:v>
      </x:c>
    </x:row>
    <x:row r="420">
      <x:c r="A420" s="34" t="n">
        <x:v>46069.50069444445</x:v>
      </x:c>
      <x:c r="B420" s="36" t="n">
        <x:v>46069</x:v>
      </x:c>
      <x:c r="C420" s="34" t="n">
        <x:v>46069.50101851852</x:v>
      </x:c>
      <x:c r="D420" s="15" t="str">
        <x:v>Current a/c..512781</x:v>
      </x:c>
      <x:c r="E420" s="15" t="str"/>
      <x:c r="F420" s="15" t="str">
        <x:v>R4000.00 t/fer from Current a/c..512781 to Private Cheq Acc..566332 @ Smartapp. Avail R21545. 16Feb 12:01</x:v>
      </x:c>
      <x:c r="G420" s="15" t="str">
        <x:v>Private Cheq Acc..566332</x:v>
      </x:c>
      <x:c r="H420" s="38" t="n">
        <x:v>4000</x:v>
      </x:c>
      <x:c r="I420" s="15" t="str">
        <x:v>ZAR</x:v>
      </x:c>
      <x:c r="J420" s="15" t="str">
        <x:v>Internal Transfer</x:v>
      </x:c>
      <x:c r="K420" s="15" t="str">
        <x:v>Internal transfer</x:v>
      </x:c>
      <x:c r="L420" s="15" t="str">
        <x:v>Inter-account transfer</x:v>
      </x:c>
      <x:c r="M420" s="38"/>
      <x:c r="N420" s="38" t="n">
        <x:v>21545</x:v>
      </x:c>
      <x:c r="O420" s="15" t="str"/>
      <x:c r="P420" s="15" t="str">
        <x:v>eml_ALL_currentac__512781 (2).zip &gt; eml6currentac__512781.zip</x:v>
      </x:c>
      <x:c r="Q420" s="15" t="str">
        <x:v>FNB _-) R4000.00 t_fer from Current a_c..512781 to Private Cheq Acc..566332 @ Smartapp. 16Feb 12_01.eml</x:v>
      </x:c>
      <x:c r="R420" s="15" t="str">
        <x:v>High</x:v>
      </x:c>
      <x:c r="S420" s="15" t="str">
        <x:v>Classified as internal/inter-account transfer and excluded from operating cashflow.</x:v>
      </x:c>
      <x:c r="T420" s="15" t="str">
        <x:v>Current a/c..512781</x:v>
      </x:c>
      <x:c r="U420" s="15" t="str">
        <x:v>Private Cheq Acc..566332</x:v>
      </x:c>
      <x:c r="V420" s="15" t="str"/>
      <x:c r="W420" s="15" t="str">
        <x:v>Smartapp</x:v>
      </x:c>
      <x:c r="X420" s="15" t="str">
        <x:v>FNB :-) R4000.00 t/fer from Current a/c..512781 to Private Cheq Acc..566332 @ Smartapp. Avail R21545. 16Feb 12:01</x:v>
      </x:c>
      <x:c r="Y420" s="15" t="str">
        <x:v>d9d08aa56cf8196d</x:v>
      </x:c>
    </x:row>
    <x:row r="421">
      <x:c r="A421" s="34" t="n">
        <x:v>46069.572916666664</x:v>
      </x:c>
      <x:c r="B421" s="36" t="n">
        <x:v>46069</x:v>
      </x:c>
      <x:c r="C421" s="34" t="n">
        <x:v>46069.57324074074</x:v>
      </x:c>
      <x:c r="D421" s="15" t="str">
        <x:v>Current a/c..512781</x:v>
      </x:c>
      <x:c r="E421" s="15" t="str">
        <x:v>card..2924</x:v>
      </x:c>
      <x:c r="F421" s="15" t="str">
        <x:v>R628.86 reserved for purchase @ Shoprite Komatipoort from Current a/c..512781 using card..2924. Avail R20916. 16Feb 13:45</x:v>
      </x:c>
      <x:c r="G421" s="15" t="str">
        <x:v>Shoprite Komatipoort</x:v>
      </x:c>
      <x:c r="H421" s="38" t="n">
        <x:v>628.86</x:v>
      </x:c>
      <x:c r="I421" s="15" t="str">
        <x:v>ZAR</x:v>
      </x:c>
      <x:c r="J421" s="15" t="str">
        <x:v>Outflow</x:v>
      </x:c>
      <x:c r="K421" s="15" t="str">
        <x:v>Card purchase</x:v>
      </x:c>
      <x:c r="L421" s="15" t="str">
        <x:v>Supplier payments</x:v>
      </x:c>
      <x:c r="M421" s="38"/>
      <x:c r="N421" s="38" t="n">
        <x:v>20916</x:v>
      </x:c>
      <x:c r="O421" s="15" t="str"/>
      <x:c r="P421" s="15" t="str">
        <x:v>eml_ALL_currentac__512781 (2).zip &gt; eml6currentac__512781.zip</x:v>
      </x:c>
      <x:c r="Q421" s="15" t="str">
        <x:v>FNB _-) R628.86 reserved for purchase @ Shoprite Komatipoort from Current a_c..512781 using card..2924. 16Feb 13_45.eml</x:v>
      </x:c>
      <x:c r="R421" s="15" t="str">
        <x:v>High</x:v>
      </x:c>
      <x:c r="S421" s="15" t="str">
        <x:v>Category confidence Medium: Retail/supplier merchant keyword.</x:v>
      </x:c>
      <x:c r="T421" s="15" t="str"/>
      <x:c r="U421" s="15" t="str"/>
      <x:c r="V421" s="15" t="str"/>
      <x:c r="W421" s="15" t="str"/>
      <x:c r="X421" s="15" t="str">
        <x:v>FNB :-) R628.86 reserved for purchase @ Shoprite Komatipoort from Current a/c..512781 using card..2924. Avail R20916. 16Feb 13:45</x:v>
      </x:c>
      <x:c r="Y421" s="15" t="str">
        <x:v>4a5a36ce00c2dc0a</x:v>
      </x:c>
    </x:row>
    <x:row r="422">
      <x:c r="A422" s="34" t="n">
        <x:v>46069.57430555556</x:v>
      </x:c>
      <x:c r="B422" s="36" t="n">
        <x:v>46069</x:v>
      </x:c>
      <x:c r="C422" s="34" t="n">
        <x:v>46069.574328703704</x:v>
      </x:c>
      <x:c r="D422" s="15" t="str">
        <x:v>Current a/c..512781</x:v>
      </x:c>
      <x:c r="E422" s="15" t="str"/>
      <x:c r="F422" s="15" t="str">
        <x:v>R7869.08 paid to Current a/c..512781 @ Payshap. Ref.Ik Pay 487882. 16Feb 13:47</x:v>
      </x:c>
      <x:c r="G422" s="15" t="str">
        <x:v>Ik Pay 487882</x:v>
      </x:c>
      <x:c r="H422" s="38" t="n">
        <x:v>7869.08</x:v>
      </x:c>
      <x:c r="I422" s="15" t="str">
        <x:v>ZAR</x:v>
      </x:c>
      <x:c r="J422" s="15" t="str">
        <x:v>Inflow</x:v>
      </x:c>
      <x:c r="K422" s="15" t="str">
        <x:v>EFT receipt</x:v>
      </x:c>
      <x:c r="L422" s="15" t="str">
        <x:v>Sales / customer receipts</x:v>
      </x:c>
      <x:c r="M422" s="38"/>
      <x:c r="N422" s="38"/>
      <x:c r="O422" s="15" t="str"/>
      <x:c r="P422" s="15" t="str">
        <x:v>eml_ALL_currentac__512781 (2).zip &gt; eml6currentac__512781.zip</x:v>
      </x:c>
      <x:c r="Q422" s="15" t="str">
        <x:v>FNB _-) R7869.08 paid to Current a_c..512781 @ Payshap. Ref.Ik Pay 487882. 16Feb 13_47.eml</x:v>
      </x:c>
      <x:c r="R422" s="15" t="str">
        <x:v>High</x:v>
      </x:c>
      <x:c r="S422" s="15" t="str">
        <x:v>Category confidence Medium: Default for incoming EFT/PayShap/online receipt.</x:v>
      </x:c>
      <x:c r="T422" s="15" t="str"/>
      <x:c r="U422" s="15" t="str"/>
      <x:c r="V422" s="15" t="str">
        <x:v>Ik Pay 487882</x:v>
      </x:c>
      <x:c r="W422" s="15" t="str">
        <x:v>Payshap</x:v>
      </x:c>
      <x:c r="X422" s="15" t="str">
        <x:v>FNB :-) R7869.08 paid to Current a/c..512781 @ Payshap. Ref.Ik Pay 487882. 16Feb 13:47</x:v>
      </x:c>
      <x:c r="Y422" s="15" t="str">
        <x:v>cddbfdb15e269f7f</x:v>
      </x:c>
    </x:row>
    <x:row r="423">
      <x:c r="A423" s="34" t="n">
        <x:v>46069.61875</x:v>
      </x:c>
      <x:c r="B423" s="36" t="n">
        <x:v>46069</x:v>
      </x:c>
      <x:c r="C423" s="34" t="n">
        <x:v>46069.61885416666</x:v>
      </x:c>
      <x:c r="D423" s="15" t="str">
        <x:v>Current a/c..512781</x:v>
      </x:c>
      <x:c r="E423" s="15" t="str">
        <x:v>card..2924</x:v>
      </x:c>
      <x:c r="F423" s="15" t="str">
        <x:v>R1817.30 reserved for purchase @ Superspar Komatipoor from Current a/c..512781 using card..2924. Avail R26968. 16Feb 14:51</x:v>
      </x:c>
      <x:c r="G423" s="15" t="str">
        <x:v>Superspar Komatipoor</x:v>
      </x:c>
      <x:c r="H423" s="38" t="n">
        <x:v>1817.3</x:v>
      </x:c>
      <x:c r="I423" s="15" t="str">
        <x:v>ZAR</x:v>
      </x:c>
      <x:c r="J423" s="15" t="str">
        <x:v>Outflow</x:v>
      </x:c>
      <x:c r="K423" s="15" t="str">
        <x:v>Card purchase</x:v>
      </x:c>
      <x:c r="L423" s="15" t="str">
        <x:v>Supplier payments</x:v>
      </x:c>
      <x:c r="M423" s="38"/>
      <x:c r="N423" s="38" t="n">
        <x:v>26968</x:v>
      </x:c>
      <x:c r="O423" s="15" t="str"/>
      <x:c r="P423" s="15" t="str">
        <x:v>eml_ALL_currentac__512781 (2).zip &gt; eml6currentac__512781.zip</x:v>
      </x:c>
      <x:c r="Q423" s="15" t="str">
        <x:v>FNB _-) R1817.30 reserved for purchase @ Superspar Komatipoor from Current a_c..512781 using card..2924. 16Feb 14_51.eml</x:v>
      </x:c>
      <x:c r="R423" s="15" t="str">
        <x:v>High</x:v>
      </x:c>
      <x:c r="S423" s="15" t="str">
        <x:v>Category confidence Medium: Retail/supplier merchant keyword.</x:v>
      </x:c>
      <x:c r="T423" s="15" t="str"/>
      <x:c r="U423" s="15" t="str"/>
      <x:c r="V423" s="15" t="str"/>
      <x:c r="W423" s="15" t="str"/>
      <x:c r="X423" s="15" t="str">
        <x:v>FNB :-) R1817.30 reserved for purchase @ Superspar Komatipoor from Current a/c..512781 using card..2924. Avail R26968. 16Feb 14:51</x:v>
      </x:c>
      <x:c r="Y423" s="15" t="str">
        <x:v>ad3ebd7c40ab6eaf</x:v>
      </x:c>
    </x:row>
    <x:row r="424">
      <x:c r="A424" s="34" t="n">
        <x:v>46070.43680555555</x:v>
      </x:c>
      <x:c r="B424" s="36" t="n">
        <x:v>46070</x:v>
      </x:c>
      <x:c r="C424" s="34" t="n">
        <x:v>46070.437430555554</x:v>
      </x:c>
      <x:c r="D424" s="15" t="str">
        <x:v>Current a/c..512781</x:v>
      </x:c>
      <x:c r="E424" s="15" t="str"/>
      <x:c r="F424" s="15" t="str">
        <x:v>R2000.00 paid from Current a/c..512781 @ Smartapp. Avail R24931. Ref.Showpls Roofing. 17Feb 10:29</x:v>
      </x:c>
      <x:c r="G424" s="15" t="str">
        <x:v>Showpls Roofing</x:v>
      </x:c>
      <x:c r="H424" s="38" t="n">
        <x:v>2000</x:v>
      </x:c>
      <x:c r="I424" s="15" t="str">
        <x:v>ZAR</x:v>
      </x:c>
      <x:c r="J424" s="15" t="str">
        <x:v>Outflow</x:v>
      </x:c>
      <x:c r="K424" s="15" t="str">
        <x:v>EFT payment</x:v>
      </x:c>
      <x:c r="L424" s="15" t="str">
        <x:v>Supplier payments</x:v>
      </x:c>
      <x:c r="M424" s="38"/>
      <x:c r="N424" s="38" t="n">
        <x:v>24931</x:v>
      </x:c>
      <x:c r="O424" s="15" t="str"/>
      <x:c r="P424" s="15" t="str">
        <x:v>eml_ALL_currentac__512781 (2).zip &gt; eml6currentac__512781.zip</x:v>
      </x:c>
      <x:c r="Q424" s="15" t="str">
        <x:v>FNB _-) R2000.00 paid from Current a_c..512781 @ Smartapp. Ref.Showpls Roofing. 17Feb 10_29.eml</x:v>
      </x:c>
      <x:c r="R424" s="15" t="str">
        <x:v>High</x:v>
      </x:c>
      <x:c r="S424" s="15" t="str">
        <x:v>Category confidence Low: Default outflow category; review counterparty/reference.</x:v>
      </x:c>
      <x:c r="T424" s="15" t="str"/>
      <x:c r="U424" s="15" t="str"/>
      <x:c r="V424" s="15" t="str">
        <x:v>Showpls Roofing</x:v>
      </x:c>
      <x:c r="W424" s="15" t="str">
        <x:v>Smartapp</x:v>
      </x:c>
      <x:c r="X424" s="15" t="str">
        <x:v>FNB :-) R2000.00 paid from Current a/c..512781 @ Smartapp. Avail R24931. Ref.Showpls Roofing. 17Feb 10:29</x:v>
      </x:c>
      <x:c r="Y424" s="15" t="str">
        <x:v>36bdff1ee748042d</x:v>
      </x:c>
    </x:row>
    <x:row r="425">
      <x:c r="A425" s="34" t="n">
        <x:v>46070.461805555555</x:v>
      </x:c>
      <x:c r="B425" s="36" t="n">
        <x:v>46070</x:v>
      </x:c>
      <x:c r="C425" s="34" t="n">
        <x:v>46070.4625</x:v>
      </x:c>
      <x:c r="D425" s="15" t="str">
        <x:v>Current a/c..512781</x:v>
      </x:c>
      <x:c r="E425" s="15" t="str"/>
      <x:c r="F425" s="15" t="str">
        <x:v>R4506.00 paid from Current a/c..512781 @ Gen Ph. Avail R20410. Ref.Kruger Safari 1683. 17Feb 11:05</x:v>
      </x:c>
      <x:c r="G425" s="15" t="str">
        <x:v>Kruger Safari 1683</x:v>
      </x:c>
      <x:c r="H425" s="38" t="n">
        <x:v>4506</x:v>
      </x:c>
      <x:c r="I425" s="15" t="str">
        <x:v>ZAR</x:v>
      </x:c>
      <x:c r="J425" s="15" t="str">
        <x:v>Outflow</x:v>
      </x:c>
      <x:c r="K425" s="15" t="str">
        <x:v>EFT payment</x:v>
      </x:c>
      <x:c r="L425" s="15" t="str">
        <x:v>Supplier payments</x:v>
      </x:c>
      <x:c r="M425" s="38"/>
      <x:c r="N425" s="38" t="n">
        <x:v>20410</x:v>
      </x:c>
      <x:c r="O425" s="15" t="str"/>
      <x:c r="P425" s="15" t="str">
        <x:v>eml_ALL_currentac__512781 (2).zip &gt; eml6currentac__512781.zip</x:v>
      </x:c>
      <x:c r="Q425" s="15" t="str">
        <x:v>FNB _-) R4506.00 paid from Current a_c..512781 @ Gen Ph. Ref.Kruger Safari 1683. 17Feb 11_05.eml</x:v>
      </x:c>
      <x:c r="R425" s="15" t="str">
        <x:v>High</x:v>
      </x:c>
      <x:c r="S425" s="15" t="str">
        <x:v>Category confidence Low: Default outflow category; review counterparty/reference.</x:v>
      </x:c>
      <x:c r="T425" s="15" t="str"/>
      <x:c r="U425" s="15" t="str"/>
      <x:c r="V425" s="15" t="str">
        <x:v>Kruger Safari 1683</x:v>
      </x:c>
      <x:c r="W425" s="15" t="str">
        <x:v>Gen Ph</x:v>
      </x:c>
      <x:c r="X425" s="15" t="str">
        <x:v>FNB :-) R4506.00 paid from Current a/c..512781 @ Gen Ph. Avail R20410. Ref.Kruger Safari 1683. 17Feb 11:05</x:v>
      </x:c>
      <x:c r="Y425" s="15" t="str">
        <x:v>9999898f9ef902ad</x:v>
      </x:c>
    </x:row>
    <x:row r="426">
      <x:c r="A426" s="34" t="n">
        <x:v>46070.479166666664</x:v>
      </x:c>
      <x:c r="B426" s="36" t="n">
        <x:v>46070</x:v>
      </x:c>
      <x:c r="C426" s="34" t="n">
        <x:v>46070.479791666665</x:v>
      </x:c>
      <x:c r="D426" s="15" t="str">
        <x:v>Current a/c..512781</x:v>
      </x:c>
      <x:c r="E426" s="15" t="str">
        <x:v>card..2924</x:v>
      </x:c>
      <x:c r="F426" s="15" t="str">
        <x:v>R316.54 reserved for purchase @ Superspar Malelane from Current a/c..512781 using card..2924. Avail R20094. 17Feb 11:30</x:v>
      </x:c>
      <x:c r="G426" s="15" t="str">
        <x:v>Superspar Malelane</x:v>
      </x:c>
      <x:c r="H426" s="38" t="n">
        <x:v>316.54</x:v>
      </x:c>
      <x:c r="I426" s="15" t="str">
        <x:v>ZAR</x:v>
      </x:c>
      <x:c r="J426" s="15" t="str">
        <x:v>Outflow</x:v>
      </x:c>
      <x:c r="K426" s="15" t="str">
        <x:v>Card purchase</x:v>
      </x:c>
      <x:c r="L426" s="15" t="str">
        <x:v>Supplier payments</x:v>
      </x:c>
      <x:c r="M426" s="38"/>
      <x:c r="N426" s="38" t="n">
        <x:v>20094</x:v>
      </x:c>
      <x:c r="O426" s="15" t="str"/>
      <x:c r="P426" s="15" t="str">
        <x:v>eml_ALL_currentac__512781 (2).zip &gt; eml6currentac__512781.zip</x:v>
      </x:c>
      <x:c r="Q426" s="15" t="str">
        <x:v>FNB _-) R316.54 reserved for purchase @ Superspar Malelane from Current a_c..512781 using card..2924. 17Feb 11_30.eml</x:v>
      </x:c>
      <x:c r="R426" s="15" t="str">
        <x:v>High</x:v>
      </x:c>
      <x:c r="S426" s="15" t="str">
        <x:v>Category confidence Medium: Retail/supplier merchant keyword.</x:v>
      </x:c>
      <x:c r="T426" s="15" t="str"/>
      <x:c r="U426" s="15" t="str"/>
      <x:c r="V426" s="15" t="str"/>
      <x:c r="W426" s="15" t="str"/>
      <x:c r="X426" s="15" t="str">
        <x:v>FNB :-) R316.54 reserved for purchase @ Superspar Malelane from Current a/c..512781 using card..2924. Avail R20094. 17Feb 11:30</x:v>
      </x:c>
      <x:c r="Y426" s="15" t="str">
        <x:v>553c960f31616714</x:v>
      </x:c>
    </x:row>
    <x:row r="427">
      <x:c r="A427" s="34" t="n">
        <x:v>46070.48611111111</x:v>
      </x:c>
      <x:c r="B427" s="36" t="n">
        <x:v>46070</x:v>
      </x:c>
      <x:c r="C427" s="34" t="n">
        <x:v>46070.486550925925</x:v>
      </x:c>
      <x:c r="D427" s="15" t="str">
        <x:v>Current a/c..512781</x:v>
      </x:c>
      <x:c r="E427" s="15" t="str">
        <x:v>card..2924</x:v>
      </x:c>
      <x:c r="F427" s="15" t="str">
        <x:v>R186.00 reserved for purchase @ Tops Malelane from Current a/c..512781 using card..2924. Avail R19908. 17Feb 11:40</x:v>
      </x:c>
      <x:c r="G427" s="15" t="str">
        <x:v>Tops Malelane</x:v>
      </x:c>
      <x:c r="H427" s="38" t="n">
        <x:v>186</x:v>
      </x:c>
      <x:c r="I427" s="15" t="str">
        <x:v>ZAR</x:v>
      </x:c>
      <x:c r="J427" s="15" t="str">
        <x:v>Outflow</x:v>
      </x:c>
      <x:c r="K427" s="15" t="str">
        <x:v>Card purchase</x:v>
      </x:c>
      <x:c r="L427" s="15" t="str">
        <x:v>Meals / restaurants / entertainment</x:v>
      </x:c>
      <x:c r="M427" s="38"/>
      <x:c r="N427" s="38" t="n">
        <x:v>19908</x:v>
      </x:c>
      <x:c r="O427" s="15" t="str"/>
      <x:c r="P427" s="15" t="str">
        <x:v>eml_ALL_currentac__512781 (2).zip &gt; eml6currentac__512781.zip</x:v>
      </x:c>
      <x:c r="Q427" s="15" t="str">
        <x:v>FNB _-) R186.00 reserved for purchase @ Tops Malelane from Current a_c..512781 using card..2924. 17Feb 11_40.eml</x:v>
      </x:c>
      <x:c r="R427" s="15" t="str">
        <x:v>High</x:v>
      </x:c>
      <x:c r="S427" s="15" t="str"/>
      <x:c r="T427" s="15" t="str"/>
      <x:c r="U427" s="15" t="str"/>
      <x:c r="V427" s="15" t="str"/>
      <x:c r="W427" s="15" t="str"/>
      <x:c r="X427" s="15" t="str">
        <x:v>FNB :-) R186.00 reserved for purchase @ Tops Malelane from Current a/c..512781 using card..2924. Avail R19908. 17Feb 11:40</x:v>
      </x:c>
      <x:c r="Y427" s="15" t="str">
        <x:v>72b088ec08318c0a</x:v>
      </x:c>
    </x:row>
    <x:row r="428">
      <x:c r="A428" s="34" t="n">
        <x:v>46070.48888888889</x:v>
      </x:c>
      <x:c r="B428" s="36" t="n">
        <x:v>46070</x:v>
      </x:c>
      <x:c r="C428" s="34" t="n">
        <x:v>46070.489120370374</x:v>
      </x:c>
      <x:c r="D428" s="15" t="str">
        <x:v>Current a/c..512781</x:v>
      </x:c>
      <x:c r="E428" s="15" t="str">
        <x:v>card..2924</x:v>
      </x:c>
      <x:c r="F428" s="15" t="str">
        <x:v>R228.85 reserved for purchase @ Paystack *zoho Co from Current a/c..512781 using card..2924. Avail R19679. 17Feb 11:44</x:v>
      </x:c>
      <x:c r="G428" s="15" t="str">
        <x:v>Paystack *zoho Co</x:v>
      </x:c>
      <x:c r="H428" s="38" t="n">
        <x:v>228.85</x:v>
      </x:c>
      <x:c r="I428" s="15" t="str">
        <x:v>ZAR</x:v>
      </x:c>
      <x:c r="J428" s="15" t="str">
        <x:v>Outflow</x:v>
      </x:c>
      <x:c r="K428" s="15" t="str">
        <x:v>Card purchase</x:v>
      </x:c>
      <x:c r="L428" s="15" t="str">
        <x:v>Software / subscriptions</x:v>
      </x:c>
      <x:c r="M428" s="38"/>
      <x:c r="N428" s="38" t="n">
        <x:v>19679</x:v>
      </x:c>
      <x:c r="O428" s="15" t="str"/>
      <x:c r="P428" s="15" t="str">
        <x:v>eml_ALL_currentac__512781 (2).zip &gt; eml6currentac__512781.zip</x:v>
      </x:c>
      <x:c r="Q428" s="15" t="str">
        <x:v>FNB _-) R228.85 reserved for purchase @ Paystack _zoho Co from Current a_c..512781 using card..2924. 17Feb 11_44.eml</x:v>
      </x:c>
      <x:c r="R428" s="15" t="str">
        <x:v>High</x:v>
      </x:c>
      <x:c r="S428" s="15" t="str"/>
      <x:c r="T428" s="15" t="str"/>
      <x:c r="U428" s="15" t="str"/>
      <x:c r="V428" s="15" t="str"/>
      <x:c r="W428" s="15" t="str"/>
      <x:c r="X428" s="15" t="str">
        <x:v>FNB :-) R228.85 reserved for purchase @ Paystack *zoho Co from Current a/c..512781 using card..2924. Avail R19679. 17Feb 11:44</x:v>
      </x:c>
      <x:c r="Y428" s="15" t="str">
        <x:v>7f5ed71e2c98e230</x:v>
      </x:c>
    </x:row>
    <x:row r="429">
      <x:c r="A429" s="34" t="n">
        <x:v>46070.61597222222</x:v>
      </x:c>
      <x:c r="B429" s="36" t="n">
        <x:v>46070</x:v>
      </x:c>
      <x:c r="C429" s="34" t="n">
        <x:v>46070.616064814814</x:v>
      </x:c>
      <x:c r="D429" s="15" t="str">
        <x:v>Current a/c..512781</x:v>
      </x:c>
      <x:c r="E429" s="15" t="str">
        <x:v>card..2924</x:v>
      </x:c>
      <x:c r="F429" s="15" t="str">
        <x:v>R300.10 reserved for purchase @ Savemor Marloth from Current a/c..512781 using card..2924. Avail R19379. 17Feb 14:47</x:v>
      </x:c>
      <x:c r="G429" s="15" t="str">
        <x:v>Savemor Marloth</x:v>
      </x:c>
      <x:c r="H429" s="38" t="n">
        <x:v>300.1</x:v>
      </x:c>
      <x:c r="I429" s="15" t="str">
        <x:v>ZAR</x:v>
      </x:c>
      <x:c r="J429" s="15" t="str">
        <x:v>Outflow</x:v>
      </x:c>
      <x:c r="K429" s="15" t="str">
        <x:v>Card purchase</x:v>
      </x:c>
      <x:c r="L429" s="15" t="str">
        <x:v>Supplier payments</x:v>
      </x:c>
      <x:c r="M429" s="38"/>
      <x:c r="N429" s="38" t="n">
        <x:v>19379</x:v>
      </x:c>
      <x:c r="O429" s="15" t="str"/>
      <x:c r="P429" s="15" t="str">
        <x:v>eml_ALL_currentac__512781 (2).zip &gt; eml6currentac__512781.zip</x:v>
      </x:c>
      <x:c r="Q429" s="15" t="str">
        <x:v>FNB _-) R300.10 reserved for purchase @ Savemor Marloth from Current a_c..512781 using card..2924. 17Feb 14_47.eml</x:v>
      </x:c>
      <x:c r="R429" s="15" t="str">
        <x:v>High</x:v>
      </x:c>
      <x:c r="S429" s="15" t="str">
        <x:v>Category confidence Medium: Retail/supplier merchant keyword.</x:v>
      </x:c>
      <x:c r="T429" s="15" t="str"/>
      <x:c r="U429" s="15" t="str"/>
      <x:c r="V429" s="15" t="str"/>
      <x:c r="W429" s="15" t="str"/>
      <x:c r="X429" s="15" t="str">
        <x:v>FNB :-) R300.10 reserved for purchase @ Savemor Marloth from Current a/c..512781 using card..2924. Avail R19379. 17Feb 14:47</x:v>
      </x:c>
      <x:c r="Y429" s="15" t="str">
        <x:v>58c07af9016fa5c9</x:v>
      </x:c>
    </x:row>
    <x:row r="430">
      <x:c r="A430" s="34" t="n">
        <x:v>46071.45347222222</x:v>
      </x:c>
      <x:c r="B430" s="36" t="n">
        <x:v>46071</x:v>
      </x:c>
      <x:c r="C430" s="34" t="n">
        <x:v>46071.45354166667</x:v>
      </x:c>
      <x:c r="D430" s="15" t="str">
        <x:v>Current a/c..512781</x:v>
      </x:c>
      <x:c r="E430" s="15" t="str">
        <x:v>card..2924</x:v>
      </x:c>
      <x:c r="F430" s="15" t="str">
        <x:v>R1499.99 reserved for purchase @ Savemor Marloth from Current a/c..512781 using card..2924. Avail R17804. 18Feb 10:53</x:v>
      </x:c>
      <x:c r="G430" s="15" t="str">
        <x:v>Savemor Marloth</x:v>
      </x:c>
      <x:c r="H430" s="38" t="n">
        <x:v>1499.99</x:v>
      </x:c>
      <x:c r="I430" s="15" t="str">
        <x:v>ZAR</x:v>
      </x:c>
      <x:c r="J430" s="15" t="str">
        <x:v>Outflow</x:v>
      </x:c>
      <x:c r="K430" s="15" t="str">
        <x:v>Card purchase</x:v>
      </x:c>
      <x:c r="L430" s="15" t="str">
        <x:v>Supplier payments</x:v>
      </x:c>
      <x:c r="M430" s="38"/>
      <x:c r="N430" s="38" t="n">
        <x:v>17804</x:v>
      </x:c>
      <x:c r="O430" s="15" t="str"/>
      <x:c r="P430" s="15" t="str">
        <x:v>eml_ALL_currentac__512781 (2).zip &gt; eml6currentac__512781.zip</x:v>
      </x:c>
      <x:c r="Q430" s="15" t="str">
        <x:v>FNB _-) R1499.99 reserved for purchase @ Savemor Marloth from Current a_c..512781 using card..2924. 18Feb 10_53.eml</x:v>
      </x:c>
      <x:c r="R430" s="15" t="str">
        <x:v>High</x:v>
      </x:c>
      <x:c r="S430" s="15" t="str">
        <x:v>Category confidence Medium: Retail/supplier merchant keyword.</x:v>
      </x:c>
      <x:c r="T430" s="15" t="str"/>
      <x:c r="U430" s="15" t="str"/>
      <x:c r="V430" s="15" t="str"/>
      <x:c r="W430" s="15" t="str"/>
      <x:c r="X430" s="15" t="str">
        <x:v>FNB :-) R1499.99 reserved for purchase @ Savemor Marloth from Current a/c..512781 using card..2924. Avail R17804. 18Feb 10:53</x:v>
      </x:c>
      <x:c r="Y430" s="15" t="str">
        <x:v>7b9efc7a3ea911d5</x:v>
      </x:c>
    </x:row>
    <x:row r="431">
      <x:c r="A431" s="34" t="n">
        <x:v>46071.45625</x:v>
      </x:c>
      <x:c r="B431" s="36" t="n">
        <x:v>46071</x:v>
      </x:c>
      <x:c r="C431" s="34" t="n">
        <x:v>46071.45643518519</x:v>
      </x:c>
      <x:c r="D431" s="15" t="str">
        <x:v>Current a/c..512781</x:v>
      </x:c>
      <x:c r="E431" s="15" t="str">
        <x:v>card..2924</x:v>
      </x:c>
      <x:c r="F431" s="15" t="str">
        <x:v>R500.00 reserved for purchase @ Marlothi Petrol Stat from Current a/c..512781 using card..2924. Avail R17304. 18Feb 10:57</x:v>
      </x:c>
      <x:c r="G431" s="15" t="str">
        <x:v>Marlothi Petrol Stat</x:v>
      </x:c>
      <x:c r="H431" s="38" t="n">
        <x:v>500</x:v>
      </x:c>
      <x:c r="I431" s="15" t="str">
        <x:v>ZAR</x:v>
      </x:c>
      <x:c r="J431" s="15" t="str">
        <x:v>Outflow</x:v>
      </x:c>
      <x:c r="K431" s="15" t="str">
        <x:v>Card purchase</x:v>
      </x:c>
      <x:c r="L431" s="15" t="str">
        <x:v>Fuel / transport</x:v>
      </x:c>
      <x:c r="M431" s="38"/>
      <x:c r="N431" s="38" t="n">
        <x:v>17304</x:v>
      </x:c>
      <x:c r="O431" s="15" t="str"/>
      <x:c r="P431" s="15" t="str">
        <x:v>eml_ALL_currentac__512781 (2).zip &gt; eml6currentac__512781.zip</x:v>
      </x:c>
      <x:c r="Q431" s="15" t="str">
        <x:v>FNB _-) R500.00 reserved for purchase @ Marlothi Petrol Stat from Current a_c..512781 using card..2924. 18Feb 10_57.eml</x:v>
      </x:c>
      <x:c r="R431" s="15" t="str">
        <x:v>High</x:v>
      </x:c>
      <x:c r="S431" s="15" t="str"/>
      <x:c r="T431" s="15" t="str"/>
      <x:c r="U431" s="15" t="str"/>
      <x:c r="V431" s="15" t="str"/>
      <x:c r="W431" s="15" t="str"/>
      <x:c r="X431" s="15" t="str">
        <x:v>FNB :-) R500.00 reserved for purchase @ Marlothi Petrol Stat from Current a/c..512781 using card..2924. Avail R17304. 18Feb 10:57</x:v>
      </x:c>
      <x:c r="Y431" s="15" t="str">
        <x:v>2da23b7ff094c3a2</x:v>
      </x:c>
    </x:row>
    <x:row r="432">
      <x:c r="A432" s="34" t="n">
        <x:v>46071.853472222225</x:v>
      </x:c>
      <x:c r="B432" s="36" t="n">
        <x:v>46071</x:v>
      </x:c>
      <x:c r="C432" s="34" t="n">
        <x:v>46071.853842592594</x:v>
      </x:c>
      <x:c r="D432" s="15" t="str">
        <x:v>Current a/c..512781</x:v>
      </x:c>
      <x:c r="E432" s="15" t="str">
        <x:v>card..2924</x:v>
      </x:c>
      <x:c r="F432" s="15" t="str">
        <x:v>R470.00 reserved for purchase @ K2025744041 Sou 262 from Current a/c..512781 using card..2924. Avail R16834. 18Feb 20:29</x:v>
      </x:c>
      <x:c r="G432" s="15" t="str">
        <x:v>K2025744041 Sou 262</x:v>
      </x:c>
      <x:c r="H432" s="38" t="n">
        <x:v>470</x:v>
      </x:c>
      <x:c r="I432" s="15" t="str">
        <x:v>ZAR</x:v>
      </x:c>
      <x:c r="J432" s="15" t="str">
        <x:v>Outflow</x:v>
      </x:c>
      <x:c r="K432" s="15" t="str">
        <x:v>Card purchase</x:v>
      </x:c>
      <x:c r="L432" s="15" t="str">
        <x:v>Card spend</x:v>
      </x:c>
      <x:c r="M432" s="38"/>
      <x:c r="N432" s="38" t="n">
        <x:v>16834</x:v>
      </x:c>
      <x:c r="O432" s="15" t="str"/>
      <x:c r="P432" s="15" t="str">
        <x:v>eml_ALL_currentac__512781 (2).zip &gt; eml6currentac__512781.zip</x:v>
      </x:c>
      <x:c r="Q432" s="15" t="str">
        <x:v>FNB _-) R470.00 reserved for purchase @ K2025744041 Sou 262 from Current a_c..512781 using card..2924. 18Feb 20_29.eml</x:v>
      </x:c>
      <x:c r="R432" s="15" t="str">
        <x:v>High</x:v>
      </x:c>
      <x:c r="S432" s="15" t="str">
        <x:v>Category confidence Low: Default card-spend category; merchant not confidently mapped.</x:v>
      </x:c>
      <x:c r="T432" s="15" t="str"/>
      <x:c r="U432" s="15" t="str"/>
      <x:c r="V432" s="15" t="str"/>
      <x:c r="W432" s="15" t="str"/>
      <x:c r="X432" s="15" t="str">
        <x:v>FNB :-) R470.00 reserved for purchase @ K2025744041 Sou 262 from Current a/c..512781 using card..2924. Avail R16834. 18Feb 20:29</x:v>
      </x:c>
      <x:c r="Y432" s="15" t="str">
        <x:v>73e7b4f133faf4b9</x:v>
      </x:c>
    </x:row>
    <x:row r="433">
      <x:c r="A433" s="34" t="n">
        <x:v>46072.35</x:v>
      </x:c>
      <x:c r="B433" s="36" t="n">
        <x:v>46072</x:v>
      </x:c>
      <x:c r="C433" s="34" t="n">
        <x:v>46072.35003472222</x:v>
      </x:c>
      <x:c r="D433" s="15" t="str">
        <x:v>Current a/c..512781</x:v>
      </x:c>
      <x:c r="E433" s="15" t="str"/>
      <x:c r="F433" s="15" t="str">
        <x:v>R26868.57 paid to Current a/c..512781 @ Retail Forex. Ref.R026wwtl60 Booking.c. 19Feb 08:24</x:v>
      </x:c>
      <x:c r="G433" s="15" t="str">
        <x:v>R026wwtl60 Booking.c</x:v>
      </x:c>
      <x:c r="H433" s="38" t="n">
        <x:v>26868.57</x:v>
      </x:c>
      <x:c r="I433" s="15" t="str">
        <x:v>ZAR</x:v>
      </x:c>
      <x:c r="J433" s="15" t="str">
        <x:v>Inflow</x:v>
      </x:c>
      <x:c r="K433" s="15" t="str">
        <x:v>EFT receipt</x:v>
      </x:c>
      <x:c r="L433" s="15" t="str">
        <x:v>Sales / customer receipts</x:v>
      </x:c>
      <x:c r="M433" s="38"/>
      <x:c r="N433" s="38"/>
      <x:c r="O433" s="15" t="str"/>
      <x:c r="P433" s="15" t="str">
        <x:v>eml_ALL_currentac__512781 (2).zip &gt; eml6currentac__512781.zip</x:v>
      </x:c>
      <x:c r="Q433" s="15" t="str">
        <x:v>FNB _-) R26868.57 paid to Current a_c..512781 @ Retail Forex. Ref.R026wwtl60 Booking.c. 19Feb 08_24.eml</x:v>
      </x:c>
      <x:c r="R433" s="15" t="str">
        <x:v>High</x:v>
      </x:c>
      <x:c r="S433" s="15" t="str">
        <x:v>Category confidence Medium: Default for incoming EFT/PayShap/online receipt.</x:v>
      </x:c>
      <x:c r="T433" s="15" t="str"/>
      <x:c r="U433" s="15" t="str"/>
      <x:c r="V433" s="15" t="str">
        <x:v>R026wwtl60 Booking.c</x:v>
      </x:c>
      <x:c r="W433" s="15" t="str">
        <x:v>Retail Forex</x:v>
      </x:c>
      <x:c r="X433" s="15" t="str">
        <x:v>FNB :-) R26868.57 paid to Current a/c..512781 @ Retail Forex. Ref.R026wwtl60 Booking.c. 19Feb 08:24</x:v>
      </x:c>
      <x:c r="Y433" s="15" t="str">
        <x:v>c6f066555f162d84</x:v>
      </x:c>
    </x:row>
    <x:row r="434">
      <x:c r="A434" s="34" t="n">
        <x:v>46072.47430555556</x:v>
      </x:c>
      <x:c r="B434" s="36" t="n">
        <x:v>46072</x:v>
      </x:c>
      <x:c r="C434" s="34" t="n">
        <x:v>46072.474641203706</x:v>
      </x:c>
      <x:c r="D434" s="15" t="str">
        <x:v>Current a/c..512781</x:v>
      </x:c>
      <x:c r="E434" s="15" t="str"/>
      <x:c r="F434" s="15" t="str">
        <x:v>Payment Link created from Current a/c..512781 To G Van Der Merwe..529150 @ Smartapp. 19Feb 11:23 Call 087 575 9404 for help.</x:v>
      </x:c>
      <x:c r="G434" s="15" t="str">
        <x:v>G Van Der Merwe..529150</x:v>
      </x:c>
      <x:c r="H434" s="38"/>
      <x:c r="I434" s="15" t="str"/>
      <x:c r="J434" s="15" t="str">
        <x:v>Neutral/Information Only</x:v>
      </x:c>
      <x:c r="K434" s="15" t="str">
        <x:v>Other</x:v>
      </x:c>
      <x:c r="L434" s="15" t="str">
        <x:v>Other</x:v>
      </x:c>
      <x:c r="M434" s="38"/>
      <x:c r="N434" s="38"/>
      <x:c r="O434" s="15" t="str"/>
      <x:c r="P434" s="15" t="str">
        <x:v>eml_ALL_currentac__512781 (2).zip &gt; eml6currentac__512781.zip</x:v>
      </x:c>
      <x:c r="Q434" s="15" t="str">
        <x:v>FNB _-) Payment Link created from Current a_c..512781 To G Van Der Merwe..529150 @ Smartapp. 19Feb 11_23 Call 087 575 9404  for help..eml</x:v>
      </x:c>
      <x:c r="R434" s="15" t="str">
        <x:v>High</x:v>
      </x:c>
      <x:c r="S434" s="15" t="str">
        <x:v>Payment link creation only; no money movement indicated. Category confidence Low: Unable to map confidently.</x:v>
      </x:c>
      <x:c r="T434" s="15" t="str">
        <x:v>Current a/c..512781</x:v>
      </x:c>
      <x:c r="U434" s="15" t="str">
        <x:v>G Van Der Merwe..529150</x:v>
      </x:c>
      <x:c r="V434" s="15" t="str"/>
      <x:c r="W434" s="15" t="str">
        <x:v>Smartapp</x:v>
      </x:c>
      <x:c r="X434" s="15" t="str">
        <x:v>FNB :-) Payment Link created from Current a/c..512781 To G Van Der Merwe..529150 @ Smartapp. 19Feb 11:23 Call 087 575 9404 for help.</x:v>
      </x:c>
      <x:c r="Y434" s="15" t="str">
        <x:v>70fb0b281ff39296</x:v>
      </x:c>
    </x:row>
    <x:row r="435">
      <x:c r="A435" s="34" t="n">
        <x:v>46072.47430555556</x:v>
      </x:c>
      <x:c r="B435" s="36" t="n">
        <x:v>46072</x:v>
      </x:c>
      <x:c r="C435" s="34" t="n">
        <x:v>46072.475</x:v>
      </x:c>
      <x:c r="D435" s="15" t="str">
        <x:v>Current a/c..512781</x:v>
      </x:c>
      <x:c r="E435" s="15" t="str"/>
      <x:c r="F435" s="15" t="str">
        <x:v>R3525.00 paid from Current a/c..512781 @ Smartapp. Avail R40154. Ref.Screens X 5. 19Feb 11:23</x:v>
      </x:c>
      <x:c r="G435" s="15" t="str">
        <x:v>Screens X 5</x:v>
      </x:c>
      <x:c r="H435" s="38" t="n">
        <x:v>3525</x:v>
      </x:c>
      <x:c r="I435" s="15" t="str">
        <x:v>ZAR</x:v>
      </x:c>
      <x:c r="J435" s="15" t="str">
        <x:v>Outflow</x:v>
      </x:c>
      <x:c r="K435" s="15" t="str">
        <x:v>EFT payment</x:v>
      </x:c>
      <x:c r="L435" s="15" t="str">
        <x:v>Supplier payments</x:v>
      </x:c>
      <x:c r="M435" s="38"/>
      <x:c r="N435" s="38" t="n">
        <x:v>40154</x:v>
      </x:c>
      <x:c r="O435" s="15" t="str"/>
      <x:c r="P435" s="15" t="str">
        <x:v>eml_ALL_currentac__512781 (2).zip &gt; eml6currentac__512781.zip</x:v>
      </x:c>
      <x:c r="Q435" s="15" t="str">
        <x:v>FNB _-) R3525.00 paid from Current a_c..512781 @ Smartapp. Ref.Screens X 5. 19Feb 11_23.eml</x:v>
      </x:c>
      <x:c r="R435" s="15" t="str">
        <x:v>High</x:v>
      </x:c>
      <x:c r="S435" s="15" t="str">
        <x:v>Category confidence Low: Default outflow category; review counterparty/reference.</x:v>
      </x:c>
      <x:c r="T435" s="15" t="str"/>
      <x:c r="U435" s="15" t="str"/>
      <x:c r="V435" s="15" t="str">
        <x:v>Screens X 5</x:v>
      </x:c>
      <x:c r="W435" s="15" t="str">
        <x:v>Smartapp</x:v>
      </x:c>
      <x:c r="X435" s="15" t="str">
        <x:v>FNB :-) R3525.00 paid from Current a/c..512781 @ Smartapp. Avail R40154. Ref.Screens X 5. 19Feb 11:23</x:v>
      </x:c>
      <x:c r="Y435" s="15" t="str">
        <x:v>2b164687ff92926b</x:v>
      </x:c>
    </x:row>
    <x:row r="436">
      <x:c r="A436" s="34" t="n">
        <x:v>46072.57638888889</x:v>
      </x:c>
      <x:c r="B436" s="36" t="n">
        <x:v>46072</x:v>
      </x:c>
      <x:c r="C436" s="34" t="n">
        <x:v>46072.57677083334</x:v>
      </x:c>
      <x:c r="D436" s="15" t="str">
        <x:v>Current a/c..512781</x:v>
      </x:c>
      <x:c r="E436" s="15" t="str"/>
      <x:c r="F436" s="15" t="str">
        <x:v>R13138.92 paid to Current a/c..512781 @ Payshap. Ref.Ik Pay 487882. 19Feb 13:50</x:v>
      </x:c>
      <x:c r="G436" s="15" t="str">
        <x:v>Ik Pay 487882</x:v>
      </x:c>
      <x:c r="H436" s="38" t="n">
        <x:v>13138.92</x:v>
      </x:c>
      <x:c r="I436" s="15" t="str">
        <x:v>ZAR</x:v>
      </x:c>
      <x:c r="J436" s="15" t="str">
        <x:v>Inflow</x:v>
      </x:c>
      <x:c r="K436" s="15" t="str">
        <x:v>EFT receipt</x:v>
      </x:c>
      <x:c r="L436" s="15" t="str">
        <x:v>Sales / customer receipts</x:v>
      </x:c>
      <x:c r="M436" s="38"/>
      <x:c r="N436" s="38"/>
      <x:c r="O436" s="15" t="str"/>
      <x:c r="P436" s="15" t="str">
        <x:v>eml_ALL_currentac__512781 (2).zip &gt; eml6currentac__512781.zip</x:v>
      </x:c>
      <x:c r="Q436" s="15" t="str">
        <x:v>FNB _-) R13138.92 paid to Current a_c..512781 @ Payshap. Ref.Ik Pay 487882. 19Feb 13_50.eml</x:v>
      </x:c>
      <x:c r="R436" s="15" t="str">
        <x:v>High</x:v>
      </x:c>
      <x:c r="S436" s="15" t="str">
        <x:v>Category confidence Medium: Default for incoming EFT/PayShap/online receipt.</x:v>
      </x:c>
      <x:c r="T436" s="15" t="str"/>
      <x:c r="U436" s="15" t="str"/>
      <x:c r="V436" s="15" t="str">
        <x:v>Ik Pay 487882</x:v>
      </x:c>
      <x:c r="W436" s="15" t="str">
        <x:v>Payshap</x:v>
      </x:c>
      <x:c r="X436" s="15" t="str">
        <x:v>FNB :-) R13138.92 paid to Current a/c..512781 @ Payshap. Ref.Ik Pay 487882. 19Feb 13:50</x:v>
      </x:c>
      <x:c r="Y436" s="15" t="str">
        <x:v>17e07a1244c722cf</x:v>
      </x:c>
    </x:row>
    <x:row r="437">
      <x:c r="A437" s="34" t="n">
        <x:v>46072.63055555556</x:v>
      </x:c>
      <x:c r="B437" s="36" t="n">
        <x:v>46072</x:v>
      </x:c>
      <x:c r="C437" s="34" t="n">
        <x:v>46072.63061342593</x:v>
      </x:c>
      <x:c r="D437" s="15" t="str">
        <x:v>Current a/c..512781</x:v>
      </x:c>
      <x:c r="E437" s="15" t="str"/>
      <x:c r="F437" s="15" t="str">
        <x:v>R132.25 paid from Current a/c..512781 @ Smartapp. Avail R53153. Ref.Bon Express 007757. 19Feb 15:08</x:v>
      </x:c>
      <x:c r="G437" s="15" t="str">
        <x:v>Bon Express 007757</x:v>
      </x:c>
      <x:c r="H437" s="38" t="n">
        <x:v>132.25</x:v>
      </x:c>
      <x:c r="I437" s="15" t="str">
        <x:v>ZAR</x:v>
      </x:c>
      <x:c r="J437" s="15" t="str">
        <x:v>Outflow</x:v>
      </x:c>
      <x:c r="K437" s="15" t="str">
        <x:v>EFT payment</x:v>
      </x:c>
      <x:c r="L437" s="15" t="str">
        <x:v>Supplier payments</x:v>
      </x:c>
      <x:c r="M437" s="38"/>
      <x:c r="N437" s="38" t="n">
        <x:v>53153</x:v>
      </x:c>
      <x:c r="O437" s="15" t="str"/>
      <x:c r="P437" s="15" t="str">
        <x:v>eml_ALL_currentac__512781 (2).zip &gt; eml6currentac__512781.zip</x:v>
      </x:c>
      <x:c r="Q437" s="15" t="str">
        <x:v>FNB _-) R132.25 paid from Current a_c..512781 @ Smartapp. Ref.Bon Express 007757. 19Feb 15_08.eml</x:v>
      </x:c>
      <x:c r="R437" s="15" t="str">
        <x:v>High</x:v>
      </x:c>
      <x:c r="S437" s="15" t="str">
        <x:v>Category confidence Low: Default outflow category; review counterparty/reference.</x:v>
      </x:c>
      <x:c r="T437" s="15" t="str"/>
      <x:c r="U437" s="15" t="str"/>
      <x:c r="V437" s="15" t="str">
        <x:v>Bon Express 007757</x:v>
      </x:c>
      <x:c r="W437" s="15" t="str">
        <x:v>Smartapp</x:v>
      </x:c>
      <x:c r="X437" s="15" t="str">
        <x:v>FNB :-) R132.25 paid from Current a/c..512781 @ Smartapp. Avail R53153. Ref.Bon Express 007757. 19Feb 15:08</x:v>
      </x:c>
      <x:c r="Y437" s="15" t="str">
        <x:v>cb615c7ad5199461</x:v>
      </x:c>
    </x:row>
    <x:row r="438">
      <x:c r="A438" s="34" t="n">
        <x:v>46072.74375</x:v>
      </x:c>
      <x:c r="B438" s="36" t="n">
        <x:v>46072</x:v>
      </x:c>
      <x:c r="C438" s="34" t="n">
        <x:v>46072.743946759256</x:v>
      </x:c>
      <x:c r="D438" s="15" t="str">
        <x:v>Current a/c..512781</x:v>
      </x:c>
      <x:c r="E438" s="15" t="str">
        <x:v>card..2924</x:v>
      </x:c>
      <x:c r="F438" s="15" t="str">
        <x:v>R171.37 reserved for purchase @ Savemor Marloth from Current a/c..512781 using card..2924. Avail R52981. 19Feb 17:51</x:v>
      </x:c>
      <x:c r="G438" s="15" t="str">
        <x:v>Savemor Marloth</x:v>
      </x:c>
      <x:c r="H438" s="38" t="n">
        <x:v>171.37</x:v>
      </x:c>
      <x:c r="I438" s="15" t="str">
        <x:v>ZAR</x:v>
      </x:c>
      <x:c r="J438" s="15" t="str">
        <x:v>Outflow</x:v>
      </x:c>
      <x:c r="K438" s="15" t="str">
        <x:v>Card purchase</x:v>
      </x:c>
      <x:c r="L438" s="15" t="str">
        <x:v>Supplier payments</x:v>
      </x:c>
      <x:c r="M438" s="38"/>
      <x:c r="N438" s="38" t="n">
        <x:v>52981</x:v>
      </x:c>
      <x:c r="O438" s="15" t="str"/>
      <x:c r="P438" s="15" t="str">
        <x:v>eml_ALL_currentac__512781 (2).zip &gt; eml6currentac__512781.zip</x:v>
      </x:c>
      <x:c r="Q438" s="15" t="str">
        <x:v>FNB _-) R171.37 reserved for purchase @ Savemor Marloth from Current a_c..512781 using card..2924. 19Feb 17_51.eml</x:v>
      </x:c>
      <x:c r="R438" s="15" t="str">
        <x:v>High</x:v>
      </x:c>
      <x:c r="S438" s="15" t="str">
        <x:v>Category confidence Medium: Retail/supplier merchant keyword.</x:v>
      </x:c>
      <x:c r="T438" s="15" t="str"/>
      <x:c r="U438" s="15" t="str"/>
      <x:c r="V438" s="15" t="str"/>
      <x:c r="W438" s="15" t="str"/>
      <x:c r="X438" s="15" t="str">
        <x:v>FNB :-) R171.37 reserved for purchase @ Savemor Marloth from Current a/c..512781 using card..2924. Avail R52981. 19Feb 17:51</x:v>
      </x:c>
      <x:c r="Y438" s="15" t="str">
        <x:v>3cb02d6048e391b4</x:v>
      </x:c>
    </x:row>
    <x:row r="439">
      <x:c r="A439" s="34" t="n">
        <x:v>46072.79861111111</x:v>
      </x:c>
      <x:c r="B439" s="36" t="n">
        <x:v>46072</x:v>
      </x:c>
      <x:c r="C439" s="34" t="n">
        <x:v>46072.79871527778</x:v>
      </x:c>
      <x:c r="D439" s="15" t="str">
        <x:v>Current a/c..512781</x:v>
      </x:c>
      <x:c r="E439" s="15" t="str"/>
      <x:c r="F439" s="15" t="str">
        <x:v>Payment Link created from Current a/c..512781 To Captured Views Photo..937400 @ Smartapp. 19Feb 19:10 Call 087 575 9404 for help.</x:v>
      </x:c>
      <x:c r="G439" s="15" t="str">
        <x:v>Captured Views Photo..937400</x:v>
      </x:c>
      <x:c r="H439" s="38"/>
      <x:c r="I439" s="15" t="str"/>
      <x:c r="J439" s="15" t="str">
        <x:v>Neutral/Information Only</x:v>
      </x:c>
      <x:c r="K439" s="15" t="str">
        <x:v>Other</x:v>
      </x:c>
      <x:c r="L439" s="15" t="str">
        <x:v>Other</x:v>
      </x:c>
      <x:c r="M439" s="38"/>
      <x:c r="N439" s="38"/>
      <x:c r="O439" s="15" t="str"/>
      <x:c r="P439" s="15" t="str">
        <x:v>eml_ALL_currentac__512781 (2).zip &gt; eml6currentac__512781.zip</x:v>
      </x:c>
      <x:c r="Q439" s="15" t="str">
        <x:v>FNB _-) Payment Link created from Current a_c..512781 To Captured Views Photo..937400 @ Smartapp. 19Feb 19_10 Call 087 575 9404  for help..eml</x:v>
      </x:c>
      <x:c r="R439" s="15" t="str">
        <x:v>High</x:v>
      </x:c>
      <x:c r="S439" s="15" t="str">
        <x:v>Payment link creation only; no money movement indicated. Category confidence Low: Unable to map confidently.</x:v>
      </x:c>
      <x:c r="T439" s="15" t="str">
        <x:v>Current a/c..512781</x:v>
      </x:c>
      <x:c r="U439" s="15" t="str">
        <x:v>Captured Views Photo..937400</x:v>
      </x:c>
      <x:c r="V439" s="15" t="str"/>
      <x:c r="W439" s="15" t="str">
        <x:v>Smartapp</x:v>
      </x:c>
      <x:c r="X439" s="15" t="str">
        <x:v>FNB :-) Payment Link created from Current a/c..512781 To Captured Views Photo..937400 @ Smartapp. 19Feb 19:10 Call 087 575 9404 for help.</x:v>
      </x:c>
      <x:c r="Y439" s="15" t="str">
        <x:v>ca06341323c5b893</x:v>
      </x:c>
    </x:row>
    <x:row r="440">
      <x:c r="A440" s="34" t="n">
        <x:v>46072.79861111111</x:v>
      </x:c>
      <x:c r="B440" s="36" t="n">
        <x:v>46072</x:v>
      </x:c>
      <x:c r="C440" s="34" t="n">
        <x:v>46072.798854166664</x:v>
      </x:c>
      <x:c r="D440" s="15" t="str">
        <x:v>Current a/c..512781</x:v>
      </x:c>
      <x:c r="E440" s="15" t="str"/>
      <x:c r="F440" s="15" t="str">
        <x:v>R545.00 paid from Current a/c..512781 @ Smartapp. Avail R52428. Ref.Inv 20260138. 19Feb 19:10</x:v>
      </x:c>
      <x:c r="G440" s="15" t="str">
        <x:v>Inv 20260138</x:v>
      </x:c>
      <x:c r="H440" s="38" t="n">
        <x:v>545</x:v>
      </x:c>
      <x:c r="I440" s="15" t="str">
        <x:v>ZAR</x:v>
      </x:c>
      <x:c r="J440" s="15" t="str">
        <x:v>Outflow</x:v>
      </x:c>
      <x:c r="K440" s="15" t="str">
        <x:v>EFT payment</x:v>
      </x:c>
      <x:c r="L440" s="15" t="str">
        <x:v>Supplier payments</x:v>
      </x:c>
      <x:c r="M440" s="38"/>
      <x:c r="N440" s="38" t="n">
        <x:v>52428</x:v>
      </x:c>
      <x:c r="O440" s="15" t="str"/>
      <x:c r="P440" s="15" t="str">
        <x:v>eml_ALL_currentac__512781 (2).zip &gt; eml6currentac__512781.zip</x:v>
      </x:c>
      <x:c r="Q440" s="15" t="str">
        <x:v>FNB _-) R545.00 paid from Current a_c..512781 @ Smartapp. Ref.Inv 20260138. 19Feb 19_10.eml</x:v>
      </x:c>
      <x:c r="R440" s="15" t="str">
        <x:v>High</x:v>
      </x:c>
      <x:c r="S440" s="15" t="str">
        <x:v>Category confidence Low: Default outflow category; review counterparty/reference.</x:v>
      </x:c>
      <x:c r="T440" s="15" t="str"/>
      <x:c r="U440" s="15" t="str"/>
      <x:c r="V440" s="15" t="str">
        <x:v>Inv 20260138</x:v>
      </x:c>
      <x:c r="W440" s="15" t="str">
        <x:v>Smartapp</x:v>
      </x:c>
      <x:c r="X440" s="15" t="str">
        <x:v>FNB :-) R545.00 paid from Current a/c..512781 @ Smartapp. Avail R52428. Ref.Inv 20260138. 19Feb 19:10</x:v>
      </x:c>
      <x:c r="Y440" s="15" t="str">
        <x:v>20e4cccae5c28064</x:v>
      </x:c>
    </x:row>
    <x:row r="441">
      <x:c r="A441" s="34" t="n">
        <x:v>46073.39097222222</x:v>
      </x:c>
      <x:c r="B441" s="36" t="n">
        <x:v>46073</x:v>
      </x:c>
      <x:c r="C441" s="34" t="n">
        <x:v>46073.39127314815</x:v>
      </x:c>
      <x:c r="D441" s="15" t="str">
        <x:v>Current a/c..512781</x:v>
      </x:c>
      <x:c r="E441" s="15" t="str"/>
      <x:c r="F441" s="15" t="str">
        <x:v>Payment Link created from Current a/c..512781 To Komatipoort..134128 @ Smartapp. 20Feb 09:23 Call 087 575 9404 for help.</x:v>
      </x:c>
      <x:c r="G441" s="15" t="str">
        <x:v>Komatipoort..134128</x:v>
      </x:c>
      <x:c r="H441" s="38"/>
      <x:c r="I441" s="15" t="str"/>
      <x:c r="J441" s="15" t="str">
        <x:v>Neutral/Information Only</x:v>
      </x:c>
      <x:c r="K441" s="15" t="str">
        <x:v>Other</x:v>
      </x:c>
      <x:c r="L441" s="15" t="str">
        <x:v>Other</x:v>
      </x:c>
      <x:c r="M441" s="38"/>
      <x:c r="N441" s="38"/>
      <x:c r="O441" s="15" t="str"/>
      <x:c r="P441" s="15" t="str">
        <x:v>eml_ALL_currentac__512781 (2).zip &gt; eml6currentac__512781.zip</x:v>
      </x:c>
      <x:c r="Q441" s="15" t="str">
        <x:v>FNB _-) Payment Link created from Current a_c..512781 To Komatipoort..134128 @ Smartapp. 20Feb 09_23 Call 087 575 9404  for help..eml</x:v>
      </x:c>
      <x:c r="R441" s="15" t="str">
        <x:v>High</x:v>
      </x:c>
      <x:c r="S441" s="15" t="str">
        <x:v>Payment link creation only; no money movement indicated. Category confidence Low: Unable to map confidently.</x:v>
      </x:c>
      <x:c r="T441" s="15" t="str">
        <x:v>Current a/c..512781</x:v>
      </x:c>
      <x:c r="U441" s="15" t="str">
        <x:v>Komatipoort..134128</x:v>
      </x:c>
      <x:c r="V441" s="15" t="str"/>
      <x:c r="W441" s="15" t="str">
        <x:v>Smartapp</x:v>
      </x:c>
      <x:c r="X441" s="15" t="str">
        <x:v>FNB :-) Payment Link created from Current a/c..512781 To Komatipoort..134128 @ Smartapp. 20Feb 09:23 Call 087 575 9404 for help.</x:v>
      </x:c>
      <x:c r="Y441" s="15" t="str">
        <x:v>449efc48c50f7343</x:v>
      </x:c>
    </x:row>
    <x:row r="442">
      <x:c r="A442" s="34" t="n">
        <x:v>46073.39097222222</x:v>
      </x:c>
      <x:c r="B442" s="36" t="n">
        <x:v>46073</x:v>
      </x:c>
      <x:c r="C442" s="34" t="n">
        <x:v>46073.39142361111</x:v>
      </x:c>
      <x:c r="D442" s="15" t="str">
        <x:v>Current a/c..512781</x:v>
      </x:c>
      <x:c r="E442" s="15" t="str"/>
      <x:c r="F442" s="15" t="str">
        <x:v>R845.00 paid from Current a/c..512781 @ Smartapp. Avail R51567. Ref.Komatipoort. 20Feb 09:23</x:v>
      </x:c>
      <x:c r="G442" s="15" t="str">
        <x:v>Komatipoort</x:v>
      </x:c>
      <x:c r="H442" s="38" t="n">
        <x:v>845</x:v>
      </x:c>
      <x:c r="I442" s="15" t="str">
        <x:v>ZAR</x:v>
      </x:c>
      <x:c r="J442" s="15" t="str">
        <x:v>Outflow</x:v>
      </x:c>
      <x:c r="K442" s="15" t="str">
        <x:v>EFT payment</x:v>
      </x:c>
      <x:c r="L442" s="15" t="str">
        <x:v>Supplier payments</x:v>
      </x:c>
      <x:c r="M442" s="38"/>
      <x:c r="N442" s="38" t="n">
        <x:v>51567</x:v>
      </x:c>
      <x:c r="O442" s="15" t="str"/>
      <x:c r="P442" s="15" t="str">
        <x:v>eml_ALL_currentac__512781 (2).zip &gt; eml6currentac__512781.zip</x:v>
      </x:c>
      <x:c r="Q442" s="15" t="str">
        <x:v>FNB _-) R845.00 paid from Current a_c..512781 @ Smartapp. Ref.Komatipoort. 20Feb 09_23.eml</x:v>
      </x:c>
      <x:c r="R442" s="15" t="str">
        <x:v>High</x:v>
      </x:c>
      <x:c r="S442" s="15" t="str">
        <x:v>Category confidence Low: Default outflow category; review counterparty/reference.</x:v>
      </x:c>
      <x:c r="T442" s="15" t="str"/>
      <x:c r="U442" s="15" t="str"/>
      <x:c r="V442" s="15" t="str">
        <x:v>Komatipoort</x:v>
      </x:c>
      <x:c r="W442" s="15" t="str">
        <x:v>Smartapp</x:v>
      </x:c>
      <x:c r="X442" s="15" t="str">
        <x:v>FNB :-) R845.00 paid from Current a/c..512781 @ Smartapp. Avail R51567. Ref.Komatipoort. 20Feb 09:23</x:v>
      </x:c>
      <x:c r="Y442" s="15" t="str">
        <x:v>13ef1499e41ee167</x:v>
      </x:c>
    </x:row>
    <x:row r="443">
      <x:c r="A443" s="34" t="n">
        <x:v>46073.39166666667</x:v>
      </x:c>
      <x:c r="B443" s="36" t="n">
        <x:v>46073</x:v>
      </x:c>
      <x:c r="C443" s="34" t="n">
        <x:v>46073.39173611111</x:v>
      </x:c>
      <x:c r="D443" s="15" t="str">
        <x:v>Current a/c..512781</x:v>
      </x:c>
      <x:c r="E443" s="15" t="str"/>
      <x:c r="F443" s="15" t="str">
        <x:v>R12000.00 paid to Current a/c..512781 @ Smartapp. Ref.Candace Osbourn. 20Feb 09:24</x:v>
      </x:c>
      <x:c r="G443" s="15" t="str">
        <x:v>Candace Osbourn</x:v>
      </x:c>
      <x:c r="H443" s="38" t="n">
        <x:v>12000</x:v>
      </x:c>
      <x:c r="I443" s="15" t="str">
        <x:v>ZAR</x:v>
      </x:c>
      <x:c r="J443" s="15" t="str">
        <x:v>Inflow</x:v>
      </x:c>
      <x:c r="K443" s="15" t="str">
        <x:v>EFT receipt</x:v>
      </x:c>
      <x:c r="L443" s="15" t="str">
        <x:v>Sales / customer receipts</x:v>
      </x:c>
      <x:c r="M443" s="38"/>
      <x:c r="N443" s="38"/>
      <x:c r="O443" s="15" t="str"/>
      <x:c r="P443" s="15" t="str">
        <x:v>eml_ALL_currentac__512781 (2).zip &gt; eml6currentac__512781.zip</x:v>
      </x:c>
      <x:c r="Q443" s="15" t="str">
        <x:v>FNB _-) R12000.00 paid to Current a_c..512781 @ Smartapp. Ref.Candace Osbourn. 20Feb 09_24.eml</x:v>
      </x:c>
      <x:c r="R443" s="15" t="str">
        <x:v>High</x:v>
      </x:c>
      <x:c r="S443" s="15" t="str">
        <x:v>Category confidence Medium: Default for incoming EFT/PayShap/online receipt.</x:v>
      </x:c>
      <x:c r="T443" s="15" t="str"/>
      <x:c r="U443" s="15" t="str"/>
      <x:c r="V443" s="15" t="str">
        <x:v>Candace Osbourn</x:v>
      </x:c>
      <x:c r="W443" s="15" t="str">
        <x:v>Smartapp</x:v>
      </x:c>
      <x:c r="X443" s="15" t="str">
        <x:v>FNB :-) R12000.00 paid to Current a/c..512781 @ Smartapp. Ref.Candace Osbourn. 20Feb 09:24</x:v>
      </x:c>
      <x:c r="Y443" s="15" t="str">
        <x:v>a41d23d0784e62b3</x:v>
      </x:c>
    </x:row>
    <x:row r="444">
      <x:c r="A444" s="34" t="n">
        <x:v>46073.572222222225</x:v>
      </x:c>
      <x:c r="B444" s="36" t="n">
        <x:v>46073</x:v>
      </x:c>
      <x:c r="C444" s="34" t="n">
        <x:v>46073.57277777778</x:v>
      </x:c>
      <x:c r="D444" s="15" t="str">
        <x:v>Current a/c..512781</x:v>
      </x:c>
      <x:c r="E444" s="15" t="str"/>
      <x:c r="F444" s="15" t="str">
        <x:v>R18036.32 paid to Current a/c..512781 @ Payshap. Ref.Ik Pay 487882. 20Feb 13:44</x:v>
      </x:c>
      <x:c r="G444" s="15" t="str">
        <x:v>Ik Pay 487882</x:v>
      </x:c>
      <x:c r="H444" s="38" t="n">
        <x:v>18036.32</x:v>
      </x:c>
      <x:c r="I444" s="15" t="str">
        <x:v>ZAR</x:v>
      </x:c>
      <x:c r="J444" s="15" t="str">
        <x:v>Inflow</x:v>
      </x:c>
      <x:c r="K444" s="15" t="str">
        <x:v>EFT receipt</x:v>
      </x:c>
      <x:c r="L444" s="15" t="str">
        <x:v>Sales / customer receipts</x:v>
      </x:c>
      <x:c r="M444" s="38"/>
      <x:c r="N444" s="38"/>
      <x:c r="O444" s="15" t="str"/>
      <x:c r="P444" s="15" t="str">
        <x:v>eml_ALL_currentac__512781 (2).zip &gt; eml6currentac__512781.zip</x:v>
      </x:c>
      <x:c r="Q444" s="15" t="str">
        <x:v>FNB _-) R18036.32 paid to Current a_c..512781 @ Payshap. Ref.Ik Pay 487882. 20Feb 13_44.eml</x:v>
      </x:c>
      <x:c r="R444" s="15" t="str">
        <x:v>High</x:v>
      </x:c>
      <x:c r="S444" s="15" t="str">
        <x:v>Category confidence Medium: Default for incoming EFT/PayShap/online receipt.</x:v>
      </x:c>
      <x:c r="T444" s="15" t="str"/>
      <x:c r="U444" s="15" t="str"/>
      <x:c r="V444" s="15" t="str">
        <x:v>Ik Pay 487882</x:v>
      </x:c>
      <x:c r="W444" s="15" t="str">
        <x:v>Payshap</x:v>
      </x:c>
      <x:c r="X444" s="15" t="str">
        <x:v>FNB :-) R18036.32 paid to Current a/c..512781 @ Payshap. Ref.Ik Pay 487882. 20Feb 13:44</x:v>
      </x:c>
      <x:c r="Y444" s="15" t="str">
        <x:v>1c3c1d82c582a5ae</x:v>
      </x:c>
    </x:row>
    <x:row r="445">
      <x:c r="A445" s="34" t="n">
        <x:v>46073.58125</x:v>
      </x:c>
      <x:c r="B445" s="36" t="n">
        <x:v>46073</x:v>
      </x:c>
      <x:c r="C445" s="34" t="n">
        <x:v>46073.581921296296</x:v>
      </x:c>
      <x:c r="D445" s="15" t="str">
        <x:v>Current a/c..512781</x:v>
      </x:c>
      <x:c r="E445" s="15" t="str"/>
      <x:c r="F445" s="15" t="str">
        <x:v>R6008.00 paid from Current a/c..512781 @ Smartapp. Avail R75588. Ref.Kruger Safari 1684. 20Feb 13:57</x:v>
      </x:c>
      <x:c r="G445" s="15" t="str">
        <x:v>Kruger Safari 1684</x:v>
      </x:c>
      <x:c r="H445" s="38" t="n">
        <x:v>6008</x:v>
      </x:c>
      <x:c r="I445" s="15" t="str">
        <x:v>ZAR</x:v>
      </x:c>
      <x:c r="J445" s="15" t="str">
        <x:v>Outflow</x:v>
      </x:c>
      <x:c r="K445" s="15" t="str">
        <x:v>EFT payment</x:v>
      </x:c>
      <x:c r="L445" s="15" t="str">
        <x:v>Supplier payments</x:v>
      </x:c>
      <x:c r="M445" s="38"/>
      <x:c r="N445" s="38" t="n">
        <x:v>75588</x:v>
      </x:c>
      <x:c r="O445" s="15" t="str"/>
      <x:c r="P445" s="15" t="str">
        <x:v>eml_ALL_currentac__512781 (2).zip &gt; eml6currentac__512781.zip</x:v>
      </x:c>
      <x:c r="Q445" s="15" t="str">
        <x:v>FNB _-) R6008.00 paid from Current a_c..512781 @ Smartapp. Ref.Kruger Safari 1684. 20Feb 13_57.eml</x:v>
      </x:c>
      <x:c r="R445" s="15" t="str">
        <x:v>High</x:v>
      </x:c>
      <x:c r="S445" s="15" t="str">
        <x:v>Category confidence Low: Default outflow category; review counterparty/reference.</x:v>
      </x:c>
      <x:c r="T445" s="15" t="str"/>
      <x:c r="U445" s="15" t="str"/>
      <x:c r="V445" s="15" t="str">
        <x:v>Kruger Safari 1684</x:v>
      </x:c>
      <x:c r="W445" s="15" t="str">
        <x:v>Smartapp</x:v>
      </x:c>
      <x:c r="X445" s="15" t="str">
        <x:v>FNB :-) R6008.00 paid from Current a/c..512781 @ Smartapp. Avail R75588. Ref.Kruger Safari 1684. 20Feb 13:57</x:v>
      </x:c>
      <x:c r="Y445" s="15" t="str">
        <x:v>39794b46dc18a3ef</x:v>
      </x:c>
    </x:row>
    <x:row r="446">
      <x:c r="A446" s="34" t="n">
        <x:v>46073.69652777778</x:v>
      </x:c>
      <x:c r="B446" s="36" t="n">
        <x:v>46073</x:v>
      </x:c>
      <x:c r="C446" s="34" t="n">
        <x:v>46073.6968287037</x:v>
      </x:c>
      <x:c r="D446" s="15" t="str">
        <x:v>Current a/c..512781</x:v>
      </x:c>
      <x:c r="E446" s="15" t="str">
        <x:v>card..2924</x:v>
      </x:c>
      <x:c r="F446" s="15" t="str">
        <x:v>R149.70 reserved for purchase @ Oasis Water Komatipo from Current a/c..512781 using card..2924. Avail R75438. 20Feb 16:43</x:v>
      </x:c>
      <x:c r="G446" s="15" t="str">
        <x:v>Oasis Water Komatipo</x:v>
      </x:c>
      <x:c r="H446" s="38" t="n">
        <x:v>149.7</x:v>
      </x:c>
      <x:c r="I446" s="15" t="str">
        <x:v>ZAR</x:v>
      </x:c>
      <x:c r="J446" s="15" t="str">
        <x:v>Outflow</x:v>
      </x:c>
      <x:c r="K446" s="15" t="str">
        <x:v>Card purchase</x:v>
      </x:c>
      <x:c r="L446" s="15" t="str">
        <x:v>Supplier payments</x:v>
      </x:c>
      <x:c r="M446" s="38"/>
      <x:c r="N446" s="38" t="n">
        <x:v>75438</x:v>
      </x:c>
      <x:c r="O446" s="15" t="str"/>
      <x:c r="P446" s="15" t="str">
        <x:v>eml_ALL_currentac__512781 (2).zip &gt; eml6currentac__512781.zip</x:v>
      </x:c>
      <x:c r="Q446" s="15" t="str">
        <x:v>FNB _-) R149.70 reserved for purchase @ Oasis Water Komatipo from Current a_c..512781 using card..2924. 20Feb 16_43.eml</x:v>
      </x:c>
      <x:c r="R446" s="15" t="str">
        <x:v>High</x:v>
      </x:c>
      <x:c r="S446" s="15" t="str">
        <x:v>Category confidence Medium: Retail/supplier merchant keyword.</x:v>
      </x:c>
      <x:c r="T446" s="15" t="str"/>
      <x:c r="U446" s="15" t="str"/>
      <x:c r="V446" s="15" t="str"/>
      <x:c r="W446" s="15" t="str"/>
      <x:c r="X446" s="15" t="str">
        <x:v>FNB :-) R149.70 reserved for purchase @ Oasis Water Komatipo from Current a/c..512781 using card..2924. Avail R75438. 20Feb 16:43</x:v>
      </x:c>
      <x:c r="Y446" s="15" t="str">
        <x:v>1015f86f74b86480</x:v>
      </x:c>
    </x:row>
    <x:row r="447">
      <x:c r="A447" s="34" t="n">
        <x:v>46073.711805555555</x:v>
      </x:c>
      <x:c r="B447" s="36" t="n">
        <x:v>46073</x:v>
      </x:c>
      <x:c r="C447" s="34" t="n">
        <x:v>46073.711851851855</x:v>
      </x:c>
      <x:c r="D447" s="15" t="str">
        <x:v>Current a/c..512781</x:v>
      </x:c>
      <x:c r="E447" s="15" t="str">
        <x:v>card..2924</x:v>
      </x:c>
      <x:c r="F447" s="15" t="str">
        <x:v>R693.43 reserved for purchase @ Superspar Komatipoor from Current a/c..512781 using card..2924. Avail R74744. 20Feb 17:05</x:v>
      </x:c>
      <x:c r="G447" s="15" t="str">
        <x:v>Superspar Komatipoor</x:v>
      </x:c>
      <x:c r="H447" s="38" t="n">
        <x:v>693.43</x:v>
      </x:c>
      <x:c r="I447" s="15" t="str">
        <x:v>ZAR</x:v>
      </x:c>
      <x:c r="J447" s="15" t="str">
        <x:v>Outflow</x:v>
      </x:c>
      <x:c r="K447" s="15" t="str">
        <x:v>Card purchase</x:v>
      </x:c>
      <x:c r="L447" s="15" t="str">
        <x:v>Supplier payments</x:v>
      </x:c>
      <x:c r="M447" s="38"/>
      <x:c r="N447" s="38" t="n">
        <x:v>74744</x:v>
      </x:c>
      <x:c r="O447" s="15" t="str"/>
      <x:c r="P447" s="15" t="str">
        <x:v>eml_ALL_currentac__512781 (2).zip &gt; eml6currentac__512781.zip</x:v>
      </x:c>
      <x:c r="Q447" s="15" t="str">
        <x:v>FNB _-) R693.43 reserved for purchase @ Superspar Komatipoor from Current a_c..512781 using card..2924. 20Feb 17_05.eml</x:v>
      </x:c>
      <x:c r="R447" s="15" t="str">
        <x:v>High</x:v>
      </x:c>
      <x:c r="S447" s="15" t="str">
        <x:v>Category confidence Medium: Retail/supplier merchant keyword.</x:v>
      </x:c>
      <x:c r="T447" s="15" t="str"/>
      <x:c r="U447" s="15" t="str"/>
      <x:c r="V447" s="15" t="str"/>
      <x:c r="W447" s="15" t="str"/>
      <x:c r="X447" s="15" t="str">
        <x:v>FNB :-) R693.43 reserved for purchase @ Superspar Komatipoor from Current a/c..512781 using card..2924. Avail R74744. 20Feb 17:05</x:v>
      </x:c>
      <x:c r="Y447" s="15" t="str">
        <x:v>6954e98a4afe7943</x:v>
      </x:c>
    </x:row>
    <x:row r="448">
      <x:c r="A448" s="34" t="n">
        <x:v>46073.80416666667</x:v>
      </x:c>
      <x:c r="B448" s="36" t="n">
        <x:v>46073</x:v>
      </x:c>
      <x:c r="C448" s="34" t="n">
        <x:v>46073.80427083333</x:v>
      </x:c>
      <x:c r="D448" s="15" t="str">
        <x:v>Current a/c..512781</x:v>
      </x:c>
      <x:c r="E448" s="15" t="str"/>
      <x:c r="F448" s="15" t="str">
        <x:v>Payment Link created from Current a/c..512781 To Ms Cp Nsingwane..561030 @ Smartapp. 20Feb 19:18 Call 087 575 9404 for help.</x:v>
      </x:c>
      <x:c r="G448" s="15" t="str">
        <x:v>Ms Cp Nsingwane..561030</x:v>
      </x:c>
      <x:c r="H448" s="38"/>
      <x:c r="I448" s="15" t="str"/>
      <x:c r="J448" s="15" t="str">
        <x:v>Neutral/Information Only</x:v>
      </x:c>
      <x:c r="K448" s="15" t="str">
        <x:v>Other</x:v>
      </x:c>
      <x:c r="L448" s="15" t="str">
        <x:v>Other</x:v>
      </x:c>
      <x:c r="M448" s="38"/>
      <x:c r="N448" s="38"/>
      <x:c r="O448" s="15" t="str"/>
      <x:c r="P448" s="15" t="str">
        <x:v>eml_ALL_currentac__512781 (2).zip &gt; eml6currentac__512781.zip</x:v>
      </x:c>
      <x:c r="Q448" s="15" t="str">
        <x:v>FNB _-) Payment Link created from Current a_c..512781 To Ms Cp Nsingwane..561030 @ Smartapp. 20Feb 19_18 Call 087 575 9404  for help..eml</x:v>
      </x:c>
      <x:c r="R448" s="15" t="str">
        <x:v>High</x:v>
      </x:c>
      <x:c r="S448" s="15" t="str">
        <x:v>Payment link creation only; no money movement indicated. Category confidence Low: Unable to map confidently.</x:v>
      </x:c>
      <x:c r="T448" s="15" t="str">
        <x:v>Current a/c..512781</x:v>
      </x:c>
      <x:c r="U448" s="15" t="str">
        <x:v>Ms Cp Nsingwane..561030</x:v>
      </x:c>
      <x:c r="V448" s="15" t="str"/>
      <x:c r="W448" s="15" t="str">
        <x:v>Smartapp</x:v>
      </x:c>
      <x:c r="X448" s="15" t="str">
        <x:v>FNB :-) Payment Link created from Current a/c..512781 To Ms Cp Nsingwane..561030 @ Smartapp. 20Feb 19:18 Call 087 575 9404 for help.</x:v>
      </x:c>
      <x:c r="Y448" s="15" t="str">
        <x:v>f82e5b54b9456a6a</x:v>
      </x:c>
    </x:row>
    <x:row r="449">
      <x:c r="A449" s="34" t="n">
        <x:v>46073.80416666667</x:v>
      </x:c>
      <x:c r="B449" s="36" t="n">
        <x:v>46073</x:v>
      </x:c>
      <x:c r="C449" s="34" t="n">
        <x:v>46073.80440972222</x:v>
      </x:c>
      <x:c r="D449" s="15" t="str">
        <x:v>Current a/c..512781</x:v>
      </x:c>
      <x:c r="E449" s="15" t="str"/>
      <x:c r="F449" s="15" t="str">
        <x:v>R2000.00 paid from Current a/c..512781 @ Smartapp. Avail R72741. Ref.Gas. 20Feb 19:18</x:v>
      </x:c>
      <x:c r="G449" s="15" t="str">
        <x:v>Gas</x:v>
      </x:c>
      <x:c r="H449" s="38" t="n">
        <x:v>2000</x:v>
      </x:c>
      <x:c r="I449" s="15" t="str">
        <x:v>ZAR</x:v>
      </x:c>
      <x:c r="J449" s="15" t="str">
        <x:v>Outflow</x:v>
      </x:c>
      <x:c r="K449" s="15" t="str">
        <x:v>EFT payment</x:v>
      </x:c>
      <x:c r="L449" s="15" t="str">
        <x:v>Supplier payments</x:v>
      </x:c>
      <x:c r="M449" s="38"/>
      <x:c r="N449" s="38" t="n">
        <x:v>72741</x:v>
      </x:c>
      <x:c r="O449" s="15" t="str"/>
      <x:c r="P449" s="15" t="str">
        <x:v>eml_ALL_currentac__512781 (2).zip &gt; eml6currentac__512781.zip</x:v>
      </x:c>
      <x:c r="Q449" s="15" t="str">
        <x:v>FNB _-) R2000.00 paid from Current a_c..512781 @ Smartapp. Ref.Gas. 20Feb 19_18.eml</x:v>
      </x:c>
      <x:c r="R449" s="15" t="str">
        <x:v>High</x:v>
      </x:c>
      <x:c r="S449" s="15" t="str">
        <x:v>Category confidence Low: Default outflow category; review counterparty/reference.</x:v>
      </x:c>
      <x:c r="T449" s="15" t="str"/>
      <x:c r="U449" s="15" t="str"/>
      <x:c r="V449" s="15" t="str">
        <x:v>Gas</x:v>
      </x:c>
      <x:c r="W449" s="15" t="str">
        <x:v>Smartapp</x:v>
      </x:c>
      <x:c r="X449" s="15" t="str">
        <x:v>FNB :-) R2000.00 paid from Current a/c..512781 @ Smartapp. Avail R72741. Ref.Gas. 20Feb 19:18</x:v>
      </x:c>
      <x:c r="Y449" s="15" t="str">
        <x:v>e3dbfa5c8414962d</x:v>
      </x:c>
    </x:row>
    <x:row r="450">
      <x:c r="A450" s="34" t="n">
        <x:v>46073.84305555555</x:v>
      </x:c>
      <x:c r="B450" s="36" t="n">
        <x:v>46073</x:v>
      </x:c>
      <x:c r="C450" s="34" t="n">
        <x:v>46073.84306712963</x:v>
      </x:c>
      <x:c r="D450" s="15" t="str">
        <x:v>Current a/c..512781</x:v>
      </x:c>
      <x:c r="E450" s="15" t="str">
        <x:v>card..2924</x:v>
      </x:c>
      <x:c r="F450" s="15" t="str">
        <x:v>R185.00 reserved for purchase @ The Tin Shack from Current a/c..512781 using card..2924. Avail R72556. 20Feb 20:14</x:v>
      </x:c>
      <x:c r="G450" s="15" t="str">
        <x:v>The Tin Shack</x:v>
      </x:c>
      <x:c r="H450" s="38" t="n">
        <x:v>185</x:v>
      </x:c>
      <x:c r="I450" s="15" t="str">
        <x:v>ZAR</x:v>
      </x:c>
      <x:c r="J450" s="15" t="str">
        <x:v>Outflow</x:v>
      </x:c>
      <x:c r="K450" s="15" t="str">
        <x:v>Card purchase</x:v>
      </x:c>
      <x:c r="L450" s="15" t="str">
        <x:v>Meals / restaurants / entertainment</x:v>
      </x:c>
      <x:c r="M450" s="38"/>
      <x:c r="N450" s="38" t="n">
        <x:v>72556</x:v>
      </x:c>
      <x:c r="O450" s="15" t="str"/>
      <x:c r="P450" s="15" t="str">
        <x:v>eml_ALL_currentac__512781 (2).zip &gt; eml6currentac__512781.zip</x:v>
      </x:c>
      <x:c r="Q450" s="15" t="str">
        <x:v>FNB _-) R185.00 reserved for purchase @ The Tin Shack from Current a_c..512781 using card..2924. 20Feb 20_14.eml</x:v>
      </x:c>
      <x:c r="R450" s="15" t="str">
        <x:v>High</x:v>
      </x:c>
      <x:c r="S450" s="15" t="str"/>
      <x:c r="T450" s="15" t="str"/>
      <x:c r="U450" s="15" t="str"/>
      <x:c r="V450" s="15" t="str"/>
      <x:c r="W450" s="15" t="str"/>
      <x:c r="X450" s="15" t="str">
        <x:v>FNB :-) R185.00 reserved for purchase @ The Tin Shack from Current a/c..512781 using card..2924. Avail R72556. 20Feb 20:14</x:v>
      </x:c>
      <x:c r="Y450" s="15" t="str">
        <x:v>074e5e2421a4171e</x:v>
      </x:c>
    </x:row>
    <x:row r="451">
      <x:c r="A451" s="34" t="n">
        <x:v>46074.433333333334</x:v>
      </x:c>
      <x:c r="B451" s="36" t="n">
        <x:v>46074</x:v>
      </x:c>
      <x:c r="C451" s="34" t="n">
        <x:v>46074.43366898148</x:v>
      </x:c>
      <x:c r="D451" s="15" t="str">
        <x:v>Current a/c..512781</x:v>
      </x:c>
      <x:c r="E451" s="15" t="str">
        <x:v>card..2924</x:v>
      </x:c>
      <x:c r="F451" s="15" t="str">
        <x:v>R1201.40 reserved for purchase @ Savemor Marloth from Current a/c..512781 using card..2924. Avail R71335. 21Feb 10:24</x:v>
      </x:c>
      <x:c r="G451" s="15" t="str">
        <x:v>Savemor Marloth</x:v>
      </x:c>
      <x:c r="H451" s="38" t="n">
        <x:v>1201.4</x:v>
      </x:c>
      <x:c r="I451" s="15" t="str">
        <x:v>ZAR</x:v>
      </x:c>
      <x:c r="J451" s="15" t="str">
        <x:v>Outflow</x:v>
      </x:c>
      <x:c r="K451" s="15" t="str">
        <x:v>Card purchase</x:v>
      </x:c>
      <x:c r="L451" s="15" t="str">
        <x:v>Supplier payments</x:v>
      </x:c>
      <x:c r="M451" s="38"/>
      <x:c r="N451" s="38" t="n">
        <x:v>71335</x:v>
      </x:c>
      <x:c r="O451" s="15" t="str"/>
      <x:c r="P451" s="15" t="str">
        <x:v>eml_ALL_currentac__512781 (2).zip &gt; eml6currentac__512781.zip</x:v>
      </x:c>
      <x:c r="Q451" s="15" t="str">
        <x:v>FNB _-) R1201.40 reserved for purchase @ Savemor Marloth from Current a_c..512781 using card..2924. 21Feb 10_24.eml</x:v>
      </x:c>
      <x:c r="R451" s="15" t="str">
        <x:v>High</x:v>
      </x:c>
      <x:c r="S451" s="15" t="str">
        <x:v>Category confidence Medium: Retail/supplier merchant keyword.</x:v>
      </x:c>
      <x:c r="T451" s="15" t="str"/>
      <x:c r="U451" s="15" t="str"/>
      <x:c r="V451" s="15" t="str"/>
      <x:c r="W451" s="15" t="str"/>
      <x:c r="X451" s="15" t="str">
        <x:v>FNB :-) R1201.40 reserved for purchase @ Savemor Marloth from Current a/c..512781 using card..2924. Avail R71335. 21Feb 10:24</x:v>
      </x:c>
      <x:c r="Y451" s="15" t="str">
        <x:v>3a475db786c97b16</x:v>
      </x:c>
    </x:row>
    <x:row r="452">
      <x:c r="A452" s="34" t="n">
        <x:v>46074.45486111111</x:v>
      </x:c>
      <x:c r="B452" s="36" t="n">
        <x:v>46074</x:v>
      </x:c>
      <x:c r="C452" s="34" t="n">
        <x:v>46074.45552083333</x:v>
      </x:c>
      <x:c r="D452" s="15" t="str">
        <x:v>Current a/c..512781</x:v>
      </x:c>
      <x:c r="E452" s="15" t="str">
        <x:v>card..2924</x:v>
      </x:c>
      <x:c r="F452" s="15" t="str">
        <x:v>R316.00 reserved for purchase @ Komati Liquor from Current a/c..512781 using card..2924. Avail R71019. 21Feb 10:55</x:v>
      </x:c>
      <x:c r="G452" s="15" t="str">
        <x:v>Komati Liquor</x:v>
      </x:c>
      <x:c r="H452" s="38" t="n">
        <x:v>316</x:v>
      </x:c>
      <x:c r="I452" s="15" t="str">
        <x:v>ZAR</x:v>
      </x:c>
      <x:c r="J452" s="15" t="str">
        <x:v>Outflow</x:v>
      </x:c>
      <x:c r="K452" s="15" t="str">
        <x:v>Card purchase</x:v>
      </x:c>
      <x:c r="L452" s="15" t="str">
        <x:v>Meals / restaurants / entertainment</x:v>
      </x:c>
      <x:c r="M452" s="38"/>
      <x:c r="N452" s="38" t="n">
        <x:v>71019</x:v>
      </x:c>
      <x:c r="O452" s="15" t="str"/>
      <x:c r="P452" s="15" t="str">
        <x:v>eml_ALL_currentac__512781 (2).zip &gt; eml6currentac__512781.zip</x:v>
      </x:c>
      <x:c r="Q452" s="15" t="str">
        <x:v>FNB _-) R316.00 reserved for purchase @ Komati Liquor from Current a_c..512781 using card..2924. 21Feb 10_55.eml</x:v>
      </x:c>
      <x:c r="R452" s="15" t="str">
        <x:v>High</x:v>
      </x:c>
      <x:c r="S452" s="15" t="str"/>
      <x:c r="T452" s="15" t="str"/>
      <x:c r="U452" s="15" t="str"/>
      <x:c r="V452" s="15" t="str"/>
      <x:c r="W452" s="15" t="str"/>
      <x:c r="X452" s="15" t="str">
        <x:v>FNB :-) R316.00 reserved for purchase @ Komati Liquor from Current a/c..512781 using card..2924. Avail R71019. 21Feb 10:55</x:v>
      </x:c>
      <x:c r="Y452" s="15" t="str">
        <x:v>2ddc5fe6255131f5</x:v>
      </x:c>
    </x:row>
    <x:row r="453">
      <x:c r="A453" s="34" t="n">
        <x:v>46074.461805555555</x:v>
      </x:c>
      <x:c r="B453" s="36" t="n">
        <x:v>46074</x:v>
      </x:c>
      <x:c r="C453" s="34" t="n">
        <x:v>46074.46244212963</x:v>
      </x:c>
      <x:c r="D453" s="15" t="str">
        <x:v>Current a/c..512781</x:v>
      </x:c>
      <x:c r="E453" s="15" t="str">
        <x:v>card..2924</x:v>
      </x:c>
      <x:c r="F453" s="15" t="str">
        <x:v>R700.00 reserved for purchase @ Eastern Border Fuels from Current a/c..512781 using card..2924. Avail R70319. 21Feb 11:05</x:v>
      </x:c>
      <x:c r="G453" s="15" t="str">
        <x:v>Eastern Border Fuels</x:v>
      </x:c>
      <x:c r="H453" s="38" t="n">
        <x:v>700</x:v>
      </x:c>
      <x:c r="I453" s="15" t="str">
        <x:v>ZAR</x:v>
      </x:c>
      <x:c r="J453" s="15" t="str">
        <x:v>Outflow</x:v>
      </x:c>
      <x:c r="K453" s="15" t="str">
        <x:v>Card purchase</x:v>
      </x:c>
      <x:c r="L453" s="15" t="str">
        <x:v>Fuel / transport</x:v>
      </x:c>
      <x:c r="M453" s="38"/>
      <x:c r="N453" s="38" t="n">
        <x:v>70319</x:v>
      </x:c>
      <x:c r="O453" s="15" t="str"/>
      <x:c r="P453" s="15" t="str">
        <x:v>eml_ALL_currentac__512781 (2).zip &gt; eml6currentac__512781.zip</x:v>
      </x:c>
      <x:c r="Q453" s="15" t="str">
        <x:v>FNB _-) R700.00 reserved for purchase @ Eastern Border Fuels from Current a_c..512781 using card..2924. 21Feb 11_05.eml</x:v>
      </x:c>
      <x:c r="R453" s="15" t="str">
        <x:v>High</x:v>
      </x:c>
      <x:c r="S453" s="15" t="str"/>
      <x:c r="T453" s="15" t="str"/>
      <x:c r="U453" s="15" t="str"/>
      <x:c r="V453" s="15" t="str"/>
      <x:c r="W453" s="15" t="str"/>
      <x:c r="X453" s="15" t="str">
        <x:v>FNB :-) R700.00 reserved for purchase @ Eastern Border Fuels from Current a/c..512781 using card..2924. Avail R70319. 21Feb 11:05</x:v>
      </x:c>
      <x:c r="Y453" s="15" t="str">
        <x:v>b7a618f2bada5322</x:v>
      </x:c>
    </x:row>
    <x:row r="454">
      <x:c r="A454" s="34" t="n">
        <x:v>46074.481944444444</x:v>
      </x:c>
      <x:c r="B454" s="36" t="n">
        <x:v>46074</x:v>
      </x:c>
      <x:c r="C454" s="34" t="n">
        <x:v>46074.482303240744</x:v>
      </x:c>
      <x:c r="D454" s="15" t="str">
        <x:v>Current a/c..512781</x:v>
      </x:c>
      <x:c r="E454" s="15" t="str">
        <x:v>card..2924</x:v>
      </x:c>
      <x:c r="F454" s="15" t="str">
        <x:v>R475.39 reserved for purchase @ Superspar Komatipoor from Current a/c..512781 using card..2924. Avail R69843. 21Feb 11:34</x:v>
      </x:c>
      <x:c r="G454" s="15" t="str">
        <x:v>Superspar Komatipoor</x:v>
      </x:c>
      <x:c r="H454" s="38" t="n">
        <x:v>475.39</x:v>
      </x:c>
      <x:c r="I454" s="15" t="str">
        <x:v>ZAR</x:v>
      </x:c>
      <x:c r="J454" s="15" t="str">
        <x:v>Outflow</x:v>
      </x:c>
      <x:c r="K454" s="15" t="str">
        <x:v>Card purchase</x:v>
      </x:c>
      <x:c r="L454" s="15" t="str">
        <x:v>Supplier payments</x:v>
      </x:c>
      <x:c r="M454" s="38"/>
      <x:c r="N454" s="38" t="n">
        <x:v>69843</x:v>
      </x:c>
      <x:c r="O454" s="15" t="str"/>
      <x:c r="P454" s="15" t="str">
        <x:v>eml_ALL_currentac__512781 (2).zip &gt; eml6currentac__512781.zip</x:v>
      </x:c>
      <x:c r="Q454" s="15" t="str">
        <x:v>FNB _-) R475.39 reserved for purchase @ Superspar Komatipoor from Current a_c..512781 using card..2924. 21Feb 11_34.eml</x:v>
      </x:c>
      <x:c r="R454" s="15" t="str">
        <x:v>High</x:v>
      </x:c>
      <x:c r="S454" s="15" t="str">
        <x:v>Category confidence Medium: Retail/supplier merchant keyword.</x:v>
      </x:c>
      <x:c r="T454" s="15" t="str"/>
      <x:c r="U454" s="15" t="str"/>
      <x:c r="V454" s="15" t="str"/>
      <x:c r="W454" s="15" t="str"/>
      <x:c r="X454" s="15" t="str">
        <x:v>FNB :-) R475.39 reserved for purchase @ Superspar Komatipoor from Current a/c..512781 using card..2924. Avail R69843. 21Feb 11:34</x:v>
      </x:c>
      <x:c r="Y454" s="15" t="str">
        <x:v>2d215da35f12329e</x:v>
      </x:c>
    </x:row>
    <x:row r="455">
      <x:c r="A455" s="34" t="n">
        <x:v>46074.52222222222</x:v>
      </x:c>
      <x:c r="B455" s="36" t="n">
        <x:v>46074</x:v>
      </x:c>
      <x:c r="C455" s="34" t="n">
        <x:v>46074.52228009259</x:v>
      </x:c>
      <x:c r="D455" s="15" t="str">
        <x:v>Current a/c..512781</x:v>
      </x:c>
      <x:c r="E455" s="15" t="str">
        <x:v>card..2924</x:v>
      </x:c>
      <x:c r="F455" s="15" t="str">
        <x:v>R200.00 reserved for purchase @ Marlothi Petrol Stat from Current a/c..512781 using card..2924. Avail R69600. 21Feb 12:32</x:v>
      </x:c>
      <x:c r="G455" s="15" t="str">
        <x:v>Marlothi Petrol Stat</x:v>
      </x:c>
      <x:c r="H455" s="38" t="n">
        <x:v>200</x:v>
      </x:c>
      <x:c r="I455" s="15" t="str">
        <x:v>ZAR</x:v>
      </x:c>
      <x:c r="J455" s="15" t="str">
        <x:v>Outflow</x:v>
      </x:c>
      <x:c r="K455" s="15" t="str">
        <x:v>Card purchase</x:v>
      </x:c>
      <x:c r="L455" s="15" t="str">
        <x:v>Fuel / transport</x:v>
      </x:c>
      <x:c r="M455" s="38"/>
      <x:c r="N455" s="38" t="n">
        <x:v>69600</x:v>
      </x:c>
      <x:c r="O455" s="15" t="str"/>
      <x:c r="P455" s="15" t="str">
        <x:v>eml_ALL_currentac__512781 (2).zip &gt; eml6currentac__512781.zip</x:v>
      </x:c>
      <x:c r="Q455" s="15" t="str">
        <x:v>FNB _-) R200.00 reserved for purchase @ Marlothi Petrol Stat from Current a_c..512781 using card..2924. 21Feb 12_32.eml</x:v>
      </x:c>
      <x:c r="R455" s="15" t="str">
        <x:v>High</x:v>
      </x:c>
      <x:c r="S455" s="15" t="str"/>
      <x:c r="T455" s="15" t="str"/>
      <x:c r="U455" s="15" t="str"/>
      <x:c r="V455" s="15" t="str"/>
      <x:c r="W455" s="15" t="str"/>
      <x:c r="X455" s="15" t="str">
        <x:v>FNB :-) R200.00 reserved for purchase @ Marlothi Petrol Stat from Current a/c..512781 using card..2924. Avail R69600. 21Feb 12:32</x:v>
      </x:c>
      <x:c r="Y455" s="15" t="str">
        <x:v>9ea5ef0099427e02</x:v>
      </x:c>
    </x:row>
    <x:row r="456">
      <x:c r="A456" s="34" t="n">
        <x:v>46074.527083333334</x:v>
      </x:c>
      <x:c r="B456" s="36" t="n">
        <x:v>46074</x:v>
      </x:c>
      <x:c r="C456" s="34" t="n">
        <x:v>46074.527291666665</x:v>
      </x:c>
      <x:c r="D456" s="15" t="str">
        <x:v>Current a/c..512781</x:v>
      </x:c>
      <x:c r="E456" s="15" t="str">
        <x:v>card..2924</x:v>
      </x:c>
      <x:c r="F456" s="15" t="str">
        <x:v>R161.96 reserved for purchase @ Savemor Marloth from Current a/c..512781 using card..2924. Avail R69438. 21Feb 12:39</x:v>
      </x:c>
      <x:c r="G456" s="15" t="str">
        <x:v>Savemor Marloth</x:v>
      </x:c>
      <x:c r="H456" s="38" t="n">
        <x:v>161.96</x:v>
      </x:c>
      <x:c r="I456" s="15" t="str">
        <x:v>ZAR</x:v>
      </x:c>
      <x:c r="J456" s="15" t="str">
        <x:v>Outflow</x:v>
      </x:c>
      <x:c r="K456" s="15" t="str">
        <x:v>Card purchase</x:v>
      </x:c>
      <x:c r="L456" s="15" t="str">
        <x:v>Supplier payments</x:v>
      </x:c>
      <x:c r="M456" s="38"/>
      <x:c r="N456" s="38" t="n">
        <x:v>69438</x:v>
      </x:c>
      <x:c r="O456" s="15" t="str"/>
      <x:c r="P456" s="15" t="str">
        <x:v>eml_ALL_currentac__512781 (2).zip &gt; eml6currentac__512781.zip</x:v>
      </x:c>
      <x:c r="Q456" s="15" t="str">
        <x:v>FNB _-) R161.96 reserved for purchase @ Savemor Marloth from Current a_c..512781 using card..2924. 21Feb 12_39.eml</x:v>
      </x:c>
      <x:c r="R456" s="15" t="str">
        <x:v>High</x:v>
      </x:c>
      <x:c r="S456" s="15" t="str">
        <x:v>Category confidence Medium: Retail/supplier merchant keyword.</x:v>
      </x:c>
      <x:c r="T456" s="15" t="str"/>
      <x:c r="U456" s="15" t="str"/>
      <x:c r="V456" s="15" t="str"/>
      <x:c r="W456" s="15" t="str"/>
      <x:c r="X456" s="15" t="str">
        <x:v>FNB :-) R161.96 reserved for purchase @ Savemor Marloth from Current a/c..512781 using card..2924. Avail R69438. 21Feb 12:39</x:v>
      </x:c>
      <x:c r="Y456" s="15" t="str">
        <x:v>b270357ea7c68a03</x:v>
      </x:c>
    </x:row>
    <x:row r="457">
      <x:c r="A457" s="34" t="n">
        <x:v>46074.819444444445</x:v>
      </x:c>
      <x:c r="B457" s="36" t="n">
        <x:v>46074</x:v>
      </x:c>
      <x:c r="C457" s="34" t="n">
        <x:v>46074.81972222222</x:v>
      </x:c>
      <x:c r="D457" s="15" t="str">
        <x:v>Current a/c..512781</x:v>
      </x:c>
      <x:c r="E457" s="15" t="str"/>
      <x:c r="F457" s="15" t="str">
        <x:v>R500.00 paid from Current a/c..512781 @ Smartapp. Avail R68936. Ref.Electricity 04294887. 21Feb 19:40</x:v>
      </x:c>
      <x:c r="G457" s="15" t="str">
        <x:v>Electricity 04294887</x:v>
      </x:c>
      <x:c r="H457" s="38" t="n">
        <x:v>500</x:v>
      </x:c>
      <x:c r="I457" s="15" t="str">
        <x:v>ZAR</x:v>
      </x:c>
      <x:c r="J457" s="15" t="str">
        <x:v>Outflow</x:v>
      </x:c>
      <x:c r="K457" s="15" t="str">
        <x:v>EFT payment</x:v>
      </x:c>
      <x:c r="L457" s="15" t="str">
        <x:v>Telecom / utilities</x:v>
      </x:c>
      <x:c r="M457" s="38"/>
      <x:c r="N457" s="38" t="n">
        <x:v>68936</x:v>
      </x:c>
      <x:c r="O457" s="15" t="str"/>
      <x:c r="P457" s="15" t="str">
        <x:v>eml_ALL_currentac__512781 (2).zip &gt; eml6currentac__512781.zip</x:v>
      </x:c>
      <x:c r="Q457" s="15" t="str">
        <x:v>FNB _-) R500.00 paid from Current a_c..512781 @ Smartapp. Ref.Electricity 04294887. 21Feb 19_40.eml</x:v>
      </x:c>
      <x:c r="R457" s="15" t="str">
        <x:v>High</x:v>
      </x:c>
      <x:c r="S457" s="15" t="str"/>
      <x:c r="T457" s="15" t="str"/>
      <x:c r="U457" s="15" t="str"/>
      <x:c r="V457" s="15" t="str">
        <x:v>Electricity 04294887</x:v>
      </x:c>
      <x:c r="W457" s="15" t="str">
        <x:v>Smartapp</x:v>
      </x:c>
      <x:c r="X457" s="15" t="str">
        <x:v>FNB :-) R500.00 paid from Current a/c..512781 @ Smartapp. Avail R68936. Ref.Electricity 04294887. 21Feb 19:40</x:v>
      </x:c>
      <x:c r="Y457" s="15" t="str">
        <x:v>b83d9e6414d0a5f7</x:v>
      </x:c>
    </x:row>
    <x:row r="458">
      <x:c r="A458" s="34" t="n">
        <x:v>46075.39097222222</x:v>
      </x:c>
      <x:c r="B458" s="36" t="n">
        <x:v>46075</x:v>
      </x:c>
      <x:c r="C458" s="34" t="n">
        <x:v>46075.391122685185</x:v>
      </x:c>
      <x:c r="D458" s="15" t="str">
        <x:v>Current a/c..512781</x:v>
      </x:c>
      <x:c r="E458" s="15" t="str"/>
      <x:c r="F458" s="15" t="str">
        <x:v>R512.33 paid to Current a/c..512781 @ Payshap. Ref.#inv-000167. 22Feb 09:23</x:v>
      </x:c>
      <x:c r="G458" s="15" t="str">
        <x:v>#inv-000167</x:v>
      </x:c>
      <x:c r="H458" s="38" t="n">
        <x:v>512.33</x:v>
      </x:c>
      <x:c r="I458" s="15" t="str">
        <x:v>ZAR</x:v>
      </x:c>
      <x:c r="J458" s="15" t="str">
        <x:v>Inflow</x:v>
      </x:c>
      <x:c r="K458" s="15" t="str">
        <x:v>EFT receipt</x:v>
      </x:c>
      <x:c r="L458" s="15" t="str">
        <x:v>Sales / customer receipts</x:v>
      </x:c>
      <x:c r="M458" s="38"/>
      <x:c r="N458" s="38"/>
      <x:c r="O458" s="15" t="str"/>
      <x:c r="P458" s="15" t="str">
        <x:v>eml_ALL_currentac__512781 (2).zip &gt; eml6currentac__512781.zip</x:v>
      </x:c>
      <x:c r="Q458" s="15" t="str">
        <x:v>FNB _-) R512.33 paid to Current a_c..512781 @ Payshap. Ref.#inv-000167. 22Feb 09_23.eml</x:v>
      </x:c>
      <x:c r="R458" s="15" t="str">
        <x:v>High</x:v>
      </x:c>
      <x:c r="S458" s="15" t="str">
        <x:v>Category confidence Medium: Default for incoming EFT/PayShap/online receipt.</x:v>
      </x:c>
      <x:c r="T458" s="15" t="str"/>
      <x:c r="U458" s="15" t="str"/>
      <x:c r="V458" s="15" t="str">
        <x:v>#inv-000167</x:v>
      </x:c>
      <x:c r="W458" s="15" t="str">
        <x:v>Payshap</x:v>
      </x:c>
      <x:c r="X458" s="15" t="str">
        <x:v>FNB :-) R512.33 paid to Current a/c..512781 @ Payshap. Ref.#inv-000167. 22Feb 09:23</x:v>
      </x:c>
      <x:c r="Y458" s="15" t="str">
        <x:v>0b44b7aca0603998</x:v>
      </x:c>
    </x:row>
    <x:row r="459">
      <x:c r="A459" s="34" t="n">
        <x:v>46075.50902777778</x:v>
      </x:c>
      <x:c r="B459" s="36" t="n">
        <x:v>46075</x:v>
      </x:c>
      <x:c r="C459" s="34" t="n">
        <x:v>46075.50959490741</x:v>
      </x:c>
      <x:c r="D459" s="15" t="str">
        <x:v>Current a/c..512781</x:v>
      </x:c>
      <x:c r="E459" s="15" t="str"/>
      <x:c r="F459" s="15" t="str">
        <x:v>R350.00 paid from Current a/c..512781 @ Smartapp. Avail R69098. Ref.Cindy Wages. 22Feb 12:13</x:v>
      </x:c>
      <x:c r="G459" s="15" t="str">
        <x:v>Cindy Wages</x:v>
      </x:c>
      <x:c r="H459" s="38" t="n">
        <x:v>350</x:v>
      </x:c>
      <x:c r="I459" s="15" t="str">
        <x:v>ZAR</x:v>
      </x:c>
      <x:c r="J459" s="15" t="str">
        <x:v>Outflow</x:v>
      </x:c>
      <x:c r="K459" s="15" t="str">
        <x:v>EFT payment</x:v>
      </x:c>
      <x:c r="L459" s="15" t="str">
        <x:v>Salary / wages</x:v>
      </x:c>
      <x:c r="M459" s="38"/>
      <x:c r="N459" s="38" t="n">
        <x:v>69098</x:v>
      </x:c>
      <x:c r="O459" s="15" t="str"/>
      <x:c r="P459" s="15" t="str">
        <x:v>eml_ALL_currentac__512781 (2).zip &gt; eml6currentac__512781.zip</x:v>
      </x:c>
      <x:c r="Q459" s="15" t="str">
        <x:v>FNB _-) R350.00 paid from Current a_c..512781 @ Smartapp. Ref.Cindy Wages. 22Feb 12_13.eml</x:v>
      </x:c>
      <x:c r="R459" s="15" t="str">
        <x:v>High</x:v>
      </x:c>
      <x:c r="S459" s="15" t="str"/>
      <x:c r="T459" s="15" t="str"/>
      <x:c r="U459" s="15" t="str"/>
      <x:c r="V459" s="15" t="str">
        <x:v>Cindy Wages</x:v>
      </x:c>
      <x:c r="W459" s="15" t="str">
        <x:v>Smartapp</x:v>
      </x:c>
      <x:c r="X459" s="15" t="str">
        <x:v>FNB :-) R350.00 paid from Current a/c..512781 @ Smartapp. Avail R69098. Ref.Cindy Wages. 22Feb 12:13</x:v>
      </x:c>
      <x:c r="Y459" s="15" t="str">
        <x:v>55d80623685a03d1</x:v>
      </x:c>
    </x:row>
    <x:row r="460">
      <x:c r="A460" s="34" t="n">
        <x:v>46075.525</x:v>
      </x:c>
      <x:c r="B460" s="36" t="n">
        <x:v>46075</x:v>
      </x:c>
      <x:c r="C460" s="34" t="n">
        <x:v>46075.52506944445</x:v>
      </x:c>
      <x:c r="D460" s="15" t="str">
        <x:v>Current a/c..512781</x:v>
      </x:c>
      <x:c r="E460" s="15" t="str">
        <x:v>card..2924</x:v>
      </x:c>
      <x:c r="F460" s="15" t="str">
        <x:v>R650.99 reserved for purchase @ Savemor Marloth from Current a/c..512781 using card..2924. Avail R68447. 22Feb 12:36</x:v>
      </x:c>
      <x:c r="G460" s="15" t="str">
        <x:v>Savemor Marloth</x:v>
      </x:c>
      <x:c r="H460" s="38" t="n">
        <x:v>650.99</x:v>
      </x:c>
      <x:c r="I460" s="15" t="str">
        <x:v>ZAR</x:v>
      </x:c>
      <x:c r="J460" s="15" t="str">
        <x:v>Outflow</x:v>
      </x:c>
      <x:c r="K460" s="15" t="str">
        <x:v>Card purchase</x:v>
      </x:c>
      <x:c r="L460" s="15" t="str">
        <x:v>Supplier payments</x:v>
      </x:c>
      <x:c r="M460" s="38"/>
      <x:c r="N460" s="38" t="n">
        <x:v>68447</x:v>
      </x:c>
      <x:c r="O460" s="15" t="str"/>
      <x:c r="P460" s="15" t="str">
        <x:v>eml_ALL_currentac__512781 (2).zip &gt; eml6currentac__512781.zip</x:v>
      </x:c>
      <x:c r="Q460" s="15" t="str">
        <x:v>FNB _-) R650.99 reserved for purchase @ Savemor Marloth from Current a_c..512781 using card..2924. 22Feb 12_36.eml</x:v>
      </x:c>
      <x:c r="R460" s="15" t="str">
        <x:v>High</x:v>
      </x:c>
      <x:c r="S460" s="15" t="str">
        <x:v>Category confidence Medium: Retail/supplier merchant keyword.</x:v>
      </x:c>
      <x:c r="T460" s="15" t="str"/>
      <x:c r="U460" s="15" t="str"/>
      <x:c r="V460" s="15" t="str"/>
      <x:c r="W460" s="15" t="str"/>
      <x:c r="X460" s="15" t="str">
        <x:v>FNB :-) R650.99 reserved for purchase @ Savemor Marloth from Current a/c..512781 using card..2924. Avail R68447. 22Feb 12:36</x:v>
      </x:c>
      <x:c r="Y460" s="15" t="str">
        <x:v>b75db2eeebfc22d9</x:v>
      </x:c>
    </x:row>
    <x:row r="461">
      <x:c r="A461" s="34" t="n">
        <x:v>46075.56805555556</x:v>
      </x:c>
      <x:c r="B461" s="36" t="n">
        <x:v>46075</x:v>
      </x:c>
      <x:c r="C461" s="34" t="n">
        <x:v>46075.568703703706</x:v>
      </x:c>
      <x:c r="D461" s="15" t="str">
        <x:v>Current a/c..512781</x:v>
      </x:c>
      <x:c r="E461" s="15" t="str">
        <x:v>card..2924</x:v>
      </x:c>
      <x:c r="F461" s="15" t="str">
        <x:v>R179.98 reserved for purchase @ Savemor Marloth Liqu from Current a/c..512781 using card..2924. Avail R68267. 22Feb 13:38</x:v>
      </x:c>
      <x:c r="G461" s="15" t="str">
        <x:v>Savemor Marloth Liqu</x:v>
      </x:c>
      <x:c r="H461" s="38" t="n">
        <x:v>179.98</x:v>
      </x:c>
      <x:c r="I461" s="15" t="str">
        <x:v>ZAR</x:v>
      </x:c>
      <x:c r="J461" s="15" t="str">
        <x:v>Outflow</x:v>
      </x:c>
      <x:c r="K461" s="15" t="str">
        <x:v>Card purchase</x:v>
      </x:c>
      <x:c r="L461" s="15" t="str">
        <x:v>Meals / restaurants / entertainment</x:v>
      </x:c>
      <x:c r="M461" s="38"/>
      <x:c r="N461" s="38" t="n">
        <x:v>68267</x:v>
      </x:c>
      <x:c r="O461" s="15" t="str"/>
      <x:c r="P461" s="15" t="str">
        <x:v>eml_ALL_currentac__512781 (2).zip &gt; eml5currentac__512781.zip</x:v>
      </x:c>
      <x:c r="Q461" s="15" t="str">
        <x:v>FNB _-) R179.98 reserved for purchase @ Savemor Marloth Liqu from Current a_c..512781 using card..2924. 22Feb 13_38.eml</x:v>
      </x:c>
      <x:c r="R461" s="15" t="str">
        <x:v>High</x:v>
      </x:c>
      <x:c r="S461" s="15" t="str"/>
      <x:c r="T461" s="15" t="str"/>
      <x:c r="U461" s="15" t="str"/>
      <x:c r="V461" s="15" t="str"/>
      <x:c r="W461" s="15" t="str"/>
      <x:c r="X461" s="15" t="str">
        <x:v>FNB :-) R179.98 reserved for purchase @ Savemor Marloth Liqu from Current a/c..512781 using card..2924. Avail R68267. 22Feb 13:38</x:v>
      </x:c>
      <x:c r="Y461" s="15" t="str">
        <x:v>f75033834dbfa075</x:v>
      </x:c>
    </x:row>
    <x:row r="462">
      <x:c r="A462" s="34" t="n">
        <x:v>46076.475</x:v>
      </x:c>
      <x:c r="B462" s="36" t="n">
        <x:v>46076</x:v>
      </x:c>
      <x:c r="C462" s="34" t="n">
        <x:v>46076.47537037037</x:v>
      </x:c>
      <x:c r="D462" s="15" t="str">
        <x:v>Current a/c..512781</x:v>
      </x:c>
      <x:c r="E462" s="15" t="str">
        <x:v>card..2924</x:v>
      </x:c>
      <x:c r="F462" s="15" t="str">
        <x:v>R306.00 reserved for purchase @ Pep 5668 Malelane from Current a/c..512781 using card..2924. Avail R67904. 23Feb 11:24</x:v>
      </x:c>
      <x:c r="G462" s="15" t="str">
        <x:v>Pep 5668 Malelane</x:v>
      </x:c>
      <x:c r="H462" s="38" t="n">
        <x:v>306</x:v>
      </x:c>
      <x:c r="I462" s="15" t="str">
        <x:v>ZAR</x:v>
      </x:c>
      <x:c r="J462" s="15" t="str">
        <x:v>Outflow</x:v>
      </x:c>
      <x:c r="K462" s="15" t="str">
        <x:v>Card purchase</x:v>
      </x:c>
      <x:c r="L462" s="15" t="str">
        <x:v>Supplier payments</x:v>
      </x:c>
      <x:c r="M462" s="38"/>
      <x:c r="N462" s="38" t="n">
        <x:v>67904</x:v>
      </x:c>
      <x:c r="O462" s="15" t="str"/>
      <x:c r="P462" s="15" t="str">
        <x:v>eml_ALL_currentac__512781 (2).zip &gt; eml5currentac__512781.zip</x:v>
      </x:c>
      <x:c r="Q462" s="15" t="str">
        <x:v>FNB _-) R306.00 reserved for purchase @ Pep 5668 Malelane from Current a_c..512781 using card..2924. 23Feb 11_24.eml</x:v>
      </x:c>
      <x:c r="R462" s="15" t="str">
        <x:v>High</x:v>
      </x:c>
      <x:c r="S462" s="15" t="str">
        <x:v>Category confidence Medium: Retail/supplier merchant keyword.</x:v>
      </x:c>
      <x:c r="T462" s="15" t="str"/>
      <x:c r="U462" s="15" t="str"/>
      <x:c r="V462" s="15" t="str"/>
      <x:c r="W462" s="15" t="str"/>
      <x:c r="X462" s="15" t="str">
        <x:v>FNB :-) R306.00 reserved for purchase @ Pep 5668 Malelane from Current a/c..512781 using card..2924. Avail R67904. 23Feb 11:24</x:v>
      </x:c>
      <x:c r="Y462" s="15" t="str">
        <x:v>d8cb9f7e053be737</x:v>
      </x:c>
    </x:row>
    <x:row r="463">
      <x:c r="A463" s="34" t="n">
        <x:v>46076.49236111111</x:v>
      </x:c>
      <x:c r="B463" s="36" t="n">
        <x:v>46076</x:v>
      </x:c>
      <x:c r="C463" s="34" t="n">
        <x:v>46076.492638888885</x:v>
      </x:c>
      <x:c r="D463" s="15" t="str">
        <x:v>Current a/c..512781</x:v>
      </x:c>
      <x:c r="E463" s="15" t="str">
        <x:v>card..2924</x:v>
      </x:c>
      <x:c r="F463" s="15" t="str">
        <x:v>R539.90 reserved for purchase @ Clicks Malelane Ingw from Current a/c..512781 using card..2924. Avail R67364. 23Feb 11:49</x:v>
      </x:c>
      <x:c r="G463" s="15" t="str">
        <x:v>Clicks Malelane Ingw</x:v>
      </x:c>
      <x:c r="H463" s="38" t="n">
        <x:v>539.9</x:v>
      </x:c>
      <x:c r="I463" s="15" t="str">
        <x:v>ZAR</x:v>
      </x:c>
      <x:c r="J463" s="15" t="str">
        <x:v>Outflow</x:v>
      </x:c>
      <x:c r="K463" s="15" t="str">
        <x:v>Card purchase</x:v>
      </x:c>
      <x:c r="L463" s="15" t="str">
        <x:v>Supplier payments</x:v>
      </x:c>
      <x:c r="M463" s="38"/>
      <x:c r="N463" s="38" t="n">
        <x:v>67364</x:v>
      </x:c>
      <x:c r="O463" s="15" t="str"/>
      <x:c r="P463" s="15" t="str">
        <x:v>eml_ALL_currentac__512781 (2).zip &gt; eml5currentac__512781.zip</x:v>
      </x:c>
      <x:c r="Q463" s="15" t="str">
        <x:v>FNB _-) R539.90 reserved for purchase @ Clicks Malelane Ingw from Current a_c..512781 using card..2924. 23Feb 11_49.eml</x:v>
      </x:c>
      <x:c r="R463" s="15" t="str">
        <x:v>High</x:v>
      </x:c>
      <x:c r="S463" s="15" t="str">
        <x:v>Category confidence Medium: Retail/supplier merchant keyword.</x:v>
      </x:c>
      <x:c r="T463" s="15" t="str"/>
      <x:c r="U463" s="15" t="str"/>
      <x:c r="V463" s="15" t="str"/>
      <x:c r="W463" s="15" t="str"/>
      <x:c r="X463" s="15" t="str">
        <x:v>FNB :-) R539.90 reserved for purchase @ Clicks Malelane Ingw from Current a/c..512781 using card..2924. Avail R67364. 23Feb 11:49</x:v>
      </x:c>
      <x:c r="Y463" s="15" t="str">
        <x:v>1a3366af9c5047c0</x:v>
      </x:c>
    </x:row>
    <x:row r="464">
      <x:c r="A464" s="34" t="n">
        <x:v>46076.51527777778</x:v>
      </x:c>
      <x:c r="B464" s="36" t="n">
        <x:v>46076</x:v>
      </x:c>
      <x:c r="C464" s="34" t="n">
        <x:v>46076.5158912037</x:v>
      </x:c>
      <x:c r="D464" s="15" t="str">
        <x:v>Current a/c..512781</x:v>
      </x:c>
      <x:c r="E464" s="15" t="str">
        <x:v>card..2924</x:v>
      </x:c>
      <x:c r="F464" s="15" t="str">
        <x:v>R585.76 reserved for purchase @ Woolworths from Current a/c..512781 using card..2924. Avail R66778. 23Feb 12:22</x:v>
      </x:c>
      <x:c r="G464" s="15" t="str">
        <x:v>Woolworths</x:v>
      </x:c>
      <x:c r="H464" s="38" t="n">
        <x:v>585.76</x:v>
      </x:c>
      <x:c r="I464" s="15" t="str">
        <x:v>ZAR</x:v>
      </x:c>
      <x:c r="J464" s="15" t="str">
        <x:v>Outflow</x:v>
      </x:c>
      <x:c r="K464" s="15" t="str">
        <x:v>Card purchase</x:v>
      </x:c>
      <x:c r="L464" s="15" t="str">
        <x:v>Supplier payments</x:v>
      </x:c>
      <x:c r="M464" s="38"/>
      <x:c r="N464" s="38" t="n">
        <x:v>66778</x:v>
      </x:c>
      <x:c r="O464" s="15" t="str"/>
      <x:c r="P464" s="15" t="str">
        <x:v>eml_ALL_currentac__512781 (2).zip &gt; eml5currentac__512781.zip</x:v>
      </x:c>
      <x:c r="Q464" s="15" t="str">
        <x:v>FNB _-) R585.76 reserved for purchase @ Woolworths from Current a_c..512781 using card..2924. 23Feb 12_22.eml</x:v>
      </x:c>
      <x:c r="R464" s="15" t="str">
        <x:v>High</x:v>
      </x:c>
      <x:c r="S464" s="15" t="str">
        <x:v>Category confidence Medium: Retail/supplier merchant keyword.</x:v>
      </x:c>
      <x:c r="T464" s="15" t="str"/>
      <x:c r="U464" s="15" t="str"/>
      <x:c r="V464" s="15" t="str"/>
      <x:c r="W464" s="15" t="str"/>
      <x:c r="X464" s="15" t="str">
        <x:v>FNB :-) R585.76 reserved for purchase @ Woolworths from Current a/c..512781 using card..2924. Avail R66778. 23Feb 12:22</x:v>
      </x:c>
      <x:c r="Y464" s="15" t="str">
        <x:v>0a07510f94677a7f</x:v>
      </x:c>
    </x:row>
    <x:row r="465">
      <x:c r="A465" s="34" t="n">
        <x:v>46076.54861111111</x:v>
      </x:c>
      <x:c r="B465" s="36" t="n">
        <x:v>46076</x:v>
      </x:c>
      <x:c r="C465" s="34" t="n">
        <x:v>46076.54907407407</x:v>
      </x:c>
      <x:c r="D465" s="15" t="str">
        <x:v>Current a/c..512781</x:v>
      </x:c>
      <x:c r="E465" s="15" t="str"/>
      <x:c r="F465" s="15" t="str">
        <x:v>R1707.00 paid from Current a/c..512781 @ Smartapp. Avail R65068. Ref.Dinner Box 107370. 23Feb 13:10</x:v>
      </x:c>
      <x:c r="G465" s="15" t="str">
        <x:v>Dinner Box 107370</x:v>
      </x:c>
      <x:c r="H465" s="38" t="n">
        <x:v>1707</x:v>
      </x:c>
      <x:c r="I465" s="15" t="str">
        <x:v>ZAR</x:v>
      </x:c>
      <x:c r="J465" s="15" t="str">
        <x:v>Outflow</x:v>
      </x:c>
      <x:c r="K465" s="15" t="str">
        <x:v>EFT payment</x:v>
      </x:c>
      <x:c r="L465" s="15" t="str">
        <x:v>Meals / restaurants / entertainment</x:v>
      </x:c>
      <x:c r="M465" s="38"/>
      <x:c r="N465" s="38" t="n">
        <x:v>65068</x:v>
      </x:c>
      <x:c r="O465" s="15" t="str"/>
      <x:c r="P465" s="15" t="str">
        <x:v>eml_ALL_currentac__512781 (2).zip &gt; eml5currentac__512781.zip</x:v>
      </x:c>
      <x:c r="Q465" s="15" t="str">
        <x:v>FNB _-) R1707.00 paid from Current a_c..512781 @ Smartapp. Ref.Dinner Box 107370. 23Feb 13_10.eml</x:v>
      </x:c>
      <x:c r="R465" s="15" t="str">
        <x:v>High</x:v>
      </x:c>
      <x:c r="S465" s="15" t="str"/>
      <x:c r="T465" s="15" t="str"/>
      <x:c r="U465" s="15" t="str"/>
      <x:c r="V465" s="15" t="str">
        <x:v>Dinner Box 107370</x:v>
      </x:c>
      <x:c r="W465" s="15" t="str">
        <x:v>Smartapp</x:v>
      </x:c>
      <x:c r="X465" s="15" t="str">
        <x:v>FNB :-) R1707.00 paid from Current a/c..512781 @ Smartapp. Avail R65068. Ref.Dinner Box 107370. 23Feb 13:10</x:v>
      </x:c>
      <x:c r="Y465" s="15" t="str">
        <x:v>7b81a1720ef5e0a0</x:v>
      </x:c>
    </x:row>
    <x:row r="466">
      <x:c r="A466" s="34" t="n">
        <x:v>46076.57916666667</x:v>
      </x:c>
      <x:c r="B466" s="36" t="n">
        <x:v>46076</x:v>
      </x:c>
      <x:c r="C466" s="34" t="n">
        <x:v>46076.57947916666</x:v>
      </x:c>
      <x:c r="D466" s="15" t="str">
        <x:v>Current a/c..512781</x:v>
      </x:c>
      <x:c r="E466" s="15" t="str">
        <x:v>card..2924</x:v>
      </x:c>
      <x:c r="F466" s="15" t="str">
        <x:v>R2441.61 reserved for purchase @ Superspar Malelane from Current a/c..512781 using card..2924. Avail R62627. 23Feb 13:54</x:v>
      </x:c>
      <x:c r="G466" s="15" t="str">
        <x:v>Superspar Malelane</x:v>
      </x:c>
      <x:c r="H466" s="38" t="n">
        <x:v>2441.61</x:v>
      </x:c>
      <x:c r="I466" s="15" t="str">
        <x:v>ZAR</x:v>
      </x:c>
      <x:c r="J466" s="15" t="str">
        <x:v>Outflow</x:v>
      </x:c>
      <x:c r="K466" s="15" t="str">
        <x:v>Card purchase</x:v>
      </x:c>
      <x:c r="L466" s="15" t="str">
        <x:v>Supplier payments</x:v>
      </x:c>
      <x:c r="M466" s="38"/>
      <x:c r="N466" s="38" t="n">
        <x:v>62627</x:v>
      </x:c>
      <x:c r="O466" s="15" t="str"/>
      <x:c r="P466" s="15" t="str">
        <x:v>eml_ALL_currentac__512781 (2).zip &gt; eml5currentac__512781.zip</x:v>
      </x:c>
      <x:c r="Q466" s="15" t="str">
        <x:v>FNB _-) R2441.61 reserved for purchase @ Superspar Malelane from Current a_c..512781 using card..2924. 23Feb 13_54.eml</x:v>
      </x:c>
      <x:c r="R466" s="15" t="str">
        <x:v>High</x:v>
      </x:c>
      <x:c r="S466" s="15" t="str">
        <x:v>Category confidence Medium: Retail/supplier merchant keyword.</x:v>
      </x:c>
      <x:c r="T466" s="15" t="str"/>
      <x:c r="U466" s="15" t="str"/>
      <x:c r="V466" s="15" t="str"/>
      <x:c r="W466" s="15" t="str"/>
      <x:c r="X466" s="15" t="str">
        <x:v>FNB :-) R2441.61 reserved for purchase @ Superspar Malelane from Current a/c..512781 using card..2924. Avail R62627. 23Feb 13:54</x:v>
      </x:c>
      <x:c r="Y466" s="15" t="str">
        <x:v>be6c29a7998998ab</x:v>
      </x:c>
    </x:row>
    <x:row r="467">
      <x:c r="A467" s="34" t="n">
        <x:v>46077.46597222222</x:v>
      </x:c>
      <x:c r="B467" s="36" t="n">
        <x:v>46077</x:v>
      </x:c>
      <x:c r="C467" s="34" t="n">
        <x:v>46077.46643518518</x:v>
      </x:c>
      <x:c r="D467" s="15" t="str">
        <x:v>Current a/c..512781</x:v>
      </x:c>
      <x:c r="E467" s="15" t="str"/>
      <x:c r="F467" s="15" t="str">
        <x:v>R8480.00 paid from Current a/c..512781 @ Smartapp. Avail R54049. Ref.Royal Bush 3751. 24Feb 11:11</x:v>
      </x:c>
      <x:c r="G467" s="15" t="str">
        <x:v>Royal Bush 3751</x:v>
      </x:c>
      <x:c r="H467" s="38" t="n">
        <x:v>8480</x:v>
      </x:c>
      <x:c r="I467" s="15" t="str">
        <x:v>ZAR</x:v>
      </x:c>
      <x:c r="J467" s="15" t="str">
        <x:v>Outflow</x:v>
      </x:c>
      <x:c r="K467" s="15" t="str">
        <x:v>EFT payment</x:v>
      </x:c>
      <x:c r="L467" s="15" t="str">
        <x:v>Supplier payments</x:v>
      </x:c>
      <x:c r="M467" s="38"/>
      <x:c r="N467" s="38" t="n">
        <x:v>54049</x:v>
      </x:c>
      <x:c r="O467" s="15" t="str"/>
      <x:c r="P467" s="15" t="str">
        <x:v>eml_ALL_currentac__512781 (2).zip &gt; eml5currentac__512781.zip</x:v>
      </x:c>
      <x:c r="Q467" s="15" t="str">
        <x:v>FNB _-) R8480.00 paid from Current a_c..512781 @ Smartapp. Ref.Royal Bush 3751. 24Feb 11_11.eml</x:v>
      </x:c>
      <x:c r="R467" s="15" t="str">
        <x:v>High</x:v>
      </x:c>
      <x:c r="S467" s="15" t="str">
        <x:v>Category confidence Low: Default outflow category; review counterparty/reference.</x:v>
      </x:c>
      <x:c r="T467" s="15" t="str"/>
      <x:c r="U467" s="15" t="str"/>
      <x:c r="V467" s="15" t="str">
        <x:v>Royal Bush 3751</x:v>
      </x:c>
      <x:c r="W467" s="15" t="str">
        <x:v>Smartapp</x:v>
      </x:c>
      <x:c r="X467" s="15" t="str">
        <x:v>FNB :-) R8480.00 paid from Current a/c..512781 @ Smartapp. Avail R54049. Ref.Royal Bush 3751. 24Feb 11:11</x:v>
      </x:c>
      <x:c r="Y467" s="15" t="str">
        <x:v>bb81c5614be54aa1</x:v>
      </x:c>
    </x:row>
    <x:row r="468">
      <x:c r="A468" s="34" t="n">
        <x:v>46078.34722222222</x:v>
      </x:c>
      <x:c r="B468" s="36" t="n">
        <x:v>46078</x:v>
      </x:c>
      <x:c r="C468" s="34" t="n">
        <x:v>46078.34782407407</x:v>
      </x:c>
      <x:c r="D468" s="15" t="str">
        <x:v>Current a/c..512781</x:v>
      </x:c>
      <x:c r="E468" s="15" t="str"/>
      <x:c r="F468" s="15" t="str">
        <x:v>R2000.00 t/fer from Current a/c..512781 to Private Cheq Acc..566332 @ Smartapp. Avail R52021. 25Feb 08:20</x:v>
      </x:c>
      <x:c r="G468" s="15" t="str">
        <x:v>Private Cheq Acc..566332</x:v>
      </x:c>
      <x:c r="H468" s="38" t="n">
        <x:v>2000</x:v>
      </x:c>
      <x:c r="I468" s="15" t="str">
        <x:v>ZAR</x:v>
      </x:c>
      <x:c r="J468" s="15" t="str">
        <x:v>Internal Transfer</x:v>
      </x:c>
      <x:c r="K468" s="15" t="str">
        <x:v>Internal transfer</x:v>
      </x:c>
      <x:c r="L468" s="15" t="str">
        <x:v>Inter-account transfer</x:v>
      </x:c>
      <x:c r="M468" s="38"/>
      <x:c r="N468" s="38" t="n">
        <x:v>52021</x:v>
      </x:c>
      <x:c r="O468" s="15" t="str"/>
      <x:c r="P468" s="15" t="str">
        <x:v>eml_ALL_currentac__512781 (2).zip &gt; eml5currentac__512781.zip</x:v>
      </x:c>
      <x:c r="Q468" s="15" t="str">
        <x:v>FNB _-) R2000.00 t_fer from Current a_c..512781 to Private Cheq Acc..566332 @ Smartapp. 25Feb 08_20.eml</x:v>
      </x:c>
      <x:c r="R468" s="15" t="str">
        <x:v>High</x:v>
      </x:c>
      <x:c r="S468" s="15" t="str">
        <x:v>Classified as internal/inter-account transfer and excluded from operating cashflow.</x:v>
      </x:c>
      <x:c r="T468" s="15" t="str">
        <x:v>Current a/c..512781</x:v>
      </x:c>
      <x:c r="U468" s="15" t="str">
        <x:v>Private Cheq Acc..566332</x:v>
      </x:c>
      <x:c r="V468" s="15" t="str"/>
      <x:c r="W468" s="15" t="str">
        <x:v>Smartapp</x:v>
      </x:c>
      <x:c r="X468" s="15" t="str">
        <x:v>FNB :-) R2000.00 t/fer from Current a/c..512781 to Private Cheq Acc..566332 @ Smartapp. Avail R52021. 25Feb 08:20</x:v>
      </x:c>
      <x:c r="Y468" s="15" t="str">
        <x:v>a7e5f41c51394314</x:v>
      </x:c>
    </x:row>
    <x:row r="469">
      <x:c r="A469" s="34" t="n">
        <x:v>46078.489583333336</x:v>
      </x:c>
      <x:c r="B469" s="36" t="n">
        <x:v>46078</x:v>
      </x:c>
      <x:c r="C469" s="34" t="n">
        <x:v>46078.489849537036</x:v>
      </x:c>
      <x:c r="D469" s="15" t="str">
        <x:v>Current a/c..512781</x:v>
      </x:c>
      <x:c r="E469" s="15" t="str"/>
      <x:c r="F469" s="15" t="str">
        <x:v>R500.00 paid from Current a/c..512781 @ Smartapp. Avail R51518. Ref.Electricity 04294887. 25Feb 11:45</x:v>
      </x:c>
      <x:c r="G469" s="15" t="str">
        <x:v>Electricity 04294887</x:v>
      </x:c>
      <x:c r="H469" s="38" t="n">
        <x:v>500</x:v>
      </x:c>
      <x:c r="I469" s="15" t="str">
        <x:v>ZAR</x:v>
      </x:c>
      <x:c r="J469" s="15" t="str">
        <x:v>Outflow</x:v>
      </x:c>
      <x:c r="K469" s="15" t="str">
        <x:v>EFT payment</x:v>
      </x:c>
      <x:c r="L469" s="15" t="str">
        <x:v>Telecom / utilities</x:v>
      </x:c>
      <x:c r="M469" s="38"/>
      <x:c r="N469" s="38" t="n">
        <x:v>51518</x:v>
      </x:c>
      <x:c r="O469" s="15" t="str"/>
      <x:c r="P469" s="15" t="str">
        <x:v>eml_ALL_currentac__512781 (2).zip &gt; eml5currentac__512781.zip</x:v>
      </x:c>
      <x:c r="Q469" s="15" t="str">
        <x:v>FNB _-) R500.00 paid from Current a_c..512781 @ Smartapp. Ref.Electricity 04294887. 25Feb 11_45.eml</x:v>
      </x:c>
      <x:c r="R469" s="15" t="str">
        <x:v>High</x:v>
      </x:c>
      <x:c r="S469" s="15" t="str"/>
      <x:c r="T469" s="15" t="str"/>
      <x:c r="U469" s="15" t="str"/>
      <x:c r="V469" s="15" t="str">
        <x:v>Electricity 04294887</x:v>
      </x:c>
      <x:c r="W469" s="15" t="str">
        <x:v>Smartapp</x:v>
      </x:c>
      <x:c r="X469" s="15" t="str">
        <x:v>FNB :-) R500.00 paid from Current a/c..512781 @ Smartapp. Avail R51518. Ref.Electricity 04294887. 25Feb 11:45</x:v>
      </x:c>
      <x:c r="Y469" s="15" t="str">
        <x:v>f6a5e0cac9b306b2</x:v>
      </x:c>
    </x:row>
    <x:row r="470">
      <x:c r="A470" s="34" t="n">
        <x:v>46078.489583333336</x:v>
      </x:c>
      <x:c r="B470" s="36" t="n">
        <x:v>46078</x:v>
      </x:c>
      <x:c r="C470" s="34" t="n">
        <x:v>46078.48986111111</x:v>
      </x:c>
      <x:c r="D470" s="15" t="str">
        <x:v>Current a/c..512781</x:v>
      </x:c>
      <x:c r="E470" s="15" t="str"/>
      <x:c r="F470" s="15" t="str">
        <x:v>R500.00 paid to Current a/c..512781 @ Smartapp. Ref.274689,04294887007. 25Feb 11:45</x:v>
      </x:c>
      <x:c r="G470" s="15" t="str">
        <x:v>274689,04294887007</x:v>
      </x:c>
      <x:c r="H470" s="38" t="n">
        <x:v>500</x:v>
      </x:c>
      <x:c r="I470" s="15" t="str">
        <x:v>ZAR</x:v>
      </x:c>
      <x:c r="J470" s="15" t="str">
        <x:v>Inflow</x:v>
      </x:c>
      <x:c r="K470" s="15" t="str">
        <x:v>EFT receipt</x:v>
      </x:c>
      <x:c r="L470" s="15" t="str">
        <x:v>Sales / customer receipts</x:v>
      </x:c>
      <x:c r="M470" s="38"/>
      <x:c r="N470" s="38"/>
      <x:c r="O470" s="15" t="str"/>
      <x:c r="P470" s="15" t="str">
        <x:v>eml_ALL_currentac__512781 (2).zip &gt; eml5currentac__512781.zip</x:v>
      </x:c>
      <x:c r="Q470" s="15" t="str">
        <x:v>FNB _-) R500.00 paid to Current a_c..512781 @ Smartapp. Ref.274689,04294887007. 25Feb 11_45.eml</x:v>
      </x:c>
      <x:c r="R470" s="15" t="str">
        <x:v>High</x:v>
      </x:c>
      <x:c r="S470" s="15" t="str">
        <x:v>Category confidence Medium: Default for incoming EFT/PayShap/online receipt.</x:v>
      </x:c>
      <x:c r="T470" s="15" t="str"/>
      <x:c r="U470" s="15" t="str"/>
      <x:c r="V470" s="15" t="str">
        <x:v>274689,04294887007</x:v>
      </x:c>
      <x:c r="W470" s="15" t="str">
        <x:v>Smartapp</x:v>
      </x:c>
      <x:c r="X470" s="15" t="str">
        <x:v>FNB :-) R500.00 paid to Current a/c..512781 @ Smartapp. Ref.274689,04294887007. 25Feb 11:45</x:v>
      </x:c>
      <x:c r="Y470" s="15" t="str">
        <x:v>3c84a77f69613d61</x:v>
      </x:c>
    </x:row>
    <x:row r="471">
      <x:c r="A471" s="34" t="n">
        <x:v>46078.49097222222</x:v>
      </x:c>
      <x:c r="B471" s="36" t="n">
        <x:v>46078</x:v>
      </x:c>
      <x:c r="C471" s="34" t="n">
        <x:v>46078.49104166667</x:v>
      </x:c>
      <x:c r="D471" s="15" t="str">
        <x:v>Current a/c..512781</x:v>
      </x:c>
      <x:c r="E471" s="15" t="str"/>
      <x:c r="F471" s="15" t="str">
        <x:v>R500.00 paid from Current a/c..512781 @ Smartapp. Avail R51518. Ref.Electricity 04294887. 25Feb 11:47</x:v>
      </x:c>
      <x:c r="G471" s="15" t="str">
        <x:v>Electricity 04294887</x:v>
      </x:c>
      <x:c r="H471" s="38" t="n">
        <x:v>500</x:v>
      </x:c>
      <x:c r="I471" s="15" t="str">
        <x:v>ZAR</x:v>
      </x:c>
      <x:c r="J471" s="15" t="str">
        <x:v>Outflow</x:v>
      </x:c>
      <x:c r="K471" s="15" t="str">
        <x:v>EFT payment</x:v>
      </x:c>
      <x:c r="L471" s="15" t="str">
        <x:v>Telecom / utilities</x:v>
      </x:c>
      <x:c r="M471" s="38"/>
      <x:c r="N471" s="38" t="n">
        <x:v>51518</x:v>
      </x:c>
      <x:c r="O471" s="15" t="str"/>
      <x:c r="P471" s="15" t="str">
        <x:v>eml_ALL_currentac__512781 (2).zip &gt; eml5currentac__512781.zip</x:v>
      </x:c>
      <x:c r="Q471" s="15" t="str">
        <x:v>FNB _-) R500.00 paid from Current a_c..512781 @ Smartapp. Ref.Electricity 04294887. 25Feb 11_47.eml</x:v>
      </x:c>
      <x:c r="R471" s="15" t="str">
        <x:v>High</x:v>
      </x:c>
      <x:c r="S471" s="15" t="str"/>
      <x:c r="T471" s="15" t="str"/>
      <x:c r="U471" s="15" t="str"/>
      <x:c r="V471" s="15" t="str">
        <x:v>Electricity 04294887</x:v>
      </x:c>
      <x:c r="W471" s="15" t="str">
        <x:v>Smartapp</x:v>
      </x:c>
      <x:c r="X471" s="15" t="str">
        <x:v>FNB :-) R500.00 paid from Current a/c..512781 @ Smartapp. Avail R51518. Ref.Electricity 04294887. 25Feb 11:47</x:v>
      </x:c>
      <x:c r="Y471" s="15" t="str">
        <x:v>6475c162b446c02a</x:v>
      </x:c>
    </x:row>
    <x:row r="472">
      <x:c r="A472" s="34" t="n">
        <x:v>46078.49097222222</x:v>
      </x:c>
      <x:c r="B472" s="36" t="n">
        <x:v>46078</x:v>
      </x:c>
      <x:c r="C472" s="34" t="n">
        <x:v>46078.491064814814</x:v>
      </x:c>
      <x:c r="D472" s="15" t="str">
        <x:v>Current a/c..512781</x:v>
      </x:c>
      <x:c r="E472" s="15" t="str"/>
      <x:c r="F472" s="15" t="str">
        <x:v>R500.00 paid to Current a/c..512781 @ Smartapp. Ref.274942,04294887007. 25Feb 11:47</x:v>
      </x:c>
      <x:c r="G472" s="15" t="str">
        <x:v>274942,04294887007</x:v>
      </x:c>
      <x:c r="H472" s="38" t="n">
        <x:v>500</x:v>
      </x:c>
      <x:c r="I472" s="15" t="str">
        <x:v>ZAR</x:v>
      </x:c>
      <x:c r="J472" s="15" t="str">
        <x:v>Inflow</x:v>
      </x:c>
      <x:c r="K472" s="15" t="str">
        <x:v>EFT receipt</x:v>
      </x:c>
      <x:c r="L472" s="15" t="str">
        <x:v>Sales / customer receipts</x:v>
      </x:c>
      <x:c r="M472" s="38"/>
      <x:c r="N472" s="38"/>
      <x:c r="O472" s="15" t="str"/>
      <x:c r="P472" s="15" t="str">
        <x:v>eml_ALL_currentac__512781 (2).zip &gt; eml5currentac__512781.zip</x:v>
      </x:c>
      <x:c r="Q472" s="15" t="str">
        <x:v>FNB _-) R500.00 paid to Current a_c..512781 @ Smartapp. Ref.274942,04294887007. 25Feb 11_47.eml</x:v>
      </x:c>
      <x:c r="R472" s="15" t="str">
        <x:v>High</x:v>
      </x:c>
      <x:c r="S472" s="15" t="str">
        <x:v>Category confidence Medium: Default for incoming EFT/PayShap/online receipt.</x:v>
      </x:c>
      <x:c r="T472" s="15" t="str"/>
      <x:c r="U472" s="15" t="str"/>
      <x:c r="V472" s="15" t="str">
        <x:v>274942,04294887007</x:v>
      </x:c>
      <x:c r="W472" s="15" t="str">
        <x:v>Smartapp</x:v>
      </x:c>
      <x:c r="X472" s="15" t="str">
        <x:v>FNB :-) R500.00 paid to Current a/c..512781 @ Smartapp. Ref.274942,04294887007. 25Feb 11:47</x:v>
      </x:c>
      <x:c r="Y472" s="15" t="str">
        <x:v>fb80c3afa48e2660</x:v>
      </x:c>
    </x:row>
    <x:row r="473">
      <x:c r="A473" s="34" t="n">
        <x:v>46078.52222222222</x:v>
      </x:c>
      <x:c r="B473" s="36" t="n">
        <x:v>46078</x:v>
      </x:c>
      <x:c r="C473" s="34" t="n">
        <x:v>46078.52275462963</x:v>
      </x:c>
      <x:c r="D473" s="15" t="str">
        <x:v>Current a/c..512781</x:v>
      </x:c>
      <x:c r="E473" s="15" t="str"/>
      <x:c r="F473" s="15" t="str">
        <x:v>R500.00 paid from Current a/c..512781 @ Smartapp. Avail R51518. Ref.Electricity 04294887. 25Feb 12:32</x:v>
      </x:c>
      <x:c r="G473" s="15" t="str">
        <x:v>Electricity 04294887</x:v>
      </x:c>
      <x:c r="H473" s="38" t="n">
        <x:v>500</x:v>
      </x:c>
      <x:c r="I473" s="15" t="str">
        <x:v>ZAR</x:v>
      </x:c>
      <x:c r="J473" s="15" t="str">
        <x:v>Outflow</x:v>
      </x:c>
      <x:c r="K473" s="15" t="str">
        <x:v>EFT payment</x:v>
      </x:c>
      <x:c r="L473" s="15" t="str">
        <x:v>Telecom / utilities</x:v>
      </x:c>
      <x:c r="M473" s="38"/>
      <x:c r="N473" s="38" t="n">
        <x:v>51518</x:v>
      </x:c>
      <x:c r="O473" s="15" t="str"/>
      <x:c r="P473" s="15" t="str">
        <x:v>eml_ALL_currentac__512781 (2).zip &gt; eml5currentac__512781.zip</x:v>
      </x:c>
      <x:c r="Q473" s="15" t="str">
        <x:v>FNB _-) R500.00 paid from Current a_c..512781 @ Smartapp. Ref.Electricity 04294887. 25Feb 12_32.eml</x:v>
      </x:c>
      <x:c r="R473" s="15" t="str">
        <x:v>High</x:v>
      </x:c>
      <x:c r="S473" s="15" t="str"/>
      <x:c r="T473" s="15" t="str"/>
      <x:c r="U473" s="15" t="str"/>
      <x:c r="V473" s="15" t="str">
        <x:v>Electricity 04294887</x:v>
      </x:c>
      <x:c r="W473" s="15" t="str">
        <x:v>Smartapp</x:v>
      </x:c>
      <x:c r="X473" s="15" t="str">
        <x:v>FNB :-) R500.00 paid from Current a/c..512781 @ Smartapp. Avail R51518. Ref.Electricity 04294887. 25Feb 12:32</x:v>
      </x:c>
      <x:c r="Y473" s="15" t="str">
        <x:v>a305040379070af3</x:v>
      </x:c>
    </x:row>
    <x:row r="474">
      <x:c r="A474" s="34" t="n">
        <x:v>46078.52222222222</x:v>
      </x:c>
      <x:c r="B474" s="36" t="n">
        <x:v>46078</x:v>
      </x:c>
      <x:c r="C474" s="34" t="n">
        <x:v>46078.52276620371</x:v>
      </x:c>
      <x:c r="D474" s="15" t="str">
        <x:v>Current a/c..512781</x:v>
      </x:c>
      <x:c r="E474" s="15" t="str"/>
      <x:c r="F474" s="15" t="str">
        <x:v>R500.00 paid to Current a/c..512781 @ Smartapp. Ref.281057,04294887007. 25Feb 12:32</x:v>
      </x:c>
      <x:c r="G474" s="15" t="str">
        <x:v>281057,04294887007</x:v>
      </x:c>
      <x:c r="H474" s="38" t="n">
        <x:v>500</x:v>
      </x:c>
      <x:c r="I474" s="15" t="str">
        <x:v>ZAR</x:v>
      </x:c>
      <x:c r="J474" s="15" t="str">
        <x:v>Inflow</x:v>
      </x:c>
      <x:c r="K474" s="15" t="str">
        <x:v>EFT receipt</x:v>
      </x:c>
      <x:c r="L474" s="15" t="str">
        <x:v>Sales / customer receipts</x:v>
      </x:c>
      <x:c r="M474" s="38"/>
      <x:c r="N474" s="38"/>
      <x:c r="O474" s="15" t="str"/>
      <x:c r="P474" s="15" t="str">
        <x:v>eml_ALL_currentac__512781 (2).zip &gt; eml5currentac__512781.zip</x:v>
      </x:c>
      <x:c r="Q474" s="15" t="str">
        <x:v>FNB _-) R500.00 paid to Current a_c..512781 @ Smartapp. Ref.281057,04294887007. 25Feb 12_32.eml</x:v>
      </x:c>
      <x:c r="R474" s="15" t="str">
        <x:v>High</x:v>
      </x:c>
      <x:c r="S474" s="15" t="str">
        <x:v>Category confidence Medium: Default for incoming EFT/PayShap/online receipt.</x:v>
      </x:c>
      <x:c r="T474" s="15" t="str"/>
      <x:c r="U474" s="15" t="str"/>
      <x:c r="V474" s="15" t="str">
        <x:v>281057,04294887007</x:v>
      </x:c>
      <x:c r="W474" s="15" t="str">
        <x:v>Smartapp</x:v>
      </x:c>
      <x:c r="X474" s="15" t="str">
        <x:v>FNB :-) R500.00 paid to Current a/c..512781 @ Smartapp. Ref.281057,04294887007. 25Feb 12:32</x:v>
      </x:c>
      <x:c r="Y474" s="15" t="str">
        <x:v>fc2674126a3f0d75</x:v>
      </x:c>
    </x:row>
    <x:row r="475">
      <x:c r="A475" s="34" t="n">
        <x:v>46078.55138888889</x:v>
      </x:c>
      <x:c r="B475" s="36" t="n">
        <x:v>46078</x:v>
      </x:c>
      <x:c r="C475" s="34" t="n">
        <x:v>46078.551712962966</x:v>
      </x:c>
      <x:c r="D475" s="15" t="str">
        <x:v>Current a/c..512781</x:v>
      </x:c>
      <x:c r="E475" s="15" t="str"/>
      <x:c r="F475" s="15" t="str">
        <x:v>R450.00 paid from Current a/c..512781 @ Smartapp. Avail R51563. Ref.Lebombo 24/01/2026. 25Feb 13:14</x:v>
      </x:c>
      <x:c r="G475" s="15" t="str">
        <x:v>Lebombo 24/01/2026</x:v>
      </x:c>
      <x:c r="H475" s="38" t="n">
        <x:v>450</x:v>
      </x:c>
      <x:c r="I475" s="15" t="str">
        <x:v>ZAR</x:v>
      </x:c>
      <x:c r="J475" s="15" t="str">
        <x:v>Outflow</x:v>
      </x:c>
      <x:c r="K475" s="15" t="str">
        <x:v>EFT payment</x:v>
      </x:c>
      <x:c r="L475" s="15" t="str">
        <x:v>Supplier payments</x:v>
      </x:c>
      <x:c r="M475" s="38"/>
      <x:c r="N475" s="38" t="n">
        <x:v>51563</x:v>
      </x:c>
      <x:c r="O475" s="15" t="str"/>
      <x:c r="P475" s="15" t="str">
        <x:v>eml_ALL_currentac__512781 (2).zip &gt; eml5currentac__512781.zip</x:v>
      </x:c>
      <x:c r="Q475" s="15" t="str">
        <x:v>FNB _-) R450.00 paid from Current a_c..512781 @ Smartapp. Ref.Lebombo 24_01_2026. 25Feb 13_14.eml</x:v>
      </x:c>
      <x:c r="R475" s="15" t="str">
        <x:v>High</x:v>
      </x:c>
      <x:c r="S475" s="15" t="str">
        <x:v>Category confidence Low: Default outflow category; review counterparty/reference.</x:v>
      </x:c>
      <x:c r="T475" s="15" t="str"/>
      <x:c r="U475" s="15" t="str"/>
      <x:c r="V475" s="15" t="str">
        <x:v>Lebombo 24/01/2026</x:v>
      </x:c>
      <x:c r="W475" s="15" t="str">
        <x:v>Smartapp</x:v>
      </x:c>
      <x:c r="X475" s="15" t="str">
        <x:v>FNB :-) R450.00 paid from Current a/c..512781 @ Smartapp. Avail R51563. Ref.Lebombo 24/01/2026. 25Feb 13:14</x:v>
      </x:c>
      <x:c r="Y475" s="15" t="str">
        <x:v>a58817d3f0bdf47f</x:v>
      </x:c>
    </x:row>
    <x:row r="476">
      <x:c r="A476" s="34" t="n">
        <x:v>46078.552083333336</x:v>
      </x:c>
      <x:c r="B476" s="36" t="n">
        <x:v>46078</x:v>
      </x:c>
      <x:c r="C476" s="34" t="n">
        <x:v>46078.55226851852</x:v>
      </x:c>
      <x:c r="D476" s="15" t="str">
        <x:v>Current a/c..512781</x:v>
      </x:c>
      <x:c r="E476" s="15" t="str"/>
      <x:c r="F476" s="15" t="str">
        <x:v>R500.00 paid from Current a/c..512781 @ Smartapp. Avail R51060. Ref.Electricity 04294887. 25Feb 13:15</x:v>
      </x:c>
      <x:c r="G476" s="15" t="str">
        <x:v>Electricity 04294887</x:v>
      </x:c>
      <x:c r="H476" s="38" t="n">
        <x:v>500</x:v>
      </x:c>
      <x:c r="I476" s="15" t="str">
        <x:v>ZAR</x:v>
      </x:c>
      <x:c r="J476" s="15" t="str">
        <x:v>Outflow</x:v>
      </x:c>
      <x:c r="K476" s="15" t="str">
        <x:v>EFT payment</x:v>
      </x:c>
      <x:c r="L476" s="15" t="str">
        <x:v>Telecom / utilities</x:v>
      </x:c>
      <x:c r="M476" s="38"/>
      <x:c r="N476" s="38" t="n">
        <x:v>51060</x:v>
      </x:c>
      <x:c r="O476" s="15" t="str"/>
      <x:c r="P476" s="15" t="str">
        <x:v>eml_ALL_currentac__512781 (2).zip &gt; eml5currentac__512781.zip</x:v>
      </x:c>
      <x:c r="Q476" s="15" t="str">
        <x:v>FNB _-) R500.00 paid from Current a_c..512781 @ Smartapp. Ref.Electricity 04294887. 25Feb 13_15.eml</x:v>
      </x:c>
      <x:c r="R476" s="15" t="str">
        <x:v>High</x:v>
      </x:c>
      <x:c r="S476" s="15" t="str"/>
      <x:c r="T476" s="15" t="str"/>
      <x:c r="U476" s="15" t="str"/>
      <x:c r="V476" s="15" t="str">
        <x:v>Electricity 04294887</x:v>
      </x:c>
      <x:c r="W476" s="15" t="str">
        <x:v>Smartapp</x:v>
      </x:c>
      <x:c r="X476" s="15" t="str">
        <x:v>FNB :-) R500.00 paid from Current a/c..512781 @ Smartapp. Avail R51060. Ref.Electricity 04294887. 25Feb 13:15</x:v>
      </x:c>
      <x:c r="Y476" s="15" t="str">
        <x:v>a209e6a254bf408d</x:v>
      </x:c>
    </x:row>
    <x:row r="477">
      <x:c r="A477" s="34" t="n">
        <x:v>46078.552083333336</x:v>
      </x:c>
      <x:c r="B477" s="36" t="n">
        <x:v>46078</x:v>
      </x:c>
      <x:c r="C477" s="34" t="n">
        <x:v>46078.55228009259</x:v>
      </x:c>
      <x:c r="D477" s="15" t="str">
        <x:v>Current a/c..512781</x:v>
      </x:c>
      <x:c r="E477" s="15" t="str"/>
      <x:c r="F477" s="15" t="str">
        <x:v>R500.00 paid to Current a/c..512781 @ Smartapp. Ref.286562,04294887007. 25Feb 13:15</x:v>
      </x:c>
      <x:c r="G477" s="15" t="str">
        <x:v>286562,04294887007</x:v>
      </x:c>
      <x:c r="H477" s="38" t="n">
        <x:v>500</x:v>
      </x:c>
      <x:c r="I477" s="15" t="str">
        <x:v>ZAR</x:v>
      </x:c>
      <x:c r="J477" s="15" t="str">
        <x:v>Inflow</x:v>
      </x:c>
      <x:c r="K477" s="15" t="str">
        <x:v>EFT receipt</x:v>
      </x:c>
      <x:c r="L477" s="15" t="str">
        <x:v>Sales / customer receipts</x:v>
      </x:c>
      <x:c r="M477" s="38"/>
      <x:c r="N477" s="38"/>
      <x:c r="O477" s="15" t="str"/>
      <x:c r="P477" s="15" t="str">
        <x:v>eml_ALL_currentac__512781 (2).zip &gt; eml5currentac__512781.zip</x:v>
      </x:c>
      <x:c r="Q477" s="15" t="str">
        <x:v>FNB _-) R500.00 paid to Current a_c..512781 @ Smartapp. Ref.286562,04294887007. 25Feb 13_15.eml</x:v>
      </x:c>
      <x:c r="R477" s="15" t="str">
        <x:v>High</x:v>
      </x:c>
      <x:c r="S477" s="15" t="str">
        <x:v>Category confidence Medium: Default for incoming EFT/PayShap/online receipt.</x:v>
      </x:c>
      <x:c r="T477" s="15" t="str"/>
      <x:c r="U477" s="15" t="str"/>
      <x:c r="V477" s="15" t="str">
        <x:v>286562,04294887007</x:v>
      </x:c>
      <x:c r="W477" s="15" t="str">
        <x:v>Smartapp</x:v>
      </x:c>
      <x:c r="X477" s="15" t="str">
        <x:v>FNB :-) R500.00 paid to Current a/c..512781 @ Smartapp. Ref.286562,04294887007. 25Feb 13:15</x:v>
      </x:c>
      <x:c r="Y477" s="15" t="str">
        <x:v>d540e2442d5d3acc</x:v>
      </x:c>
    </x:row>
    <x:row r="478">
      <x:c r="A478" s="34" t="n">
        <x:v>46078.74097222222</x:v>
      </x:c>
      <x:c r="B478" s="36" t="n">
        <x:v>46078</x:v>
      </x:c>
      <x:c r="C478" s="34" t="n">
        <x:v>46078.74153935185</x:v>
      </x:c>
      <x:c r="D478" s="15" t="str">
        <x:v>Current a/c..512781</x:v>
      </x:c>
      <x:c r="E478" s="15" t="str"/>
      <x:c r="F478" s="15" t="str">
        <x:v>R27000.00 t/fer from Current a/c..512781 to Current a/c..261544 @ Smartapp. Avail R24521. 25Feb 17:47</x:v>
      </x:c>
      <x:c r="G478" s="15" t="str">
        <x:v>Current a/c..261544</x:v>
      </x:c>
      <x:c r="H478" s="38" t="n">
        <x:v>27000</x:v>
      </x:c>
      <x:c r="I478" s="15" t="str">
        <x:v>ZAR</x:v>
      </x:c>
      <x:c r="J478" s="15" t="str">
        <x:v>Internal Transfer</x:v>
      </x:c>
      <x:c r="K478" s="15" t="str">
        <x:v>Internal transfer</x:v>
      </x:c>
      <x:c r="L478" s="15" t="str">
        <x:v>Inter-account transfer</x:v>
      </x:c>
      <x:c r="M478" s="38"/>
      <x:c r="N478" s="38" t="n">
        <x:v>24521</x:v>
      </x:c>
      <x:c r="O478" s="15" t="str"/>
      <x:c r="P478" s="15" t="str">
        <x:v>eml_ALL_currentac__512781 (2).zip &gt; eml5currentac__512781.zip</x:v>
      </x:c>
      <x:c r="Q478" s="15" t="str">
        <x:v>FNB _-) R27000.00 t_fer from Current a_c..512781 to Current a_c..261544 @ Smartapp. 25Feb 17_47.eml</x:v>
      </x:c>
      <x:c r="R478" s="15" t="str">
        <x:v>High</x:v>
      </x:c>
      <x:c r="S478" s="15" t="str">
        <x:v>Classified as internal/inter-account transfer and excluded from operating cashflow.</x:v>
      </x:c>
      <x:c r="T478" s="15" t="str">
        <x:v>Current a/c..512781</x:v>
      </x:c>
      <x:c r="U478" s="15" t="str">
        <x:v>Current a/c..261544</x:v>
      </x:c>
      <x:c r="V478" s="15" t="str"/>
      <x:c r="W478" s="15" t="str">
        <x:v>Smartapp</x:v>
      </x:c>
      <x:c r="X478" s="15" t="str">
        <x:v>FNB :-) R27000.00 t/fer from Current a/c..512781 to Current a/c..261544 @ Smartapp. Avail R24521. 25Feb 17:47</x:v>
      </x:c>
      <x:c r="Y478" s="15" t="str">
        <x:v>b696f95139b7cad4</x:v>
      </x:c>
    </x:row>
    <x:row r="479">
      <x:c r="A479" s="34" t="n">
        <x:v>46078.75625</x:v>
      </x:c>
      <x:c r="B479" s="36" t="n">
        <x:v>46078</x:v>
      </x:c>
      <x:c r="C479" s="34" t="n">
        <x:v>46078.756898148145</x:v>
      </x:c>
      <x:c r="D479" s="15" t="str">
        <x:v>Current a/c..512781</x:v>
      </x:c>
      <x:c r="E479" s="15" t="str"/>
      <x:c r="F479" s="15" t="str">
        <x:v>R500.00 paid from Current a/c..512781 @ Smartapp. Avail R24018. Ref.Electricity 04294887. 25Feb 18:09</x:v>
      </x:c>
      <x:c r="G479" s="15" t="str">
        <x:v>Electricity 04294887</x:v>
      </x:c>
      <x:c r="H479" s="38" t="n">
        <x:v>500</x:v>
      </x:c>
      <x:c r="I479" s="15" t="str">
        <x:v>ZAR</x:v>
      </x:c>
      <x:c r="J479" s="15" t="str">
        <x:v>Outflow</x:v>
      </x:c>
      <x:c r="K479" s="15" t="str">
        <x:v>EFT payment</x:v>
      </x:c>
      <x:c r="L479" s="15" t="str">
        <x:v>Telecom / utilities</x:v>
      </x:c>
      <x:c r="M479" s="38"/>
      <x:c r="N479" s="38" t="n">
        <x:v>24018</x:v>
      </x:c>
      <x:c r="O479" s="15" t="str"/>
      <x:c r="P479" s="15" t="str">
        <x:v>eml_ALL_currentac__512781 (2).zip &gt; eml5currentac__512781.zip</x:v>
      </x:c>
      <x:c r="Q479" s="15" t="str">
        <x:v>FNB _-) R500.00 paid from Current a_c..512781 @ Smartapp. Ref.Electricity 04294887. 25Feb 18_09.eml</x:v>
      </x:c>
      <x:c r="R479" s="15" t="str">
        <x:v>High</x:v>
      </x:c>
      <x:c r="S479" s="15" t="str"/>
      <x:c r="T479" s="15" t="str"/>
      <x:c r="U479" s="15" t="str"/>
      <x:c r="V479" s="15" t="str">
        <x:v>Electricity 04294887</x:v>
      </x:c>
      <x:c r="W479" s="15" t="str">
        <x:v>Smartapp</x:v>
      </x:c>
      <x:c r="X479" s="15" t="str">
        <x:v>FNB :-) R500.00 paid from Current a/c..512781 @ Smartapp. Avail R24018. Ref.Electricity 04294887. 25Feb 18:09</x:v>
      </x:c>
      <x:c r="Y479" s="15" t="str">
        <x:v>d3d70a5514a09341</x:v>
      </x:c>
    </x:row>
    <x:row r="480">
      <x:c r="A480" s="34" t="n">
        <x:v>46078.75625</x:v>
      </x:c>
      <x:c r="B480" s="36" t="n">
        <x:v>46078</x:v>
      </x:c>
      <x:c r="C480" s="34" t="n">
        <x:v>46078.7569212963</x:v>
      </x:c>
      <x:c r="D480" s="15" t="str">
        <x:v>Current a/c..512781</x:v>
      </x:c>
      <x:c r="E480" s="15" t="str"/>
      <x:c r="F480" s="15" t="str">
        <x:v>R500.00 paid to Current a/c..512781 @ Smartapp. Ref.338139,04294887007. 25Feb 18:09</x:v>
      </x:c>
      <x:c r="G480" s="15" t="str">
        <x:v>338139,04294887007</x:v>
      </x:c>
      <x:c r="H480" s="38" t="n">
        <x:v>500</x:v>
      </x:c>
      <x:c r="I480" s="15" t="str">
        <x:v>ZAR</x:v>
      </x:c>
      <x:c r="J480" s="15" t="str">
        <x:v>Inflow</x:v>
      </x:c>
      <x:c r="K480" s="15" t="str">
        <x:v>EFT receipt</x:v>
      </x:c>
      <x:c r="L480" s="15" t="str">
        <x:v>Sales / customer receipts</x:v>
      </x:c>
      <x:c r="M480" s="38"/>
      <x:c r="N480" s="38"/>
      <x:c r="O480" s="15" t="str"/>
      <x:c r="P480" s="15" t="str">
        <x:v>eml_ALL_currentac__512781 (2).zip &gt; eml5currentac__512781.zip</x:v>
      </x:c>
      <x:c r="Q480" s="15" t="str">
        <x:v>FNB _-) R500.00 paid to Current a_c..512781 @ Smartapp. Ref.338139,04294887007. 25Feb 18_09.eml</x:v>
      </x:c>
      <x:c r="R480" s="15" t="str">
        <x:v>High</x:v>
      </x:c>
      <x:c r="S480" s="15" t="str">
        <x:v>Category confidence Medium: Default for incoming EFT/PayShap/online receipt.</x:v>
      </x:c>
      <x:c r="T480" s="15" t="str"/>
      <x:c r="U480" s="15" t="str"/>
      <x:c r="V480" s="15" t="str">
        <x:v>338139,04294887007</x:v>
      </x:c>
      <x:c r="W480" s="15" t="str">
        <x:v>Smartapp</x:v>
      </x:c>
      <x:c r="X480" s="15" t="str">
        <x:v>FNB :-) R500.00 paid to Current a/c..512781 @ Smartapp. Ref.338139,04294887007. 25Feb 18:09</x:v>
      </x:c>
      <x:c r="Y480" s="15" t="str">
        <x:v>fb67e1ca21ac6f58</x:v>
      </x:c>
    </x:row>
    <x:row r="481">
      <x:c r="A481" s="34" t="n">
        <x:v>46078.75763888889</x:v>
      </x:c>
      <x:c r="B481" s="36" t="n">
        <x:v>46078</x:v>
      </x:c>
      <x:c r="C481" s="34" t="n">
        <x:v>46078.75784722222</x:v>
      </x:c>
      <x:c r="D481" s="15" t="str">
        <x:v>Current a/c..512781</x:v>
      </x:c>
      <x:c r="E481" s="15" t="str"/>
      <x:c r="F481" s="15" t="str">
        <x:v>R500.00 paid from Current a/c..512781 @ Smartapp. Avail R24018. Ref.Electricity. 25Feb 18:11</x:v>
      </x:c>
      <x:c r="G481" s="15" t="str">
        <x:v>Electricity</x:v>
      </x:c>
      <x:c r="H481" s="38" t="n">
        <x:v>500</x:v>
      </x:c>
      <x:c r="I481" s="15" t="str">
        <x:v>ZAR</x:v>
      </x:c>
      <x:c r="J481" s="15" t="str">
        <x:v>Outflow</x:v>
      </x:c>
      <x:c r="K481" s="15" t="str">
        <x:v>EFT payment</x:v>
      </x:c>
      <x:c r="L481" s="15" t="str">
        <x:v>Telecom / utilities</x:v>
      </x:c>
      <x:c r="M481" s="38"/>
      <x:c r="N481" s="38" t="n">
        <x:v>24018</x:v>
      </x:c>
      <x:c r="O481" s="15" t="str"/>
      <x:c r="P481" s="15" t="str">
        <x:v>eml_ALL_currentac__512781 (2).zip &gt; eml5currentac__512781.zip</x:v>
      </x:c>
      <x:c r="Q481" s="15" t="str">
        <x:v>FNB _-) R500.00 paid from Current a_c..512781 @ Smartapp. Ref.Electricity. 25Feb 18_11.eml</x:v>
      </x:c>
      <x:c r="R481" s="15" t="str">
        <x:v>High</x:v>
      </x:c>
      <x:c r="S481" s="15" t="str"/>
      <x:c r="T481" s="15" t="str"/>
      <x:c r="U481" s="15" t="str"/>
      <x:c r="V481" s="15" t="str">
        <x:v>Electricity</x:v>
      </x:c>
      <x:c r="W481" s="15" t="str">
        <x:v>Smartapp</x:v>
      </x:c>
      <x:c r="X481" s="15" t="str">
        <x:v>FNB :-) R500.00 paid from Current a/c..512781 @ Smartapp. Avail R24018. Ref.Electricity. 25Feb 18:11</x:v>
      </x:c>
      <x:c r="Y481" s="15" t="str">
        <x:v>5def83bddb94797d</x:v>
      </x:c>
    </x:row>
    <x:row r="482">
      <x:c r="A482" s="34" t="n">
        <x:v>46079.342361111114</x:v>
      </x:c>
      <x:c r="B482" s="36" t="n">
        <x:v>46079</x:v>
      </x:c>
      <x:c r="C482" s="34" t="n">
        <x:v>46079.342361111114</x:v>
      </x:c>
      <x:c r="D482" s="15" t="str">
        <x:v>Current a/c..512781</x:v>
      </x:c>
      <x:c r="E482" s="15" t="str"/>
      <x:c r="F482" s="15" t="str">
        <x:v>R521.64 paid to Current a/c..512781 @ Payshap. Ref.Inv# - 000170. 26Feb 08:13</x:v>
      </x:c>
      <x:c r="G482" s="15" t="str">
        <x:v>Inv# - 000170</x:v>
      </x:c>
      <x:c r="H482" s="38" t="n">
        <x:v>521.64</x:v>
      </x:c>
      <x:c r="I482" s="15" t="str">
        <x:v>ZAR</x:v>
      </x:c>
      <x:c r="J482" s="15" t="str">
        <x:v>Inflow</x:v>
      </x:c>
      <x:c r="K482" s="15" t="str">
        <x:v>EFT receipt</x:v>
      </x:c>
      <x:c r="L482" s="15" t="str">
        <x:v>Sales / customer receipts</x:v>
      </x:c>
      <x:c r="M482" s="38"/>
      <x:c r="N482" s="38"/>
      <x:c r="O482" s="15" t="str"/>
      <x:c r="P482" s="15" t="str">
        <x:v>eml_ALL_currentac__512781 (2).zip &gt; eml5currentac__512781.zip</x:v>
      </x:c>
      <x:c r="Q482" s="15" t="str">
        <x:v>FNB _-) R521.64 paid to Current a_c..512781 @ Payshap. Ref.Inv# - 000170. 26Feb 08_13.eml</x:v>
      </x:c>
      <x:c r="R482" s="15" t="str">
        <x:v>High</x:v>
      </x:c>
      <x:c r="S482" s="15" t="str">
        <x:v>Category confidence Medium: Default for incoming EFT/PayShap/online receipt.</x:v>
      </x:c>
      <x:c r="T482" s="15" t="str"/>
      <x:c r="U482" s="15" t="str"/>
      <x:c r="V482" s="15" t="str">
        <x:v>Inv# - 000170</x:v>
      </x:c>
      <x:c r="W482" s="15" t="str">
        <x:v>Payshap</x:v>
      </x:c>
      <x:c r="X482" s="15" t="str">
        <x:v>FNB :-) R521.64 paid to Current a/c..512781 @ Payshap. Ref.Inv# - 000170. 26Feb 08:13</x:v>
      </x:c>
      <x:c r="Y482" s="15" t="str">
        <x:v>b0c01ad3ba052c16</x:v>
      </x:c>
    </x:row>
    <x:row r="483">
      <x:c r="A483" s="34" t="n">
        <x:v>46079.46875</x:v>
      </x:c>
      <x:c r="B483" s="36" t="n">
        <x:v>46079</x:v>
      </x:c>
      <x:c r="C483" s="34" t="n">
        <x:v>46079.468773148146</x:v>
      </x:c>
      <x:c r="D483" s="15" t="str">
        <x:v>Current a/c..512781</x:v>
      </x:c>
      <x:c r="E483" s="15" t="str">
        <x:v>card..2924</x:v>
      </x:c>
      <x:c r="F483" s="15" t="str">
        <x:v>R8233.82 reserved for purchase @ Nkomazi Local Munici from Current a/c..512781 using card..2924. Avail R16096. 26Feb 11:15</x:v>
      </x:c>
      <x:c r="G483" s="15" t="str">
        <x:v>Nkomazi Local Munici</x:v>
      </x:c>
      <x:c r="H483" s="38" t="n">
        <x:v>8233.82</x:v>
      </x:c>
      <x:c r="I483" s="15" t="str">
        <x:v>ZAR</x:v>
      </x:c>
      <x:c r="J483" s="15" t="str">
        <x:v>Outflow</x:v>
      </x:c>
      <x:c r="K483" s="15" t="str">
        <x:v>Card purchase</x:v>
      </x:c>
      <x:c r="L483" s="15" t="str">
        <x:v>Card spend</x:v>
      </x:c>
      <x:c r="M483" s="38"/>
      <x:c r="N483" s="38" t="n">
        <x:v>16096</x:v>
      </x:c>
      <x:c r="O483" s="15" t="str"/>
      <x:c r="P483" s="15" t="str">
        <x:v>eml_ALL_currentac__512781 (2).zip &gt; eml5currentac__512781.zip</x:v>
      </x:c>
      <x:c r="Q483" s="15" t="str">
        <x:v>FNB _-) R8233.82 reserved for purchase @ Nkomazi Local Munici from Current a_c..512781 using card..2924. 26Feb 11_15.eml</x:v>
      </x:c>
      <x:c r="R483" s="15" t="str">
        <x:v>High</x:v>
      </x:c>
      <x:c r="S483" s="15" t="str">
        <x:v>Category confidence Low: Default card-spend category; merchant not confidently mapped.</x:v>
      </x:c>
      <x:c r="T483" s="15" t="str"/>
      <x:c r="U483" s="15" t="str"/>
      <x:c r="V483" s="15" t="str"/>
      <x:c r="W483" s="15" t="str"/>
      <x:c r="X483" s="15" t="str">
        <x:v>FNB :-) R8233.82 reserved for purchase @ Nkomazi Local Munici from Current a/c..512781 using card..2924. Avail R16096. 26Feb 11:15</x:v>
      </x:c>
      <x:c r="Y483" s="15" t="str">
        <x:v>c3da22ca1b2a9d15</x:v>
      </x:c>
    </x:row>
    <x:row r="484">
      <x:c r="A484" s="34" t="n">
        <x:v>46079.478472222225</x:v>
      </x:c>
      <x:c r="B484" s="36" t="n">
        <x:v>46079</x:v>
      </x:c>
      <x:c r="C484" s="34" t="n">
        <x:v>46079.47883101852</x:v>
      </x:c>
      <x:c r="D484" s="15" t="str">
        <x:v>Current a/c..512781</x:v>
      </x:c>
      <x:c r="E484" s="15" t="str"/>
      <x:c r="F484" s="15" t="str">
        <x:v>R500.00 paid from Current a/c..512781 @ Smartapp. Avail R15594. Ref.Electricity 04294887. 26Feb 11:29</x:v>
      </x:c>
      <x:c r="G484" s="15" t="str">
        <x:v>Electricity 04294887</x:v>
      </x:c>
      <x:c r="H484" s="38" t="n">
        <x:v>500</x:v>
      </x:c>
      <x:c r="I484" s="15" t="str">
        <x:v>ZAR</x:v>
      </x:c>
      <x:c r="J484" s="15" t="str">
        <x:v>Outflow</x:v>
      </x:c>
      <x:c r="K484" s="15" t="str">
        <x:v>EFT payment</x:v>
      </x:c>
      <x:c r="L484" s="15" t="str">
        <x:v>Telecom / utilities</x:v>
      </x:c>
      <x:c r="M484" s="38"/>
      <x:c r="N484" s="38" t="n">
        <x:v>15594</x:v>
      </x:c>
      <x:c r="O484" s="15" t="str"/>
      <x:c r="P484" s="15" t="str">
        <x:v>eml_ALL_currentac__512781 (2).zip &gt; eml5currentac__512781.zip</x:v>
      </x:c>
      <x:c r="Q484" s="15" t="str">
        <x:v>FNB _-) R500.00 paid from Current a_c..512781 @ Smartapp. Ref.Electricity 04294887. 26Feb 11_29.eml</x:v>
      </x:c>
      <x:c r="R484" s="15" t="str">
        <x:v>High</x:v>
      </x:c>
      <x:c r="S484" s="15" t="str"/>
      <x:c r="T484" s="15" t="str"/>
      <x:c r="U484" s="15" t="str"/>
      <x:c r="V484" s="15" t="str">
        <x:v>Electricity 04294887</x:v>
      </x:c>
      <x:c r="W484" s="15" t="str">
        <x:v>Smartapp</x:v>
      </x:c>
      <x:c r="X484" s="15" t="str">
        <x:v>FNB :-) R500.00 paid from Current a/c..512781 @ Smartapp. Avail R15594. Ref.Electricity 04294887. 26Feb 11:29</x:v>
      </x:c>
      <x:c r="Y484" s="15" t="str">
        <x:v>a9b2dd36738c0bc6</x:v>
      </x:c>
    </x:row>
    <x:row r="485">
      <x:c r="A485" s="34" t="n">
        <x:v>46079.57361111111</x:v>
      </x:c>
      <x:c r="B485" s="36" t="n">
        <x:v>46079</x:v>
      </x:c>
      <x:c r="C485" s="34" t="n">
        <x:v>46079.57371527778</x:v>
      </x:c>
      <x:c r="D485" s="15" t="str">
        <x:v>Current a/c..512781</x:v>
      </x:c>
      <x:c r="E485" s="15" t="str"/>
      <x:c r="F485" s="15" t="str">
        <x:v>R2172.96 paid to Current a/c..512781 @ Payshap. Ref.Ik Pay 487882. 26Feb 13:46</x:v>
      </x:c>
      <x:c r="G485" s="15" t="str">
        <x:v>Ik Pay 487882</x:v>
      </x:c>
      <x:c r="H485" s="38" t="n">
        <x:v>2172.96</x:v>
      </x:c>
      <x:c r="I485" s="15" t="str">
        <x:v>ZAR</x:v>
      </x:c>
      <x:c r="J485" s="15" t="str">
        <x:v>Inflow</x:v>
      </x:c>
      <x:c r="K485" s="15" t="str">
        <x:v>EFT receipt</x:v>
      </x:c>
      <x:c r="L485" s="15" t="str">
        <x:v>Sales / customer receipts</x:v>
      </x:c>
      <x:c r="M485" s="38"/>
      <x:c r="N485" s="38"/>
      <x:c r="O485" s="15" t="str"/>
      <x:c r="P485" s="15" t="str">
        <x:v>eml_ALL_currentac__512781 (2).zip &gt; eml5currentac__512781.zip</x:v>
      </x:c>
      <x:c r="Q485" s="15" t="str">
        <x:v>FNB _-) R2172.96 paid to Current a_c..512781 @ Payshap. Ref.Ik Pay 487882. 26Feb 13_46.eml</x:v>
      </x:c>
      <x:c r="R485" s="15" t="str">
        <x:v>High</x:v>
      </x:c>
      <x:c r="S485" s="15" t="str">
        <x:v>Category confidence Medium: Default for incoming EFT/PayShap/online receipt.</x:v>
      </x:c>
      <x:c r="T485" s="15" t="str"/>
      <x:c r="U485" s="15" t="str"/>
      <x:c r="V485" s="15" t="str">
        <x:v>Ik Pay 487882</x:v>
      </x:c>
      <x:c r="W485" s="15" t="str">
        <x:v>Payshap</x:v>
      </x:c>
      <x:c r="X485" s="15" t="str">
        <x:v>FNB :-) R2172.96 paid to Current a/c..512781 @ Payshap. Ref.Ik Pay 487882. 26Feb 13:46</x:v>
      </x:c>
      <x:c r="Y485" s="15" t="str">
        <x:v>1b3b7178a3b5ccfa</x:v>
      </x:c>
    </x:row>
    <x:row r="486">
      <x:c r="A486" s="34" t="n">
        <x:v>46080.41805555556</x:v>
      </x:c>
      <x:c r="B486" s="36" t="n">
        <x:v>46080</x:v>
      </x:c>
      <x:c r="C486" s="34" t="n">
        <x:v>46080.41875</x:v>
      </x:c>
      <x:c r="D486" s="15" t="str">
        <x:v>Current a/c..512781</x:v>
      </x:c>
      <x:c r="E486" s="15" t="str"/>
      <x:c r="F486" s="15" t="str">
        <x:v>R30949.25 paid to Current a/c..512781 @ Retail Forex. Ref.R026wj48l0 Booking.c. 27Feb 10:02</x:v>
      </x:c>
      <x:c r="G486" s="15" t="str">
        <x:v>R026wj48l0 Booking.c</x:v>
      </x:c>
      <x:c r="H486" s="38" t="n">
        <x:v>30949.25</x:v>
      </x:c>
      <x:c r="I486" s="15" t="str">
        <x:v>ZAR</x:v>
      </x:c>
      <x:c r="J486" s="15" t="str">
        <x:v>Inflow</x:v>
      </x:c>
      <x:c r="K486" s="15" t="str">
        <x:v>EFT receipt</x:v>
      </x:c>
      <x:c r="L486" s="15" t="str">
        <x:v>Sales / customer receipts</x:v>
      </x:c>
      <x:c r="M486" s="38"/>
      <x:c r="N486" s="38"/>
      <x:c r="O486" s="15" t="str"/>
      <x:c r="P486" s="15" t="str">
        <x:v>eml_ALL_currentac__512781 (2).zip &gt; eml5currentac__512781.zip</x:v>
      </x:c>
      <x:c r="Q486" s="15" t="str">
        <x:v>FNB _-) R30949.25 paid to Current a_c..512781 @ Retail Forex. Ref.R026wj48l0 Booking.c. 27Feb 10_02.eml</x:v>
      </x:c>
      <x:c r="R486" s="15" t="str">
        <x:v>High</x:v>
      </x:c>
      <x:c r="S486" s="15" t="str">
        <x:v>Category confidence Medium: Default for incoming EFT/PayShap/online receipt.</x:v>
      </x:c>
      <x:c r="T486" s="15" t="str"/>
      <x:c r="U486" s="15" t="str"/>
      <x:c r="V486" s="15" t="str">
        <x:v>R026wj48l0 Booking.c</x:v>
      </x:c>
      <x:c r="W486" s="15" t="str">
        <x:v>Retail Forex</x:v>
      </x:c>
      <x:c r="X486" s="15" t="str">
        <x:v>FNB :-) R30949.25 paid to Current a/c..512781 @ Retail Forex. Ref.R026wj48l0 Booking.c. 27Feb 10:02</x:v>
      </x:c>
      <x:c r="Y486" s="15" t="str">
        <x:v>3210dfd7412b8b8f</x:v>
      </x:c>
    </x:row>
    <x:row r="487">
      <x:c r="A487" s="34" t="n">
        <x:v>46080.459027777775</x:v>
      </x:c>
      <x:c r="B487" s="36" t="n">
        <x:v>46080</x:v>
      </x:c>
      <x:c r="C487" s="34" t="n">
        <x:v>46080.45924768518</x:v>
      </x:c>
      <x:c r="D487" s="15" t="str">
        <x:v>Current a/c..512781</x:v>
      </x:c>
      <x:c r="E487" s="15" t="str"/>
      <x:c r="F487" s="15" t="str">
        <x:v>R6450.00 paid from Current a/c..512781 @ Gen Ph. Avail R42251. Ref.Southern Kru 0135. 27Feb 11:01</x:v>
      </x:c>
      <x:c r="G487" s="15" t="str">
        <x:v>Southern Kru 0135</x:v>
      </x:c>
      <x:c r="H487" s="38" t="n">
        <x:v>6450</x:v>
      </x:c>
      <x:c r="I487" s="15" t="str">
        <x:v>ZAR</x:v>
      </x:c>
      <x:c r="J487" s="15" t="str">
        <x:v>Outflow</x:v>
      </x:c>
      <x:c r="K487" s="15" t="str">
        <x:v>EFT payment</x:v>
      </x:c>
      <x:c r="L487" s="15" t="str">
        <x:v>Supplier payments</x:v>
      </x:c>
      <x:c r="M487" s="38"/>
      <x:c r="N487" s="38" t="n">
        <x:v>42251</x:v>
      </x:c>
      <x:c r="O487" s="15" t="str"/>
      <x:c r="P487" s="15" t="str">
        <x:v>eml_ALL_currentac__512781 (2).zip &gt; eml5currentac__512781.zip</x:v>
      </x:c>
      <x:c r="Q487" s="15" t="str">
        <x:v>FNB _-) R6450.00 paid from Current a_c..512781 @ Gen Ph. Ref.Southern Kru 0135. 27Feb 11_01.eml</x:v>
      </x:c>
      <x:c r="R487" s="15" t="str">
        <x:v>High</x:v>
      </x:c>
      <x:c r="S487" s="15" t="str">
        <x:v>Category confidence Low: Default outflow category; review counterparty/reference.</x:v>
      </x:c>
      <x:c r="T487" s="15" t="str"/>
      <x:c r="U487" s="15" t="str"/>
      <x:c r="V487" s="15" t="str">
        <x:v>Southern Kru 0135</x:v>
      </x:c>
      <x:c r="W487" s="15" t="str">
        <x:v>Gen Ph</x:v>
      </x:c>
      <x:c r="X487" s="15" t="str">
        <x:v>FNB :-) R6450.00 paid from Current a/c..512781 @ Gen Ph. Avail R42251. Ref.Southern Kru 0135. 27Feb 11:01</x:v>
      </x:c>
      <x:c r="Y487" s="15" t="str">
        <x:v>89ea64a3f2517fd0</x:v>
      </x:c>
    </x:row>
    <x:row r="488">
      <x:c r="A488" s="34" t="n">
        <x:v>46080.45972222222</x:v>
      </x:c>
      <x:c r="B488" s="36" t="n">
        <x:v>46080</x:v>
      </x:c>
      <x:c r="C488" s="34" t="n">
        <x:v>46080.459872685184</x:v>
      </x:c>
      <x:c r="D488" s="15" t="str">
        <x:v>Current a/c..512781</x:v>
      </x:c>
      <x:c r="E488" s="15" t="str"/>
      <x:c r="F488" s="15" t="str">
        <x:v>R12000.00 paid from Current a/c..512781 @ Smartapp. Avail R30243. Ref.Staff Salary. 27Feb 11:02</x:v>
      </x:c>
      <x:c r="G488" s="15" t="str">
        <x:v>Staff Salary</x:v>
      </x:c>
      <x:c r="H488" s="38" t="n">
        <x:v>12000</x:v>
      </x:c>
      <x:c r="I488" s="15" t="str">
        <x:v>ZAR</x:v>
      </x:c>
      <x:c r="J488" s="15" t="str">
        <x:v>Outflow</x:v>
      </x:c>
      <x:c r="K488" s="15" t="str">
        <x:v>EFT payment</x:v>
      </x:c>
      <x:c r="L488" s="15" t="str">
        <x:v>Salary / wages</x:v>
      </x:c>
      <x:c r="M488" s="38"/>
      <x:c r="N488" s="38" t="n">
        <x:v>30243</x:v>
      </x:c>
      <x:c r="O488" s="15" t="str"/>
      <x:c r="P488" s="15" t="str">
        <x:v>eml_ALL_currentac__512781 (2).zip &gt; eml5currentac__512781.zip</x:v>
      </x:c>
      <x:c r="Q488" s="15" t="str">
        <x:v>FNB _-) R12000.00 paid from Current a_c..512781 @ Smartapp. Ref.Staff Salary. 27Feb 11_02.eml</x:v>
      </x:c>
      <x:c r="R488" s="15" t="str">
        <x:v>High</x:v>
      </x:c>
      <x:c r="S488" s="15" t="str"/>
      <x:c r="T488" s="15" t="str"/>
      <x:c r="U488" s="15" t="str"/>
      <x:c r="V488" s="15" t="str">
        <x:v>Staff Salary</x:v>
      </x:c>
      <x:c r="W488" s="15" t="str">
        <x:v>Smartapp</x:v>
      </x:c>
      <x:c r="X488" s="15" t="str">
        <x:v>FNB :-) R12000.00 paid from Current a/c..512781 @ Smartapp. Avail R30243. Ref.Staff Salary. 27Feb 11:02</x:v>
      </x:c>
      <x:c r="Y488" s="15" t="str">
        <x:v>e935f88b2f3dc526</x:v>
      </x:c>
    </x:row>
    <x:row r="489">
      <x:c r="A489" s="34" t="n">
        <x:v>46080.46111111111</x:v>
      </x:c>
      <x:c r="B489" s="36" t="n">
        <x:v>46080</x:v>
      </x:c>
      <x:c r="C489" s="34" t="n">
        <x:v>46080.46144675926</x:v>
      </x:c>
      <x:c r="D489" s="15" t="str">
        <x:v>Current a/c..512781</x:v>
      </x:c>
      <x:c r="E489" s="15" t="str"/>
      <x:c r="F489" s="15" t="str">
        <x:v>R2500.00 paid from Current a/c..512781 @ Smartapp. Avail R27735. Ref.Sakkie Wages. 27Feb 11:04</x:v>
      </x:c>
      <x:c r="G489" s="15" t="str">
        <x:v>Sakkie Wages</x:v>
      </x:c>
      <x:c r="H489" s="38" t="n">
        <x:v>2500</x:v>
      </x:c>
      <x:c r="I489" s="15" t="str">
        <x:v>ZAR</x:v>
      </x:c>
      <x:c r="J489" s="15" t="str">
        <x:v>Outflow</x:v>
      </x:c>
      <x:c r="K489" s="15" t="str">
        <x:v>EFT payment</x:v>
      </x:c>
      <x:c r="L489" s="15" t="str">
        <x:v>Salary / wages</x:v>
      </x:c>
      <x:c r="M489" s="38"/>
      <x:c r="N489" s="38" t="n">
        <x:v>27735</x:v>
      </x:c>
      <x:c r="O489" s="15" t="str"/>
      <x:c r="P489" s="15" t="str">
        <x:v>eml_ALL_currentac__512781 (2).zip &gt; eml5currentac__512781.zip</x:v>
      </x:c>
      <x:c r="Q489" s="15" t="str">
        <x:v>FNB _-) R2500.00 paid from Current a_c..512781 @ Smartapp. Ref.Sakkie Wages. 27Feb 11_04.eml</x:v>
      </x:c>
      <x:c r="R489" s="15" t="str">
        <x:v>High</x:v>
      </x:c>
      <x:c r="S489" s="15" t="str"/>
      <x:c r="T489" s="15" t="str"/>
      <x:c r="U489" s="15" t="str"/>
      <x:c r="V489" s="15" t="str">
        <x:v>Sakkie Wages</x:v>
      </x:c>
      <x:c r="W489" s="15" t="str">
        <x:v>Smartapp</x:v>
      </x:c>
      <x:c r="X489" s="15" t="str">
        <x:v>FNB :-) R2500.00 paid from Current a/c..512781 @ Smartapp. Avail R27735. Ref.Sakkie Wages. 27Feb 11:04</x:v>
      </x:c>
      <x:c r="Y489" s="15" t="str">
        <x:v>ed44ca9d0a629d41</x:v>
      </x:c>
    </x:row>
    <x:row r="490">
      <x:c r="A490" s="34" t="n">
        <x:v>46080.57847222222</x:v>
      </x:c>
      <x:c r="B490" s="36" t="n">
        <x:v>46080</x:v>
      </x:c>
      <x:c r="C490" s="34" t="n">
        <x:v>46080.57869212963</x:v>
      </x:c>
      <x:c r="D490" s="15" t="str">
        <x:v>Current a/c..512781</x:v>
      </x:c>
      <x:c r="E490" s="15" t="str"/>
      <x:c r="F490" s="15" t="str">
        <x:v>R11714.18 paid to Current a/c..512781 @ Payshap. Ref.Ik Pay 487882. 27Feb 13:53</x:v>
      </x:c>
      <x:c r="G490" s="15" t="str">
        <x:v>Ik Pay 487882</x:v>
      </x:c>
      <x:c r="H490" s="38" t="n">
        <x:v>11714.18</x:v>
      </x:c>
      <x:c r="I490" s="15" t="str">
        <x:v>ZAR</x:v>
      </x:c>
      <x:c r="J490" s="15" t="str">
        <x:v>Inflow</x:v>
      </x:c>
      <x:c r="K490" s="15" t="str">
        <x:v>EFT receipt</x:v>
      </x:c>
      <x:c r="L490" s="15" t="str">
        <x:v>Sales / customer receipts</x:v>
      </x:c>
      <x:c r="M490" s="38"/>
      <x:c r="N490" s="38"/>
      <x:c r="O490" s="15" t="str"/>
      <x:c r="P490" s="15" t="str">
        <x:v>eml_ALL_currentac__512781 (2).zip &gt; eml5currentac__512781.zip</x:v>
      </x:c>
      <x:c r="Q490" s="15" t="str">
        <x:v>FNB _-) R11714.18 paid to Current a_c..512781 @ Payshap. Ref.Ik Pay 487882. 27Feb 13_53.eml</x:v>
      </x:c>
      <x:c r="R490" s="15" t="str">
        <x:v>High</x:v>
      </x:c>
      <x:c r="S490" s="15" t="str">
        <x:v>Category confidence Medium: Default for incoming EFT/PayShap/online receipt.</x:v>
      </x:c>
      <x:c r="T490" s="15" t="str"/>
      <x:c r="U490" s="15" t="str"/>
      <x:c r="V490" s="15" t="str">
        <x:v>Ik Pay 487882</x:v>
      </x:c>
      <x:c r="W490" s="15" t="str">
        <x:v>Payshap</x:v>
      </x:c>
      <x:c r="X490" s="15" t="str">
        <x:v>FNB :-) R11714.18 paid to Current a/c..512781 @ Payshap. Ref.Ik Pay 487882. 27Feb 13:53</x:v>
      </x:c>
      <x:c r="Y490" s="15" t="str">
        <x:v>b9d21e8cc31c8572</x:v>
      </x:c>
    </x:row>
    <x:row r="491">
      <x:c r="A491" s="34" t="n">
        <x:v>46080.61944444444</x:v>
      </x:c>
      <x:c r="B491" s="36" t="n">
        <x:v>46080</x:v>
      </x:c>
      <x:c r="C491" s="34" t="n">
        <x:v>46080.6196875</x:v>
      </x:c>
      <x:c r="D491" s="15" t="str">
        <x:v>Current a/c..512781</x:v>
      </x:c>
      <x:c r="E491" s="15" t="str">
        <x:v>card..2924</x:v>
      </x:c>
      <x:c r="F491" s="15" t="str">
        <x:v>R123.48 reserved for purchase @ Savemor Marloth from Current a/c..512781 using card..2924. Avail R39326. 27Feb 14:52</x:v>
      </x:c>
      <x:c r="G491" s="15" t="str">
        <x:v>Savemor Marloth</x:v>
      </x:c>
      <x:c r="H491" s="38" t="n">
        <x:v>123.48</x:v>
      </x:c>
      <x:c r="I491" s="15" t="str">
        <x:v>ZAR</x:v>
      </x:c>
      <x:c r="J491" s="15" t="str">
        <x:v>Outflow</x:v>
      </x:c>
      <x:c r="K491" s="15" t="str">
        <x:v>Card purchase</x:v>
      </x:c>
      <x:c r="L491" s="15" t="str">
        <x:v>Supplier payments</x:v>
      </x:c>
      <x:c r="M491" s="38"/>
      <x:c r="N491" s="38" t="n">
        <x:v>39326</x:v>
      </x:c>
      <x:c r="O491" s="15" t="str"/>
      <x:c r="P491" s="15" t="str">
        <x:v>eml_ALL_currentac__512781 (2).zip &gt; eml5currentac__512781.zip</x:v>
      </x:c>
      <x:c r="Q491" s="15" t="str">
        <x:v>FNB _-) R123.48 reserved for purchase @ Savemor Marloth from Current a_c..512781 using card..2924. 27Feb 14_52.eml</x:v>
      </x:c>
      <x:c r="R491" s="15" t="str">
        <x:v>High</x:v>
      </x:c>
      <x:c r="S491" s="15" t="str">
        <x:v>Category confidence Medium: Retail/supplier merchant keyword.</x:v>
      </x:c>
      <x:c r="T491" s="15" t="str"/>
      <x:c r="U491" s="15" t="str"/>
      <x:c r="V491" s="15" t="str"/>
      <x:c r="W491" s="15" t="str"/>
      <x:c r="X491" s="15" t="str">
        <x:v>FNB :-) R123.48 reserved for purchase @ Savemor Marloth from Current a/c..512781 using card..2924. Avail R39326. 27Feb 14:52</x:v>
      </x:c>
      <x:c r="Y491" s="15" t="str">
        <x:v>8e347f7294b8bfb6</x:v>
      </x:c>
    </x:row>
    <x:row r="492">
      <x:c r="A492" s="34" t="n">
        <x:v>46080.66458333333</x:v>
      </x:c>
      <x:c r="B492" s="36" t="n">
        <x:v>46080</x:v>
      </x:c>
      <x:c r="C492" s="34" t="n">
        <x:v>46080.66501157408</x:v>
      </x:c>
      <x:c r="D492" s="15" t="str">
        <x:v>Current a/c..512781</x:v>
      </x:c>
      <x:c r="E492" s="15" t="str"/>
      <x:c r="F492" s="15" t="str">
        <x:v>R3004.00 paid from Current a/c..512781 @ Smartapp. Avail R36314. Ref.Kruger Safari 1685. 27Feb 15:57</x:v>
      </x:c>
      <x:c r="G492" s="15" t="str">
        <x:v>Kruger Safari 1685</x:v>
      </x:c>
      <x:c r="H492" s="38" t="n">
        <x:v>3004</x:v>
      </x:c>
      <x:c r="I492" s="15" t="str">
        <x:v>ZAR</x:v>
      </x:c>
      <x:c r="J492" s="15" t="str">
        <x:v>Outflow</x:v>
      </x:c>
      <x:c r="K492" s="15" t="str">
        <x:v>EFT payment</x:v>
      </x:c>
      <x:c r="L492" s="15" t="str">
        <x:v>Supplier payments</x:v>
      </x:c>
      <x:c r="M492" s="38"/>
      <x:c r="N492" s="38" t="n">
        <x:v>36314</x:v>
      </x:c>
      <x:c r="O492" s="15" t="str"/>
      <x:c r="P492" s="15" t="str">
        <x:v>eml_ALL_currentac__512781 (2).zip &gt; eml5currentac__512781.zip</x:v>
      </x:c>
      <x:c r="Q492" s="15" t="str">
        <x:v>FNB _-) R3004.00 paid from Current a_c..512781 @ Smartapp. Ref.Kruger Safari 1685. 27Feb 15_57.eml</x:v>
      </x:c>
      <x:c r="R492" s="15" t="str">
        <x:v>High</x:v>
      </x:c>
      <x:c r="S492" s="15" t="str">
        <x:v>Category confidence Low: Default outflow category; review counterparty/reference.</x:v>
      </x:c>
      <x:c r="T492" s="15" t="str"/>
      <x:c r="U492" s="15" t="str"/>
      <x:c r="V492" s="15" t="str">
        <x:v>Kruger Safari 1685</x:v>
      </x:c>
      <x:c r="W492" s="15" t="str">
        <x:v>Smartapp</x:v>
      </x:c>
      <x:c r="X492" s="15" t="str">
        <x:v>FNB :-) R3004.00 paid from Current a/c..512781 @ Smartapp. Avail R36314. Ref.Kruger Safari 1685. 27Feb 15:57</x:v>
      </x:c>
      <x:c r="Y492" s="15" t="str">
        <x:v>961327b0bf24631a</x:v>
      </x:c>
    </x:row>
    <x:row r="493">
      <x:c r="A493" s="34" t="n">
        <x:v>46080.66805555556</x:v>
      </x:c>
      <x:c r="B493" s="36" t="n">
        <x:v>46080</x:v>
      </x:c>
      <x:c r="C493" s="34" t="n">
        <x:v>46080.668541666666</x:v>
      </x:c>
      <x:c r="D493" s="15" t="str">
        <x:v>Current a/c..512781</x:v>
      </x:c>
      <x:c r="E493" s="15" t="str"/>
      <x:c r="F493" s="15" t="str">
        <x:v>R14500.00 paid from Current a/c..512781 @ Smartapp. Avail R21806. Ref.Staff Wage - Feb. 27Feb 16:02</x:v>
      </x:c>
      <x:c r="G493" s="15" t="str">
        <x:v>Staff Wage - Feb</x:v>
      </x:c>
      <x:c r="H493" s="38" t="n">
        <x:v>14500</x:v>
      </x:c>
      <x:c r="I493" s="15" t="str">
        <x:v>ZAR</x:v>
      </x:c>
      <x:c r="J493" s="15" t="str">
        <x:v>Outflow</x:v>
      </x:c>
      <x:c r="K493" s="15" t="str">
        <x:v>EFT payment</x:v>
      </x:c>
      <x:c r="L493" s="15" t="str">
        <x:v>Salary / wages</x:v>
      </x:c>
      <x:c r="M493" s="38"/>
      <x:c r="N493" s="38" t="n">
        <x:v>21806</x:v>
      </x:c>
      <x:c r="O493" s="15" t="str"/>
      <x:c r="P493" s="15" t="str">
        <x:v>eml_ALL_currentac__512781 (2).zip &gt; eml5currentac__512781.zip</x:v>
      </x:c>
      <x:c r="Q493" s="15" t="str">
        <x:v>FNB _-) R14500.00 paid from Current a_c..512781 @ Smartapp. Ref.Staff Wage - Feb. 27Feb 16_02.eml</x:v>
      </x:c>
      <x:c r="R493" s="15" t="str">
        <x:v>High</x:v>
      </x:c>
      <x:c r="S493" s="15" t="str"/>
      <x:c r="T493" s="15" t="str"/>
      <x:c r="U493" s="15" t="str"/>
      <x:c r="V493" s="15" t="str">
        <x:v>Staff Wage - Feb</x:v>
      </x:c>
      <x:c r="W493" s="15" t="str">
        <x:v>Smartapp</x:v>
      </x:c>
      <x:c r="X493" s="15" t="str">
        <x:v>FNB :-) R14500.00 paid from Current a/c..512781 @ Smartapp. Avail R21806. Ref.Staff Wage - Feb. 27Feb 16:02</x:v>
      </x:c>
      <x:c r="Y493" s="15" t="str">
        <x:v>3b14020577b1d60a</x:v>
      </x:c>
    </x:row>
    <x:row r="494">
      <x:c r="A494" s="34" t="n">
        <x:v>46080.83194444444</x:v>
      </x:c>
      <x:c r="B494" s="36" t="n">
        <x:v>46080</x:v>
      </x:c>
      <x:c r="C494" s="34" t="n">
        <x:v>46080.832094907404</x:v>
      </x:c>
      <x:c r="D494" s="15" t="str">
        <x:v>Current a/c..512781</x:v>
      </x:c>
      <x:c r="E494" s="15" t="str">
        <x:v>card..2924</x:v>
      </x:c>
      <x:c r="F494" s="15" t="str">
        <x:v>R460.00 reserved for purchase @ Amazing Kruger from Current a/c..512781 using card..2924. Avail R21346. 27Feb 19:58</x:v>
      </x:c>
      <x:c r="G494" s="15" t="str">
        <x:v>Amazing Kruger</x:v>
      </x:c>
      <x:c r="H494" s="38" t="n">
        <x:v>460</x:v>
      </x:c>
      <x:c r="I494" s="15" t="str">
        <x:v>ZAR</x:v>
      </x:c>
      <x:c r="J494" s="15" t="str">
        <x:v>Outflow</x:v>
      </x:c>
      <x:c r="K494" s="15" t="str">
        <x:v>Card purchase</x:v>
      </x:c>
      <x:c r="L494" s="15" t="str">
        <x:v>Card spend</x:v>
      </x:c>
      <x:c r="M494" s="38"/>
      <x:c r="N494" s="38" t="n">
        <x:v>21346</x:v>
      </x:c>
      <x:c r="O494" s="15" t="str"/>
      <x:c r="P494" s="15" t="str">
        <x:v>eml_ALL_currentac__512781 (2).zip &gt; eml5currentac__512781.zip</x:v>
      </x:c>
      <x:c r="Q494" s="15" t="str">
        <x:v>FNB _-) R460.00 reserved for purchase @ Amazing Kruger from Current a_c..512781 using card..2924. 27Feb 19_58.eml</x:v>
      </x:c>
      <x:c r="R494" s="15" t="str">
        <x:v>High</x:v>
      </x:c>
      <x:c r="S494" s="15" t="str">
        <x:v>Category confidence Low: Default card-spend category; merchant not confidently mapped.</x:v>
      </x:c>
      <x:c r="T494" s="15" t="str"/>
      <x:c r="U494" s="15" t="str"/>
      <x:c r="V494" s="15" t="str"/>
      <x:c r="W494" s="15" t="str"/>
      <x:c r="X494" s="15" t="str">
        <x:v>FNB :-) R460.00 reserved for purchase @ Amazing Kruger from Current a/c..512781 using card..2924. Avail R21346. 27Feb 19:58</x:v>
      </x:c>
      <x:c r="Y494" s="15" t="str">
        <x:v>32083ce8f8610767</x:v>
      </x:c>
    </x:row>
    <x:row r="495">
      <x:c r="A495" s="34" t="n">
        <x:v>46081.38055555556</x:v>
      </x:c>
      <x:c r="B495" s="36" t="n">
        <x:v>46081</x:v>
      </x:c>
      <x:c r="C495" s="34" t="n">
        <x:v>46081.38078703704</x:v>
      </x:c>
      <x:c r="D495" s="15" t="str">
        <x:v>Current a/c..512781</x:v>
      </x:c>
      <x:c r="E495" s="15" t="str">
        <x:v>card..2924</x:v>
      </x:c>
      <x:c r="F495" s="15" t="str">
        <x:v>R419.91 reserved for purchase @ Toppies Hardware 66 from Current a/c..512781 using card..2924. Avail R20916. 28Feb 09:08</x:v>
      </x:c>
      <x:c r="G495" s="15" t="str">
        <x:v>Toppies Hardware 66</x:v>
      </x:c>
      <x:c r="H495" s="38" t="n">
        <x:v>419.91</x:v>
      </x:c>
      <x:c r="I495" s="15" t="str">
        <x:v>ZAR</x:v>
      </x:c>
      <x:c r="J495" s="15" t="str">
        <x:v>Outflow</x:v>
      </x:c>
      <x:c r="K495" s="15" t="str">
        <x:v>Card purchase</x:v>
      </x:c>
      <x:c r="L495" s="15" t="str">
        <x:v>Supplier payments</x:v>
      </x:c>
      <x:c r="M495" s="38"/>
      <x:c r="N495" s="38" t="n">
        <x:v>20916</x:v>
      </x:c>
      <x:c r="O495" s="15" t="str"/>
      <x:c r="P495" s="15" t="str">
        <x:v>eml_ALL_currentac__512781 (2).zip &gt; eml5currentac__512781.zip</x:v>
      </x:c>
      <x:c r="Q495" s="15" t="str">
        <x:v>FNB _-) R419.91 reserved for purchase @ Toppies Hardware 66 from Current a_c..512781 using card..2924. 28Feb 09_08.eml</x:v>
      </x:c>
      <x:c r="R495" s="15" t="str">
        <x:v>High</x:v>
      </x:c>
      <x:c r="S495" s="15" t="str">
        <x:v>Category confidence Medium: Retail/supplier merchant keyword.</x:v>
      </x:c>
      <x:c r="T495" s="15" t="str"/>
      <x:c r="U495" s="15" t="str"/>
      <x:c r="V495" s="15" t="str"/>
      <x:c r="W495" s="15" t="str"/>
      <x:c r="X495" s="15" t="str">
        <x:v>FNB :-) R419.91 reserved for purchase @ Toppies Hardware 66 from Current a/c..512781 using card..2924. Avail R20916. 28Feb 09:08</x:v>
      </x:c>
      <x:c r="Y495" s="15" t="str">
        <x:v>0093be3a45fe3966</x:v>
      </x:c>
    </x:row>
    <x:row r="496">
      <x:c r="A496" s="34" t="n">
        <x:v>46081.59583333333</x:v>
      </x:c>
      <x:c r="B496" s="36" t="n">
        <x:v>46081</x:v>
      </x:c>
      <x:c r="C496" s="34" t="n">
        <x:v>46081.596087962964</x:v>
      </x:c>
      <x:c r="D496" s="15" t="str">
        <x:v>Current a/c..512781</x:v>
      </x:c>
      <x:c r="E496" s="15" t="str">
        <x:v>card..2924</x:v>
      </x:c>
      <x:c r="F496" s="15" t="str">
        <x:v>R300.00 withdrawn from Current a/c..512781 using card..2924 @ Atmh11960000001. Avail R20526. 28Feb 14:18</x:v>
      </x:c>
      <x:c r="G496" s="15" t="str">
        <x:v>Atmh11960000001</x:v>
      </x:c>
      <x:c r="H496" s="38" t="n">
        <x:v>300</x:v>
      </x:c>
      <x:c r="I496" s="15" t="str">
        <x:v>ZAR</x:v>
      </x:c>
      <x:c r="J496" s="15" t="str">
        <x:v>Outflow</x:v>
      </x:c>
      <x:c r="K496" s="15" t="str">
        <x:v>ATM / cash withdrawal</x:v>
      </x:c>
      <x:c r="L496" s="15" t="str">
        <x:v>Cash withdrawal</x:v>
      </x:c>
      <x:c r="M496" s="38"/>
      <x:c r="N496" s="38" t="n">
        <x:v>20526</x:v>
      </x:c>
      <x:c r="O496" s="15" t="str">
        <x:v>Atmh11960000001</x:v>
      </x:c>
      <x:c r="P496" s="15" t="str">
        <x:v>eml_ALL_currentac__512781 (2).zip &gt; eml5currentac__512781.zip</x:v>
      </x:c>
      <x:c r="Q496" s="15" t="str">
        <x:v>FNB _-) R300.00 withdrawn from Current a_c..512781 using card..2924 @ Atmh11960000001. 28Feb 14_18.eml</x:v>
      </x:c>
      <x:c r="R496" s="15" t="str">
        <x:v>High</x:v>
      </x:c>
      <x:c r="S496" s="15" t="str">
        <x:v>Cash withdrawal; included in outflows and separated in income statement.</x:v>
      </x:c>
      <x:c r="T496" s="15" t="str"/>
      <x:c r="U496" s="15" t="str"/>
      <x:c r="V496" s="15" t="str"/>
      <x:c r="W496" s="15" t="str"/>
      <x:c r="X496" s="15" t="str">
        <x:v>FNB :-) R300.00 withdrawn from Current a/c..512781 using card..2924 @ Atmh11960000001. Avail R20526. 28Feb 14:18</x:v>
      </x:c>
      <x:c r="Y496" s="15" t="str">
        <x:v>3e2d04f9accc08d2</x:v>
      </x:c>
    </x:row>
    <x:row r="497">
      <x:c r="A497" s="34" t="n">
        <x:v>46082.330555555556</x:v>
      </x:c>
      <x:c r="B497" s="36" t="n">
        <x:v>46082</x:v>
      </x:c>
      <x:c r="C497" s="34" t="n">
        <x:v>46082.330972222226</x:v>
      </x:c>
      <x:c r="D497" s="15" t="str">
        <x:v>Current a/c..512781</x:v>
      </x:c>
      <x:c r="E497" s="15" t="str">
        <x:v>card..2924</x:v>
      </x:c>
      <x:c r="F497" s="15" t="str">
        <x:v>R1280.00 reserved for purchase @ Frontier Fuels from Current a/c..512781 using card..2924. Avail R18988. 1Mar 07:56</x:v>
      </x:c>
      <x:c r="G497" s="15" t="str">
        <x:v>Frontier Fuels</x:v>
      </x:c>
      <x:c r="H497" s="38" t="n">
        <x:v>1280</x:v>
      </x:c>
      <x:c r="I497" s="15" t="str">
        <x:v>ZAR</x:v>
      </x:c>
      <x:c r="J497" s="15" t="str">
        <x:v>Outflow</x:v>
      </x:c>
      <x:c r="K497" s="15" t="str">
        <x:v>Card purchase</x:v>
      </x:c>
      <x:c r="L497" s="15" t="str">
        <x:v>Fuel / transport</x:v>
      </x:c>
      <x:c r="M497" s="38"/>
      <x:c r="N497" s="38" t="n">
        <x:v>18988</x:v>
      </x:c>
      <x:c r="O497" s="15" t="str"/>
      <x:c r="P497" s="15" t="str">
        <x:v>eml_ALL_currentac__512781 (2).zip &gt; eml5currentac__512781.zip</x:v>
      </x:c>
      <x:c r="Q497" s="15" t="str">
        <x:v>FNB _-) R1280.00 reserved for purchase @ Frontier Fuels from Current a_c..512781 using card..2924.  1Mar 07_56.eml</x:v>
      </x:c>
      <x:c r="R497" s="15" t="str">
        <x:v>High</x:v>
      </x:c>
      <x:c r="S497" s="15" t="str"/>
      <x:c r="T497" s="15" t="str"/>
      <x:c r="U497" s="15" t="str"/>
      <x:c r="V497" s="15" t="str"/>
      <x:c r="W497" s="15" t="str"/>
      <x:c r="X497" s="15" t="str">
        <x:v>FNB :-) R1280.00 reserved for purchase @ Frontier Fuels from Current a/c..512781 using card..2924. Avail R18988. 1Mar 07:56</x:v>
      </x:c>
      <x:c r="Y497" s="15" t="str">
        <x:v>9c1c49af4fff1188</x:v>
      </x:c>
    </x:row>
    <x:row r="498">
      <x:c r="A498" s="34" t="n">
        <x:v>46082.33819444444</x:v>
      </x:c>
      <x:c r="B498" s="36" t="n">
        <x:v>46082</x:v>
      </x:c>
      <x:c r="C498" s="34" t="n">
        <x:v>46082.33881944444</x:v>
      </x:c>
      <x:c r="D498" s="15" t="str">
        <x:v>Current a/c..512781</x:v>
      </x:c>
      <x:c r="E498" s="15" t="str">
        <x:v>card..2924</x:v>
      </x:c>
      <x:c r="F498" s="15" t="str">
        <x:v>R222.40 reserved for purchase @ Buco Komatipoort from Current a/c..512781 using card..2924. Avail R18766. 1Mar 08:07</x:v>
      </x:c>
      <x:c r="G498" s="15" t="str">
        <x:v>Buco Komatipoort</x:v>
      </x:c>
      <x:c r="H498" s="38" t="n">
        <x:v>222.4</x:v>
      </x:c>
      <x:c r="I498" s="15" t="str">
        <x:v>ZAR</x:v>
      </x:c>
      <x:c r="J498" s="15" t="str">
        <x:v>Outflow</x:v>
      </x:c>
      <x:c r="K498" s="15" t="str">
        <x:v>Card purchase</x:v>
      </x:c>
      <x:c r="L498" s="15" t="str">
        <x:v>Supplier payments</x:v>
      </x:c>
      <x:c r="M498" s="38"/>
      <x:c r="N498" s="38" t="n">
        <x:v>18766</x:v>
      </x:c>
      <x:c r="O498" s="15" t="str"/>
      <x:c r="P498" s="15" t="str">
        <x:v>eml_ALL_currentac__512781 (2).zip &gt; eml5currentac__512781.zip</x:v>
      </x:c>
      <x:c r="Q498" s="15" t="str">
        <x:v>FNB _-) R222.40 reserved for purchase @ Buco Komatipoort from Current a_c..512781 using card..2924.  1Mar 08_07.eml</x:v>
      </x:c>
      <x:c r="R498" s="15" t="str">
        <x:v>High</x:v>
      </x:c>
      <x:c r="S498" s="15" t="str">
        <x:v>Category confidence Medium: Retail/supplier merchant keyword.</x:v>
      </x:c>
      <x:c r="T498" s="15" t="str"/>
      <x:c r="U498" s="15" t="str"/>
      <x:c r="V498" s="15" t="str"/>
      <x:c r="W498" s="15" t="str"/>
      <x:c r="X498" s="15" t="str">
        <x:v>FNB :-) R222.40 reserved for purchase @ Buco Komatipoort from Current a/c..512781 using card..2924. Avail R18766. 1Mar 08:07</x:v>
      </x:c>
      <x:c r="Y498" s="15" t="str">
        <x:v>de6f39b0b2515a8c</x:v>
      </x:c>
    </x:row>
    <x:row r="499">
      <x:c r="A499" s="34" t="n">
        <x:v>46082.55069444444</x:v>
      </x:c>
      <x:c r="B499" s="36" t="n">
        <x:v>46082</x:v>
      </x:c>
      <x:c r="C499" s="34" t="n">
        <x:v>46082.55087962963</x:v>
      </x:c>
      <x:c r="D499" s="15" t="str">
        <x:v>Current a/c..512781</x:v>
      </x:c>
      <x:c r="E499" s="15" t="str">
        <x:v>card..2924</x:v>
      </x:c>
      <x:c r="F499" s="15" t="str">
        <x:v>R649.95 reserved for purchase @ Savemor Marloth from Current a/c..512781 using card..2924. Avail R18116. 1Mar 13:13</x:v>
      </x:c>
      <x:c r="G499" s="15" t="str">
        <x:v>Savemor Marloth</x:v>
      </x:c>
      <x:c r="H499" s="38" t="n">
        <x:v>649.95</x:v>
      </x:c>
      <x:c r="I499" s="15" t="str">
        <x:v>ZAR</x:v>
      </x:c>
      <x:c r="J499" s="15" t="str">
        <x:v>Outflow</x:v>
      </x:c>
      <x:c r="K499" s="15" t="str">
        <x:v>Card purchase</x:v>
      </x:c>
      <x:c r="L499" s="15" t="str">
        <x:v>Supplier payments</x:v>
      </x:c>
      <x:c r="M499" s="38"/>
      <x:c r="N499" s="38" t="n">
        <x:v>18116</x:v>
      </x:c>
      <x:c r="O499" s="15" t="str"/>
      <x:c r="P499" s="15" t="str">
        <x:v>eml_ALL_currentac__512781 (2).zip &gt; eml5currentac__512781.zip</x:v>
      </x:c>
      <x:c r="Q499" s="15" t="str">
        <x:v>FNB _-) R649.95 reserved for purchase @ Savemor Marloth from Current a_c..512781 using card..2924.  1Mar 13_13.eml</x:v>
      </x:c>
      <x:c r="R499" s="15" t="str">
        <x:v>High</x:v>
      </x:c>
      <x:c r="S499" s="15" t="str">
        <x:v>Category confidence Medium: Retail/supplier merchant keyword.</x:v>
      </x:c>
      <x:c r="T499" s="15" t="str"/>
      <x:c r="U499" s="15" t="str"/>
      <x:c r="V499" s="15" t="str"/>
      <x:c r="W499" s="15" t="str"/>
      <x:c r="X499" s="15" t="str">
        <x:v>FNB :-) R649.95 reserved for purchase @ Savemor Marloth from Current a/c..512781 using card..2924. Avail R18116. 1Mar 13:13</x:v>
      </x:c>
      <x:c r="Y499" s="15" t="str">
        <x:v>5d0808f5abbc2f2c</x:v>
      </x:c>
    </x:row>
    <x:row r="500">
      <x:c r="A500" s="34" t="n">
        <x:v>46083.4</x:v>
      </x:c>
      <x:c r="B500" s="36" t="n">
        <x:v>46083</x:v>
      </x:c>
      <x:c r="C500" s="34" t="n">
        <x:v>46083.40015046296</x:v>
      </x:c>
      <x:c r="D500" s="15" t="str">
        <x:v>Current a/c..512781</x:v>
      </x:c>
      <x:c r="E500" s="15" t="str">
        <x:v>card..2924</x:v>
      </x:c>
      <x:c r="F500" s="15" t="str">
        <x:v>R328.72 reserved for purchase @ Superspar Komatipoor from Current a/c..512781 using card..2924. Avail R17787. 2Mar 09:36</x:v>
      </x:c>
      <x:c r="G500" s="15" t="str">
        <x:v>Superspar Komatipoor</x:v>
      </x:c>
      <x:c r="H500" s="38" t="n">
        <x:v>328.72</x:v>
      </x:c>
      <x:c r="I500" s="15" t="str">
        <x:v>ZAR</x:v>
      </x:c>
      <x:c r="J500" s="15" t="str">
        <x:v>Outflow</x:v>
      </x:c>
      <x:c r="K500" s="15" t="str">
        <x:v>Card purchase</x:v>
      </x:c>
      <x:c r="L500" s="15" t="str">
        <x:v>Supplier payments</x:v>
      </x:c>
      <x:c r="M500" s="38"/>
      <x:c r="N500" s="38" t="n">
        <x:v>17787</x:v>
      </x:c>
      <x:c r="O500" s="15" t="str"/>
      <x:c r="P500" s="15" t="str">
        <x:v>eml_ALL_currentac__512781 (2).zip &gt; eml5currentac__512781.zip</x:v>
      </x:c>
      <x:c r="Q500" s="15" t="str">
        <x:v>FNB _-) R328.72 reserved for purchase @ Superspar Komatipoor from Current a_c..512781 using card..2924.  2Mar 09_36.eml</x:v>
      </x:c>
      <x:c r="R500" s="15" t="str">
        <x:v>High</x:v>
      </x:c>
      <x:c r="S500" s="15" t="str">
        <x:v>Category confidence Medium: Retail/supplier merchant keyword.</x:v>
      </x:c>
      <x:c r="T500" s="15" t="str"/>
      <x:c r="U500" s="15" t="str"/>
      <x:c r="V500" s="15" t="str"/>
      <x:c r="W500" s="15" t="str"/>
      <x:c r="X500" s="15" t="str">
        <x:v>FNB :-) R328.72 reserved for purchase @ Superspar Komatipoor from Current a/c..512781 using card..2924. Avail R17787. 2Mar 09:36</x:v>
      </x:c>
      <x:c r="Y500" s="15" t="str">
        <x:v>585d22870c4a783a</x:v>
      </x:c>
    </x:row>
    <x:row r="501">
      <x:c r="A501" s="34" t="n">
        <x:v>46083.40347222222</x:v>
      </x:c>
      <x:c r="B501" s="36" t="n">
        <x:v>46083</x:v>
      </x:c>
      <x:c r="C501" s="34" t="n">
        <x:v>46083.40409722222</x:v>
      </x:c>
      <x:c r="D501" s="15" t="str">
        <x:v>Current a/c..512781</x:v>
      </x:c>
      <x:c r="E501" s="15" t="str">
        <x:v>card..2924</x:v>
      </x:c>
      <x:c r="F501" s="15" t="str">
        <x:v>R429.97 reserved for purchase @ Buco Komatipoort 116 from Current a/c..512781 using card..2924. Avail R17357. 2Mar 09:41</x:v>
      </x:c>
      <x:c r="G501" s="15" t="str">
        <x:v>Buco Komatipoort 116</x:v>
      </x:c>
      <x:c r="H501" s="38" t="n">
        <x:v>429.97</x:v>
      </x:c>
      <x:c r="I501" s="15" t="str">
        <x:v>ZAR</x:v>
      </x:c>
      <x:c r="J501" s="15" t="str">
        <x:v>Outflow</x:v>
      </x:c>
      <x:c r="K501" s="15" t="str">
        <x:v>Card purchase</x:v>
      </x:c>
      <x:c r="L501" s="15" t="str">
        <x:v>Supplier payments</x:v>
      </x:c>
      <x:c r="M501" s="38"/>
      <x:c r="N501" s="38" t="n">
        <x:v>17357</x:v>
      </x:c>
      <x:c r="O501" s="15" t="str"/>
      <x:c r="P501" s="15" t="str">
        <x:v>eml_ALL_currentac__512781 (2).zip &gt; eml5currentac__512781.zip</x:v>
      </x:c>
      <x:c r="Q501" s="15" t="str">
        <x:v>FNB _-) R429.97 reserved for purchase @ Buco Komatipoort 116 from Current a_c..512781 using card..2924.  2Mar 09_41.eml</x:v>
      </x:c>
      <x:c r="R501" s="15" t="str">
        <x:v>High</x:v>
      </x:c>
      <x:c r="S501" s="15" t="str">
        <x:v>Category confidence Medium: Retail/supplier merchant keyword.</x:v>
      </x:c>
      <x:c r="T501" s="15" t="str"/>
      <x:c r="U501" s="15" t="str"/>
      <x:c r="V501" s="15" t="str"/>
      <x:c r="W501" s="15" t="str"/>
      <x:c r="X501" s="15" t="str">
        <x:v>FNB :-) R429.97 reserved for purchase @ Buco Komatipoort 116 from Current a/c..512781 using card..2924. Avail R17357. 2Mar 09:41</x:v>
      </x:c>
      <x:c r="Y501" s="15" t="str">
        <x:v>7c110a4537fd30bd</x:v>
      </x:c>
    </x:row>
    <x:row r="502">
      <x:c r="A502" s="34" t="n">
        <x:v>46083.419444444444</x:v>
      </x:c>
      <x:c r="B502" s="36" t="n">
        <x:v>46083</x:v>
      </x:c>
      <x:c r="C502" s="34" t="n">
        <x:v>46083.419641203705</x:v>
      </x:c>
      <x:c r="D502" s="15" t="str">
        <x:v>Current a/c..512781</x:v>
      </x:c>
      <x:c r="E502" s="15" t="str">
        <x:v>card..2924</x:v>
      </x:c>
      <x:c r="F502" s="15" t="str">
        <x:v>R254.40 reserved for purchase @ Oasis Water Komatipo from Current a/c..512781 using card..2924. Avail R17103. 2Mar 10:04</x:v>
      </x:c>
      <x:c r="G502" s="15" t="str">
        <x:v>Oasis Water Komatipo</x:v>
      </x:c>
      <x:c r="H502" s="38" t="n">
        <x:v>254.4</x:v>
      </x:c>
      <x:c r="I502" s="15" t="str">
        <x:v>ZAR</x:v>
      </x:c>
      <x:c r="J502" s="15" t="str">
        <x:v>Outflow</x:v>
      </x:c>
      <x:c r="K502" s="15" t="str">
        <x:v>Card purchase</x:v>
      </x:c>
      <x:c r="L502" s="15" t="str">
        <x:v>Supplier payments</x:v>
      </x:c>
      <x:c r="M502" s="38"/>
      <x:c r="N502" s="38" t="n">
        <x:v>17103</x:v>
      </x:c>
      <x:c r="O502" s="15" t="str"/>
      <x:c r="P502" s="15" t="str">
        <x:v>eml_ALL_currentac__512781 (2).zip &gt; eml5currentac__512781.zip</x:v>
      </x:c>
      <x:c r="Q502" s="15" t="str">
        <x:v>FNB _-) R254.40 reserved for purchase @ Oasis Water Komatipo from Current a_c..512781 using card..2924.  2Mar 10_04.eml</x:v>
      </x:c>
      <x:c r="R502" s="15" t="str">
        <x:v>High</x:v>
      </x:c>
      <x:c r="S502" s="15" t="str">
        <x:v>Category confidence Medium: Retail/supplier merchant keyword.</x:v>
      </x:c>
      <x:c r="T502" s="15" t="str"/>
      <x:c r="U502" s="15" t="str"/>
      <x:c r="V502" s="15" t="str"/>
      <x:c r="W502" s="15" t="str"/>
      <x:c r="X502" s="15" t="str">
        <x:v>FNB :-) R254.40 reserved for purchase @ Oasis Water Komatipo from Current a/c..512781 using card..2924. Avail R17103. 2Mar 10:04</x:v>
      </x:c>
      <x:c r="Y502" s="15" t="str">
        <x:v>641c0b3d3adcd335</x:v>
      </x:c>
    </x:row>
    <x:row r="503">
      <x:c r="A503" s="34" t="n">
        <x:v>46083.436111111114</x:v>
      </x:c>
      <x:c r="B503" s="36" t="n">
        <x:v>46083</x:v>
      </x:c>
      <x:c r="C503" s="34" t="n">
        <x:v>46083.43630787037</x:v>
      </x:c>
      <x:c r="D503" s="15" t="str">
        <x:v>Current a/c..512781</x:v>
      </x:c>
      <x:c r="E503" s="15" t="str"/>
      <x:c r="F503" s="15" t="str">
        <x:v>R1000.00 paid from Current a/c..512781 @ Smartapp. Avail R16103. Ref.Electricity 04279376. 2Mar 10:28</x:v>
      </x:c>
      <x:c r="G503" s="15" t="str">
        <x:v>Electricity 04279376</x:v>
      </x:c>
      <x:c r="H503" s="38" t="n">
        <x:v>1000</x:v>
      </x:c>
      <x:c r="I503" s="15" t="str">
        <x:v>ZAR</x:v>
      </x:c>
      <x:c r="J503" s="15" t="str">
        <x:v>Outflow</x:v>
      </x:c>
      <x:c r="K503" s="15" t="str">
        <x:v>EFT payment</x:v>
      </x:c>
      <x:c r="L503" s="15" t="str">
        <x:v>Telecom / utilities</x:v>
      </x:c>
      <x:c r="M503" s="38"/>
      <x:c r="N503" s="38" t="n">
        <x:v>16103</x:v>
      </x:c>
      <x:c r="O503" s="15" t="str"/>
      <x:c r="P503" s="15" t="str">
        <x:v>eml_ALL_currentac__512781 (2).zip &gt; eml5currentac__512781.zip</x:v>
      </x:c>
      <x:c r="Q503" s="15" t="str">
        <x:v>FNB _-) R1000.00 paid from Current a_c..512781 @ Smartapp. Ref.Electricity 04279376.  2Mar 10_28.eml</x:v>
      </x:c>
      <x:c r="R503" s="15" t="str">
        <x:v>High</x:v>
      </x:c>
      <x:c r="S503" s="15" t="str"/>
      <x:c r="T503" s="15" t="str"/>
      <x:c r="U503" s="15" t="str"/>
      <x:c r="V503" s="15" t="str">
        <x:v>Electricity 04279376</x:v>
      </x:c>
      <x:c r="W503" s="15" t="str">
        <x:v>Smartapp</x:v>
      </x:c>
      <x:c r="X503" s="15" t="str">
        <x:v>FNB :-) R1000.00 paid from Current a/c..512781 @ Smartapp. Avail R16103. Ref.Electricity 04279376. 2Mar 10:28</x:v>
      </x:c>
      <x:c r="Y503" s="15" t="str">
        <x:v>d860eb929e0fbb06</x:v>
      </x:c>
    </x:row>
    <x:row r="504">
      <x:c r="A504" s="34" t="n">
        <x:v>46083.592361111114</x:v>
      </x:c>
      <x:c r="B504" s="36" t="n">
        <x:v>46083</x:v>
      </x:c>
      <x:c r="C504" s="34" t="n">
        <x:v>46083.59292824074</x:v>
      </x:c>
      <x:c r="D504" s="15" t="str">
        <x:v>Current a/c..512781</x:v>
      </x:c>
      <x:c r="E504" s="15" t="str"/>
      <x:c r="F504" s="15" t="str">
        <x:v>R815.00 paid from Current a/c..512781 @ Smartapp. Avail R15288. Ref.Printing. 2Mar 14:13</x:v>
      </x:c>
      <x:c r="G504" s="15" t="str">
        <x:v>Printing</x:v>
      </x:c>
      <x:c r="H504" s="38" t="n">
        <x:v>815</x:v>
      </x:c>
      <x:c r="I504" s="15" t="str">
        <x:v>ZAR</x:v>
      </x:c>
      <x:c r="J504" s="15" t="str">
        <x:v>Outflow</x:v>
      </x:c>
      <x:c r="K504" s="15" t="str">
        <x:v>EFT payment</x:v>
      </x:c>
      <x:c r="L504" s="15" t="str">
        <x:v>Supplier payments</x:v>
      </x:c>
      <x:c r="M504" s="38"/>
      <x:c r="N504" s="38" t="n">
        <x:v>15288</x:v>
      </x:c>
      <x:c r="O504" s="15" t="str"/>
      <x:c r="P504" s="15" t="str">
        <x:v>eml_ALL_currentac__512781 (2).zip &gt; eml5currentac__512781.zip</x:v>
      </x:c>
      <x:c r="Q504" s="15" t="str">
        <x:v>FNB _-) R815.00 paid from Current a_c..512781 @ Smartapp. Ref.Printing.  2Mar 14_13.eml</x:v>
      </x:c>
      <x:c r="R504" s="15" t="str">
        <x:v>High</x:v>
      </x:c>
      <x:c r="S504" s="15" t="str">
        <x:v>Category confidence Low: Default outflow category; review counterparty/reference.</x:v>
      </x:c>
      <x:c r="T504" s="15" t="str"/>
      <x:c r="U504" s="15" t="str"/>
      <x:c r="V504" s="15" t="str">
        <x:v>Printing</x:v>
      </x:c>
      <x:c r="W504" s="15" t="str">
        <x:v>Smartapp</x:v>
      </x:c>
      <x:c r="X504" s="15" t="str">
        <x:v>FNB :-) R815.00 paid from Current a/c..512781 @ Smartapp. Avail R15288. Ref.Printing. 2Mar 14:13</x:v>
      </x:c>
      <x:c r="Y504" s="15" t="str">
        <x:v>56ccfc76d6ea737e</x:v>
      </x:c>
    </x:row>
    <x:row r="505">
      <x:c r="A505" s="34" t="n">
        <x:v>46083.604166666664</x:v>
      </x:c>
      <x:c r="B505" s="36" t="n">
        <x:v>46083</x:v>
      </x:c>
      <x:c r="C505" s="34" t="n">
        <x:v>46083.60465277778</x:v>
      </x:c>
      <x:c r="D505" s="15" t="str">
        <x:v>Current a/c..512781</x:v>
      </x:c>
      <x:c r="E505" s="15" t="str"/>
      <x:c r="F505" s="15" t="str">
        <x:v>R759.00 paid from Current a/c..512781 @ Smartapp. Avail R14529. Ref.Nb N992820. 2Mar 14:30</x:v>
      </x:c>
      <x:c r="G505" s="15" t="str">
        <x:v>Nb N992820</x:v>
      </x:c>
      <x:c r="H505" s="38" t="n">
        <x:v>759</x:v>
      </x:c>
      <x:c r="I505" s="15" t="str">
        <x:v>ZAR</x:v>
      </x:c>
      <x:c r="J505" s="15" t="str">
        <x:v>Outflow</x:v>
      </x:c>
      <x:c r="K505" s="15" t="str">
        <x:v>EFT payment</x:v>
      </x:c>
      <x:c r="L505" s="15" t="str">
        <x:v>Supplier payments</x:v>
      </x:c>
      <x:c r="M505" s="38"/>
      <x:c r="N505" s="38" t="n">
        <x:v>14529</x:v>
      </x:c>
      <x:c r="O505" s="15" t="str"/>
      <x:c r="P505" s="15" t="str">
        <x:v>eml_ALL_currentac__512781 (2).zip &gt; eml5currentac__512781.zip</x:v>
      </x:c>
      <x:c r="Q505" s="15" t="str">
        <x:v>FNB _-) R759.00 paid from Current a_c..512781 @ Smartapp. Ref.Nb N992820.  2Mar 14_30.eml</x:v>
      </x:c>
      <x:c r="R505" s="15" t="str">
        <x:v>High</x:v>
      </x:c>
      <x:c r="S505" s="15" t="str">
        <x:v>Category confidence Low: Default outflow category; review counterparty/reference.</x:v>
      </x:c>
      <x:c r="T505" s="15" t="str"/>
      <x:c r="U505" s="15" t="str"/>
      <x:c r="V505" s="15" t="str">
        <x:v>Nb N992820</x:v>
      </x:c>
      <x:c r="W505" s="15" t="str">
        <x:v>Smartapp</x:v>
      </x:c>
      <x:c r="X505" s="15" t="str">
        <x:v>FNB :-) R759.00 paid from Current a/c..512781 @ Smartapp. Avail R14529. Ref.Nb N992820. 2Mar 14:30</x:v>
      </x:c>
      <x:c r="Y505" s="15" t="str">
        <x:v>191158168e323511</x:v>
      </x:c>
    </x:row>
    <x:row r="506">
      <x:c r="A506" s="34" t="n">
        <x:v>46083.61111111111</x:v>
      </x:c>
      <x:c r="B506" s="36" t="n">
        <x:v>46083</x:v>
      </x:c>
      <x:c r="C506" s="34" t="n">
        <x:v>46083.61121527778</x:v>
      </x:c>
      <x:c r="D506" s="15" t="str">
        <x:v>Current a/c..512781</x:v>
      </x:c>
      <x:c r="E506" s="15" t="str"/>
      <x:c r="F506" s="15" t="str">
        <x:v>R500.00 paid from Current a/c..512781 @ Smartapp. Avail R14029. Ref.Kpci - C1736 March. 2Mar 14:40</x:v>
      </x:c>
      <x:c r="G506" s="15" t="str">
        <x:v>Kpci - C1736 March</x:v>
      </x:c>
      <x:c r="H506" s="38" t="n">
        <x:v>500</x:v>
      </x:c>
      <x:c r="I506" s="15" t="str">
        <x:v>ZAR</x:v>
      </x:c>
      <x:c r="J506" s="15" t="str">
        <x:v>Outflow</x:v>
      </x:c>
      <x:c r="K506" s="15" t="str">
        <x:v>EFT payment</x:v>
      </x:c>
      <x:c r="L506" s="15" t="str">
        <x:v>Supplier payments</x:v>
      </x:c>
      <x:c r="M506" s="38"/>
      <x:c r="N506" s="38" t="n">
        <x:v>14029</x:v>
      </x:c>
      <x:c r="O506" s="15" t="str"/>
      <x:c r="P506" s="15" t="str">
        <x:v>eml_ALL_currentac__512781 (2).zip &gt; eml5currentac__512781.zip</x:v>
      </x:c>
      <x:c r="Q506" s="15" t="str">
        <x:v>FNB _-) R500.00 paid from Current a_c..512781 @ Smartapp. Ref.Kpci - C1736 March.  2Mar 14_40.eml</x:v>
      </x:c>
      <x:c r="R506" s="15" t="str">
        <x:v>High</x:v>
      </x:c>
      <x:c r="S506" s="15" t="str">
        <x:v>Category confidence Low: Default outflow category; review counterparty/reference.</x:v>
      </x:c>
      <x:c r="T506" s="15" t="str"/>
      <x:c r="U506" s="15" t="str"/>
      <x:c r="V506" s="15" t="str">
        <x:v>Kpci - C1736 March</x:v>
      </x:c>
      <x:c r="W506" s="15" t="str">
        <x:v>Smartapp</x:v>
      </x:c>
      <x:c r="X506" s="15" t="str">
        <x:v>FNB :-) R500.00 paid from Current a/c..512781 @ Smartapp. Avail R14029. Ref.Kpci - C1736 March. 2Mar 14:40</x:v>
      </x:c>
      <x:c r="Y506" s="15" t="str">
        <x:v>3c4024b769ccf0af</x:v>
      </x:c>
    </x:row>
    <x:row r="507">
      <x:c r="A507" s="34" t="n">
        <x:v>46083.63125</x:v>
      </x:c>
      <x:c r="B507" s="36" t="n">
        <x:v>46083</x:v>
      </x:c>
      <x:c r="C507" s="34" t="n">
        <x:v>46083.631423611114</x:v>
      </x:c>
      <x:c r="D507" s="15" t="str">
        <x:v>Current a/c..512781</x:v>
      </x:c>
      <x:c r="E507" s="15" t="str">
        <x:v>card..2924</x:v>
      </x:c>
      <x:c r="F507" s="15" t="str">
        <x:v>R197.95 reserved for purchase @ Savemor Marloth from Current a/c..512781 using card..2924. Avail R13831. 2Mar 15:09</x:v>
      </x:c>
      <x:c r="G507" s="15" t="str">
        <x:v>Savemor Marloth</x:v>
      </x:c>
      <x:c r="H507" s="38" t="n">
        <x:v>197.95</x:v>
      </x:c>
      <x:c r="I507" s="15" t="str">
        <x:v>ZAR</x:v>
      </x:c>
      <x:c r="J507" s="15" t="str">
        <x:v>Outflow</x:v>
      </x:c>
      <x:c r="K507" s="15" t="str">
        <x:v>Card purchase</x:v>
      </x:c>
      <x:c r="L507" s="15" t="str">
        <x:v>Supplier payments</x:v>
      </x:c>
      <x:c r="M507" s="38"/>
      <x:c r="N507" s="38" t="n">
        <x:v>13831</x:v>
      </x:c>
      <x:c r="O507" s="15" t="str"/>
      <x:c r="P507" s="15" t="str">
        <x:v>eml_ALL_currentac__512781 (2).zip &gt; eml5currentac__512781.zip</x:v>
      </x:c>
      <x:c r="Q507" s="15" t="str">
        <x:v>FNB _-) R197.95 reserved for purchase @ Savemor Marloth from Current a_c..512781 using card..2924.  2Mar 15_09.eml</x:v>
      </x:c>
      <x:c r="R507" s="15" t="str">
        <x:v>High</x:v>
      </x:c>
      <x:c r="S507" s="15" t="str">
        <x:v>Category confidence Medium: Retail/supplier merchant keyword.</x:v>
      </x:c>
      <x:c r="T507" s="15" t="str"/>
      <x:c r="U507" s="15" t="str"/>
      <x:c r="V507" s="15" t="str"/>
      <x:c r="W507" s="15" t="str"/>
      <x:c r="X507" s="15" t="str">
        <x:v>FNB :-) R197.95 reserved for purchase @ Savemor Marloth from Current a/c..512781 using card..2924. Avail R13831. 2Mar 15:09</x:v>
      </x:c>
      <x:c r="Y507" s="15" t="str">
        <x:v>828194e1a0691885</x:v>
      </x:c>
    </x:row>
    <x:row r="508">
      <x:c r="A508" s="34" t="n">
        <x:v>46083.63958333333</x:v>
      </x:c>
      <x:c r="B508" s="36" t="n">
        <x:v>46083</x:v>
      </x:c>
      <x:c r="C508" s="34" t="n">
        <x:v>46083.63962962963</x:v>
      </x:c>
      <x:c r="D508" s="15" t="str">
        <x:v>Current a/c..512781</x:v>
      </x:c>
      <x:c r="E508" s="15" t="str">
        <x:v>card..2924</x:v>
      </x:c>
      <x:c r="F508" s="15" t="str">
        <x:v>R253.95 reserved for purchase @ Savemor Marloth Liqu from Current a/c..512781 using card..2924. Avail R13551. 2Mar 15:21</x:v>
      </x:c>
      <x:c r="G508" s="15" t="str">
        <x:v>Savemor Marloth Liqu</x:v>
      </x:c>
      <x:c r="H508" s="38" t="n">
        <x:v>253.95</x:v>
      </x:c>
      <x:c r="I508" s="15" t="str">
        <x:v>ZAR</x:v>
      </x:c>
      <x:c r="J508" s="15" t="str">
        <x:v>Outflow</x:v>
      </x:c>
      <x:c r="K508" s="15" t="str">
        <x:v>Card purchase</x:v>
      </x:c>
      <x:c r="L508" s="15" t="str">
        <x:v>Meals / restaurants / entertainment</x:v>
      </x:c>
      <x:c r="M508" s="38"/>
      <x:c r="N508" s="38" t="n">
        <x:v>13551</x:v>
      </x:c>
      <x:c r="O508" s="15" t="str"/>
      <x:c r="P508" s="15" t="str">
        <x:v>eml_ALL_currentac__512781 (2).zip &gt; eml5currentac__512781.zip</x:v>
      </x:c>
      <x:c r="Q508" s="15" t="str">
        <x:v>FNB _-) R253.95 reserved for purchase @ Savemor Marloth Liqu from Current a_c..512781 using card..2924.  2Mar 15_21.eml</x:v>
      </x:c>
      <x:c r="R508" s="15" t="str">
        <x:v>High</x:v>
      </x:c>
      <x:c r="S508" s="15" t="str"/>
      <x:c r="T508" s="15" t="str"/>
      <x:c r="U508" s="15" t="str"/>
      <x:c r="V508" s="15" t="str"/>
      <x:c r="W508" s="15" t="str"/>
      <x:c r="X508" s="15" t="str">
        <x:v>FNB :-) R253.95 reserved for purchase @ Savemor Marloth Liqu from Current a/c..512781 using card..2924. Avail R13551. 2Mar 15:21</x:v>
      </x:c>
      <x:c r="Y508" s="15" t="str">
        <x:v>dba45d4c8f693b7e</x:v>
      </x:c>
    </x:row>
    <x:row r="509">
      <x:c r="A509" s="34" t="n">
        <x:v>46084.677777777775</x:v>
      </x:c>
      <x:c r="B509" s="36" t="n">
        <x:v>46084</x:v>
      </x:c>
      <x:c r="C509" s="34" t="n">
        <x:v>46084.67789351852</x:v>
      </x:c>
      <x:c r="D509" s="15" t="str">
        <x:v>Current a/c..512781</x:v>
      </x:c>
      <x:c r="E509" s="15" t="str">
        <x:v>card..2924</x:v>
      </x:c>
      <x:c r="F509" s="15" t="str">
        <x:v>R574.40 reserved for purchase @ Ingwe Supermarket146 from Current a/c..512781 using card..2924. Avail R12869. 3Mar 16:16</x:v>
      </x:c>
      <x:c r="G509" s="15" t="str">
        <x:v>Ingwe Supermarket146</x:v>
      </x:c>
      <x:c r="H509" s="38" t="n">
        <x:v>574.4</x:v>
      </x:c>
      <x:c r="I509" s="15" t="str">
        <x:v>ZAR</x:v>
      </x:c>
      <x:c r="J509" s="15" t="str">
        <x:v>Outflow</x:v>
      </x:c>
      <x:c r="K509" s="15" t="str">
        <x:v>Card purchase</x:v>
      </x:c>
      <x:c r="L509" s="15" t="str">
        <x:v>Card spend</x:v>
      </x:c>
      <x:c r="M509" s="38"/>
      <x:c r="N509" s="38" t="n">
        <x:v>12869</x:v>
      </x:c>
      <x:c r="O509" s="15" t="str"/>
      <x:c r="P509" s="15" t="str">
        <x:v>eml_ALL_currentac__512781 (2).zip &gt; eml5currentac__512781.zip</x:v>
      </x:c>
      <x:c r="Q509" s="15" t="str">
        <x:v>FNB _-) R574.40 reserved for purchase @ Ingwe Supermarket146 from Current a_c..512781 using card..2924.  3Mar 16_16.eml</x:v>
      </x:c>
      <x:c r="R509" s="15" t="str">
        <x:v>High</x:v>
      </x:c>
      <x:c r="S509" s="15" t="str">
        <x:v>Category confidence Low: Default card-spend category; merchant not confidently mapped.</x:v>
      </x:c>
      <x:c r="T509" s="15" t="str"/>
      <x:c r="U509" s="15" t="str"/>
      <x:c r="V509" s="15" t="str"/>
      <x:c r="W509" s="15" t="str"/>
      <x:c r="X509" s="15" t="str">
        <x:v>FNB :-) R574.40 reserved for purchase @ Ingwe Supermarket146 from Current a/c..512781 using card..2924. Avail R12869. 3Mar 16:16</x:v>
      </x:c>
      <x:c r="Y509" s="15" t="str">
        <x:v>04ba59b24087d26a</x:v>
      </x:c>
    </x:row>
    <x:row r="510">
      <x:c r="A510" s="34" t="n">
        <x:v>46085.55694444444</x:v>
      </x:c>
      <x:c r="B510" s="36" t="n">
        <x:v>46085</x:v>
      </x:c>
      <x:c r="C510" s="34" t="n">
        <x:v>46085.55695601852</x:v>
      </x:c>
      <x:c r="D510" s="15" t="str">
        <x:v>Current a/c..512781</x:v>
      </x:c>
      <x:c r="E510" s="15" t="str">
        <x:v>card..2924</x:v>
      </x:c>
      <x:c r="F510" s="15" t="str">
        <x:v>R382.97 reserved for purchase @ Komati Pharmacy from Current a/c..512781 using card..2924. Avail R12459. 4Mar 13:22</x:v>
      </x:c>
      <x:c r="G510" s="15" t="str">
        <x:v>Komati Pharmacy</x:v>
      </x:c>
      <x:c r="H510" s="38" t="n">
        <x:v>382.97</x:v>
      </x:c>
      <x:c r="I510" s="15" t="str">
        <x:v>ZAR</x:v>
      </x:c>
      <x:c r="J510" s="15" t="str">
        <x:v>Outflow</x:v>
      </x:c>
      <x:c r="K510" s="15" t="str">
        <x:v>Card purchase</x:v>
      </x:c>
      <x:c r="L510" s="15" t="str">
        <x:v>Supplier payments</x:v>
      </x:c>
      <x:c r="M510" s="38"/>
      <x:c r="N510" s="38" t="n">
        <x:v>12459</x:v>
      </x:c>
      <x:c r="O510" s="15" t="str"/>
      <x:c r="P510" s="15" t="str">
        <x:v>eml_ALL_currentac__512781 (2).zip &gt; eml5currentac__512781.zip</x:v>
      </x:c>
      <x:c r="Q510" s="15" t="str">
        <x:v>FNB _-) R382.97 reserved for purchase @ Komati Pharmacy from Current a_c..512781 using card..2924.  4Mar 13_22.eml</x:v>
      </x:c>
      <x:c r="R510" s="15" t="str">
        <x:v>High</x:v>
      </x:c>
      <x:c r="S510" s="15" t="str">
        <x:v>Category confidence Medium: Retail/supplier merchant keyword.</x:v>
      </x:c>
      <x:c r="T510" s="15" t="str"/>
      <x:c r="U510" s="15" t="str"/>
      <x:c r="V510" s="15" t="str"/>
      <x:c r="W510" s="15" t="str"/>
      <x:c r="X510" s="15" t="str">
        <x:v>FNB :-) R382.97 reserved for purchase @ Komati Pharmacy from Current a/c..512781 using card..2924. Avail R12459. 4Mar 13:22</x:v>
      </x:c>
      <x:c r="Y510" s="15" t="str">
        <x:v>8f2bd96e2cd427e6</x:v>
      </x:c>
    </x:row>
    <x:row r="511">
      <x:c r="A511" s="34" t="n">
        <x:v>46085.55763888889</x:v>
      </x:c>
      <x:c r="B511" s="36" t="n">
        <x:v>46085</x:v>
      </x:c>
      <x:c r="C511" s="34" t="n">
        <x:v>46085.557962962965</x:v>
      </x:c>
      <x:c r="D511" s="15" t="str">
        <x:v>Current a/c..512781</x:v>
      </x:c>
      <x:c r="E511" s="15" t="str">
        <x:v>card..2924</x:v>
      </x:c>
      <x:c r="F511" s="15" t="str">
        <x:v>R108.09 reserved for purchase @ Komati Pharmacy from Current a/c..512781 using card..2924. Avail R12351. 4Mar 13:23</x:v>
      </x:c>
      <x:c r="G511" s="15" t="str">
        <x:v>Komati Pharmacy</x:v>
      </x:c>
      <x:c r="H511" s="38" t="n">
        <x:v>108.09</x:v>
      </x:c>
      <x:c r="I511" s="15" t="str">
        <x:v>ZAR</x:v>
      </x:c>
      <x:c r="J511" s="15" t="str">
        <x:v>Outflow</x:v>
      </x:c>
      <x:c r="K511" s="15" t="str">
        <x:v>Card purchase</x:v>
      </x:c>
      <x:c r="L511" s="15" t="str">
        <x:v>Supplier payments</x:v>
      </x:c>
      <x:c r="M511" s="38"/>
      <x:c r="N511" s="38" t="n">
        <x:v>12351</x:v>
      </x:c>
      <x:c r="O511" s="15" t="str"/>
      <x:c r="P511" s="15" t="str">
        <x:v>eml_ALL_currentac__512781 (2).zip &gt; eml5currentac__512781.zip</x:v>
      </x:c>
      <x:c r="Q511" s="15" t="str">
        <x:v>FNB _-) R108.09 reserved for purchase @ Komati Pharmacy from Current a_c..512781 using card..2924.  4Mar 13_23.eml</x:v>
      </x:c>
      <x:c r="R511" s="15" t="str">
        <x:v>High</x:v>
      </x:c>
      <x:c r="S511" s="15" t="str">
        <x:v>Category confidence Medium: Retail/supplier merchant keyword.</x:v>
      </x:c>
      <x:c r="T511" s="15" t="str"/>
      <x:c r="U511" s="15" t="str"/>
      <x:c r="V511" s="15" t="str"/>
      <x:c r="W511" s="15" t="str"/>
      <x:c r="X511" s="15" t="str">
        <x:v>FNB :-) R108.09 reserved for purchase @ Komati Pharmacy from Current a/c..512781 using card..2924. Avail R12351. 4Mar 13:23</x:v>
      </x:c>
      <x:c r="Y511" s="15" t="str">
        <x:v>c580c43af3358482</x:v>
      </x:c>
    </x:row>
    <x:row r="512">
      <x:c r="A512" s="34" t="n">
        <x:v>46085.606944444444</x:v>
      </x:c>
      <x:c r="B512" s="36" t="n">
        <x:v>46085</x:v>
      </x:c>
      <x:c r="C512" s="34" t="n">
        <x:v>46085.607303240744</x:v>
      </x:c>
      <x:c r="D512" s="15" t="str">
        <x:v>Current a/c..512781</x:v>
      </x:c>
      <x:c r="E512" s="15" t="str">
        <x:v>card..2924</x:v>
      </x:c>
      <x:c r="F512" s="15" t="str">
        <x:v>R1423.76 reserved for purchase @ Superspar Komatipoor from Current a/c..512781 using card..2924. Avail R10927. 4Mar 14:34</x:v>
      </x:c>
      <x:c r="G512" s="15" t="str">
        <x:v>Superspar Komatipoor</x:v>
      </x:c>
      <x:c r="H512" s="38" t="n">
        <x:v>1423.76</x:v>
      </x:c>
      <x:c r="I512" s="15" t="str">
        <x:v>ZAR</x:v>
      </x:c>
      <x:c r="J512" s="15" t="str">
        <x:v>Outflow</x:v>
      </x:c>
      <x:c r="K512" s="15" t="str">
        <x:v>Card purchase</x:v>
      </x:c>
      <x:c r="L512" s="15" t="str">
        <x:v>Supplier payments</x:v>
      </x:c>
      <x:c r="M512" s="38"/>
      <x:c r="N512" s="38" t="n">
        <x:v>10927</x:v>
      </x:c>
      <x:c r="O512" s="15" t="str"/>
      <x:c r="P512" s="15" t="str">
        <x:v>eml_ALL_currentac__512781 (2).zip &gt; eml5currentac__512781.zip</x:v>
      </x:c>
      <x:c r="Q512" s="15" t="str">
        <x:v>FNB _-) R1423.76 reserved for purchase @ Superspar Komatipoor from Current a_c..512781 using card..2924.  4Mar 14_34.eml</x:v>
      </x:c>
      <x:c r="R512" s="15" t="str">
        <x:v>High</x:v>
      </x:c>
      <x:c r="S512" s="15" t="str">
        <x:v>Category confidence Medium: Retail/supplier merchant keyword.</x:v>
      </x:c>
      <x:c r="T512" s="15" t="str"/>
      <x:c r="U512" s="15" t="str"/>
      <x:c r="V512" s="15" t="str"/>
      <x:c r="W512" s="15" t="str"/>
      <x:c r="X512" s="15" t="str">
        <x:v>FNB :-) R1423.76 reserved for purchase @ Superspar Komatipoor from Current a/c..512781 using card..2924. Avail R10927. 4Mar 14:34</x:v>
      </x:c>
      <x:c r="Y512" s="15" t="str">
        <x:v>1d65be7ba909b485</x:v>
      </x:c>
    </x:row>
    <x:row r="513">
      <x:c r="A513" s="34" t="n">
        <x:v>46085.61736111111</x:v>
      </x:c>
      <x:c r="B513" s="36" t="n">
        <x:v>46085</x:v>
      </x:c>
      <x:c r="C513" s="34" t="n">
        <x:v>46085.61770833333</x:v>
      </x:c>
      <x:c r="D513" s="15" t="str">
        <x:v>Current a/c..512781</x:v>
      </x:c>
      <x:c r="E513" s="15" t="str">
        <x:v>card..2924</x:v>
      </x:c>
      <x:c r="F513" s="15" t="str">
        <x:v>R200.00 reserved for purchase @ Ae Komatipoort from Current a/c..512781 using card..2924. Avail R10727. 4Mar 14:49</x:v>
      </x:c>
      <x:c r="G513" s="15" t="str">
        <x:v>Ae Komatipoort</x:v>
      </x:c>
      <x:c r="H513" s="38" t="n">
        <x:v>200</x:v>
      </x:c>
      <x:c r="I513" s="15" t="str">
        <x:v>ZAR</x:v>
      </x:c>
      <x:c r="J513" s="15" t="str">
        <x:v>Outflow</x:v>
      </x:c>
      <x:c r="K513" s="15" t="str">
        <x:v>Card purchase</x:v>
      </x:c>
      <x:c r="L513" s="15" t="str">
        <x:v>Card spend</x:v>
      </x:c>
      <x:c r="M513" s="38"/>
      <x:c r="N513" s="38" t="n">
        <x:v>10727</x:v>
      </x:c>
      <x:c r="O513" s="15" t="str"/>
      <x:c r="P513" s="15" t="str">
        <x:v>eml_ALL_currentac__512781 (2).zip &gt; eml5currentac__512781.zip</x:v>
      </x:c>
      <x:c r="Q513" s="15" t="str">
        <x:v>FNB _-) R200.00 reserved for purchase @ Ae Komatipoort from Current a_c..512781 using card..2924.  4Mar 14_49.eml</x:v>
      </x:c>
      <x:c r="R513" s="15" t="str">
        <x:v>High</x:v>
      </x:c>
      <x:c r="S513" s="15" t="str">
        <x:v>Category confidence Low: Default card-spend category; merchant not confidently mapped.</x:v>
      </x:c>
      <x:c r="T513" s="15" t="str"/>
      <x:c r="U513" s="15" t="str"/>
      <x:c r="V513" s="15" t="str"/>
      <x:c r="W513" s="15" t="str"/>
      <x:c r="X513" s="15" t="str">
        <x:v>FNB :-) R200.00 reserved for purchase @ Ae Komatipoort from Current a/c..512781 using card..2924. Avail R10727. 4Mar 14:49</x:v>
      </x:c>
      <x:c r="Y513" s="15" t="str">
        <x:v>8721008527e0c65b</x:v>
      </x:c>
    </x:row>
    <x:row r="514">
      <x:c r="A514" s="34" t="n">
        <x:v>46086.35763888889</x:v>
      </x:c>
      <x:c r="B514" s="36" t="n">
        <x:v>46086</x:v>
      </x:c>
      <x:c r="C514" s="34" t="n">
        <x:v>46086.35787037037</x:v>
      </x:c>
      <x:c r="D514" s="15" t="str">
        <x:v>Current a/c..512781</x:v>
      </x:c>
      <x:c r="E514" s="15" t="str"/>
      <x:c r="F514" s="15" t="str">
        <x:v>R15593.21 paid to Current a/c..512781 @ Retail Forex. Ref.R026w3r9l0 Booking.c. 5Mar 08:35</x:v>
      </x:c>
      <x:c r="G514" s="15" t="str">
        <x:v>R026w3r9l0 Booking.c</x:v>
      </x:c>
      <x:c r="H514" s="38" t="n">
        <x:v>15593.21</x:v>
      </x:c>
      <x:c r="I514" s="15" t="str">
        <x:v>ZAR</x:v>
      </x:c>
      <x:c r="J514" s="15" t="str">
        <x:v>Inflow</x:v>
      </x:c>
      <x:c r="K514" s="15" t="str">
        <x:v>EFT receipt</x:v>
      </x:c>
      <x:c r="L514" s="15" t="str">
        <x:v>Sales / customer receipts</x:v>
      </x:c>
      <x:c r="M514" s="38"/>
      <x:c r="N514" s="38"/>
      <x:c r="O514" s="15" t="str"/>
      <x:c r="P514" s="15" t="str">
        <x:v>eml_ALL_currentac__512781 (2).zip &gt; eml5currentac__512781.zip</x:v>
      </x:c>
      <x:c r="Q514" s="15" t="str">
        <x:v>FNB _-) R15593.21 paid to Current a_c..512781 @ Retail Forex. Ref.R026w3r9l0 Booking.c.  5Mar 08_35.eml</x:v>
      </x:c>
      <x:c r="R514" s="15" t="str">
        <x:v>High</x:v>
      </x:c>
      <x:c r="S514" s="15" t="str">
        <x:v>Category confidence Medium: Default for incoming EFT/PayShap/online receipt.</x:v>
      </x:c>
      <x:c r="T514" s="15" t="str"/>
      <x:c r="U514" s="15" t="str"/>
      <x:c r="V514" s="15" t="str">
        <x:v>R026w3r9l0 Booking.c</x:v>
      </x:c>
      <x:c r="W514" s="15" t="str">
        <x:v>Retail Forex</x:v>
      </x:c>
      <x:c r="X514" s="15" t="str">
        <x:v>FNB :-) R15593.21 paid to Current a/c..512781 @ Retail Forex. Ref.R026w3r9l0 Booking.c. 5Mar 08:35</x:v>
      </x:c>
      <x:c r="Y514" s="15" t="str">
        <x:v>00b0030733440001</x:v>
      </x:c>
    </x:row>
    <x:row r="515">
      <x:c r="A515" s="34" t="n">
        <x:v>46087.478472222225</x:v>
      </x:c>
      <x:c r="B515" s="36" t="n">
        <x:v>46087</x:v>
      </x:c>
      <x:c r="C515" s="34" t="n">
        <x:v>46087.47887731482</x:v>
      </x:c>
      <x:c r="D515" s="15" t="str">
        <x:v>Current a/c..512781</x:v>
      </x:c>
      <x:c r="E515" s="15" t="str"/>
      <x:c r="F515" s="15" t="str">
        <x:v>R5000.00 t/fer from Current a/c..512781 to Private Cheq Acc..566332 @ Smartapp. Avail R20960. 6Mar 11:29</x:v>
      </x:c>
      <x:c r="G515" s="15" t="str">
        <x:v>Private Cheq Acc..566332</x:v>
      </x:c>
      <x:c r="H515" s="38" t="n">
        <x:v>5000</x:v>
      </x:c>
      <x:c r="I515" s="15" t="str">
        <x:v>ZAR</x:v>
      </x:c>
      <x:c r="J515" s="15" t="str">
        <x:v>Internal Transfer</x:v>
      </x:c>
      <x:c r="K515" s="15" t="str">
        <x:v>Internal transfer</x:v>
      </x:c>
      <x:c r="L515" s="15" t="str">
        <x:v>Inter-account transfer</x:v>
      </x:c>
      <x:c r="M515" s="38"/>
      <x:c r="N515" s="38" t="n">
        <x:v>20960</x:v>
      </x:c>
      <x:c r="O515" s="15" t="str"/>
      <x:c r="P515" s="15" t="str">
        <x:v>eml_ALL_currentac__512781 (2).zip &gt; eml5currentac__512781.zip</x:v>
      </x:c>
      <x:c r="Q515" s="15" t="str">
        <x:v>FNB _-) R5000.00 t_fer from Current a_c..512781 to Private Cheq Acc..566332 @ Smartapp.  6Mar 11_29.eml</x:v>
      </x:c>
      <x:c r="R515" s="15" t="str">
        <x:v>High</x:v>
      </x:c>
      <x:c r="S515" s="15" t="str">
        <x:v>Classified as internal/inter-account transfer and excluded from operating cashflow.</x:v>
      </x:c>
      <x:c r="T515" s="15" t="str">
        <x:v>Current a/c..512781</x:v>
      </x:c>
      <x:c r="U515" s="15" t="str">
        <x:v>Private Cheq Acc..566332</x:v>
      </x:c>
      <x:c r="V515" s="15" t="str"/>
      <x:c r="W515" s="15" t="str">
        <x:v>Smartapp</x:v>
      </x:c>
      <x:c r="X515" s="15" t="str">
        <x:v>FNB :-) R5000.00 t/fer from Current a/c..512781 to Private Cheq Acc..566332 @ Smartapp. Avail R20960. 6Mar 11:29</x:v>
      </x:c>
      <x:c r="Y515" s="15" t="str">
        <x:v>7ff17ff85c4ca9c0</x:v>
      </x:c>
    </x:row>
    <x:row r="516">
      <x:c r="A516" s="34" t="n">
        <x:v>46087.48819444444</x:v>
      </x:c>
      <x:c r="B516" s="36" t="n">
        <x:v>46087</x:v>
      </x:c>
      <x:c r="C516" s="34" t="n">
        <x:v>46087.48856481481</x:v>
      </x:c>
      <x:c r="D516" s="15" t="str">
        <x:v>Current a/c..512781</x:v>
      </x:c>
      <x:c r="E516" s="15" t="str">
        <x:v>card..2924</x:v>
      </x:c>
      <x:c r="F516" s="15" t="str">
        <x:v>R166.50 reserved for purchase @ Hpy*twin City Fabric from Current a/c..512781 using card..2924. Avail R20794. 6Mar 11:43</x:v>
      </x:c>
      <x:c r="G516" s="15" t="str">
        <x:v>Hpy*twin City Fabric</x:v>
      </x:c>
      <x:c r="H516" s="38" t="n">
        <x:v>166.5</x:v>
      </x:c>
      <x:c r="I516" s="15" t="str">
        <x:v>ZAR</x:v>
      </x:c>
      <x:c r="J516" s="15" t="str">
        <x:v>Outflow</x:v>
      </x:c>
      <x:c r="K516" s="15" t="str">
        <x:v>Card purchase</x:v>
      </x:c>
      <x:c r="L516" s="15" t="str">
        <x:v>Card spend</x:v>
      </x:c>
      <x:c r="M516" s="38"/>
      <x:c r="N516" s="38" t="n">
        <x:v>20794</x:v>
      </x:c>
      <x:c r="O516" s="15" t="str"/>
      <x:c r="P516" s="15" t="str">
        <x:v>eml_ALL_currentac__512781 (2).zip &gt; eml5currentac__512781.zip</x:v>
      </x:c>
      <x:c r="Q516" s="15" t="str">
        <x:v>FNB _-) R166.50 reserved for purchase @ Hpy_twin City Fabric from Current a_c..512781 using card..2924.  6Mar 11_43.eml</x:v>
      </x:c>
      <x:c r="R516" s="15" t="str">
        <x:v>High</x:v>
      </x:c>
      <x:c r="S516" s="15" t="str">
        <x:v>Category confidence Low: Default card-spend category; merchant not confidently mapped.</x:v>
      </x:c>
      <x:c r="T516" s="15" t="str"/>
      <x:c r="U516" s="15" t="str"/>
      <x:c r="V516" s="15" t="str"/>
      <x:c r="W516" s="15" t="str"/>
      <x:c r="X516" s="15" t="str">
        <x:v>FNB :-) R166.50 reserved for purchase @ Hpy*twin City Fabric from Current a/c..512781 using card..2924. Avail R20794. 6Mar 11:43</x:v>
      </x:c>
      <x:c r="Y516" s="15" t="str">
        <x:v>f8317d0b4690ffe7</x:v>
      </x:c>
    </x:row>
    <x:row r="517">
      <x:c r="A517" s="34" t="n">
        <x:v>46087.51736111111</x:v>
      </x:c>
      <x:c r="B517" s="36" t="n">
        <x:v>46087</x:v>
      </x:c>
      <x:c r="C517" s="34" t="n">
        <x:v>46087.517847222225</x:v>
      </x:c>
      <x:c r="D517" s="15" t="str">
        <x:v>Current a/c..512781</x:v>
      </x:c>
      <x:c r="E517" s="15" t="str">
        <x:v>card..2924</x:v>
      </x:c>
      <x:c r="F517" s="15" t="str">
        <x:v>R542.89 reserved for purchase @ Woolworths from Current a/c..512781 using card..2924. Avail R20251. 6Mar 12:25</x:v>
      </x:c>
      <x:c r="G517" s="15" t="str">
        <x:v>Woolworths</x:v>
      </x:c>
      <x:c r="H517" s="38" t="n">
        <x:v>542.89</x:v>
      </x:c>
      <x:c r="I517" s="15" t="str">
        <x:v>ZAR</x:v>
      </x:c>
      <x:c r="J517" s="15" t="str">
        <x:v>Outflow</x:v>
      </x:c>
      <x:c r="K517" s="15" t="str">
        <x:v>Card purchase</x:v>
      </x:c>
      <x:c r="L517" s="15" t="str">
        <x:v>Supplier payments</x:v>
      </x:c>
      <x:c r="M517" s="38"/>
      <x:c r="N517" s="38" t="n">
        <x:v>20251</x:v>
      </x:c>
      <x:c r="O517" s="15" t="str"/>
      <x:c r="P517" s="15" t="str">
        <x:v>eml_ALL_currentac__512781 (2).zip &gt; eml5currentac__512781.zip</x:v>
      </x:c>
      <x:c r="Q517" s="15" t="str">
        <x:v>FNB _-) R542.89 reserved for purchase @ Woolworths from Current a_c..512781 using card..2924.  6Mar 12_25.eml</x:v>
      </x:c>
      <x:c r="R517" s="15" t="str">
        <x:v>High</x:v>
      </x:c>
      <x:c r="S517" s="15" t="str">
        <x:v>Category confidence Medium: Retail/supplier merchant keyword.</x:v>
      </x:c>
      <x:c r="T517" s="15" t="str"/>
      <x:c r="U517" s="15" t="str"/>
      <x:c r="V517" s="15" t="str"/>
      <x:c r="W517" s="15" t="str"/>
      <x:c r="X517" s="15" t="str">
        <x:v>FNB :-) R542.89 reserved for purchase @ Woolworths from Current a/c..512781 using card..2924. Avail R20251. 6Mar 12:25</x:v>
      </x:c>
      <x:c r="Y517" s="15" t="str">
        <x:v>f9d812579c72df14</x:v>
      </x:c>
    </x:row>
    <x:row r="518">
      <x:c r="A518" s="34" t="n">
        <x:v>46087.54791666667</x:v>
      </x:c>
      <x:c r="B518" s="36" t="n">
        <x:v>46087</x:v>
      </x:c>
      <x:c r="C518" s="34" t="n">
        <x:v>46087.54846064815</x:v>
      </x:c>
      <x:c r="D518" s="15" t="str">
        <x:v>Current a/c..512781</x:v>
      </x:c>
      <x:c r="E518" s="15" t="str">
        <x:v>card..2924</x:v>
      </x:c>
      <x:c r="F518" s="15" t="str">
        <x:v>R580.11 reserved for purchase @ Superspar Malelane from Current a/c..512781 using card..2924. Avail R19671. 6Mar 13:09</x:v>
      </x:c>
      <x:c r="G518" s="15" t="str">
        <x:v>Superspar Malelane</x:v>
      </x:c>
      <x:c r="H518" s="38" t="n">
        <x:v>580.11</x:v>
      </x:c>
      <x:c r="I518" s="15" t="str">
        <x:v>ZAR</x:v>
      </x:c>
      <x:c r="J518" s="15" t="str">
        <x:v>Outflow</x:v>
      </x:c>
      <x:c r="K518" s="15" t="str">
        <x:v>Card purchase</x:v>
      </x:c>
      <x:c r="L518" s="15" t="str">
        <x:v>Supplier payments</x:v>
      </x:c>
      <x:c r="M518" s="38"/>
      <x:c r="N518" s="38" t="n">
        <x:v>19671</x:v>
      </x:c>
      <x:c r="O518" s="15" t="str"/>
      <x:c r="P518" s="15" t="str">
        <x:v>eml_ALL_currentac__512781 (2).zip &gt; eml5currentac__512781.zip</x:v>
      </x:c>
      <x:c r="Q518" s="15" t="str">
        <x:v>FNB _-) R580.11 reserved for purchase @ Superspar Malelane from Current a_c..512781 using card..2924.  6Mar 13_09.eml</x:v>
      </x:c>
      <x:c r="R518" s="15" t="str">
        <x:v>High</x:v>
      </x:c>
      <x:c r="S518" s="15" t="str">
        <x:v>Category confidence Medium: Retail/supplier merchant keyword.</x:v>
      </x:c>
      <x:c r="T518" s="15" t="str"/>
      <x:c r="U518" s="15" t="str"/>
      <x:c r="V518" s="15" t="str"/>
      <x:c r="W518" s="15" t="str"/>
      <x:c r="X518" s="15" t="str">
        <x:v>FNB :-) R580.11 reserved for purchase @ Superspar Malelane from Current a/c..512781 using card..2924. Avail R19671. 6Mar 13:09</x:v>
      </x:c>
      <x:c r="Y518" s="15" t="str">
        <x:v>901f28c866f26d94</x:v>
      </x:c>
    </x:row>
    <x:row r="519">
      <x:c r="A519" s="34" t="n">
        <x:v>46087.57708333333</x:v>
      </x:c>
      <x:c r="B519" s="36" t="n">
        <x:v>46087</x:v>
      </x:c>
      <x:c r="C519" s="34" t="n">
        <x:v>46087.57761574074</x:v>
      </x:c>
      <x:c r="D519" s="15" t="str">
        <x:v>Current a/c..512781</x:v>
      </x:c>
      <x:c r="E519" s="15" t="str"/>
      <x:c r="F519" s="15" t="str">
        <x:v>R817.06 paid to Current a/c..512781 @ Payshap. Ref.Ik Pay 487882. 6Mar 13:51</x:v>
      </x:c>
      <x:c r="G519" s="15" t="str">
        <x:v>Ik Pay 487882</x:v>
      </x:c>
      <x:c r="H519" s="38" t="n">
        <x:v>817.06</x:v>
      </x:c>
      <x:c r="I519" s="15" t="str">
        <x:v>ZAR</x:v>
      </x:c>
      <x:c r="J519" s="15" t="str">
        <x:v>Inflow</x:v>
      </x:c>
      <x:c r="K519" s="15" t="str">
        <x:v>EFT receipt</x:v>
      </x:c>
      <x:c r="L519" s="15" t="str">
        <x:v>Sales / customer receipts</x:v>
      </x:c>
      <x:c r="M519" s="38"/>
      <x:c r="N519" s="38"/>
      <x:c r="O519" s="15" t="str"/>
      <x:c r="P519" s="15" t="str">
        <x:v>eml_ALL_currentac__512781 (2).zip &gt; eml5currentac__512781.zip</x:v>
      </x:c>
      <x:c r="Q519" s="15" t="str">
        <x:v>FNB _-) R817.06 paid to Current a_c..512781 @ Payshap. Ref.Ik Pay 487882.  6Mar 13_51.eml</x:v>
      </x:c>
      <x:c r="R519" s="15" t="str">
        <x:v>High</x:v>
      </x:c>
      <x:c r="S519" s="15" t="str">
        <x:v>Category confidence Medium: Default for incoming EFT/PayShap/online receipt.</x:v>
      </x:c>
      <x:c r="T519" s="15" t="str"/>
      <x:c r="U519" s="15" t="str"/>
      <x:c r="V519" s="15" t="str">
        <x:v>Ik Pay 487882</x:v>
      </x:c>
      <x:c r="W519" s="15" t="str">
        <x:v>Payshap</x:v>
      </x:c>
      <x:c r="X519" s="15" t="str">
        <x:v>FNB :-) R817.06 paid to Current a/c..512781 @ Payshap. Ref.Ik Pay 487882. 6Mar 13:51</x:v>
      </x:c>
      <x:c r="Y519" s="15" t="str">
        <x:v>db7a2db78e2e8486</x:v>
      </x:c>
    </x:row>
    <x:row r="520">
      <x:c r="A520" s="34" t="n">
        <x:v>46087.646527777775</x:v>
      </x:c>
      <x:c r="B520" s="36" t="n">
        <x:v>46087</x:v>
      </x:c>
      <x:c r="C520" s="34" t="n">
        <x:v>46087.64710648148</x:v>
      </x:c>
      <x:c r="D520" s="15" t="str">
        <x:v>Current a/c..512781</x:v>
      </x:c>
      <x:c r="E520" s="15" t="str"/>
      <x:c r="F520" s="15" t="str">
        <x:v>R4240.00 paid from Current a/c..512781 @ Smartapp. Avail R16240. Ref.Royal Bush 3764. 6Mar 15:31</x:v>
      </x:c>
      <x:c r="G520" s="15" t="str">
        <x:v>Royal Bush 3764</x:v>
      </x:c>
      <x:c r="H520" s="38" t="n">
        <x:v>4240</x:v>
      </x:c>
      <x:c r="I520" s="15" t="str">
        <x:v>ZAR</x:v>
      </x:c>
      <x:c r="J520" s="15" t="str">
        <x:v>Outflow</x:v>
      </x:c>
      <x:c r="K520" s="15" t="str">
        <x:v>EFT payment</x:v>
      </x:c>
      <x:c r="L520" s="15" t="str">
        <x:v>Supplier payments</x:v>
      </x:c>
      <x:c r="M520" s="38"/>
      <x:c r="N520" s="38" t="n">
        <x:v>16240</x:v>
      </x:c>
      <x:c r="O520" s="15" t="str"/>
      <x:c r="P520" s="15" t="str">
        <x:v>eml_ALL_currentac__512781 (2).zip &gt; eml5currentac__512781.zip</x:v>
      </x:c>
      <x:c r="Q520" s="15" t="str">
        <x:v>FNB _-) R4240.00 paid from Current a_c..512781 @ Smartapp. Ref.Royal Bush 3764.  6Mar 15_31.eml</x:v>
      </x:c>
      <x:c r="R520" s="15" t="str">
        <x:v>High</x:v>
      </x:c>
      <x:c r="S520" s="15" t="str">
        <x:v>Category confidence Low: Default outflow category; review counterparty/reference.</x:v>
      </x:c>
      <x:c r="T520" s="15" t="str"/>
      <x:c r="U520" s="15" t="str"/>
      <x:c r="V520" s="15" t="str">
        <x:v>Royal Bush 3764</x:v>
      </x:c>
      <x:c r="W520" s="15" t="str">
        <x:v>Smartapp</x:v>
      </x:c>
      <x:c r="X520" s="15" t="str">
        <x:v>FNB :-) R4240.00 paid from Current a/c..512781 @ Smartapp. Avail R16240. Ref.Royal Bush 3764. 6Mar 15:31</x:v>
      </x:c>
      <x:c r="Y520" s="15" t="str">
        <x:v>99e44d40a8695942</x:v>
      </x:c>
    </x:row>
    <x:row r="521">
      <x:c r="A521" s="34" t="n">
        <x:v>46087.69236111111</x:v>
      </x:c>
      <x:c r="B521" s="36" t="n">
        <x:v>46087</x:v>
      </x:c>
      <x:c r="C521" s="34" t="n">
        <x:v>46087.69273148148</x:v>
      </x:c>
      <x:c r="D521" s="15" t="str">
        <x:v>Current a/c..512781</x:v>
      </x:c>
      <x:c r="E521" s="15" t="str"/>
      <x:c r="F521" s="15" t="str">
        <x:v>R200.00 paid from Current a/c..512781 @ Smartapp. Avail R16037. 6Mar 16:37</x:v>
      </x:c>
      <x:c r="G521" s="15" t="str">
        <x:v>Smartapp</x:v>
      </x:c>
      <x:c r="H521" s="38" t="n">
        <x:v>200</x:v>
      </x:c>
      <x:c r="I521" s="15" t="str">
        <x:v>ZAR</x:v>
      </x:c>
      <x:c r="J521" s="15" t="str">
        <x:v>Outflow</x:v>
      </x:c>
      <x:c r="K521" s="15" t="str">
        <x:v>EFT payment</x:v>
      </x:c>
      <x:c r="L521" s="15" t="str">
        <x:v>Supplier payments</x:v>
      </x:c>
      <x:c r="M521" s="38"/>
      <x:c r="N521" s="38" t="n">
        <x:v>16037</x:v>
      </x:c>
      <x:c r="O521" s="15" t="str"/>
      <x:c r="P521" s="15" t="str">
        <x:v>eml_ALL_currentac__512781 (2).zip &gt; eml5currentac__512781.zip</x:v>
      </x:c>
      <x:c r="Q521" s="15" t="str">
        <x:v>FNB _-) R200.00 paid from Current a_c..512781 @ Smartapp.  6Mar 16_37.eml</x:v>
      </x:c>
      <x:c r="R521" s="15" t="str">
        <x:v>High</x:v>
      </x:c>
      <x:c r="S521" s="15" t="str">
        <x:v>Category confidence Low: Default outflow category; review counterparty/reference.</x:v>
      </x:c>
      <x:c r="T521" s="15" t="str"/>
      <x:c r="U521" s="15" t="str"/>
      <x:c r="V521" s="15" t="str"/>
      <x:c r="W521" s="15" t="str">
        <x:v>Smartapp</x:v>
      </x:c>
      <x:c r="X521" s="15" t="str">
        <x:v>FNB :-) R200.00 paid from Current a/c..512781 @ Smartapp. Avail R16037. 6Mar 16:37</x:v>
      </x:c>
      <x:c r="Y521" s="15" t="str">
        <x:v>708ab8a05993d3c0</x:v>
      </x:c>
    </x:row>
    <x:row r="522">
      <x:c r="A522" s="34" t="n">
        <x:v>46088.40555555555</x:v>
      </x:c>
      <x:c r="B522" s="36" t="n">
        <x:v>46088</x:v>
      </x:c>
      <x:c r="C522" s="34" t="n">
        <x:v>46088.406180555554</x:v>
      </x:c>
      <x:c r="D522" s="15" t="str">
        <x:v>Current a/c..512781</x:v>
      </x:c>
      <x:c r="E522" s="15" t="str"/>
      <x:c r="F522" s="15" t="str">
        <x:v>R765.00 paid to Current a/c..512781 @ Online Banking. Ref.Ag1 Seaside Village. 7Mar 09:44</x:v>
      </x:c>
      <x:c r="G522" s="15" t="str">
        <x:v>Ag1 Seaside Village</x:v>
      </x:c>
      <x:c r="H522" s="38" t="n">
        <x:v>765</x:v>
      </x:c>
      <x:c r="I522" s="15" t="str">
        <x:v>ZAR</x:v>
      </x:c>
      <x:c r="J522" s="15" t="str">
        <x:v>Inflow</x:v>
      </x:c>
      <x:c r="K522" s="15" t="str">
        <x:v>EFT receipt</x:v>
      </x:c>
      <x:c r="L522" s="15" t="str">
        <x:v>Sales / customer receipts</x:v>
      </x:c>
      <x:c r="M522" s="38"/>
      <x:c r="N522" s="38"/>
      <x:c r="O522" s="15" t="str"/>
      <x:c r="P522" s="15" t="str">
        <x:v>eml_ALL_currentac__512781 (2).zip &gt; eml5currentac__512781.zip</x:v>
      </x:c>
      <x:c r="Q522" s="15" t="str">
        <x:v>FNB _-) R765.00 paid to Current a_c..512781 @ Online Banking. Ref.Ag1 Seaside Village.  7Mar 09_44.eml</x:v>
      </x:c>
      <x:c r="R522" s="15" t="str">
        <x:v>High</x:v>
      </x:c>
      <x:c r="S522" s="15" t="str">
        <x:v>Category confidence Medium: Default for incoming EFT/PayShap/online receipt.</x:v>
      </x:c>
      <x:c r="T522" s="15" t="str"/>
      <x:c r="U522" s="15" t="str"/>
      <x:c r="V522" s="15" t="str">
        <x:v>Ag1 Seaside Village</x:v>
      </x:c>
      <x:c r="W522" s="15" t="str">
        <x:v>Online Banking</x:v>
      </x:c>
      <x:c r="X522" s="15" t="str">
        <x:v>FNB :-) R765.00 paid to Current a/c..512781 @ Online Banking. Ref.Ag1 Seaside Village. 7Mar 09:44</x:v>
      </x:c>
      <x:c r="Y522" s="15" t="str">
        <x:v>9c216dad991a35f2</x:v>
      </x:c>
    </x:row>
    <x:row r="523">
      <x:c r="A523" s="34" t="n">
        <x:v>46088.40694444445</x:v>
      </x:c>
      <x:c r="B523" s="36" t="n">
        <x:v>46088</x:v>
      </x:c>
      <x:c r="C523" s="34" t="n">
        <x:v>46088.40709490741</x:v>
      </x:c>
      <x:c r="D523" s="15" t="str">
        <x:v>Current a/c..512781</x:v>
      </x:c>
      <x:c r="E523" s="15" t="str"/>
      <x:c r="F523" s="15" t="str">
        <x:v>R18277.16 paid to Current a/c..512781 @ Online Banking. Ref.Ag1 Seaside Village. 7Mar 09:46</x:v>
      </x:c>
      <x:c r="G523" s="15" t="str">
        <x:v>Ag1 Seaside Village</x:v>
      </x:c>
      <x:c r="H523" s="38" t="n">
        <x:v>18277.16</x:v>
      </x:c>
      <x:c r="I523" s="15" t="str">
        <x:v>ZAR</x:v>
      </x:c>
      <x:c r="J523" s="15" t="str">
        <x:v>Inflow</x:v>
      </x:c>
      <x:c r="K523" s="15" t="str">
        <x:v>EFT receipt</x:v>
      </x:c>
      <x:c r="L523" s="15" t="str">
        <x:v>Sales / customer receipts</x:v>
      </x:c>
      <x:c r="M523" s="38"/>
      <x:c r="N523" s="38"/>
      <x:c r="O523" s="15" t="str"/>
      <x:c r="P523" s="15" t="str">
        <x:v>eml_ALL_currentac__512781 (2).zip &gt; eml5currentac__512781.zip</x:v>
      </x:c>
      <x:c r="Q523" s="15" t="str">
        <x:v>FNB _-) R18277.16 paid to Current a_c..512781 @ Online Banking. Ref.Ag1 Seaside Village.  7Mar 09_46.eml</x:v>
      </x:c>
      <x:c r="R523" s="15" t="str">
        <x:v>High</x:v>
      </x:c>
      <x:c r="S523" s="15" t="str">
        <x:v>Category confidence Medium: Default for incoming EFT/PayShap/online receipt.</x:v>
      </x:c>
      <x:c r="T523" s="15" t="str"/>
      <x:c r="U523" s="15" t="str"/>
      <x:c r="V523" s="15" t="str">
        <x:v>Ag1 Seaside Village</x:v>
      </x:c>
      <x:c r="W523" s="15" t="str">
        <x:v>Online Banking</x:v>
      </x:c>
      <x:c r="X523" s="15" t="str">
        <x:v>FNB :-) R18277.16 paid to Current a/c..512781 @ Online Banking. Ref.Ag1 Seaside Village. 7Mar 09:46</x:v>
      </x:c>
      <x:c r="Y523" s="15" t="str">
        <x:v>9ef0d5b671c9cb9c</x:v>
      </x:c>
    </x:row>
    <x:row r="524">
      <x:c r="A524" s="34" t="n">
        <x:v>46088.55625</x:v>
      </x:c>
      <x:c r="B524" s="36" t="n">
        <x:v>46088</x:v>
      </x:c>
      <x:c r="C524" s="34" t="n">
        <x:v>46088.55645833333</x:v>
      </x:c>
      <x:c r="D524" s="15" t="str">
        <x:v>Current a/c..512781</x:v>
      </x:c>
      <x:c r="E524" s="15" t="str"/>
      <x:c r="F524" s="15" t="str">
        <x:v>R500.00 paid from Current a/c..512781 @ Smartapp. Avail R34457. Ref.Electricity 04294887. 7Mar 13:21</x:v>
      </x:c>
      <x:c r="G524" s="15" t="str">
        <x:v>Electricity 04294887</x:v>
      </x:c>
      <x:c r="H524" s="38" t="n">
        <x:v>500</x:v>
      </x:c>
      <x:c r="I524" s="15" t="str">
        <x:v>ZAR</x:v>
      </x:c>
      <x:c r="J524" s="15" t="str">
        <x:v>Outflow</x:v>
      </x:c>
      <x:c r="K524" s="15" t="str">
        <x:v>EFT payment</x:v>
      </x:c>
      <x:c r="L524" s="15" t="str">
        <x:v>Telecom / utilities</x:v>
      </x:c>
      <x:c r="M524" s="38"/>
      <x:c r="N524" s="38" t="n">
        <x:v>34457</x:v>
      </x:c>
      <x:c r="O524" s="15" t="str"/>
      <x:c r="P524" s="15" t="str">
        <x:v>eml_ALL_currentac__512781 (2).zip &gt; eml5currentac__512781.zip</x:v>
      </x:c>
      <x:c r="Q524" s="15" t="str">
        <x:v>FNB _-) R500.00 paid from Current a_c..512781 @ Smartapp. Ref.Electricity 04294887.  7Mar 13_21.eml</x:v>
      </x:c>
      <x:c r="R524" s="15" t="str">
        <x:v>High</x:v>
      </x:c>
      <x:c r="S524" s="15" t="str"/>
      <x:c r="T524" s="15" t="str"/>
      <x:c r="U524" s="15" t="str"/>
      <x:c r="V524" s="15" t="str">
        <x:v>Electricity 04294887</x:v>
      </x:c>
      <x:c r="W524" s="15" t="str">
        <x:v>Smartapp</x:v>
      </x:c>
      <x:c r="X524" s="15" t="str">
        <x:v>FNB :-) R500.00 paid from Current a/c..512781 @ Smartapp. Avail R34457. Ref.Electricity 04294887. 7Mar 13:21</x:v>
      </x:c>
      <x:c r="Y524" s="15" t="str">
        <x:v>5657c3e64e40dd48</x:v>
      </x:c>
    </x:row>
    <x:row r="525">
      <x:c r="A525" s="34" t="n">
        <x:v>46088.56805555556</x:v>
      </x:c>
      <x:c r="B525" s="36" t="n">
        <x:v>46088</x:v>
      </x:c>
      <x:c r="C525" s="34" t="n">
        <x:v>46088.56849537037</x:v>
      </x:c>
      <x:c r="D525" s="15" t="str">
        <x:v>Current a/c..512781</x:v>
      </x:c>
      <x:c r="E525" s="15" t="str">
        <x:v>card..2924</x:v>
      </x:c>
      <x:c r="F525" s="15" t="str">
        <x:v>R214.99 reserved for purchase @ Ingwe Supermarket146 from Current a/c..512781 using card..2924. Avail R34242. 7Mar 13:38</x:v>
      </x:c>
      <x:c r="G525" s="15" t="str">
        <x:v>Ingwe Supermarket146</x:v>
      </x:c>
      <x:c r="H525" s="38" t="n">
        <x:v>214.99</x:v>
      </x:c>
      <x:c r="I525" s="15" t="str">
        <x:v>ZAR</x:v>
      </x:c>
      <x:c r="J525" s="15" t="str">
        <x:v>Outflow</x:v>
      </x:c>
      <x:c r="K525" s="15" t="str">
        <x:v>Card purchase</x:v>
      </x:c>
      <x:c r="L525" s="15" t="str">
        <x:v>Card spend</x:v>
      </x:c>
      <x:c r="M525" s="38"/>
      <x:c r="N525" s="38" t="n">
        <x:v>34242</x:v>
      </x:c>
      <x:c r="O525" s="15" t="str"/>
      <x:c r="P525" s="15" t="str">
        <x:v>eml_ALL_currentac__512781 (2).zip &gt; eml5currentac__512781.zip</x:v>
      </x:c>
      <x:c r="Q525" s="15" t="str">
        <x:v>FNB _-) R214.99 reserved for purchase @ Ingwe Supermarket146 from Current a_c..512781 using card..2924.  7Mar 13_38.eml</x:v>
      </x:c>
      <x:c r="R525" s="15" t="str">
        <x:v>High</x:v>
      </x:c>
      <x:c r="S525" s="15" t="str">
        <x:v>Category confidence Low: Default card-spend category; merchant not confidently mapped.</x:v>
      </x:c>
      <x:c r="T525" s="15" t="str"/>
      <x:c r="U525" s="15" t="str"/>
      <x:c r="V525" s="15" t="str"/>
      <x:c r="W525" s="15" t="str"/>
      <x:c r="X525" s="15" t="str">
        <x:v>FNB :-) R214.99 reserved for purchase @ Ingwe Supermarket146 from Current a/c..512781 using card..2924. Avail R34242. 7Mar 13:38</x:v>
      </x:c>
      <x:c r="Y525" s="15" t="str">
        <x:v>3c93eab928608c77</x:v>
      </x:c>
    </x:row>
    <x:row r="526">
      <x:c r="A526" s="34" t="n">
        <x:v>46089.552777777775</x:v>
      </x:c>
      <x:c r="B526" s="36" t="n">
        <x:v>46089</x:v>
      </x:c>
      <x:c r="C526" s="34" t="n">
        <x:v>46089.553194444445</x:v>
      </x:c>
      <x:c r="D526" s="15" t="str">
        <x:v>Current a/c..512781</x:v>
      </x:c>
      <x:c r="E526" s="15" t="str">
        <x:v>card..2924</x:v>
      </x:c>
      <x:c r="F526" s="15" t="str">
        <x:v>R541.52 reserved for purchase @ Savemor Marloth from Current a/c..512781 using card..2924. Avail R33700. 8Mar 13:16</x:v>
      </x:c>
      <x:c r="G526" s="15" t="str">
        <x:v>Savemor Marloth</x:v>
      </x:c>
      <x:c r="H526" s="38" t="n">
        <x:v>541.52</x:v>
      </x:c>
      <x:c r="I526" s="15" t="str">
        <x:v>ZAR</x:v>
      </x:c>
      <x:c r="J526" s="15" t="str">
        <x:v>Outflow</x:v>
      </x:c>
      <x:c r="K526" s="15" t="str">
        <x:v>Card purchase</x:v>
      </x:c>
      <x:c r="L526" s="15" t="str">
        <x:v>Supplier payments</x:v>
      </x:c>
      <x:c r="M526" s="38"/>
      <x:c r="N526" s="38" t="n">
        <x:v>33700</x:v>
      </x:c>
      <x:c r="O526" s="15" t="str"/>
      <x:c r="P526" s="15" t="str">
        <x:v>eml_ALL_currentac__512781 (2).zip &gt; eml5currentac__512781.zip</x:v>
      </x:c>
      <x:c r="Q526" s="15" t="str">
        <x:v>FNB _-) R541.52 reserved for purchase @ Savemor Marloth from Current a_c..512781 using card..2924.  8Mar 13_16.eml</x:v>
      </x:c>
      <x:c r="R526" s="15" t="str">
        <x:v>High</x:v>
      </x:c>
      <x:c r="S526" s="15" t="str">
        <x:v>Category confidence Medium: Retail/supplier merchant keyword.</x:v>
      </x:c>
      <x:c r="T526" s="15" t="str"/>
      <x:c r="U526" s="15" t="str"/>
      <x:c r="V526" s="15" t="str"/>
      <x:c r="W526" s="15" t="str"/>
      <x:c r="X526" s="15" t="str">
        <x:v>FNB :-) R541.52 reserved for purchase @ Savemor Marloth from Current a/c..512781 using card..2924. Avail R33700. 8Mar 13:16</x:v>
      </x:c>
      <x:c r="Y526" s="15" t="str">
        <x:v>aaa1b1078fb6135c</x:v>
      </x:c>
    </x:row>
    <x:row r="527">
      <x:c r="A527" s="34" t="n">
        <x:v>46089.555555555555</x:v>
      </x:c>
      <x:c r="B527" s="36" t="n">
        <x:v>46089</x:v>
      </x:c>
      <x:c r="C527" s="34" t="n">
        <x:v>46089.55579861111</x:v>
      </x:c>
      <x:c r="D527" s="15" t="str">
        <x:v>Current a/c..512781</x:v>
      </x:c>
      <x:c r="E527" s="15" t="str">
        <x:v>card..2924</x:v>
      </x:c>
      <x:c r="F527" s="15" t="str">
        <x:v>R200.00 reserved for purchase @ Marlothi Petrol Stat from Current a/c..512781 using card..2924. Avail R33500. 8Mar 13:20</x:v>
      </x:c>
      <x:c r="G527" s="15" t="str">
        <x:v>Marlothi Petrol Stat</x:v>
      </x:c>
      <x:c r="H527" s="38" t="n">
        <x:v>200</x:v>
      </x:c>
      <x:c r="I527" s="15" t="str">
        <x:v>ZAR</x:v>
      </x:c>
      <x:c r="J527" s="15" t="str">
        <x:v>Outflow</x:v>
      </x:c>
      <x:c r="K527" s="15" t="str">
        <x:v>Card purchase</x:v>
      </x:c>
      <x:c r="L527" s="15" t="str">
        <x:v>Fuel / transport</x:v>
      </x:c>
      <x:c r="M527" s="38"/>
      <x:c r="N527" s="38" t="n">
        <x:v>33500</x:v>
      </x:c>
      <x:c r="O527" s="15" t="str"/>
      <x:c r="P527" s="15" t="str">
        <x:v>eml_ALL_currentac__512781 (2).zip &gt; eml5currentac__512781.zip</x:v>
      </x:c>
      <x:c r="Q527" s="15" t="str">
        <x:v>FNB _-) R200.00 reserved for purchase @ Marlothi Petrol Stat from Current a_c..512781 using card..2924.  8Mar 13_20.eml</x:v>
      </x:c>
      <x:c r="R527" s="15" t="str">
        <x:v>High</x:v>
      </x:c>
      <x:c r="S527" s="15" t="str"/>
      <x:c r="T527" s="15" t="str"/>
      <x:c r="U527" s="15" t="str"/>
      <x:c r="V527" s="15" t="str"/>
      <x:c r="W527" s="15" t="str"/>
      <x:c r="X527" s="15" t="str">
        <x:v>FNB :-) R200.00 reserved for purchase @ Marlothi Petrol Stat from Current a/c..512781 using card..2924. Avail R33500. 8Mar 13:20</x:v>
      </x:c>
      <x:c r="Y527" s="15" t="str">
        <x:v>f1569f5fbba32589</x:v>
      </x:c>
    </x:row>
    <x:row r="528">
      <x:c r="A528" s="34" t="n">
        <x:v>46089.55902777778</x:v>
      </x:c>
      <x:c r="B528" s="36" t="n">
        <x:v>46089</x:v>
      </x:c>
      <x:c r="C528" s="34" t="n">
        <x:v>46089.55907407407</x:v>
      </x:c>
      <x:c r="D528" s="15" t="str">
        <x:v>Current a/c..512781</x:v>
      </x:c>
      <x:c r="E528" s="15" t="str"/>
      <x:c r="F528" s="15" t="str">
        <x:v>R2000.00 paid from Current a/c..512781 @ Smartapp. Avail R31500. Ref.Salary. 8Mar 13:25</x:v>
      </x:c>
      <x:c r="G528" s="15" t="str">
        <x:v>Salary</x:v>
      </x:c>
      <x:c r="H528" s="38" t="n">
        <x:v>2000</x:v>
      </x:c>
      <x:c r="I528" s="15" t="str">
        <x:v>ZAR</x:v>
      </x:c>
      <x:c r="J528" s="15" t="str">
        <x:v>Outflow</x:v>
      </x:c>
      <x:c r="K528" s="15" t="str">
        <x:v>EFT payment</x:v>
      </x:c>
      <x:c r="L528" s="15" t="str">
        <x:v>Salary / wages</x:v>
      </x:c>
      <x:c r="M528" s="38"/>
      <x:c r="N528" s="38" t="n">
        <x:v>31500</x:v>
      </x:c>
      <x:c r="O528" s="15" t="str"/>
      <x:c r="P528" s="15" t="str">
        <x:v>eml_ALL_currentac__512781 (2).zip &gt; eml5currentac__512781.zip</x:v>
      </x:c>
      <x:c r="Q528" s="15" t="str">
        <x:v>FNB _-) R2000.00 paid from Current a_c..512781 @ Smartapp. Ref.Salary.  8Mar 13_25.eml</x:v>
      </x:c>
      <x:c r="R528" s="15" t="str">
        <x:v>High</x:v>
      </x:c>
      <x:c r="S528" s="15" t="str"/>
      <x:c r="T528" s="15" t="str"/>
      <x:c r="U528" s="15" t="str"/>
      <x:c r="V528" s="15" t="str">
        <x:v>Salary</x:v>
      </x:c>
      <x:c r="W528" s="15" t="str">
        <x:v>Smartapp</x:v>
      </x:c>
      <x:c r="X528" s="15" t="str">
        <x:v>FNB :-) R2000.00 paid from Current a/c..512781 @ Smartapp. Avail R31500. Ref.Salary. 8Mar 13:25</x:v>
      </x:c>
      <x:c r="Y528" s="15" t="str">
        <x:v>ca12b15ba7cfde53</x:v>
      </x:c>
    </x:row>
    <x:row r="529">
      <x:c r="A529" s="34" t="n">
        <x:v>46089.57083333333</x:v>
      </x:c>
      <x:c r="B529" s="36" t="n">
        <x:v>46089</x:v>
      </x:c>
      <x:c r="C529" s="34" t="n">
        <x:v>46089.57098379629</x:v>
      </x:c>
      <x:c r="D529" s="15" t="str">
        <x:v>Current a/c..512781</x:v>
      </x:c>
      <x:c r="E529" s="15" t="str"/>
      <x:c r="F529" s="15" t="str">
        <x:v>R2830.85 paid to Current a/c..512781 @ Payshap. Ref.7f040 Airbnb Payment. 8Mar 13:42</x:v>
      </x:c>
      <x:c r="G529" s="15" t="str">
        <x:v>7f040 Airbnb Payment</x:v>
      </x:c>
      <x:c r="H529" s="38" t="n">
        <x:v>2830.85</x:v>
      </x:c>
      <x:c r="I529" s="15" t="str">
        <x:v>ZAR</x:v>
      </x:c>
      <x:c r="J529" s="15" t="str">
        <x:v>Inflow</x:v>
      </x:c>
      <x:c r="K529" s="15" t="str">
        <x:v>EFT receipt</x:v>
      </x:c>
      <x:c r="L529" s="15" t="str">
        <x:v>Sales / customer receipts</x:v>
      </x:c>
      <x:c r="M529" s="38"/>
      <x:c r="N529" s="38"/>
      <x:c r="O529" s="15" t="str"/>
      <x:c r="P529" s="15" t="str">
        <x:v>eml_ALL_currentac__512781 (2).zip &gt; eml5currentac__512781.zip</x:v>
      </x:c>
      <x:c r="Q529" s="15" t="str">
        <x:v>FNB _-) R2830.85 paid to Current a_c..512781 @ Payshap. Ref.7f040 Airbnb Payment.  8Mar 13_42.eml</x:v>
      </x:c>
      <x:c r="R529" s="15" t="str">
        <x:v>High</x:v>
      </x:c>
      <x:c r="S529" s="15" t="str">
        <x:v>Category confidence Medium: Default for incoming EFT/PayShap/online receipt.</x:v>
      </x:c>
      <x:c r="T529" s="15" t="str"/>
      <x:c r="U529" s="15" t="str"/>
      <x:c r="V529" s="15" t="str">
        <x:v>7f040 Airbnb Payment</x:v>
      </x:c>
      <x:c r="W529" s="15" t="str">
        <x:v>Payshap</x:v>
      </x:c>
      <x:c r="X529" s="15" t="str">
        <x:v>FNB :-) R2830.85 paid to Current a/c..512781 @ Payshap. Ref.7f040 Airbnb Payment. 8Mar 13:42</x:v>
      </x:c>
      <x:c r="Y529" s="15" t="str">
        <x:v>560b4e0273944b09</x:v>
      </x:c>
    </x:row>
    <x:row r="530">
      <x:c r="A530" s="34" t="n">
        <x:v>46089.80902777778</x:v>
      </x:c>
      <x:c r="B530" s="36" t="n">
        <x:v>46089</x:v>
      </x:c>
      <x:c r="C530" s="34" t="n">
        <x:v>46089.80934027778</x:v>
      </x:c>
      <x:c r="D530" s="15" t="str">
        <x:v>Current a/c..512781</x:v>
      </x:c>
      <x:c r="E530" s="15" t="str"/>
      <x:c r="F530" s="15" t="str">
        <x:v>R200.00 paid from Current a/c..512781 @ Smartapp. Avail R34060. Ref.Electricity 14503572. 8Mar 19:25</x:v>
      </x:c>
      <x:c r="G530" s="15" t="str">
        <x:v>Electricity 14503572</x:v>
      </x:c>
      <x:c r="H530" s="38" t="n">
        <x:v>200</x:v>
      </x:c>
      <x:c r="I530" s="15" t="str">
        <x:v>ZAR</x:v>
      </x:c>
      <x:c r="J530" s="15" t="str">
        <x:v>Outflow</x:v>
      </x:c>
      <x:c r="K530" s="15" t="str">
        <x:v>EFT payment</x:v>
      </x:c>
      <x:c r="L530" s="15" t="str">
        <x:v>Telecom / utilities</x:v>
      </x:c>
      <x:c r="M530" s="38"/>
      <x:c r="N530" s="38" t="n">
        <x:v>34060</x:v>
      </x:c>
      <x:c r="O530" s="15" t="str"/>
      <x:c r="P530" s="15" t="str">
        <x:v>eml_ALL_currentac__512781 (2).zip &gt; eml5currentac__512781.zip</x:v>
      </x:c>
      <x:c r="Q530" s="15" t="str">
        <x:v>FNB _-) R200.00 paid from Current a_c..512781 @ Smartapp. Ref.Electricity 14503572.  8Mar 19_25.eml</x:v>
      </x:c>
      <x:c r="R530" s="15" t="str">
        <x:v>High</x:v>
      </x:c>
      <x:c r="S530" s="15" t="str"/>
      <x:c r="T530" s="15" t="str"/>
      <x:c r="U530" s="15" t="str"/>
      <x:c r="V530" s="15" t="str">
        <x:v>Electricity 14503572</x:v>
      </x:c>
      <x:c r="W530" s="15" t="str">
        <x:v>Smartapp</x:v>
      </x:c>
      <x:c r="X530" s="15" t="str">
        <x:v>FNB :-) R200.00 paid from Current a/c..512781 @ Smartapp. Avail R34060. Ref.Electricity 14503572. 8Mar 19:25</x:v>
      </x:c>
      <x:c r="Y530" s="15" t="str">
        <x:v>d0e13e1303119632</x:v>
      </x:c>
    </x:row>
    <x:row r="531">
      <x:c r="A531" s="34" t="n">
        <x:v>46090.54375</x:v>
      </x:c>
      <x:c r="B531" s="36" t="n">
        <x:v>46090</x:v>
      </x:c>
      <x:c r="C531" s="34" t="n">
        <x:v>46090.54423611111</x:v>
      </x:c>
      <x:c r="D531" s="15" t="str">
        <x:v>Current a/c..512781</x:v>
      </x:c>
      <x:c r="E531" s="15" t="str">
        <x:v>card..2924</x:v>
      </x:c>
      <x:c r="F531" s="15" t="str">
        <x:v>R342.92 reserved for purchase @ Savemor Marloth from Current a/c..512781 using card..2924. Avail R33627. 9Mar 13:03</x:v>
      </x:c>
      <x:c r="G531" s="15" t="str">
        <x:v>Savemor Marloth</x:v>
      </x:c>
      <x:c r="H531" s="38" t="n">
        <x:v>342.92</x:v>
      </x:c>
      <x:c r="I531" s="15" t="str">
        <x:v>ZAR</x:v>
      </x:c>
      <x:c r="J531" s="15" t="str">
        <x:v>Outflow</x:v>
      </x:c>
      <x:c r="K531" s="15" t="str">
        <x:v>Card purchase</x:v>
      </x:c>
      <x:c r="L531" s="15" t="str">
        <x:v>Supplier payments</x:v>
      </x:c>
      <x:c r="M531" s="38"/>
      <x:c r="N531" s="38" t="n">
        <x:v>33627</x:v>
      </x:c>
      <x:c r="O531" s="15" t="str"/>
      <x:c r="P531" s="15" t="str">
        <x:v>eml_ALL_currentac__512781 (2).zip &gt; eml5currentac__512781.zip</x:v>
      </x:c>
      <x:c r="Q531" s="15" t="str">
        <x:v>FNB _-) R342.92 reserved for purchase @ Savemor Marloth from Current a_c..512781 using card..2924.  9Mar 13_03.eml</x:v>
      </x:c>
      <x:c r="R531" s="15" t="str">
        <x:v>High</x:v>
      </x:c>
      <x:c r="S531" s="15" t="str">
        <x:v>Category confidence Medium: Retail/supplier merchant keyword.</x:v>
      </x:c>
      <x:c r="T531" s="15" t="str"/>
      <x:c r="U531" s="15" t="str"/>
      <x:c r="V531" s="15" t="str"/>
      <x:c r="W531" s="15" t="str"/>
      <x:c r="X531" s="15" t="str">
        <x:v>FNB :-) R342.92 reserved for purchase @ Savemor Marloth from Current a/c..512781 using card..2924. Avail R33627. 9Mar 13:03</x:v>
      </x:c>
      <x:c r="Y531" s="15" t="str">
        <x:v>afe959d7de82280d</x:v>
      </x:c>
    </x:row>
    <x:row r="532">
      <x:c r="A532" s="34" t="n">
        <x:v>46090.62708333333</x:v>
      </x:c>
      <x:c r="B532" s="36" t="n">
        <x:v>46090</x:v>
      </x:c>
      <x:c r="C532" s="34" t="n">
        <x:v>46090.62736111111</x:v>
      </x:c>
      <x:c r="D532" s="15" t="str">
        <x:v>Current a/c..512781</x:v>
      </x:c>
      <x:c r="E532" s="15" t="str">
        <x:v>card..2924</x:v>
      </x:c>
      <x:c r="F532" s="15" t="str">
        <x:v>R128.01 reserved for purchase @ Ingwe Supermarket from Current a/c..512781 using card..2924. Avail R33499. 9Mar 15:03</x:v>
      </x:c>
      <x:c r="G532" s="15" t="str">
        <x:v>Ingwe Supermarket</x:v>
      </x:c>
      <x:c r="H532" s="38" t="n">
        <x:v>128.01</x:v>
      </x:c>
      <x:c r="I532" s="15" t="str">
        <x:v>ZAR</x:v>
      </x:c>
      <x:c r="J532" s="15" t="str">
        <x:v>Outflow</x:v>
      </x:c>
      <x:c r="K532" s="15" t="str">
        <x:v>Card purchase</x:v>
      </x:c>
      <x:c r="L532" s="15" t="str">
        <x:v>Card spend</x:v>
      </x:c>
      <x:c r="M532" s="38"/>
      <x:c r="N532" s="38" t="n">
        <x:v>33499</x:v>
      </x:c>
      <x:c r="O532" s="15" t="str"/>
      <x:c r="P532" s="15" t="str">
        <x:v>eml_ALL_currentac__512781 (2).zip &gt; eml5currentac__512781.zip</x:v>
      </x:c>
      <x:c r="Q532" s="15" t="str">
        <x:v>FNB _-) R128.01 reserved for purchase @ Ingwe Supermarket from Current a_c..512781 using card..2924.  9Mar 15_03.eml</x:v>
      </x:c>
      <x:c r="R532" s="15" t="str">
        <x:v>High</x:v>
      </x:c>
      <x:c r="S532" s="15" t="str">
        <x:v>Category confidence Low: Default card-spend category; merchant not confidently mapped.</x:v>
      </x:c>
      <x:c r="T532" s="15" t="str"/>
      <x:c r="U532" s="15" t="str"/>
      <x:c r="V532" s="15" t="str"/>
      <x:c r="W532" s="15" t="str"/>
      <x:c r="X532" s="15" t="str">
        <x:v>FNB :-) R128.01 reserved for purchase @ Ingwe Supermarket from Current a/c..512781 using card..2924. Avail R33499. 9Mar 15:03</x:v>
      </x:c>
      <x:c r="Y532" s="15" t="str">
        <x:v>995a9b0f8af686db</x:v>
      </x:c>
    </x:row>
    <x:row r="533">
      <x:c r="A533" s="34" t="n">
        <x:v>46090.63333333333</x:v>
      </x:c>
      <x:c r="B533" s="36" t="n">
        <x:v>46090</x:v>
      </x:c>
      <x:c r="C533" s="34" t="n">
        <x:v>46090.63337962963</x:v>
      </x:c>
      <x:c r="D533" s="15" t="str">
        <x:v>Current a/c..512781</x:v>
      </x:c>
      <x:c r="E533" s="15" t="str">
        <x:v>card..2924</x:v>
      </x:c>
      <x:c r="F533" s="15" t="str">
        <x:v>R265.98 reserved for purchase @ Toppies Hardware 66 from Current a/c..512781 using card..2924. Avail R33233. 9Mar 15:12</x:v>
      </x:c>
      <x:c r="G533" s="15" t="str">
        <x:v>Toppies Hardware 66</x:v>
      </x:c>
      <x:c r="H533" s="38" t="n">
        <x:v>265.98</x:v>
      </x:c>
      <x:c r="I533" s="15" t="str">
        <x:v>ZAR</x:v>
      </x:c>
      <x:c r="J533" s="15" t="str">
        <x:v>Outflow</x:v>
      </x:c>
      <x:c r="K533" s="15" t="str">
        <x:v>Card purchase</x:v>
      </x:c>
      <x:c r="L533" s="15" t="str">
        <x:v>Supplier payments</x:v>
      </x:c>
      <x:c r="M533" s="38"/>
      <x:c r="N533" s="38" t="n">
        <x:v>33233</x:v>
      </x:c>
      <x:c r="O533" s="15" t="str"/>
      <x:c r="P533" s="15" t="str">
        <x:v>eml_ALL_currentac__512781 (2).zip &gt; eml5currentac__512781.zip</x:v>
      </x:c>
      <x:c r="Q533" s="15" t="str">
        <x:v>FNB _-) R265.98 reserved for purchase @ Toppies Hardware 66 from Current a_c..512781 using card..2924.  9Mar 15_12.eml</x:v>
      </x:c>
      <x:c r="R533" s="15" t="str">
        <x:v>High</x:v>
      </x:c>
      <x:c r="S533" s="15" t="str">
        <x:v>Category confidence Medium: Retail/supplier merchant keyword.</x:v>
      </x:c>
      <x:c r="T533" s="15" t="str"/>
      <x:c r="U533" s="15" t="str"/>
      <x:c r="V533" s="15" t="str"/>
      <x:c r="W533" s="15" t="str"/>
      <x:c r="X533" s="15" t="str">
        <x:v>FNB :-) R265.98 reserved for purchase @ Toppies Hardware 66 from Current a/c..512781 using card..2924. Avail R33233. 9Mar 15:12</x:v>
      </x:c>
      <x:c r="Y533" s="15" t="str">
        <x:v>23ec7e499ac3e246</x:v>
      </x:c>
    </x:row>
    <x:row r="534">
      <x:c r="A534" s="34" t="n">
        <x:v>46091.50555555556</x:v>
      </x:c>
      <x:c r="B534" s="36" t="n">
        <x:v>46091</x:v>
      </x:c>
      <x:c r="C534" s="34" t="n">
        <x:v>46091.50587962963</x:v>
      </x:c>
      <x:c r="D534" s="15" t="str">
        <x:v>Current a/c..512781</x:v>
      </x:c>
      <x:c r="E534" s="15" t="str">
        <x:v>card..2924</x:v>
      </x:c>
      <x:c r="F534" s="15" t="str">
        <x:v>R1287.85 reserved for purchase @ Buco Komatipoort 116 from Current a/c..512781 using card..2924. Avail R31921. 10Mar 12:08</x:v>
      </x:c>
      <x:c r="G534" s="15" t="str">
        <x:v>Buco Komatipoort 116</x:v>
      </x:c>
      <x:c r="H534" s="38" t="n">
        <x:v>1287.85</x:v>
      </x:c>
      <x:c r="I534" s="15" t="str">
        <x:v>ZAR</x:v>
      </x:c>
      <x:c r="J534" s="15" t="str">
        <x:v>Outflow</x:v>
      </x:c>
      <x:c r="K534" s="15" t="str">
        <x:v>Card purchase</x:v>
      </x:c>
      <x:c r="L534" s="15" t="str">
        <x:v>Supplier payments</x:v>
      </x:c>
      <x:c r="M534" s="38"/>
      <x:c r="N534" s="38" t="n">
        <x:v>31921</x:v>
      </x:c>
      <x:c r="O534" s="15" t="str"/>
      <x:c r="P534" s="15" t="str">
        <x:v>eml_ALL_currentac__512781 (2).zip &gt; eml5currentac__512781.zip</x:v>
      </x:c>
      <x:c r="Q534" s="15" t="str">
        <x:v>FNB _-) R1287.85 reserved for purchase @ Buco Komatipoort 116 from Current a_c..512781 using card..2924. 10Mar 12_08.eml</x:v>
      </x:c>
      <x:c r="R534" s="15" t="str">
        <x:v>High</x:v>
      </x:c>
      <x:c r="S534" s="15" t="str">
        <x:v>Category confidence Medium: Retail/supplier merchant keyword.</x:v>
      </x:c>
      <x:c r="T534" s="15" t="str"/>
      <x:c r="U534" s="15" t="str"/>
      <x:c r="V534" s="15" t="str"/>
      <x:c r="W534" s="15" t="str"/>
      <x:c r="X534" s="15" t="str">
        <x:v>FNB :-) R1287.85 reserved for purchase @ Buco Komatipoort 116 from Current a/c..512781 using card..2924. Avail R31921. 10Mar 12:08</x:v>
      </x:c>
      <x:c r="Y534" s="15" t="str">
        <x:v>b569b727be07acb7</x:v>
      </x:c>
    </x:row>
    <x:row r="535">
      <x:c r="A535" s="34" t="n">
        <x:v>46091.558333333334</x:v>
      </x:c>
      <x:c r="B535" s="36" t="n">
        <x:v>46091</x:v>
      </x:c>
      <x:c r="C535" s="34" t="n">
        <x:v>46091.55899305556</x:v>
      </x:c>
      <x:c r="D535" s="15" t="str">
        <x:v>Current a/c..512781</x:v>
      </x:c>
      <x:c r="E535" s="15" t="str">
        <x:v>card..2924</x:v>
      </x:c>
      <x:c r="F535" s="15" t="str">
        <x:v>R625.53 reserved for purchase @ Superspar Komatipoor from Current a/c..512781 using card..2924. Avail R31296. 10Mar 13:24</x:v>
      </x:c>
      <x:c r="G535" s="15" t="str">
        <x:v>Superspar Komatipoor</x:v>
      </x:c>
      <x:c r="H535" s="38" t="n">
        <x:v>625.53</x:v>
      </x:c>
      <x:c r="I535" s="15" t="str">
        <x:v>ZAR</x:v>
      </x:c>
      <x:c r="J535" s="15" t="str">
        <x:v>Outflow</x:v>
      </x:c>
      <x:c r="K535" s="15" t="str">
        <x:v>Card purchase</x:v>
      </x:c>
      <x:c r="L535" s="15" t="str">
        <x:v>Supplier payments</x:v>
      </x:c>
      <x:c r="M535" s="38"/>
      <x:c r="N535" s="38" t="n">
        <x:v>31296</x:v>
      </x:c>
      <x:c r="O535" s="15" t="str"/>
      <x:c r="P535" s="15" t="str">
        <x:v>eml_ALL_currentac__512781 (2).zip &gt; eml5currentac__512781.zip</x:v>
      </x:c>
      <x:c r="Q535" s="15" t="str">
        <x:v>FNB _-) R625.53 reserved for purchase @ Superspar Komatipoor from Current a_c..512781 using card..2924. 10Mar 13_24.eml</x:v>
      </x:c>
      <x:c r="R535" s="15" t="str">
        <x:v>High</x:v>
      </x:c>
      <x:c r="S535" s="15" t="str">
        <x:v>Category confidence Medium: Retail/supplier merchant keyword.</x:v>
      </x:c>
      <x:c r="T535" s="15" t="str"/>
      <x:c r="U535" s="15" t="str"/>
      <x:c r="V535" s="15" t="str"/>
      <x:c r="W535" s="15" t="str"/>
      <x:c r="X535" s="15" t="str">
        <x:v>FNB :-) R625.53 reserved for purchase @ Superspar Komatipoor from Current a/c..512781 using card..2924. Avail R31296. 10Mar 13:24</x:v>
      </x:c>
      <x:c r="Y535" s="15" t="str">
        <x:v>959c954dc4b2e711</x:v>
      </x:c>
    </x:row>
    <x:row r="536">
      <x:c r="A536" s="34" t="n">
        <x:v>46091.62430555555</x:v>
      </x:c>
      <x:c r="B536" s="36" t="n">
        <x:v>46091</x:v>
      </x:c>
      <x:c r="C536" s="34" t="n">
        <x:v>46091.62488425926</x:v>
      </x:c>
      <x:c r="D536" s="15" t="str">
        <x:v>Current a/c..512781</x:v>
      </x:c>
      <x:c r="E536" s="15" t="str">
        <x:v>card..2924</x:v>
      </x:c>
      <x:c r="F536" s="15" t="str">
        <x:v>R114.49 reserved for purchase @ Savemor Marloth from Current a/c..512781 using card..2924. Avail R31181. 10Mar 14:59</x:v>
      </x:c>
      <x:c r="G536" s="15" t="str">
        <x:v>Savemor Marloth</x:v>
      </x:c>
      <x:c r="H536" s="38" t="n">
        <x:v>114.49</x:v>
      </x:c>
      <x:c r="I536" s="15" t="str">
        <x:v>ZAR</x:v>
      </x:c>
      <x:c r="J536" s="15" t="str">
        <x:v>Outflow</x:v>
      </x:c>
      <x:c r="K536" s="15" t="str">
        <x:v>Card purchase</x:v>
      </x:c>
      <x:c r="L536" s="15" t="str">
        <x:v>Supplier payments</x:v>
      </x:c>
      <x:c r="M536" s="38"/>
      <x:c r="N536" s="38" t="n">
        <x:v>31181</x:v>
      </x:c>
      <x:c r="O536" s="15" t="str"/>
      <x:c r="P536" s="15" t="str">
        <x:v>eml_ALL_currentac__512781 (2).zip &gt; eml5currentac__512781.zip</x:v>
      </x:c>
      <x:c r="Q536" s="15" t="str">
        <x:v>FNB _-) R114.49 reserved for purchase @ Savemor Marloth from Current a_c..512781 using card..2924. 10Mar 14_59.eml</x:v>
      </x:c>
      <x:c r="R536" s="15" t="str">
        <x:v>High</x:v>
      </x:c>
      <x:c r="S536" s="15" t="str">
        <x:v>Category confidence Medium: Retail/supplier merchant keyword.</x:v>
      </x:c>
      <x:c r="T536" s="15" t="str"/>
      <x:c r="U536" s="15" t="str"/>
      <x:c r="V536" s="15" t="str"/>
      <x:c r="W536" s="15" t="str"/>
      <x:c r="X536" s="15" t="str">
        <x:v>FNB :-) R114.49 reserved for purchase @ Savemor Marloth from Current a/c..512781 using card..2924. Avail R31181. 10Mar 14:59</x:v>
      </x:c>
      <x:c r="Y536" s="15" t="str">
        <x:v>d5255b89a4e1660c</x:v>
      </x:c>
    </x:row>
    <x:row r="537">
      <x:c r="A537" s="34" t="n">
        <x:v>46091.71041666667</x:v>
      </x:c>
      <x:c r="B537" s="36" t="n">
        <x:v>46091</x:v>
      </x:c>
      <x:c r="C537" s="34" t="n">
        <x:v>46091.71104166667</x:v>
      </x:c>
      <x:c r="D537" s="15" t="str">
        <x:v>Current a/c..512781</x:v>
      </x:c>
      <x:c r="E537" s="15" t="str"/>
      <x:c r="F537" s="15" t="str">
        <x:v>R150.00 paid from Current a/c..512781 @ Smartapp. Avail R31030. Ref.Electricity 14503572. 10Mar 17:03</x:v>
      </x:c>
      <x:c r="G537" s="15" t="str">
        <x:v>Electricity 14503572</x:v>
      </x:c>
      <x:c r="H537" s="38" t="n">
        <x:v>150</x:v>
      </x:c>
      <x:c r="I537" s="15" t="str">
        <x:v>ZAR</x:v>
      </x:c>
      <x:c r="J537" s="15" t="str">
        <x:v>Outflow</x:v>
      </x:c>
      <x:c r="K537" s="15" t="str">
        <x:v>EFT payment</x:v>
      </x:c>
      <x:c r="L537" s="15" t="str">
        <x:v>Telecom / utilities</x:v>
      </x:c>
      <x:c r="M537" s="38"/>
      <x:c r="N537" s="38" t="n">
        <x:v>31030</x:v>
      </x:c>
      <x:c r="O537" s="15" t="str"/>
      <x:c r="P537" s="15" t="str">
        <x:v>eml_ALL_currentac__512781 (2).zip &gt; eml5currentac__512781.zip</x:v>
      </x:c>
      <x:c r="Q537" s="15" t="str">
        <x:v>FNB _-) R150.00 paid from Current a_c..512781 @ Smartapp. Ref.Electricity 14503572. 10Mar 17_03.eml</x:v>
      </x:c>
      <x:c r="R537" s="15" t="str">
        <x:v>High</x:v>
      </x:c>
      <x:c r="S537" s="15" t="str"/>
      <x:c r="T537" s="15" t="str"/>
      <x:c r="U537" s="15" t="str"/>
      <x:c r="V537" s="15" t="str">
        <x:v>Electricity 14503572</x:v>
      </x:c>
      <x:c r="W537" s="15" t="str">
        <x:v>Smartapp</x:v>
      </x:c>
      <x:c r="X537" s="15" t="str">
        <x:v>FNB :-) R150.00 paid from Current a/c..512781 @ Smartapp. Avail R31030. Ref.Electricity 14503572. 10Mar 17:03</x:v>
      </x:c>
      <x:c r="Y537" s="15" t="str">
        <x:v>c017e537cf2b6edf</x:v>
      </x:c>
    </x:row>
    <x:row r="538">
      <x:c r="A538" s="34" t="n">
        <x:v>46092.57638888889</x:v>
      </x:c>
      <x:c r="B538" s="36" t="n">
        <x:v>46092</x:v>
      </x:c>
      <x:c r="C538" s="34" t="n">
        <x:v>46092.576516203706</x:v>
      </x:c>
      <x:c r="D538" s="15" t="str">
        <x:v>Current a/c..512781</x:v>
      </x:c>
      <x:c r="E538" s="15" t="str"/>
      <x:c r="F538" s="15" t="str">
        <x:v>R6008.00 paid from Current a/c..512781 @ Smartapp. Avail R24996. Ref.Kruger Safari 1686. 11Mar 13:50</x:v>
      </x:c>
      <x:c r="G538" s="15" t="str">
        <x:v>Kruger Safari 1686</x:v>
      </x:c>
      <x:c r="H538" s="38" t="n">
        <x:v>6008</x:v>
      </x:c>
      <x:c r="I538" s="15" t="str">
        <x:v>ZAR</x:v>
      </x:c>
      <x:c r="J538" s="15" t="str">
        <x:v>Outflow</x:v>
      </x:c>
      <x:c r="K538" s="15" t="str">
        <x:v>EFT payment</x:v>
      </x:c>
      <x:c r="L538" s="15" t="str">
        <x:v>Supplier payments</x:v>
      </x:c>
      <x:c r="M538" s="38"/>
      <x:c r="N538" s="38" t="n">
        <x:v>24996</x:v>
      </x:c>
      <x:c r="O538" s="15" t="str"/>
      <x:c r="P538" s="15" t="str">
        <x:v>eml_ALL_currentac__512781 (2).zip &gt; eml5currentac__512781.zip</x:v>
      </x:c>
      <x:c r="Q538" s="15" t="str">
        <x:v>FNB _-) R6008.00 paid from Current a_c..512781 @ Smartapp. Ref.Kruger Safari 1686. 11Mar 13_50.eml</x:v>
      </x:c>
      <x:c r="R538" s="15" t="str">
        <x:v>High</x:v>
      </x:c>
      <x:c r="S538" s="15" t="str">
        <x:v>Category confidence Low: Default outflow category; review counterparty/reference.</x:v>
      </x:c>
      <x:c r="T538" s="15" t="str"/>
      <x:c r="U538" s="15" t="str"/>
      <x:c r="V538" s="15" t="str">
        <x:v>Kruger Safari 1686</x:v>
      </x:c>
      <x:c r="W538" s="15" t="str">
        <x:v>Smartapp</x:v>
      </x:c>
      <x:c r="X538" s="15" t="str">
        <x:v>FNB :-) R6008.00 paid from Current a/c..512781 @ Smartapp. Avail R24996. Ref.Kruger Safari 1686. 11Mar 13:50</x:v>
      </x:c>
      <x:c r="Y538" s="15" t="str">
        <x:v>187cebbe1f015092</x:v>
      </x:c>
    </x:row>
    <x:row r="539">
      <x:c r="A539" s="34" t="n">
        <x:v>46093.34722222222</x:v>
      </x:c>
      <x:c r="B539" s="36" t="n">
        <x:v>46093</x:v>
      </x:c>
      <x:c r="C539" s="34" t="n">
        <x:v>46093.34738425926</x:v>
      </x:c>
      <x:c r="D539" s="15" t="str">
        <x:v>Current a/c..512781</x:v>
      </x:c>
      <x:c r="E539" s="15" t="str"/>
      <x:c r="F539" s="15" t="str">
        <x:v>R29321.53 paid to Current a/c..512781 @ Retail Forex. Ref.R026vwnk80 Booking.c. 12Mar 08:20</x:v>
      </x:c>
      <x:c r="G539" s="15" t="str">
        <x:v>R026vwnk80 Booking.c</x:v>
      </x:c>
      <x:c r="H539" s="38" t="n">
        <x:v>29321.53</x:v>
      </x:c>
      <x:c r="I539" s="15" t="str">
        <x:v>ZAR</x:v>
      </x:c>
      <x:c r="J539" s="15" t="str">
        <x:v>Inflow</x:v>
      </x:c>
      <x:c r="K539" s="15" t="str">
        <x:v>EFT receipt</x:v>
      </x:c>
      <x:c r="L539" s="15" t="str">
        <x:v>Sales / customer receipts</x:v>
      </x:c>
      <x:c r="M539" s="38"/>
      <x:c r="N539" s="38"/>
      <x:c r="O539" s="15" t="str"/>
      <x:c r="P539" s="15" t="str">
        <x:v>eml_ALL_currentac__512781 (2).zip &gt; eml5currentac__512781.zip</x:v>
      </x:c>
      <x:c r="Q539" s="15" t="str">
        <x:v>FNB _-) R29321.53 paid to Current a_c..512781 @ Retail Forex. Ref.R026vwnk80 Booking.c. 12Mar 08_20.eml</x:v>
      </x:c>
      <x:c r="R539" s="15" t="str">
        <x:v>High</x:v>
      </x:c>
      <x:c r="S539" s="15" t="str">
        <x:v>Category confidence Medium: Default for incoming EFT/PayShap/online receipt.</x:v>
      </x:c>
      <x:c r="T539" s="15" t="str"/>
      <x:c r="U539" s="15" t="str"/>
      <x:c r="V539" s="15" t="str">
        <x:v>R026vwnk80 Booking.c</x:v>
      </x:c>
      <x:c r="W539" s="15" t="str">
        <x:v>Retail Forex</x:v>
      </x:c>
      <x:c r="X539" s="15" t="str">
        <x:v>FNB :-) R29321.53 paid to Current a/c..512781 @ Retail Forex. Ref.R026vwnk80 Booking.c. 12Mar 08:20</x:v>
      </x:c>
      <x:c r="Y539" s="15" t="str">
        <x:v>94a078f380759875</x:v>
      </x:c>
    </x:row>
    <x:row r="540">
      <x:c r="A540" s="34" t="n">
        <x:v>46093.47361111111</x:v>
      </x:c>
      <x:c r="B540" s="36" t="n">
        <x:v>46093</x:v>
      </x:c>
      <x:c r="C540" s="34" t="n">
        <x:v>46093.47429398148</x:v>
      </x:c>
      <x:c r="D540" s="15" t="str">
        <x:v>Current a/c..512781</x:v>
      </x:c>
      <x:c r="E540" s="15" t="str">
        <x:v>card..2924</x:v>
      </x:c>
      <x:c r="F540" s="15" t="str">
        <x:v>R1102.67 reserved for purchase @ Superspar Komatipoor from Current a/c..512781 using card..2924. Avail R53186. 12Mar 11:22</x:v>
      </x:c>
      <x:c r="G540" s="15" t="str">
        <x:v>Superspar Komatipoor</x:v>
      </x:c>
      <x:c r="H540" s="38" t="n">
        <x:v>1102.67</x:v>
      </x:c>
      <x:c r="I540" s="15" t="str">
        <x:v>ZAR</x:v>
      </x:c>
      <x:c r="J540" s="15" t="str">
        <x:v>Outflow</x:v>
      </x:c>
      <x:c r="K540" s="15" t="str">
        <x:v>Card purchase</x:v>
      </x:c>
      <x:c r="L540" s="15" t="str">
        <x:v>Supplier payments</x:v>
      </x:c>
      <x:c r="M540" s="38"/>
      <x:c r="N540" s="38" t="n">
        <x:v>53186</x:v>
      </x:c>
      <x:c r="O540" s="15" t="str"/>
      <x:c r="P540" s="15" t="str">
        <x:v>eml_ALL_currentac__512781 (2).zip &gt; eml5currentac__512781.zip</x:v>
      </x:c>
      <x:c r="Q540" s="15" t="str">
        <x:v>FNB _-) R1102.67 reserved for purchase @ Superspar Komatipoor from Current a_c..512781 using card..2924. 12Mar 11_22.eml</x:v>
      </x:c>
      <x:c r="R540" s="15" t="str">
        <x:v>High</x:v>
      </x:c>
      <x:c r="S540" s="15" t="str">
        <x:v>Category confidence Medium: Retail/supplier merchant keyword.</x:v>
      </x:c>
      <x:c r="T540" s="15" t="str"/>
      <x:c r="U540" s="15" t="str"/>
      <x:c r="V540" s="15" t="str"/>
      <x:c r="W540" s="15" t="str"/>
      <x:c r="X540" s="15" t="str">
        <x:v>FNB :-) R1102.67 reserved for purchase @ Superspar Komatipoor from Current a/c..512781 using card..2924. Avail R53186. 12Mar 11:22</x:v>
      </x:c>
      <x:c r="Y540" s="15" t="str">
        <x:v>9d09035d258a8990</x:v>
      </x:c>
    </x:row>
    <x:row r="541">
      <x:c r="A541" s="34" t="n">
        <x:v>46093.572222222225</x:v>
      </x:c>
      <x:c r="B541" s="36" t="n">
        <x:v>46093</x:v>
      </x:c>
      <x:c r="C541" s="34" t="n">
        <x:v>46093.5724537037</x:v>
      </x:c>
      <x:c r="D541" s="15" t="str">
        <x:v>Current a/c..512781</x:v>
      </x:c>
      <x:c r="E541" s="15" t="str"/>
      <x:c r="F541" s="15" t="str">
        <x:v>R1500.00 paid to Current a/c..512781 @ Smartapp. Ref.Reeva. 12Mar 13:44</x:v>
      </x:c>
      <x:c r="G541" s="15" t="str">
        <x:v>Reeva</x:v>
      </x:c>
      <x:c r="H541" s="38" t="n">
        <x:v>1500</x:v>
      </x:c>
      <x:c r="I541" s="15" t="str">
        <x:v>ZAR</x:v>
      </x:c>
      <x:c r="J541" s="15" t="str">
        <x:v>Inflow</x:v>
      </x:c>
      <x:c r="K541" s="15" t="str">
        <x:v>EFT receipt</x:v>
      </x:c>
      <x:c r="L541" s="15" t="str">
        <x:v>Sales / customer receipts</x:v>
      </x:c>
      <x:c r="M541" s="38"/>
      <x:c r="N541" s="38"/>
      <x:c r="O541" s="15" t="str"/>
      <x:c r="P541" s="15" t="str">
        <x:v>eml_ALL_currentac__512781 (2).zip &gt; eml5currentac__512781.zip</x:v>
      </x:c>
      <x:c r="Q541" s="15" t="str">
        <x:v>FNB _-) R1500.00 paid to Current a_c..512781 @ Smartapp. Ref.Reeva. 12Mar 13_44.eml</x:v>
      </x:c>
      <x:c r="R541" s="15" t="str">
        <x:v>High</x:v>
      </x:c>
      <x:c r="S541" s="15" t="str">
        <x:v>Category confidence Medium: Default for incoming EFT/PayShap/online receipt.</x:v>
      </x:c>
      <x:c r="T541" s="15" t="str"/>
      <x:c r="U541" s="15" t="str"/>
      <x:c r="V541" s="15" t="str">
        <x:v>Reeva</x:v>
      </x:c>
      <x:c r="W541" s="15" t="str">
        <x:v>Smartapp</x:v>
      </x:c>
      <x:c r="X541" s="15" t="str">
        <x:v>FNB :-) R1500.00 paid to Current a/c..512781 @ Smartapp. Ref.Reeva. 12Mar 13:44</x:v>
      </x:c>
      <x:c r="Y541" s="15" t="str">
        <x:v>0651ed659daf5d57</x:v>
      </x:c>
    </x:row>
    <x:row r="542">
      <x:c r="A542" s="34" t="n">
        <x:v>46093.575694444444</x:v>
      </x:c>
      <x:c r="B542" s="36" t="n">
        <x:v>46093</x:v>
      </x:c>
      <x:c r="C542" s="34" t="n">
        <x:v>46093.576365740744</x:v>
      </x:c>
      <x:c r="D542" s="15" t="str">
        <x:v>Current a/c..512781</x:v>
      </x:c>
      <x:c r="E542" s="15" t="str"/>
      <x:c r="F542" s="15" t="str">
        <x:v>R7391.15 paid to Current a/c..512781 @ Payshap. Ref.Ik Pay 487882. 12Mar 13:49</x:v>
      </x:c>
      <x:c r="G542" s="15" t="str">
        <x:v>Ik Pay 487882</x:v>
      </x:c>
      <x:c r="H542" s="38" t="n">
        <x:v>7391.15</x:v>
      </x:c>
      <x:c r="I542" s="15" t="str">
        <x:v>ZAR</x:v>
      </x:c>
      <x:c r="J542" s="15" t="str">
        <x:v>Inflow</x:v>
      </x:c>
      <x:c r="K542" s="15" t="str">
        <x:v>EFT receipt</x:v>
      </x:c>
      <x:c r="L542" s="15" t="str">
        <x:v>Sales / customer receipts</x:v>
      </x:c>
      <x:c r="M542" s="38"/>
      <x:c r="N542" s="38"/>
      <x:c r="O542" s="15" t="str"/>
      <x:c r="P542" s="15" t="str">
        <x:v>eml_ALL_currentac__512781 (2).zip &gt; eml5currentac__512781.zip</x:v>
      </x:c>
      <x:c r="Q542" s="15" t="str">
        <x:v>FNB _-) R7391.15 paid to Current a_c..512781 @ Payshap. Ref.Ik Pay 487882. 12Mar 13_49.eml</x:v>
      </x:c>
      <x:c r="R542" s="15" t="str">
        <x:v>High</x:v>
      </x:c>
      <x:c r="S542" s="15" t="str">
        <x:v>Category confidence Medium: Default for incoming EFT/PayShap/online receipt.</x:v>
      </x:c>
      <x:c r="T542" s="15" t="str"/>
      <x:c r="U542" s="15" t="str"/>
      <x:c r="V542" s="15" t="str">
        <x:v>Ik Pay 487882</x:v>
      </x:c>
      <x:c r="W542" s="15" t="str">
        <x:v>Payshap</x:v>
      </x:c>
      <x:c r="X542" s="15" t="str">
        <x:v>FNB :-) R7391.15 paid to Current a/c..512781 @ Payshap. Ref.Ik Pay 487882. 12Mar 13:49</x:v>
      </x:c>
      <x:c r="Y542" s="15" t="str">
        <x:v>1a7434c9a2f94cf5</x:v>
      </x:c>
    </x:row>
    <x:row r="543">
      <x:c r="A543" s="34" t="n">
        <x:v>46093.67083333333</x:v>
      </x:c>
      <x:c r="B543" s="36" t="n">
        <x:v>46093</x:v>
      </x:c>
      <x:c r="C543" s="34" t="n">
        <x:v>46093.67087962963</x:v>
      </x:c>
      <x:c r="D543" s="15" t="str">
        <x:v>Current a/c..512781</x:v>
      </x:c>
      <x:c r="E543" s="15" t="str"/>
      <x:c r="F543" s="15" t="str">
        <x:v>R4240.00 paid from Current a/c..512781 @ Smartapp. Avail R57806. Ref.Royal Bush 3798. 12Mar 16:06</x:v>
      </x:c>
      <x:c r="G543" s="15" t="str">
        <x:v>Royal Bush 3798</x:v>
      </x:c>
      <x:c r="H543" s="38" t="n">
        <x:v>4240</x:v>
      </x:c>
      <x:c r="I543" s="15" t="str">
        <x:v>ZAR</x:v>
      </x:c>
      <x:c r="J543" s="15" t="str">
        <x:v>Outflow</x:v>
      </x:c>
      <x:c r="K543" s="15" t="str">
        <x:v>EFT payment</x:v>
      </x:c>
      <x:c r="L543" s="15" t="str">
        <x:v>Supplier payments</x:v>
      </x:c>
      <x:c r="M543" s="38"/>
      <x:c r="N543" s="38" t="n">
        <x:v>57806</x:v>
      </x:c>
      <x:c r="O543" s="15" t="str"/>
      <x:c r="P543" s="15" t="str">
        <x:v>eml_ALL_currentac__512781 (2).zip &gt; eml5currentac__512781.zip</x:v>
      </x:c>
      <x:c r="Q543" s="15" t="str">
        <x:v>FNB _-) R4240.00 paid from Current a_c..512781 @ Smartapp. Ref.Royal Bush 3798. 12Mar 16_06.eml</x:v>
      </x:c>
      <x:c r="R543" s="15" t="str">
        <x:v>High</x:v>
      </x:c>
      <x:c r="S543" s="15" t="str">
        <x:v>Category confidence Low: Default outflow category; review counterparty/reference.</x:v>
      </x:c>
      <x:c r="T543" s="15" t="str"/>
      <x:c r="U543" s="15" t="str"/>
      <x:c r="V543" s="15" t="str">
        <x:v>Royal Bush 3798</x:v>
      </x:c>
      <x:c r="W543" s="15" t="str">
        <x:v>Smartapp</x:v>
      </x:c>
      <x:c r="X543" s="15" t="str">
        <x:v>FNB :-) R4240.00 paid from Current a/c..512781 @ Smartapp. Avail R57806. Ref.Royal Bush 3798. 12Mar 16:06</x:v>
      </x:c>
      <x:c r="Y543" s="15" t="str">
        <x:v>6c2a8973b235f27b</x:v>
      </x:c>
    </x:row>
    <x:row r="544">
      <x:c r="A544" s="34" t="n">
        <x:v>46093.67222222222</x:v>
      </x:c>
      <x:c r="B544" s="36" t="n">
        <x:v>46093</x:v>
      </x:c>
      <x:c r="C544" s="34" t="n">
        <x:v>46093.67223379629</x:v>
      </x:c>
      <x:c r="D544" s="15" t="str">
        <x:v>Current a/c..512781</x:v>
      </x:c>
      <x:c r="E544" s="15" t="str"/>
      <x:c r="F544" s="15" t="str">
        <x:v>R4506.00 paid from Current a/c..512781 @ Smartapp. Avail R53292. Ref.Kruger Safari 1687. 12Mar 16:08</x:v>
      </x:c>
      <x:c r="G544" s="15" t="str">
        <x:v>Kruger Safari 1687</x:v>
      </x:c>
      <x:c r="H544" s="38" t="n">
        <x:v>4506</x:v>
      </x:c>
      <x:c r="I544" s="15" t="str">
        <x:v>ZAR</x:v>
      </x:c>
      <x:c r="J544" s="15" t="str">
        <x:v>Outflow</x:v>
      </x:c>
      <x:c r="K544" s="15" t="str">
        <x:v>EFT payment</x:v>
      </x:c>
      <x:c r="L544" s="15" t="str">
        <x:v>Supplier payments</x:v>
      </x:c>
      <x:c r="M544" s="38"/>
      <x:c r="N544" s="38" t="n">
        <x:v>53292</x:v>
      </x:c>
      <x:c r="O544" s="15" t="str"/>
      <x:c r="P544" s="15" t="str">
        <x:v>eml_ALL_currentac__512781 (2).zip &gt; eml5currentac__512781.zip</x:v>
      </x:c>
      <x:c r="Q544" s="15" t="str">
        <x:v>FNB _-) R4506.00 paid from Current a_c..512781 @ Smartapp. Ref.Kruger Safari 1687. 12Mar 16_08.eml</x:v>
      </x:c>
      <x:c r="R544" s="15" t="str">
        <x:v>High</x:v>
      </x:c>
      <x:c r="S544" s="15" t="str">
        <x:v>Category confidence Low: Default outflow category; review counterparty/reference.</x:v>
      </x:c>
      <x:c r="T544" s="15" t="str"/>
      <x:c r="U544" s="15" t="str"/>
      <x:c r="V544" s="15" t="str">
        <x:v>Kruger Safari 1687</x:v>
      </x:c>
      <x:c r="W544" s="15" t="str">
        <x:v>Smartapp</x:v>
      </x:c>
      <x:c r="X544" s="15" t="str">
        <x:v>FNB :-) R4506.00 paid from Current a/c..512781 @ Smartapp. Avail R53292. Ref.Kruger Safari 1687. 12Mar 16:08</x:v>
      </x:c>
      <x:c r="Y544" s="15" t="str">
        <x:v>6c4a6233e9a06b65</x:v>
      </x:c>
    </x:row>
    <x:row r="545">
      <x:c r="A545" s="34" t="n">
        <x:v>46094.16180555556</x:v>
      </x:c>
      <x:c r="B545" s="36" t="n">
        <x:v>46094</x:v>
      </x:c>
      <x:c r="C545" s="34" t="n">
        <x:v>46094.16210648148</x:v>
      </x:c>
      <x:c r="D545" s="15" t="str">
        <x:v>Current a/c..512781</x:v>
      </x:c>
      <x:c r="E545" s="15" t="str"/>
      <x:c r="F545" s="15" t="str">
        <x:v>R5000.00 paid from Current a/c..512781 @ Smartapp. Avail R48275. Ref.Salary- Feb. 13Mar 03:53</x:v>
      </x:c>
      <x:c r="G545" s="15" t="str">
        <x:v>Salary- Feb</x:v>
      </x:c>
      <x:c r="H545" s="38" t="n">
        <x:v>5000</x:v>
      </x:c>
      <x:c r="I545" s="15" t="str">
        <x:v>ZAR</x:v>
      </x:c>
      <x:c r="J545" s="15" t="str">
        <x:v>Outflow</x:v>
      </x:c>
      <x:c r="K545" s="15" t="str">
        <x:v>EFT payment</x:v>
      </x:c>
      <x:c r="L545" s="15" t="str">
        <x:v>Salary / wages</x:v>
      </x:c>
      <x:c r="M545" s="38"/>
      <x:c r="N545" s="38" t="n">
        <x:v>48275</x:v>
      </x:c>
      <x:c r="O545" s="15" t="str"/>
      <x:c r="P545" s="15" t="str">
        <x:v>eml_ALL_currentac__512781 (2).zip &gt; eml5currentac__512781.zip</x:v>
      </x:c>
      <x:c r="Q545" s="15" t="str">
        <x:v>FNB _-) R5000.00 paid from Current a_c..512781 @ Smartapp. Ref.Salary- Feb. 13Mar 03_53.eml</x:v>
      </x:c>
      <x:c r="R545" s="15" t="str">
        <x:v>High</x:v>
      </x:c>
      <x:c r="S545" s="15" t="str"/>
      <x:c r="T545" s="15" t="str"/>
      <x:c r="U545" s="15" t="str"/>
      <x:c r="V545" s="15" t="str">
        <x:v>Salary- Feb</x:v>
      </x:c>
      <x:c r="W545" s="15" t="str">
        <x:v>Smartapp</x:v>
      </x:c>
      <x:c r="X545" s="15" t="str">
        <x:v>FNB :-) R5000.00 paid from Current a/c..512781 @ Smartapp. Avail R48275. Ref.Salary- Feb. 13Mar 03:53</x:v>
      </x:c>
      <x:c r="Y545" s="15" t="str">
        <x:v>a1a1b9c70823738c</x:v>
      </x:c>
    </x:row>
    <x:row r="546">
      <x:c r="A546" s="34" t="n">
        <x:v>46094.58888888889</x:v>
      </x:c>
      <x:c r="B546" s="36" t="n">
        <x:v>46094</x:v>
      </x:c>
      <x:c r="C546" s="34" t="n">
        <x:v>46094.58913194444</x:v>
      </x:c>
      <x:c r="D546" s="15" t="str">
        <x:v>Current a/c..512781</x:v>
      </x:c>
      <x:c r="E546" s="15" t="str"/>
      <x:c r="F546" s="15" t="str">
        <x:v>R2500.00 paid from Current a/c..512781 @ Smartapp. Avail R45767. Ref.Sakkie Wages. 13Mar 14:08</x:v>
      </x:c>
      <x:c r="G546" s="15" t="str">
        <x:v>Sakkie Wages</x:v>
      </x:c>
      <x:c r="H546" s="38" t="n">
        <x:v>2500</x:v>
      </x:c>
      <x:c r="I546" s="15" t="str">
        <x:v>ZAR</x:v>
      </x:c>
      <x:c r="J546" s="15" t="str">
        <x:v>Outflow</x:v>
      </x:c>
      <x:c r="K546" s="15" t="str">
        <x:v>EFT payment</x:v>
      </x:c>
      <x:c r="L546" s="15" t="str">
        <x:v>Salary / wages</x:v>
      </x:c>
      <x:c r="M546" s="38"/>
      <x:c r="N546" s="38" t="n">
        <x:v>45767</x:v>
      </x:c>
      <x:c r="O546" s="15" t="str"/>
      <x:c r="P546" s="15" t="str">
        <x:v>eml_ALL_currentac__512781 (2).zip &gt; eml5currentac__512781.zip</x:v>
      </x:c>
      <x:c r="Q546" s="15" t="str">
        <x:v>FNB _-) R2500.00 paid from Current a_c..512781 @ Smartapp. Ref.Sakkie Wages. 13Mar 14_08.eml</x:v>
      </x:c>
      <x:c r="R546" s="15" t="str">
        <x:v>High</x:v>
      </x:c>
      <x:c r="S546" s="15" t="str"/>
      <x:c r="T546" s="15" t="str"/>
      <x:c r="U546" s="15" t="str"/>
      <x:c r="V546" s="15" t="str">
        <x:v>Sakkie Wages</x:v>
      </x:c>
      <x:c r="W546" s="15" t="str">
        <x:v>Smartapp</x:v>
      </x:c>
      <x:c r="X546" s="15" t="str">
        <x:v>FNB :-) R2500.00 paid from Current a/c..512781 @ Smartapp. Avail R45767. Ref.Sakkie Wages. 13Mar 14:08</x:v>
      </x:c>
      <x:c r="Y546" s="15" t="str">
        <x:v>c1ec8b6c2bd0b047</x:v>
      </x:c>
    </x:row>
    <x:row r="547">
      <x:c r="A547" s="34" t="n">
        <x:v>46095.524305555555</x:v>
      </x:c>
      <x:c r="B547" s="36" t="n">
        <x:v>46095</x:v>
      </x:c>
      <x:c r="C547" s="34" t="n">
        <x:v>46095.52446759259</x:v>
      </x:c>
      <x:c r="D547" s="15" t="str">
        <x:v>Current a/c..512781</x:v>
      </x:c>
      <x:c r="E547" s="15" t="str">
        <x:v>card..2924</x:v>
      </x:c>
      <x:c r="F547" s="15" t="str">
        <x:v>R636.02 reserved for purchase @ Sqsp* Websit from Current a/c..512781 using card..2924. Avail R45131. 14Mar 12:35</x:v>
      </x:c>
      <x:c r="G547" s="15" t="str">
        <x:v>Sqsp* Websit</x:v>
      </x:c>
      <x:c r="H547" s="38" t="n">
        <x:v>636.02</x:v>
      </x:c>
      <x:c r="I547" s="15" t="str">
        <x:v>ZAR</x:v>
      </x:c>
      <x:c r="J547" s="15" t="str">
        <x:v>Outflow</x:v>
      </x:c>
      <x:c r="K547" s="15" t="str">
        <x:v>Card purchase</x:v>
      </x:c>
      <x:c r="L547" s="15" t="str">
        <x:v>Software / subscriptions</x:v>
      </x:c>
      <x:c r="M547" s="38"/>
      <x:c r="N547" s="38" t="n">
        <x:v>45131</x:v>
      </x:c>
      <x:c r="O547" s="15" t="str"/>
      <x:c r="P547" s="15" t="str">
        <x:v>eml_ALL_currentac__512781 (2).zip &gt; eml5currentac__512781.zip</x:v>
      </x:c>
      <x:c r="Q547" s="15" t="str">
        <x:v>FNB _-) R636.02 reserved for purchase @ Sqsp_ Websit from Current a_c..512781 using card..2924. 14Mar 12_35.eml</x:v>
      </x:c>
      <x:c r="R547" s="15" t="str">
        <x:v>High</x:v>
      </x:c>
      <x:c r="S547" s="15" t="str"/>
      <x:c r="T547" s="15" t="str"/>
      <x:c r="U547" s="15" t="str"/>
      <x:c r="V547" s="15" t="str"/>
      <x:c r="W547" s="15" t="str"/>
      <x:c r="X547" s="15" t="str">
        <x:v>FNB :-) R636.02 reserved for purchase @ Sqsp* Websit from Current a/c..512781 using card..2924. Avail R45131. 14Mar 12:35</x:v>
      </x:c>
      <x:c r="Y547" s="15" t="str">
        <x:v>852a58ae583c5b9c</x:v>
      </x:c>
    </x:row>
    <x:row r="548">
      <x:c r="A548" s="34" t="n">
        <x:v>46095.58263888889</x:v>
      </x:c>
      <x:c r="B548" s="36" t="n">
        <x:v>46095</x:v>
      </x:c>
      <x:c r="C548" s="34" t="n">
        <x:v>46095.58268518518</x:v>
      </x:c>
      <x:c r="D548" s="15" t="str">
        <x:v>Current a/c..512781</x:v>
      </x:c>
      <x:c r="E548" s="15" t="str">
        <x:v>card..2924</x:v>
      </x:c>
      <x:c r="F548" s="15" t="str">
        <x:v>R264.32 reserved for purchase @ Ingwe Supermarket from Current a/c..512781 using card..2924. Avail R44866. 14Mar 13:59</x:v>
      </x:c>
      <x:c r="G548" s="15" t="str">
        <x:v>Ingwe Supermarket</x:v>
      </x:c>
      <x:c r="H548" s="38" t="n">
        <x:v>264.32</x:v>
      </x:c>
      <x:c r="I548" s="15" t="str">
        <x:v>ZAR</x:v>
      </x:c>
      <x:c r="J548" s="15" t="str">
        <x:v>Outflow</x:v>
      </x:c>
      <x:c r="K548" s="15" t="str">
        <x:v>Card purchase</x:v>
      </x:c>
      <x:c r="L548" s="15" t="str">
        <x:v>Card spend</x:v>
      </x:c>
      <x:c r="M548" s="38"/>
      <x:c r="N548" s="38" t="n">
        <x:v>44866</x:v>
      </x:c>
      <x:c r="O548" s="15" t="str"/>
      <x:c r="P548" s="15" t="str">
        <x:v>eml_ALL_currentac__512781 (2).zip &gt; eml5currentac__512781.zip</x:v>
      </x:c>
      <x:c r="Q548" s="15" t="str">
        <x:v>FNB _-) R264.32 reserved for purchase @ Ingwe Supermarket from Current a_c..512781 using card..2924. 14Mar 13_59.eml</x:v>
      </x:c>
      <x:c r="R548" s="15" t="str">
        <x:v>High</x:v>
      </x:c>
      <x:c r="S548" s="15" t="str">
        <x:v>Category confidence Low: Default card-spend category; merchant not confidently mapped.</x:v>
      </x:c>
      <x:c r="T548" s="15" t="str"/>
      <x:c r="U548" s="15" t="str"/>
      <x:c r="V548" s="15" t="str"/>
      <x:c r="W548" s="15" t="str"/>
      <x:c r="X548" s="15" t="str">
        <x:v>FNB :-) R264.32 reserved for purchase @ Ingwe Supermarket from Current a/c..512781 using card..2924. Avail R44866. 14Mar 13:59</x:v>
      </x:c>
      <x:c r="Y548" s="15" t="str">
        <x:v>258bbd8ec7fad9ff</x:v>
      </x:c>
    </x:row>
    <x:row r="549">
      <x:c r="A549" s="34" t="n">
        <x:v>46096.410416666666</x:v>
      </x:c>
      <x:c r="B549" s="36" t="n">
        <x:v>46096</x:v>
      </x:c>
      <x:c r="C549" s="34" t="n">
        <x:v>46096.41065972222</x:v>
      </x:c>
      <x:c r="D549" s="15" t="str">
        <x:v>Current a/c..512781</x:v>
      </x:c>
      <x:c r="E549" s="15" t="str">
        <x:v>card..2924</x:v>
      </x:c>
      <x:c r="F549" s="15" t="str">
        <x:v>R200.00 reserved for purchase @ Marlothi Petrol Stat from Current a/c..512781 using card..2924. Avail R44666. 15Mar 09:51</x:v>
      </x:c>
      <x:c r="G549" s="15" t="str">
        <x:v>Marlothi Petrol Stat</x:v>
      </x:c>
      <x:c r="H549" s="38" t="n">
        <x:v>200</x:v>
      </x:c>
      <x:c r="I549" s="15" t="str">
        <x:v>ZAR</x:v>
      </x:c>
      <x:c r="J549" s="15" t="str">
        <x:v>Outflow</x:v>
      </x:c>
      <x:c r="K549" s="15" t="str">
        <x:v>Card purchase</x:v>
      </x:c>
      <x:c r="L549" s="15" t="str">
        <x:v>Fuel / transport</x:v>
      </x:c>
      <x:c r="M549" s="38"/>
      <x:c r="N549" s="38" t="n">
        <x:v>44666</x:v>
      </x:c>
      <x:c r="O549" s="15" t="str"/>
      <x:c r="P549" s="15" t="str">
        <x:v>eml_ALL_currentac__512781 (2).zip &gt; eml5currentac__512781.zip</x:v>
      </x:c>
      <x:c r="Q549" s="15" t="str">
        <x:v>FNB _-) R200.00 reserved for purchase @ Marlothi Petrol Stat from Current a_c..512781 using card..2924. 15Mar 09_51.eml</x:v>
      </x:c>
      <x:c r="R549" s="15" t="str">
        <x:v>High</x:v>
      </x:c>
      <x:c r="S549" s="15" t="str"/>
      <x:c r="T549" s="15" t="str"/>
      <x:c r="U549" s="15" t="str"/>
      <x:c r="V549" s="15" t="str"/>
      <x:c r="W549" s="15" t="str"/>
      <x:c r="X549" s="15" t="str">
        <x:v>FNB :-) R200.00 reserved for purchase @ Marlothi Petrol Stat from Current a/c..512781 using card..2924. Avail R44666. 15Mar 09:51</x:v>
      </x:c>
      <x:c r="Y549" s="15" t="str">
        <x:v>2a9636e9dec8b470</x:v>
      </x:c>
    </x:row>
    <x:row r="550">
      <x:c r="A550" s="34" t="n">
        <x:v>46096.43472222222</x:v>
      </x:c>
      <x:c r="B550" s="36" t="n">
        <x:v>46096</x:v>
      </x:c>
      <x:c r="C550" s="34" t="n">
        <x:v>46096.435381944444</x:v>
      </x:c>
      <x:c r="D550" s="15" t="str">
        <x:v>Current a/c..512781</x:v>
      </x:c>
      <x:c r="E550" s="15" t="str">
        <x:v>card..2924</x:v>
      </x:c>
      <x:c r="F550" s="15" t="str">
        <x:v>R153.99 reserved for purchase @ Buco Komatipoort 116 from Current a/c..512781 using card..2924. Avail R44512. 15Mar 10:26</x:v>
      </x:c>
      <x:c r="G550" s="15" t="str">
        <x:v>Buco Komatipoort 116</x:v>
      </x:c>
      <x:c r="H550" s="38" t="n">
        <x:v>153.99</x:v>
      </x:c>
      <x:c r="I550" s="15" t="str">
        <x:v>ZAR</x:v>
      </x:c>
      <x:c r="J550" s="15" t="str">
        <x:v>Outflow</x:v>
      </x:c>
      <x:c r="K550" s="15" t="str">
        <x:v>Card purchase</x:v>
      </x:c>
      <x:c r="L550" s="15" t="str">
        <x:v>Supplier payments</x:v>
      </x:c>
      <x:c r="M550" s="38"/>
      <x:c r="N550" s="38" t="n">
        <x:v>44512</x:v>
      </x:c>
      <x:c r="O550" s="15" t="str"/>
      <x:c r="P550" s="15" t="str">
        <x:v>eml_ALL_currentac__512781 (2).zip &gt; eml5currentac__512781.zip</x:v>
      </x:c>
      <x:c r="Q550" s="15" t="str">
        <x:v>FNB _-) R153.99 reserved for purchase @ Buco Komatipoort 116 from Current a_c..512781 using card..2924. 15Mar 10_26.eml</x:v>
      </x:c>
      <x:c r="R550" s="15" t="str">
        <x:v>High</x:v>
      </x:c>
      <x:c r="S550" s="15" t="str">
        <x:v>Category confidence Medium: Retail/supplier merchant keyword.</x:v>
      </x:c>
      <x:c r="T550" s="15" t="str"/>
      <x:c r="U550" s="15" t="str"/>
      <x:c r="V550" s="15" t="str"/>
      <x:c r="W550" s="15" t="str"/>
      <x:c r="X550" s="15" t="str">
        <x:v>FNB :-) R153.99 reserved for purchase @ Buco Komatipoort 116 from Current a/c..512781 using card..2924. Avail R44512. 15Mar 10:26</x:v>
      </x:c>
      <x:c r="Y550" s="15" t="str">
        <x:v>548e9eeecb02d619</x:v>
      </x:c>
    </x:row>
    <x:row r="551">
      <x:c r="A551" s="34" t="n">
        <x:v>46096.46319444444</x:v>
      </x:c>
      <x:c r="B551" s="36" t="n">
        <x:v>46096</x:v>
      </x:c>
      <x:c r="C551" s="34" t="n">
        <x:v>46096.46375</x:v>
      </x:c>
      <x:c r="D551" s="15" t="str">
        <x:v>Current a/c..512781</x:v>
      </x:c>
      <x:c r="E551" s="15" t="str"/>
      <x:c r="F551" s="15" t="str">
        <x:v>R150.00 paid from Current a/c..512781 @ Smartapp. Avail R44362. Ref.Electricity 14503572. 15Mar 11:07</x:v>
      </x:c>
      <x:c r="G551" s="15" t="str">
        <x:v>Electricity 14503572</x:v>
      </x:c>
      <x:c r="H551" s="38" t="n">
        <x:v>150</x:v>
      </x:c>
      <x:c r="I551" s="15" t="str">
        <x:v>ZAR</x:v>
      </x:c>
      <x:c r="J551" s="15" t="str">
        <x:v>Outflow</x:v>
      </x:c>
      <x:c r="K551" s="15" t="str">
        <x:v>EFT payment</x:v>
      </x:c>
      <x:c r="L551" s="15" t="str">
        <x:v>Telecom / utilities</x:v>
      </x:c>
      <x:c r="M551" s="38"/>
      <x:c r="N551" s="38" t="n">
        <x:v>44362</x:v>
      </x:c>
      <x:c r="O551" s="15" t="str"/>
      <x:c r="P551" s="15" t="str">
        <x:v>eml_ALL_currentac__512781 (2).zip &gt; eml5currentac__512781.zip</x:v>
      </x:c>
      <x:c r="Q551" s="15" t="str">
        <x:v>FNB _-) R150.00 paid from Current a_c..512781 @ Smartapp. Ref.Electricity 14503572. 15Mar 11_07.eml</x:v>
      </x:c>
      <x:c r="R551" s="15" t="str">
        <x:v>High</x:v>
      </x:c>
      <x:c r="S551" s="15" t="str"/>
      <x:c r="T551" s="15" t="str"/>
      <x:c r="U551" s="15" t="str"/>
      <x:c r="V551" s="15" t="str">
        <x:v>Electricity 14503572</x:v>
      </x:c>
      <x:c r="W551" s="15" t="str">
        <x:v>Smartapp</x:v>
      </x:c>
      <x:c r="X551" s="15" t="str">
        <x:v>FNB :-) R150.00 paid from Current a/c..512781 @ Smartapp. Avail R44362. Ref.Electricity 14503572. 15Mar 11:07</x:v>
      </x:c>
      <x:c r="Y551" s="15" t="str">
        <x:v>dbadb15130dbad52</x:v>
      </x:c>
    </x:row>
    <x:row r="552">
      <x:c r="A552" s="34" t="n">
        <x:v>46096.46388888889</x:v>
      </x:c>
      <x:c r="B552" s="36" t="n">
        <x:v>46096</x:v>
      </x:c>
      <x:c r="C552" s="34" t="n">
        <x:v>46096.46425925926</x:v>
      </x:c>
      <x:c r="D552" s="15" t="str">
        <x:v>Current a/c..512781</x:v>
      </x:c>
      <x:c r="E552" s="15" t="str">
        <x:v>card..2924</x:v>
      </x:c>
      <x:c r="F552" s="15" t="str">
        <x:v>R877.76 reserved for purchase @ Superspar Komatipoor from Current a/c..512781 using card..2924. Avail R43485. 15Mar 11:08</x:v>
      </x:c>
      <x:c r="G552" s="15" t="str">
        <x:v>Superspar Komatipoor</x:v>
      </x:c>
      <x:c r="H552" s="38" t="n">
        <x:v>877.76</x:v>
      </x:c>
      <x:c r="I552" s="15" t="str">
        <x:v>ZAR</x:v>
      </x:c>
      <x:c r="J552" s="15" t="str">
        <x:v>Outflow</x:v>
      </x:c>
      <x:c r="K552" s="15" t="str">
        <x:v>Card purchase</x:v>
      </x:c>
      <x:c r="L552" s="15" t="str">
        <x:v>Supplier payments</x:v>
      </x:c>
      <x:c r="M552" s="38"/>
      <x:c r="N552" s="38" t="n">
        <x:v>43485</x:v>
      </x:c>
      <x:c r="O552" s="15" t="str"/>
      <x:c r="P552" s="15" t="str">
        <x:v>eml_ALL_currentac__512781 (2).zip &gt; eml5currentac__512781.zip</x:v>
      </x:c>
      <x:c r="Q552" s="15" t="str">
        <x:v>FNB _-) R877.76 reserved for purchase @ Superspar Komatipoor from Current a_c..512781 using card..2924. 15Mar 11_08.eml</x:v>
      </x:c>
      <x:c r="R552" s="15" t="str">
        <x:v>High</x:v>
      </x:c>
      <x:c r="S552" s="15" t="str">
        <x:v>Category confidence Medium: Retail/supplier merchant keyword.</x:v>
      </x:c>
      <x:c r="T552" s="15" t="str"/>
      <x:c r="U552" s="15" t="str"/>
      <x:c r="V552" s="15" t="str"/>
      <x:c r="W552" s="15" t="str"/>
      <x:c r="X552" s="15" t="str">
        <x:v>FNB :-) R877.76 reserved for purchase @ Superspar Komatipoor from Current a/c..512781 using card..2924. Avail R43485. 15Mar 11:08</x:v>
      </x:c>
      <x:c r="Y552" s="15" t="str">
        <x:v>a2b86ff35f318250</x:v>
      </x:c>
    </x:row>
    <x:row r="553">
      <x:c r="A553" s="34" t="n">
        <x:v>46097.50625</x:v>
      </x:c>
      <x:c r="B553" s="36" t="n">
        <x:v>46097</x:v>
      </x:c>
      <x:c r="C553" s="34" t="n">
        <x:v>46097.50644675926</x:v>
      </x:c>
      <x:c r="D553" s="15" t="str">
        <x:v>Current a/c..512781</x:v>
      </x:c>
      <x:c r="E553" s="15" t="str"/>
      <x:c r="F553" s="15" t="str">
        <x:v>R150.00 paid from Current a/c..512781 @ Smartapp. Avail R43287. Ref.Electricity 14503572. 16Mar 12:09</x:v>
      </x:c>
      <x:c r="G553" s="15" t="str">
        <x:v>Electricity 14503572</x:v>
      </x:c>
      <x:c r="H553" s="38" t="n">
        <x:v>150</x:v>
      </x:c>
      <x:c r="I553" s="15" t="str">
        <x:v>ZAR</x:v>
      </x:c>
      <x:c r="J553" s="15" t="str">
        <x:v>Outflow</x:v>
      </x:c>
      <x:c r="K553" s="15" t="str">
        <x:v>EFT payment</x:v>
      </x:c>
      <x:c r="L553" s="15" t="str">
        <x:v>Telecom / utilities</x:v>
      </x:c>
      <x:c r="M553" s="38"/>
      <x:c r="N553" s="38" t="n">
        <x:v>43287</x:v>
      </x:c>
      <x:c r="O553" s="15" t="str"/>
      <x:c r="P553" s="15" t="str">
        <x:v>eml_ALL_currentac__512781 (2).zip &gt; eml5currentac__512781.zip</x:v>
      </x:c>
      <x:c r="Q553" s="15" t="str">
        <x:v>FNB _-) R150.00 paid from Current a_c..512781 @ Smartapp. Ref.Electricity 14503572. 16Mar 12_09.eml</x:v>
      </x:c>
      <x:c r="R553" s="15" t="str">
        <x:v>High</x:v>
      </x:c>
      <x:c r="S553" s="15" t="str"/>
      <x:c r="T553" s="15" t="str"/>
      <x:c r="U553" s="15" t="str"/>
      <x:c r="V553" s="15" t="str">
        <x:v>Electricity 14503572</x:v>
      </x:c>
      <x:c r="W553" s="15" t="str">
        <x:v>Smartapp</x:v>
      </x:c>
      <x:c r="X553" s="15" t="str">
        <x:v>FNB :-) R150.00 paid from Current a/c..512781 @ Smartapp. Avail R43287. Ref.Electricity 14503572. 16Mar 12:09</x:v>
      </x:c>
      <x:c r="Y553" s="15" t="str">
        <x:v>db81e04bad7083cd</x:v>
      </x:c>
    </x:row>
    <x:row r="554">
      <x:c r="A554" s="34" t="n">
        <x:v>46097.71666666667</x:v>
      </x:c>
      <x:c r="B554" s="36" t="n">
        <x:v>46097</x:v>
      </x:c>
      <x:c r="C554" s="34" t="n">
        <x:v>46097.71734953704</x:v>
      </x:c>
      <x:c r="D554" s="15" t="str">
        <x:v>Current a/c..512781</x:v>
      </x:c>
      <x:c r="E554" s="15" t="str"/>
      <x:c r="F554" s="15" t="str">
        <x:v>R4835.36 paid from Current a/c..512781 @ Smartapp. Avail R38287. Ref.City Of Capetown. 16Mar 17:12</x:v>
      </x:c>
      <x:c r="G554" s="15" t="str">
        <x:v>City Of Capetown</x:v>
      </x:c>
      <x:c r="H554" s="38" t="n">
        <x:v>4835.36</x:v>
      </x:c>
      <x:c r="I554" s="15" t="str">
        <x:v>ZAR</x:v>
      </x:c>
      <x:c r="J554" s="15" t="str">
        <x:v>Outflow</x:v>
      </x:c>
      <x:c r="K554" s="15" t="str">
        <x:v>EFT payment</x:v>
      </x:c>
      <x:c r="L554" s="15" t="str">
        <x:v>Supplier payments</x:v>
      </x:c>
      <x:c r="M554" s="38"/>
      <x:c r="N554" s="38" t="n">
        <x:v>38287</x:v>
      </x:c>
      <x:c r="O554" s="15" t="str"/>
      <x:c r="P554" s="15" t="str">
        <x:v>eml_ALL_currentac__512781 (2).zip &gt; eml5currentac__512781.zip</x:v>
      </x:c>
      <x:c r="Q554" s="15" t="str">
        <x:v>FNB _-) R4835.36 paid from Current a_c..512781 @ Smartapp. Ref.City Of Capetown. 16Mar 17_12.eml</x:v>
      </x:c>
      <x:c r="R554" s="15" t="str">
        <x:v>High</x:v>
      </x:c>
      <x:c r="S554" s="15" t="str">
        <x:v>Category confidence Low: Default outflow category; review counterparty/reference.</x:v>
      </x:c>
      <x:c r="T554" s="15" t="str"/>
      <x:c r="U554" s="15" t="str"/>
      <x:c r="V554" s="15" t="str">
        <x:v>City Of Capetown</x:v>
      </x:c>
      <x:c r="W554" s="15" t="str">
        <x:v>Smartapp</x:v>
      </x:c>
      <x:c r="X554" s="15" t="str">
        <x:v>FNB :-) R4835.36 paid from Current a/c..512781 @ Smartapp. Avail R38287. Ref.City Of Capetown. 16Mar 17:12</x:v>
      </x:c>
      <x:c r="Y554" s="15" t="str">
        <x:v>a113a0b383f0833e</x:v>
      </x:c>
    </x:row>
    <x:row r="555">
      <x:c r="A555" s="34" t="n">
        <x:v>46097.75555555556</x:v>
      </x:c>
      <x:c r="B555" s="36" t="n">
        <x:v>46097</x:v>
      </x:c>
      <x:c r="C555" s="34" t="n">
        <x:v>46097.75587962963</x:v>
      </x:c>
      <x:c r="D555" s="15" t="str">
        <x:v>Current a/c..512781</x:v>
      </x:c>
      <x:c r="E555" s="15" t="str"/>
      <x:c r="F555" s="15" t="str">
        <x:v>R500.00 paid from Current a/c..512781 @ Smartapp. Avail R37784. Ref.Electricity 04294887. 16Mar 18:08</x:v>
      </x:c>
      <x:c r="G555" s="15" t="str">
        <x:v>Electricity 04294887</x:v>
      </x:c>
      <x:c r="H555" s="38" t="n">
        <x:v>500</x:v>
      </x:c>
      <x:c r="I555" s="15" t="str">
        <x:v>ZAR</x:v>
      </x:c>
      <x:c r="J555" s="15" t="str">
        <x:v>Outflow</x:v>
      </x:c>
      <x:c r="K555" s="15" t="str">
        <x:v>EFT payment</x:v>
      </x:c>
      <x:c r="L555" s="15" t="str">
        <x:v>Telecom / utilities</x:v>
      </x:c>
      <x:c r="M555" s="38"/>
      <x:c r="N555" s="38" t="n">
        <x:v>37784</x:v>
      </x:c>
      <x:c r="O555" s="15" t="str"/>
      <x:c r="P555" s="15" t="str">
        <x:v>eml_ALL_currentac__512781 (2).zip &gt; eml5currentac__512781.zip</x:v>
      </x:c>
      <x:c r="Q555" s="15" t="str">
        <x:v>FNB _-) R500.00 paid from Current a_c..512781 @ Smartapp. Ref.Electricity 04294887. 16Mar 18_08.eml</x:v>
      </x:c>
      <x:c r="R555" s="15" t="str">
        <x:v>High</x:v>
      </x:c>
      <x:c r="S555" s="15" t="str"/>
      <x:c r="T555" s="15" t="str"/>
      <x:c r="U555" s="15" t="str"/>
      <x:c r="V555" s="15" t="str">
        <x:v>Electricity 04294887</x:v>
      </x:c>
      <x:c r="W555" s="15" t="str">
        <x:v>Smartapp</x:v>
      </x:c>
      <x:c r="X555" s="15" t="str">
        <x:v>FNB :-) R500.00 paid from Current a/c..512781 @ Smartapp. Avail R37784. Ref.Electricity 04294887. 16Mar 18:08</x:v>
      </x:c>
      <x:c r="Y555" s="15" t="str">
        <x:v>3b5476f10982c3b2</x:v>
      </x:c>
    </x:row>
    <x:row r="556">
      <x:c r="A556" s="34" t="n">
        <x:v>46098.43263888889</x:v>
      </x:c>
      <x:c r="B556" s="36" t="n">
        <x:v>46098</x:v>
      </x:c>
      <x:c r="C556" s="34" t="n">
        <x:v>46098.43305555556</x:v>
      </x:c>
      <x:c r="D556" s="15" t="str">
        <x:v>Current a/c..512781</x:v>
      </x:c>
      <x:c r="E556" s="15" t="str">
        <x:v>card..2924</x:v>
      </x:c>
      <x:c r="F556" s="15" t="str">
        <x:v>R228.85 reserved for purchase @ Paystack *zoho Co from Current a/c..512781 using card..2924. Avail R37540. 17Mar 10:23</x:v>
      </x:c>
      <x:c r="G556" s="15" t="str">
        <x:v>Paystack *zoho Co</x:v>
      </x:c>
      <x:c r="H556" s="38" t="n">
        <x:v>228.85</x:v>
      </x:c>
      <x:c r="I556" s="15" t="str">
        <x:v>ZAR</x:v>
      </x:c>
      <x:c r="J556" s="15" t="str">
        <x:v>Outflow</x:v>
      </x:c>
      <x:c r="K556" s="15" t="str">
        <x:v>Card purchase</x:v>
      </x:c>
      <x:c r="L556" s="15" t="str">
        <x:v>Software / subscriptions</x:v>
      </x:c>
      <x:c r="M556" s="38"/>
      <x:c r="N556" s="38" t="n">
        <x:v>37540</x:v>
      </x:c>
      <x:c r="O556" s="15" t="str"/>
      <x:c r="P556" s="15" t="str">
        <x:v>eml_ALL_currentac__512781 (2).zip &gt; eml5currentac__512781.zip</x:v>
      </x:c>
      <x:c r="Q556" s="15" t="str">
        <x:v>FNB _-) R228.85 reserved for purchase @ Paystack _zoho Co from Current a_c..512781 using card..2924. 17Mar 10_23.eml</x:v>
      </x:c>
      <x:c r="R556" s="15" t="str">
        <x:v>High</x:v>
      </x:c>
      <x:c r="S556" s="15" t="str"/>
      <x:c r="T556" s="15" t="str"/>
      <x:c r="U556" s="15" t="str"/>
      <x:c r="V556" s="15" t="str"/>
      <x:c r="W556" s="15" t="str"/>
      <x:c r="X556" s="15" t="str">
        <x:v>FNB :-) R228.85 reserved for purchase @ Paystack *zoho Co from Current a/c..512781 using card..2924. Avail R37540. 17Mar 10:23</x:v>
      </x:c>
      <x:c r="Y556" s="15" t="str">
        <x:v>fafb61ad19ad806c</x:v>
      </x:c>
    </x:row>
    <x:row r="557">
      <x:c r="A557" s="34" t="n">
        <x:v>46098.535416666666</x:v>
      </x:c>
      <x:c r="B557" s="36" t="n">
        <x:v>46098</x:v>
      </x:c>
      <x:c r="C557" s="34" t="n">
        <x:v>46098.53597222222</x:v>
      </x:c>
      <x:c r="D557" s="15" t="str">
        <x:v>Current a/c..512781</x:v>
      </x:c>
      <x:c r="E557" s="15" t="str">
        <x:v>card..2924</x:v>
      </x:c>
      <x:c r="F557" s="15" t="str">
        <x:v>R318.29 reserved for purchase @ Savemor Marloth from Current a/c..512781 using card..2924. Avail R37222. 17Mar 12:51</x:v>
      </x:c>
      <x:c r="G557" s="15" t="str">
        <x:v>Savemor Marloth</x:v>
      </x:c>
      <x:c r="H557" s="38" t="n">
        <x:v>318.29</x:v>
      </x:c>
      <x:c r="I557" s="15" t="str">
        <x:v>ZAR</x:v>
      </x:c>
      <x:c r="J557" s="15" t="str">
        <x:v>Outflow</x:v>
      </x:c>
      <x:c r="K557" s="15" t="str">
        <x:v>Card purchase</x:v>
      </x:c>
      <x:c r="L557" s="15" t="str">
        <x:v>Supplier payments</x:v>
      </x:c>
      <x:c r="M557" s="38"/>
      <x:c r="N557" s="38" t="n">
        <x:v>37222</x:v>
      </x:c>
      <x:c r="O557" s="15" t="str"/>
      <x:c r="P557" s="15" t="str">
        <x:v>eml_ALL_currentac__512781 (2).zip &gt; eml5currentac__512781.zip</x:v>
      </x:c>
      <x:c r="Q557" s="15" t="str">
        <x:v>FNB _-) R318.29 reserved for purchase @ Savemor Marloth from Current a_c..512781 using card..2924. 17Mar 12_51.eml</x:v>
      </x:c>
      <x:c r="R557" s="15" t="str">
        <x:v>High</x:v>
      </x:c>
      <x:c r="S557" s="15" t="str">
        <x:v>Category confidence Medium: Retail/supplier merchant keyword.</x:v>
      </x:c>
      <x:c r="T557" s="15" t="str"/>
      <x:c r="U557" s="15" t="str"/>
      <x:c r="V557" s="15" t="str"/>
      <x:c r="W557" s="15" t="str"/>
      <x:c r="X557" s="15" t="str">
        <x:v>FNB :-) R318.29 reserved for purchase @ Savemor Marloth from Current a/c..512781 using card..2924. Avail R37222. 17Mar 12:51</x:v>
      </x:c>
      <x:c r="Y557" s="15" t="str">
        <x:v>233bf6f197a9f992</x:v>
      </x:c>
    </x:row>
    <x:row r="558">
      <x:c r="A558" s="34" t="n">
        <x:v>46098.53958333333</x:v>
      </x:c>
      <x:c r="B558" s="36" t="n">
        <x:v>46098</x:v>
      </x:c>
      <x:c r="C558" s="34" t="n">
        <x:v>46098.54025462963</x:v>
      </x:c>
      <x:c r="D558" s="15" t="str">
        <x:v>Current a/c..512781</x:v>
      </x:c>
      <x:c r="E558" s="15" t="str">
        <x:v>card..2924</x:v>
      </x:c>
      <x:c r="F558" s="15" t="str">
        <x:v>R219.97 reserved for purchase @ Savemor Marloth Liqu from Current a/c..512781 using card..2924. Avail R37002. 17Mar 12:57</x:v>
      </x:c>
      <x:c r="G558" s="15" t="str">
        <x:v>Savemor Marloth Liqu</x:v>
      </x:c>
      <x:c r="H558" s="38" t="n">
        <x:v>219.97</x:v>
      </x:c>
      <x:c r="I558" s="15" t="str">
        <x:v>ZAR</x:v>
      </x:c>
      <x:c r="J558" s="15" t="str">
        <x:v>Outflow</x:v>
      </x:c>
      <x:c r="K558" s="15" t="str">
        <x:v>Card purchase</x:v>
      </x:c>
      <x:c r="L558" s="15" t="str">
        <x:v>Meals / restaurants / entertainment</x:v>
      </x:c>
      <x:c r="M558" s="38"/>
      <x:c r="N558" s="38" t="n">
        <x:v>37002</x:v>
      </x:c>
      <x:c r="O558" s="15" t="str"/>
      <x:c r="P558" s="15" t="str">
        <x:v>eml_ALL_currentac__512781 (2).zip &gt; eml5currentac__512781.zip</x:v>
      </x:c>
      <x:c r="Q558" s="15" t="str">
        <x:v>FNB _-) R219.97 reserved for purchase @ Savemor Marloth Liqu from Current a_c..512781 using card..2924. 17Mar 12_57.eml</x:v>
      </x:c>
      <x:c r="R558" s="15" t="str">
        <x:v>High</x:v>
      </x:c>
      <x:c r="S558" s="15" t="str"/>
      <x:c r="T558" s="15" t="str"/>
      <x:c r="U558" s="15" t="str"/>
      <x:c r="V558" s="15" t="str"/>
      <x:c r="W558" s="15" t="str"/>
      <x:c r="X558" s="15" t="str">
        <x:v>FNB :-) R219.97 reserved for purchase @ Savemor Marloth Liqu from Current a/c..512781 using card..2924. Avail R37002. 17Mar 12:57</x:v>
      </x:c>
      <x:c r="Y558" s="15" t="str">
        <x:v>e88e70d57048d6ce</x:v>
      </x:c>
    </x:row>
    <x:row r="559">
      <x:c r="A559" s="34" t="n">
        <x:v>46098.55138888889</x:v>
      </x:c>
      <x:c r="B559" s="36" t="n">
        <x:v>46098</x:v>
      </x:c>
      <x:c r="C559" s="34" t="n">
        <x:v>46098.55197916667</x:v>
      </x:c>
      <x:c r="D559" s="15" t="str">
        <x:v>Current a/c..512781</x:v>
      </x:c>
      <x:c r="E559" s="15" t="str">
        <x:v>card..2924</x:v>
      </x:c>
      <x:c r="F559" s="15" t="str">
        <x:v>R148.25 reserved for purchase @ At Wild Butchery 133 from Current a/c..512781 using card..2924. Avail R36854. 17Mar 13:14</x:v>
      </x:c>
      <x:c r="G559" s="15" t="str">
        <x:v>At Wild Butchery 133</x:v>
      </x:c>
      <x:c r="H559" s="38" t="n">
        <x:v>148.25</x:v>
      </x:c>
      <x:c r="I559" s="15" t="str">
        <x:v>ZAR</x:v>
      </x:c>
      <x:c r="J559" s="15" t="str">
        <x:v>Outflow</x:v>
      </x:c>
      <x:c r="K559" s="15" t="str">
        <x:v>Card purchase</x:v>
      </x:c>
      <x:c r="L559" s="15" t="str">
        <x:v>Supplier payments</x:v>
      </x:c>
      <x:c r="M559" s="38"/>
      <x:c r="N559" s="38" t="n">
        <x:v>36854</x:v>
      </x:c>
      <x:c r="O559" s="15" t="str"/>
      <x:c r="P559" s="15" t="str">
        <x:v>eml_ALL_currentac__512781 (2).zip &gt; eml5currentac__512781.zip</x:v>
      </x:c>
      <x:c r="Q559" s="15" t="str">
        <x:v>FNB _-) R148.25 reserved for purchase @ At Wild Butchery 133 from Current a_c..512781 using card..2924. 17Mar 13_14.eml</x:v>
      </x:c>
      <x:c r="R559" s="15" t="str">
        <x:v>High</x:v>
      </x:c>
      <x:c r="S559" s="15" t="str">
        <x:v>Category confidence Medium: Retail/supplier merchant keyword.</x:v>
      </x:c>
      <x:c r="T559" s="15" t="str"/>
      <x:c r="U559" s="15" t="str"/>
      <x:c r="V559" s="15" t="str"/>
      <x:c r="W559" s="15" t="str"/>
      <x:c r="X559" s="15" t="str">
        <x:v>FNB :-) R148.25 reserved for purchase @ At Wild Butchery 133 from Current a/c..512781 using card..2924. Avail R36854. 17Mar 13:14</x:v>
      </x:c>
      <x:c r="Y559" s="15" t="str">
        <x:v>e39766684357f885</x:v>
      </x:c>
    </x:row>
    <x:row r="560">
      <x:c r="A560" s="34" t="n">
        <x:v>46098.589583333334</x:v>
      </x:c>
      <x:c r="B560" s="36" t="n">
        <x:v>46098</x:v>
      </x:c>
      <x:c r="C560" s="34" t="n">
        <x:v>46098.58960648148</x:v>
      </x:c>
      <x:c r="D560" s="15" t="str">
        <x:v>Current a/c..512781</x:v>
      </x:c>
      <x:c r="E560" s="15" t="str"/>
      <x:c r="F560" s="15" t="str">
        <x:v>R1801.00 paid from Current a/c..512781 @ Smartapp. Avail R35050. Ref.Dinner Box 108599. 17Mar 14:09</x:v>
      </x:c>
      <x:c r="G560" s="15" t="str">
        <x:v>Dinner Box 108599</x:v>
      </x:c>
      <x:c r="H560" s="38" t="n">
        <x:v>1801</x:v>
      </x:c>
      <x:c r="I560" s="15" t="str">
        <x:v>ZAR</x:v>
      </x:c>
      <x:c r="J560" s="15" t="str">
        <x:v>Outflow</x:v>
      </x:c>
      <x:c r="K560" s="15" t="str">
        <x:v>EFT payment</x:v>
      </x:c>
      <x:c r="L560" s="15" t="str">
        <x:v>Meals / restaurants / entertainment</x:v>
      </x:c>
      <x:c r="M560" s="38"/>
      <x:c r="N560" s="38" t="n">
        <x:v>35050</x:v>
      </x:c>
      <x:c r="O560" s="15" t="str"/>
      <x:c r="P560" s="15" t="str">
        <x:v>eml_ALL_currentac__512781 (2).zip &gt; eml4currentac__512781.zip</x:v>
      </x:c>
      <x:c r="Q560" s="15" t="str">
        <x:v>FNB _-) R1801.00 paid from Current a_c..512781 @ Smartapp. Ref.Dinner Box 108599. 17Mar 14_09.eml</x:v>
      </x:c>
      <x:c r="R560" s="15" t="str">
        <x:v>High</x:v>
      </x:c>
      <x:c r="S560" s="15" t="str"/>
      <x:c r="T560" s="15" t="str"/>
      <x:c r="U560" s="15" t="str"/>
      <x:c r="V560" s="15" t="str">
        <x:v>Dinner Box 108599</x:v>
      </x:c>
      <x:c r="W560" s="15" t="str">
        <x:v>Smartapp</x:v>
      </x:c>
      <x:c r="X560" s="15" t="str">
        <x:v>FNB :-) R1801.00 paid from Current a/c..512781 @ Smartapp. Avail R35050. Ref.Dinner Box 108599. 17Mar 14:09</x:v>
      </x:c>
      <x:c r="Y560" s="15" t="str">
        <x:v>c7792e8e6f9b417e</x:v>
      </x:c>
    </x:row>
    <x:row r="561">
      <x:c r="A561" s="34" t="n">
        <x:v>46099.77847222222</x:v>
      </x:c>
      <x:c r="B561" s="36" t="n">
        <x:v>46099</x:v>
      </x:c>
      <x:c r="C561" s="34" t="n">
        <x:v>46099.77858796297</x:v>
      </x:c>
      <x:c r="D561" s="15" t="str">
        <x:v>Current a/c..512781</x:v>
      </x:c>
      <x:c r="E561" s="15" t="str">
        <x:v>card..2924</x:v>
      </x:c>
      <x:c r="F561" s="15" t="str">
        <x:v>R204.00 reserved for purchase @ The Tin Shack from Current a/c..512781 using card..2924. Avail R34752. 18Mar 18:41</x:v>
      </x:c>
      <x:c r="G561" s="15" t="str">
        <x:v>The Tin Shack</x:v>
      </x:c>
      <x:c r="H561" s="38" t="n">
        <x:v>204</x:v>
      </x:c>
      <x:c r="I561" s="15" t="str">
        <x:v>ZAR</x:v>
      </x:c>
      <x:c r="J561" s="15" t="str">
        <x:v>Outflow</x:v>
      </x:c>
      <x:c r="K561" s="15" t="str">
        <x:v>Card purchase</x:v>
      </x:c>
      <x:c r="L561" s="15" t="str">
        <x:v>Meals / restaurants / entertainment</x:v>
      </x:c>
      <x:c r="M561" s="38"/>
      <x:c r="N561" s="38" t="n">
        <x:v>34752</x:v>
      </x:c>
      <x:c r="O561" s="15" t="str"/>
      <x:c r="P561" s="15" t="str">
        <x:v>eml_ALL_currentac__512781 (2).zip &gt; eml4currentac__512781.zip</x:v>
      </x:c>
      <x:c r="Q561" s="15" t="str">
        <x:v>FNB _-) R204.00 reserved for purchase @ The Tin Shack from Current a_c..512781 using card..2924. 18Mar 18_41.eml</x:v>
      </x:c>
      <x:c r="R561" s="15" t="str">
        <x:v>High</x:v>
      </x:c>
      <x:c r="S561" s="15" t="str"/>
      <x:c r="T561" s="15" t="str"/>
      <x:c r="U561" s="15" t="str"/>
      <x:c r="V561" s="15" t="str"/>
      <x:c r="W561" s="15" t="str"/>
      <x:c r="X561" s="15" t="str">
        <x:v>FNB :-) R204.00 reserved for purchase @ The Tin Shack from Current a/c..512781 using card..2924. Avail R34752. 18Mar 18:41</x:v>
      </x:c>
      <x:c r="Y561" s="15" t="str">
        <x:v>f5eaa940d70b76f6</x:v>
      </x:c>
    </x:row>
    <x:row r="562">
      <x:c r="A562" s="34" t="n">
        <x:v>46099.79236111111</x:v>
      </x:c>
      <x:c r="B562" s="36" t="n">
        <x:v>46099</x:v>
      </x:c>
      <x:c r="C562" s="34" t="n">
        <x:v>46099.79269675926</x:v>
      </x:c>
      <x:c r="D562" s="15" t="str">
        <x:v>Current a/c..512781</x:v>
      </x:c>
      <x:c r="E562" s="15" t="str"/>
      <x:c r="F562" s="15" t="str">
        <x:v>R1292.00 paid from Current a/c..512781 @ Smartapp. Avail R33452. Ref.Cf Moto Saf - Inv 2. 18Mar 19:01</x:v>
      </x:c>
      <x:c r="G562" s="15" t="str">
        <x:v>Cf Moto Saf - Inv 2</x:v>
      </x:c>
      <x:c r="H562" s="38" t="n">
        <x:v>1292</x:v>
      </x:c>
      <x:c r="I562" s="15" t="str">
        <x:v>ZAR</x:v>
      </x:c>
      <x:c r="J562" s="15" t="str">
        <x:v>Outflow</x:v>
      </x:c>
      <x:c r="K562" s="15" t="str">
        <x:v>EFT payment</x:v>
      </x:c>
      <x:c r="L562" s="15" t="str">
        <x:v>Supplier payments</x:v>
      </x:c>
      <x:c r="M562" s="38"/>
      <x:c r="N562" s="38" t="n">
        <x:v>33452</x:v>
      </x:c>
      <x:c r="O562" s="15" t="str"/>
      <x:c r="P562" s="15" t="str">
        <x:v>eml_ALL_currentac__512781 (2).zip &gt; eml4currentac__512781.zip</x:v>
      </x:c>
      <x:c r="Q562" s="15" t="str">
        <x:v>FNB _-) R1292.00 paid from Current a_c..512781 @ Smartapp. Ref.Cf Moto Saf - Inv 2. 18Mar 19_01.eml</x:v>
      </x:c>
      <x:c r="R562" s="15" t="str">
        <x:v>High</x:v>
      </x:c>
      <x:c r="S562" s="15" t="str">
        <x:v>Category confidence Low: Default outflow category; review counterparty/reference.</x:v>
      </x:c>
      <x:c r="T562" s="15" t="str"/>
      <x:c r="U562" s="15" t="str"/>
      <x:c r="V562" s="15" t="str">
        <x:v>Cf Moto Saf - Inv 2</x:v>
      </x:c>
      <x:c r="W562" s="15" t="str">
        <x:v>Smartapp</x:v>
      </x:c>
      <x:c r="X562" s="15" t="str">
        <x:v>FNB :-) R1292.00 paid from Current a/c..512781 @ Smartapp. Avail R33452. Ref.Cf Moto Saf - Inv 2. 18Mar 19:01</x:v>
      </x:c>
      <x:c r="Y562" s="15" t="str">
        <x:v>c161ce093e04de96</x:v>
      </x:c>
    </x:row>
    <x:row r="563">
      <x:c r="A563" s="34" t="n">
        <x:v>46100.34722222222</x:v>
      </x:c>
      <x:c r="B563" s="36" t="n">
        <x:v>46100</x:v>
      </x:c>
      <x:c r="C563" s="34" t="n">
        <x:v>46100.347291666665</x:v>
      </x:c>
      <x:c r="D563" s="15" t="str">
        <x:v>Current a/c..512781</x:v>
      </x:c>
      <x:c r="E563" s="15" t="str"/>
      <x:c r="F563" s="15" t="str">
        <x:v>R6823.74 paid to Current a/c..512781 @ Retail Forex. Ref.R026vlwjc0 Booking.c. 19Mar 08:20</x:v>
      </x:c>
      <x:c r="G563" s="15" t="str">
        <x:v>R026vlwjc0 Booking.c</x:v>
      </x:c>
      <x:c r="H563" s="38" t="n">
        <x:v>6823.74</x:v>
      </x:c>
      <x:c r="I563" s="15" t="str">
        <x:v>ZAR</x:v>
      </x:c>
      <x:c r="J563" s="15" t="str">
        <x:v>Inflow</x:v>
      </x:c>
      <x:c r="K563" s="15" t="str">
        <x:v>EFT receipt</x:v>
      </x:c>
      <x:c r="L563" s="15" t="str">
        <x:v>Sales / customer receipts</x:v>
      </x:c>
      <x:c r="M563" s="38"/>
      <x:c r="N563" s="38"/>
      <x:c r="O563" s="15" t="str"/>
      <x:c r="P563" s="15" t="str">
        <x:v>eml_ALL_currentac__512781 (2).zip &gt; eml4currentac__512781.zip</x:v>
      </x:c>
      <x:c r="Q563" s="15" t="str">
        <x:v>FNB _-) R6823.74 paid to Current a_c..512781 @ Retail Forex. Ref.R026vlwjc0 Booking.c. 19Mar 08_20.eml</x:v>
      </x:c>
      <x:c r="R563" s="15" t="str">
        <x:v>High</x:v>
      </x:c>
      <x:c r="S563" s="15" t="str">
        <x:v>Category confidence Medium: Default for incoming EFT/PayShap/online receipt.</x:v>
      </x:c>
      <x:c r="T563" s="15" t="str"/>
      <x:c r="U563" s="15" t="str"/>
      <x:c r="V563" s="15" t="str">
        <x:v>R026vlwjc0 Booking.c</x:v>
      </x:c>
      <x:c r="W563" s="15" t="str">
        <x:v>Retail Forex</x:v>
      </x:c>
      <x:c r="X563" s="15" t="str">
        <x:v>FNB :-) R6823.74 paid to Current a/c..512781 @ Retail Forex. Ref.R026vlwjc0 Booking.c. 19Mar 08:20</x:v>
      </x:c>
      <x:c r="Y563" s="15" t="str">
        <x:v>3e14aa4e7a160e98</x:v>
      </x:c>
    </x:row>
    <x:row r="564">
      <x:c r="A564" s="34" t="n">
        <x:v>46100.45138888889</x:v>
      </x:c>
      <x:c r="B564" s="36" t="n">
        <x:v>46100</x:v>
      </x:c>
      <x:c r="C564" s="34" t="n">
        <x:v>46100.45195601852</x:v>
      </x:c>
      <x:c r="D564" s="15" t="str">
        <x:v>Current a/c..512781</x:v>
      </x:c>
      <x:c r="E564" s="15" t="str">
        <x:v>card..2924</x:v>
      </x:c>
      <x:c r="F564" s="15" t="str">
        <x:v>R1069.68 reserved for purchase @ Superspar Komatipoor from Current a/c..512781 using card..2924. Avail R39186. 19Mar 10:50</x:v>
      </x:c>
      <x:c r="G564" s="15" t="str">
        <x:v>Superspar Komatipoor</x:v>
      </x:c>
      <x:c r="H564" s="38" t="n">
        <x:v>1069.68</x:v>
      </x:c>
      <x:c r="I564" s="15" t="str">
        <x:v>ZAR</x:v>
      </x:c>
      <x:c r="J564" s="15" t="str">
        <x:v>Outflow</x:v>
      </x:c>
      <x:c r="K564" s="15" t="str">
        <x:v>Card purchase</x:v>
      </x:c>
      <x:c r="L564" s="15" t="str">
        <x:v>Supplier payments</x:v>
      </x:c>
      <x:c r="M564" s="38"/>
      <x:c r="N564" s="38" t="n">
        <x:v>39186</x:v>
      </x:c>
      <x:c r="O564" s="15" t="str"/>
      <x:c r="P564" s="15" t="str">
        <x:v>eml_ALL_currentac__512781 (2).zip &gt; eml4currentac__512781.zip</x:v>
      </x:c>
      <x:c r="Q564" s="15" t="str">
        <x:v>FNB _-) R1069.68 reserved for purchase @ Superspar Komatipoor from Current a_c..512781 using card..2924. 19Mar 10_50.eml</x:v>
      </x:c>
      <x:c r="R564" s="15" t="str">
        <x:v>High</x:v>
      </x:c>
      <x:c r="S564" s="15" t="str">
        <x:v>Category confidence Medium: Retail/supplier merchant keyword.</x:v>
      </x:c>
      <x:c r="T564" s="15" t="str"/>
      <x:c r="U564" s="15" t="str"/>
      <x:c r="V564" s="15" t="str"/>
      <x:c r="W564" s="15" t="str"/>
      <x:c r="X564" s="15" t="str">
        <x:v>FNB :-) R1069.68 reserved for purchase @ Superspar Komatipoor from Current a/c..512781 using card..2924. Avail R39186. 19Mar 10:50</x:v>
      </x:c>
      <x:c r="Y564" s="15" t="str">
        <x:v>8e6acec249918d4f</x:v>
      </x:c>
    </x:row>
    <x:row r="565">
      <x:c r="A565" s="34" t="n">
        <x:v>46101.62569444445</x:v>
      </x:c>
      <x:c r="B565" s="36" t="n">
        <x:v>46101</x:v>
      </x:c>
      <x:c r="C565" s="34" t="n">
        <x:v>46101.625706018516</x:v>
      </x:c>
      <x:c r="D565" s="15" t="str">
        <x:v>Current a/c..512781</x:v>
      </x:c>
      <x:c r="E565" s="15" t="str">
        <x:v>card..2924</x:v>
      </x:c>
      <x:c r="F565" s="15" t="str">
        <x:v>R130.97 reserved for purchase @ Savemor Marloth from Current a/c..512781 using card..2924. Avail R38964. 20Mar 15:01</x:v>
      </x:c>
      <x:c r="G565" s="15" t="str">
        <x:v>Savemor Marloth</x:v>
      </x:c>
      <x:c r="H565" s="38" t="n">
        <x:v>130.97</x:v>
      </x:c>
      <x:c r="I565" s="15" t="str">
        <x:v>ZAR</x:v>
      </x:c>
      <x:c r="J565" s="15" t="str">
        <x:v>Outflow</x:v>
      </x:c>
      <x:c r="K565" s="15" t="str">
        <x:v>Card purchase</x:v>
      </x:c>
      <x:c r="L565" s="15" t="str">
        <x:v>Supplier payments</x:v>
      </x:c>
      <x:c r="M565" s="38"/>
      <x:c r="N565" s="38" t="n">
        <x:v>38964</x:v>
      </x:c>
      <x:c r="O565" s="15" t="str"/>
      <x:c r="P565" s="15" t="str">
        <x:v>eml_ALL_currentac__512781 (2).zip &gt; eml4currentac__512781.zip</x:v>
      </x:c>
      <x:c r="Q565" s="15" t="str">
        <x:v>FNB _-) R130.97 reserved for purchase @ Savemor Marloth from Current a_c..512781 using card..2924. 20Mar 15_01.eml</x:v>
      </x:c>
      <x:c r="R565" s="15" t="str">
        <x:v>High</x:v>
      </x:c>
      <x:c r="S565" s="15" t="str">
        <x:v>Category confidence Medium: Retail/supplier merchant keyword.</x:v>
      </x:c>
      <x:c r="T565" s="15" t="str"/>
      <x:c r="U565" s="15" t="str"/>
      <x:c r="V565" s="15" t="str"/>
      <x:c r="W565" s="15" t="str"/>
      <x:c r="X565" s="15" t="str">
        <x:v>FNB :-) R130.97 reserved for purchase @ Savemor Marloth from Current a/c..512781 using card..2924. Avail R38964. 20Mar 15:01</x:v>
      </x:c>
      <x:c r="Y565" s="15" t="str">
        <x:v>76bd86ce65e3b9a6</x:v>
      </x:c>
    </x:row>
    <x:row r="566">
      <x:c r="A566" s="34" t="n">
        <x:v>46101.629166666666</x:v>
      </x:c>
      <x:c r="B566" s="36" t="n">
        <x:v>46101</x:v>
      </x:c>
      <x:c r="C566" s="34" t="n">
        <x:v>46101.629583333335</x:v>
      </x:c>
      <x:c r="D566" s="15" t="str">
        <x:v>Current a/c..512781</x:v>
      </x:c>
      <x:c r="E566" s="15" t="str">
        <x:v>card..2924</x:v>
      </x:c>
      <x:c r="F566" s="15" t="str">
        <x:v>R200.00 reserved for purchase @ Marlothi Petrol Stat from Current a/c..512781 using card..2924. Avail R38764. 20Mar 15:06</x:v>
      </x:c>
      <x:c r="G566" s="15" t="str">
        <x:v>Marlothi Petrol Stat</x:v>
      </x:c>
      <x:c r="H566" s="38" t="n">
        <x:v>200</x:v>
      </x:c>
      <x:c r="I566" s="15" t="str">
        <x:v>ZAR</x:v>
      </x:c>
      <x:c r="J566" s="15" t="str">
        <x:v>Outflow</x:v>
      </x:c>
      <x:c r="K566" s="15" t="str">
        <x:v>Card purchase</x:v>
      </x:c>
      <x:c r="L566" s="15" t="str">
        <x:v>Fuel / transport</x:v>
      </x:c>
      <x:c r="M566" s="38"/>
      <x:c r="N566" s="38" t="n">
        <x:v>38764</x:v>
      </x:c>
      <x:c r="O566" s="15" t="str"/>
      <x:c r="P566" s="15" t="str">
        <x:v>eml_ALL_currentac__512781 (2).zip &gt; eml4currentac__512781.zip</x:v>
      </x:c>
      <x:c r="Q566" s="15" t="str">
        <x:v>FNB _-) R200.00 reserved for purchase @ Marlothi Petrol Stat from Current a_c..512781 using card..2924. 20Mar 15_06.eml</x:v>
      </x:c>
      <x:c r="R566" s="15" t="str">
        <x:v>High</x:v>
      </x:c>
      <x:c r="S566" s="15" t="str"/>
      <x:c r="T566" s="15" t="str"/>
      <x:c r="U566" s="15" t="str"/>
      <x:c r="V566" s="15" t="str"/>
      <x:c r="W566" s="15" t="str"/>
      <x:c r="X566" s="15" t="str">
        <x:v>FNB :-) R200.00 reserved for purchase @ Marlothi Petrol Stat from Current a/c..512781 using card..2924. Avail R38764. 20Mar 15:06</x:v>
      </x:c>
      <x:c r="Y566" s="15" t="str">
        <x:v>f66977a3ca89962f</x:v>
      </x:c>
    </x:row>
    <x:row r="567">
      <x:c r="A567" s="34" t="n">
        <x:v>46102.479166666664</x:v>
      </x:c>
      <x:c r="B567" s="36" t="n">
        <x:v>46102</x:v>
      </x:c>
      <x:c r="C567" s="34" t="n">
        <x:v>46102.47971064815</x:v>
      </x:c>
      <x:c r="D567" s="15" t="str">
        <x:v>Current a/c..512781</x:v>
      </x:c>
      <x:c r="E567" s="15" t="str">
        <x:v>card..2924</x:v>
      </x:c>
      <x:c r="F567" s="15" t="str">
        <x:v>R365.96 reserved for purchase @ Superspar Komatipoor from Current a/c..512781 using card..2924. Avail R38343. 21Mar 11:30</x:v>
      </x:c>
      <x:c r="G567" s="15" t="str">
        <x:v>Superspar Komatipoor</x:v>
      </x:c>
      <x:c r="H567" s="38" t="n">
        <x:v>365.96</x:v>
      </x:c>
      <x:c r="I567" s="15" t="str">
        <x:v>ZAR</x:v>
      </x:c>
      <x:c r="J567" s="15" t="str">
        <x:v>Outflow</x:v>
      </x:c>
      <x:c r="K567" s="15" t="str">
        <x:v>Card purchase</x:v>
      </x:c>
      <x:c r="L567" s="15" t="str">
        <x:v>Supplier payments</x:v>
      </x:c>
      <x:c r="M567" s="38"/>
      <x:c r="N567" s="38" t="n">
        <x:v>38343</x:v>
      </x:c>
      <x:c r="O567" s="15" t="str"/>
      <x:c r="P567" s="15" t="str">
        <x:v>eml_ALL_currentac__512781 (2).zip &gt; eml4currentac__512781.zip</x:v>
      </x:c>
      <x:c r="Q567" s="15" t="str">
        <x:v>FNB _-) R365.96 reserved for purchase @ Superspar Komatipoor from Current a_c..512781 using card..2924. 21Mar 11_30.eml</x:v>
      </x:c>
      <x:c r="R567" s="15" t="str">
        <x:v>High</x:v>
      </x:c>
      <x:c r="S567" s="15" t="str">
        <x:v>Category confidence Medium: Retail/supplier merchant keyword.</x:v>
      </x:c>
      <x:c r="T567" s="15" t="str"/>
      <x:c r="U567" s="15" t="str"/>
      <x:c r="V567" s="15" t="str"/>
      <x:c r="W567" s="15" t="str"/>
      <x:c r="X567" s="15" t="str">
        <x:v>FNB :-) R365.96 reserved for purchase @ Superspar Komatipoor from Current a/c..512781 using card..2924. Avail R38343. 21Mar 11:30</x:v>
      </x:c>
      <x:c r="Y567" s="15" t="str">
        <x:v>a8368011dd1820a2</x:v>
      </x:c>
    </x:row>
    <x:row r="568">
      <x:c r="A568" s="34" t="n">
        <x:v>46102.65416666667</x:v>
      </x:c>
      <x:c r="B568" s="36" t="n">
        <x:v>46102</x:v>
      </x:c>
      <x:c r="C568" s="34" t="n">
        <x:v>46102.65424768518</x:v>
      </x:c>
      <x:c r="D568" s="15" t="str">
        <x:v>Current a/c..512781</x:v>
      </x:c>
      <x:c r="E568" s="15" t="str"/>
      <x:c r="F568" s="15" t="str">
        <x:v>R2929.00 paid from Current a/c..512781 @ Smartapp. Avail R35411. Ref.Kruger Safari 1688. 21Mar 15:42</x:v>
      </x:c>
      <x:c r="G568" s="15" t="str">
        <x:v>Kruger Safari 1688</x:v>
      </x:c>
      <x:c r="H568" s="38" t="n">
        <x:v>2929</x:v>
      </x:c>
      <x:c r="I568" s="15" t="str">
        <x:v>ZAR</x:v>
      </x:c>
      <x:c r="J568" s="15" t="str">
        <x:v>Outflow</x:v>
      </x:c>
      <x:c r="K568" s="15" t="str">
        <x:v>EFT payment</x:v>
      </x:c>
      <x:c r="L568" s="15" t="str">
        <x:v>Supplier payments</x:v>
      </x:c>
      <x:c r="M568" s="38"/>
      <x:c r="N568" s="38" t="n">
        <x:v>35411</x:v>
      </x:c>
      <x:c r="O568" s="15" t="str"/>
      <x:c r="P568" s="15" t="str">
        <x:v>eml_ALL_currentac__512781 (2).zip &gt; eml4currentac__512781.zip</x:v>
      </x:c>
      <x:c r="Q568" s="15" t="str">
        <x:v>FNB _-) R2929.00 paid from Current a_c..512781 @ Smartapp. Ref.Kruger Safari 1688. 21Mar 15_42.eml</x:v>
      </x:c>
      <x:c r="R568" s="15" t="str">
        <x:v>High</x:v>
      </x:c>
      <x:c r="S568" s="15" t="str">
        <x:v>Category confidence Low: Default outflow category; review counterparty/reference.</x:v>
      </x:c>
      <x:c r="T568" s="15" t="str"/>
      <x:c r="U568" s="15" t="str"/>
      <x:c r="V568" s="15" t="str">
        <x:v>Kruger Safari 1688</x:v>
      </x:c>
      <x:c r="W568" s="15" t="str">
        <x:v>Smartapp</x:v>
      </x:c>
      <x:c r="X568" s="15" t="str">
        <x:v>FNB :-) R2929.00 paid from Current a/c..512781 @ Smartapp. Avail R35411. Ref.Kruger Safari 1688. 21Mar 15:42</x:v>
      </x:c>
      <x:c r="Y568" s="15" t="str">
        <x:v>9065ee1306087853</x:v>
      </x:c>
    </x:row>
    <x:row r="569">
      <x:c r="A569" s="34" t="n">
        <x:v>46104.51458333333</x:v>
      </x:c>
      <x:c r="B569" s="36" t="n">
        <x:v>46104</x:v>
      </x:c>
      <x:c r="C569" s="34" t="n">
        <x:v>46104.51494212963</x:v>
      </x:c>
      <x:c r="D569" s="15" t="str">
        <x:v>Current a/c..512781</x:v>
      </x:c>
      <x:c r="E569" s="15" t="str"/>
      <x:c r="F569" s="15" t="str">
        <x:v>R500.00 paid from Current a/c..512781 @ Smartapp. Avail R34908. Ref.Electricity 04294887. 23Mar 12:21</x:v>
      </x:c>
      <x:c r="G569" s="15" t="str">
        <x:v>Electricity 04294887</x:v>
      </x:c>
      <x:c r="H569" s="38" t="n">
        <x:v>500</x:v>
      </x:c>
      <x:c r="I569" s="15" t="str">
        <x:v>ZAR</x:v>
      </x:c>
      <x:c r="J569" s="15" t="str">
        <x:v>Outflow</x:v>
      </x:c>
      <x:c r="K569" s="15" t="str">
        <x:v>EFT payment</x:v>
      </x:c>
      <x:c r="L569" s="15" t="str">
        <x:v>Telecom / utilities</x:v>
      </x:c>
      <x:c r="M569" s="38"/>
      <x:c r="N569" s="38" t="n">
        <x:v>34908</x:v>
      </x:c>
      <x:c r="O569" s="15" t="str"/>
      <x:c r="P569" s="15" t="str">
        <x:v>eml_ALL_currentac__512781 (2).zip &gt; eml4currentac__512781.zip</x:v>
      </x:c>
      <x:c r="Q569" s="15" t="str">
        <x:v>FNB _-) R500.00 paid from Current a_c..512781 @ Smartapp. Ref.Electricity 04294887. 23Mar 12_21.eml</x:v>
      </x:c>
      <x:c r="R569" s="15" t="str">
        <x:v>High</x:v>
      </x:c>
      <x:c r="S569" s="15" t="str"/>
      <x:c r="T569" s="15" t="str"/>
      <x:c r="U569" s="15" t="str"/>
      <x:c r="V569" s="15" t="str">
        <x:v>Electricity 04294887</x:v>
      </x:c>
      <x:c r="W569" s="15" t="str">
        <x:v>Smartapp</x:v>
      </x:c>
      <x:c r="X569" s="15" t="str">
        <x:v>FNB :-) R500.00 paid from Current a/c..512781 @ Smartapp. Avail R34908. Ref.Electricity 04294887. 23Mar 12:21</x:v>
      </x:c>
      <x:c r="Y569" s="15" t="str">
        <x:v>c3acf70a83a9ce2c</x:v>
      </x:c>
    </x:row>
    <x:row r="570">
      <x:c r="A570" s="34" t="n">
        <x:v>46104.580555555556</x:v>
      </x:c>
      <x:c r="B570" s="36" t="n">
        <x:v>46104</x:v>
      </x:c>
      <x:c r="C570" s="34" t="n">
        <x:v>46104.58105324074</x:v>
      </x:c>
      <x:c r="D570" s="15" t="str">
        <x:v>Current a/c..512781</x:v>
      </x:c>
      <x:c r="E570" s="15" t="str"/>
      <x:c r="F570" s="15" t="str">
        <x:v>R5137.92 paid to Current a/c..512781 @ Payshap. Ref.Ik Pay 487882. 23Mar 13:56</x:v>
      </x:c>
      <x:c r="G570" s="15" t="str">
        <x:v>Ik Pay 487882</x:v>
      </x:c>
      <x:c r="H570" s="38" t="n">
        <x:v>5137.92</x:v>
      </x:c>
      <x:c r="I570" s="15" t="str">
        <x:v>ZAR</x:v>
      </x:c>
      <x:c r="J570" s="15" t="str">
        <x:v>Inflow</x:v>
      </x:c>
      <x:c r="K570" s="15" t="str">
        <x:v>EFT receipt</x:v>
      </x:c>
      <x:c r="L570" s="15" t="str">
        <x:v>Sales / customer receipts</x:v>
      </x:c>
      <x:c r="M570" s="38"/>
      <x:c r="N570" s="38"/>
      <x:c r="O570" s="15" t="str"/>
      <x:c r="P570" s="15" t="str">
        <x:v>eml_ALL_currentac__512781 (2).zip &gt; eml4currentac__512781.zip</x:v>
      </x:c>
      <x:c r="Q570" s="15" t="str">
        <x:v>FNB _-) R5137.92 paid to Current a_c..512781 @ Payshap. Ref.Ik Pay 487882. 23Mar 13_56.eml</x:v>
      </x:c>
      <x:c r="R570" s="15" t="str">
        <x:v>High</x:v>
      </x:c>
      <x:c r="S570" s="15" t="str">
        <x:v>Category confidence Medium: Default for incoming EFT/PayShap/online receipt.</x:v>
      </x:c>
      <x:c r="T570" s="15" t="str"/>
      <x:c r="U570" s="15" t="str"/>
      <x:c r="V570" s="15" t="str">
        <x:v>Ik Pay 487882</x:v>
      </x:c>
      <x:c r="W570" s="15" t="str">
        <x:v>Payshap</x:v>
      </x:c>
      <x:c r="X570" s="15" t="str">
        <x:v>FNB :-) R5137.92 paid to Current a/c..512781 @ Payshap. Ref.Ik Pay 487882. 23Mar 13:56</x:v>
      </x:c>
      <x:c r="Y570" s="15" t="str">
        <x:v>8bf3553eb282fa01</x:v>
      </x:c>
    </x:row>
    <x:row r="571">
      <x:c r="A571" s="34" t="n">
        <x:v>46104.68125</x:v>
      </x:c>
      <x:c r="B571" s="36" t="n">
        <x:v>46104</x:v>
      </x:c>
      <x:c r="C571" s="34" t="n">
        <x:v>46104.68167824074</x:v>
      </x:c>
      <x:c r="D571" s="15" t="str">
        <x:v>Current a/c..512781</x:v>
      </x:c>
      <x:c r="E571" s="15" t="str">
        <x:v>card..2924</x:v>
      </x:c>
      <x:c r="F571" s="15" t="str">
        <x:v>R668.69 reserved for purchase @ Superspar Komatipoor from Current a/c..512781 using card..2924. Avail R39377. 23Mar 16:21</x:v>
      </x:c>
      <x:c r="G571" s="15" t="str">
        <x:v>Superspar Komatipoor</x:v>
      </x:c>
      <x:c r="H571" s="38" t="n">
        <x:v>668.69</x:v>
      </x:c>
      <x:c r="I571" s="15" t="str">
        <x:v>ZAR</x:v>
      </x:c>
      <x:c r="J571" s="15" t="str">
        <x:v>Outflow</x:v>
      </x:c>
      <x:c r="K571" s="15" t="str">
        <x:v>Card purchase</x:v>
      </x:c>
      <x:c r="L571" s="15" t="str">
        <x:v>Supplier payments</x:v>
      </x:c>
      <x:c r="M571" s="38"/>
      <x:c r="N571" s="38" t="n">
        <x:v>39377</x:v>
      </x:c>
      <x:c r="O571" s="15" t="str"/>
      <x:c r="P571" s="15" t="str">
        <x:v>eml_ALL_currentac__512781 (2).zip &gt; eml4currentac__512781.zip</x:v>
      </x:c>
      <x:c r="Q571" s="15" t="str">
        <x:v>FNB _-) R668.69 reserved for purchase @ Superspar Komatipoor from Current a_c..512781 using card..2924. 23Mar 16_21.eml</x:v>
      </x:c>
      <x:c r="R571" s="15" t="str">
        <x:v>High</x:v>
      </x:c>
      <x:c r="S571" s="15" t="str">
        <x:v>Category confidence Medium: Retail/supplier merchant keyword.</x:v>
      </x:c>
      <x:c r="T571" s="15" t="str"/>
      <x:c r="U571" s="15" t="str"/>
      <x:c r="V571" s="15" t="str"/>
      <x:c r="W571" s="15" t="str"/>
      <x:c r="X571" s="15" t="str">
        <x:v>FNB :-) R668.69 reserved for purchase @ Superspar Komatipoor from Current a/c..512781 using card..2924. Avail R39377. 23Mar 16:21</x:v>
      </x:c>
      <x:c r="Y571" s="15" t="str">
        <x:v>623037a241337bd9</x:v>
      </x:c>
    </x:row>
    <x:row r="572">
      <x:c r="A572" s="34" t="n">
        <x:v>46105.49722222222</x:v>
      </x:c>
      <x:c r="B572" s="36" t="n">
        <x:v>46105</x:v>
      </x:c>
      <x:c r="C572" s="34" t="n">
        <x:v>46105.497511574074</x:v>
      </x:c>
      <x:c r="D572" s="15" t="str">
        <x:v>Current a/c..512781</x:v>
      </x:c>
      <x:c r="E572" s="15" t="str"/>
      <x:c r="F572" s="15" t="str">
        <x:v>R1000.00 paid from Current a/c..512781 @ Smartapp. Avail R38360. Ref.Dam Staff. 24Mar 11:56</x:v>
      </x:c>
      <x:c r="G572" s="15" t="str">
        <x:v>Dam Staff</x:v>
      </x:c>
      <x:c r="H572" s="38" t="n">
        <x:v>1000</x:v>
      </x:c>
      <x:c r="I572" s="15" t="str">
        <x:v>ZAR</x:v>
      </x:c>
      <x:c r="J572" s="15" t="str">
        <x:v>Outflow</x:v>
      </x:c>
      <x:c r="K572" s="15" t="str">
        <x:v>EFT payment</x:v>
      </x:c>
      <x:c r="L572" s="15" t="str">
        <x:v>Salary / wages</x:v>
      </x:c>
      <x:c r="M572" s="38"/>
      <x:c r="N572" s="38" t="n">
        <x:v>38360</x:v>
      </x:c>
      <x:c r="O572" s="15" t="str"/>
      <x:c r="P572" s="15" t="str">
        <x:v>eml_ALL_currentac__512781 (2).zip &gt; eml4currentac__512781.zip</x:v>
      </x:c>
      <x:c r="Q572" s="15" t="str">
        <x:v>FNB _-) R1000.00 paid from Current a_c..512781 @ Smartapp. Ref.Dam Staff. 24Mar 11_56.eml</x:v>
      </x:c>
      <x:c r="R572" s="15" t="str">
        <x:v>High</x:v>
      </x:c>
      <x:c r="S572" s="15" t="str"/>
      <x:c r="T572" s="15" t="str"/>
      <x:c r="U572" s="15" t="str"/>
      <x:c r="V572" s="15" t="str">
        <x:v>Dam Staff</x:v>
      </x:c>
      <x:c r="W572" s="15" t="str">
        <x:v>Smartapp</x:v>
      </x:c>
      <x:c r="X572" s="15" t="str">
        <x:v>FNB :-) R1000.00 paid from Current a/c..512781 @ Smartapp. Avail R38360. Ref.Dam Staff. 24Mar 11:56</x:v>
      </x:c>
      <x:c r="Y572" s="15" t="str">
        <x:v>d2e55c8351b11b90</x:v>
      </x:c>
    </x:row>
    <x:row r="573">
      <x:c r="A573" s="34" t="n">
        <x:v>46105.63611111111</x:v>
      </x:c>
      <x:c r="B573" s="36" t="n">
        <x:v>46105</x:v>
      </x:c>
      <x:c r="C573" s="34" t="n">
        <x:v>46105.63631944444</x:v>
      </x:c>
      <x:c r="D573" s="15" t="str">
        <x:v>Current a/c..512781</x:v>
      </x:c>
      <x:c r="E573" s="15" t="str">
        <x:v>card..2924</x:v>
      </x:c>
      <x:c r="F573" s="15" t="str">
        <x:v>R153.97 reserved for purchase @ Savemor Marloth from Current a/c..512781 using card..2924. Avail R38206. 24Mar 15:16</x:v>
      </x:c>
      <x:c r="G573" s="15" t="str">
        <x:v>Savemor Marloth</x:v>
      </x:c>
      <x:c r="H573" s="38" t="n">
        <x:v>153.97</x:v>
      </x:c>
      <x:c r="I573" s="15" t="str">
        <x:v>ZAR</x:v>
      </x:c>
      <x:c r="J573" s="15" t="str">
        <x:v>Outflow</x:v>
      </x:c>
      <x:c r="K573" s="15" t="str">
        <x:v>Card purchase</x:v>
      </x:c>
      <x:c r="L573" s="15" t="str">
        <x:v>Supplier payments</x:v>
      </x:c>
      <x:c r="M573" s="38"/>
      <x:c r="N573" s="38" t="n">
        <x:v>38206</x:v>
      </x:c>
      <x:c r="O573" s="15" t="str"/>
      <x:c r="P573" s="15" t="str">
        <x:v>eml_ALL_currentac__512781 (2).zip &gt; eml4currentac__512781.zip</x:v>
      </x:c>
      <x:c r="Q573" s="15" t="str">
        <x:v>FNB _-) R153.97 reserved for purchase @ Savemor Marloth from Current a_c..512781 using card..2924. 24Mar 15_16.eml</x:v>
      </x:c>
      <x:c r="R573" s="15" t="str">
        <x:v>High</x:v>
      </x:c>
      <x:c r="S573" s="15" t="str">
        <x:v>Category confidence Medium: Retail/supplier merchant keyword.</x:v>
      </x:c>
      <x:c r="T573" s="15" t="str"/>
      <x:c r="U573" s="15" t="str"/>
      <x:c r="V573" s="15" t="str"/>
      <x:c r="W573" s="15" t="str"/>
      <x:c r="X573" s="15" t="str">
        <x:v>FNB :-) R153.97 reserved for purchase @ Savemor Marloth from Current a/c..512781 using card..2924. Avail R38206. 24Mar 15:16</x:v>
      </x:c>
      <x:c r="Y573" s="15" t="str">
        <x:v>712aecfe8ea0aa36</x:v>
      </x:c>
    </x:row>
    <x:row r="574">
      <x:c r="A574" s="34" t="n">
        <x:v>46105.864583333336</x:v>
      </x:c>
      <x:c r="B574" s="36" t="n">
        <x:v>46105</x:v>
      </x:c>
      <x:c r="C574" s="34" t="n">
        <x:v>46105.864907407406</x:v>
      </x:c>
      <x:c r="D574" s="15" t="str">
        <x:v>Current a/c..512781</x:v>
      </x:c>
      <x:c r="E574" s="15" t="str"/>
      <x:c r="F574" s="15" t="str">
        <x:v>R150.00 paid from Current a/c..512781 @ Smartapp. Avail R38054. Ref.Electricity 14503572. 24Mar 20:45</x:v>
      </x:c>
      <x:c r="G574" s="15" t="str">
        <x:v>Electricity 14503572</x:v>
      </x:c>
      <x:c r="H574" s="38" t="n">
        <x:v>150</x:v>
      </x:c>
      <x:c r="I574" s="15" t="str">
        <x:v>ZAR</x:v>
      </x:c>
      <x:c r="J574" s="15" t="str">
        <x:v>Outflow</x:v>
      </x:c>
      <x:c r="K574" s="15" t="str">
        <x:v>EFT payment</x:v>
      </x:c>
      <x:c r="L574" s="15" t="str">
        <x:v>Telecom / utilities</x:v>
      </x:c>
      <x:c r="M574" s="38"/>
      <x:c r="N574" s="38" t="n">
        <x:v>38054</x:v>
      </x:c>
      <x:c r="O574" s="15" t="str"/>
      <x:c r="P574" s="15" t="str">
        <x:v>eml_ALL_currentac__512781 (2).zip &gt; eml4currentac__512781.zip</x:v>
      </x:c>
      <x:c r="Q574" s="15" t="str">
        <x:v>FNB _-) R150.00 paid from Current a_c..512781 @ Smartapp. Ref.Electricity 14503572. 24Mar 20_45.eml</x:v>
      </x:c>
      <x:c r="R574" s="15" t="str">
        <x:v>High</x:v>
      </x:c>
      <x:c r="S574" s="15" t="str"/>
      <x:c r="T574" s="15" t="str"/>
      <x:c r="U574" s="15" t="str"/>
      <x:c r="V574" s="15" t="str">
        <x:v>Electricity 14503572</x:v>
      </x:c>
      <x:c r="W574" s="15" t="str">
        <x:v>Smartapp</x:v>
      </x:c>
      <x:c r="X574" s="15" t="str">
        <x:v>FNB :-) R150.00 paid from Current a/c..512781 @ Smartapp. Avail R38054. Ref.Electricity 14503572. 24Mar 20:45</x:v>
      </x:c>
      <x:c r="Y574" s="15" t="str">
        <x:v>d777f78c431d8e83</x:v>
      </x:c>
    </x:row>
    <x:row r="575">
      <x:c r="A575" s="34" t="n">
        <x:v>46106.475</x:v>
      </x:c>
      <x:c r="B575" s="36" t="n">
        <x:v>46106</x:v>
      </x:c>
      <x:c r="C575" s="34" t="n">
        <x:v>46106.47561342592</x:v>
      </x:c>
      <x:c r="D575" s="15" t="str">
        <x:v>Current a/c..512781</x:v>
      </x:c>
      <x:c r="E575" s="15" t="str"/>
      <x:c r="F575" s="15" t="str">
        <x:v>R1565.00 paid from Current a/c..512781 @ Smartapp. Avail R36486. Ref.Waterkloof Gas 11080. 25Mar 11:24</x:v>
      </x:c>
      <x:c r="G575" s="15" t="str">
        <x:v>Waterkloof Gas 11080</x:v>
      </x:c>
      <x:c r="H575" s="38" t="n">
        <x:v>1565</x:v>
      </x:c>
      <x:c r="I575" s="15" t="str">
        <x:v>ZAR</x:v>
      </x:c>
      <x:c r="J575" s="15" t="str">
        <x:v>Outflow</x:v>
      </x:c>
      <x:c r="K575" s="15" t="str">
        <x:v>EFT payment</x:v>
      </x:c>
      <x:c r="L575" s="15" t="str">
        <x:v>Supplier payments</x:v>
      </x:c>
      <x:c r="M575" s="38"/>
      <x:c r="N575" s="38" t="n">
        <x:v>36486</x:v>
      </x:c>
      <x:c r="O575" s="15" t="str"/>
      <x:c r="P575" s="15" t="str">
        <x:v>eml_ALL_currentac__512781 (2).zip &gt; eml4currentac__512781.zip</x:v>
      </x:c>
      <x:c r="Q575" s="15" t="str">
        <x:v>FNB _-) R1565.00 paid from Current a_c..512781 @ Smartapp. Ref.Waterkloof Gas 11080. 25Mar 11_24.eml</x:v>
      </x:c>
      <x:c r="R575" s="15" t="str">
        <x:v>High</x:v>
      </x:c>
      <x:c r="S575" s="15" t="str">
        <x:v>Category confidence Low: Default outflow category; review counterparty/reference.</x:v>
      </x:c>
      <x:c r="T575" s="15" t="str"/>
      <x:c r="U575" s="15" t="str"/>
      <x:c r="V575" s="15" t="str">
        <x:v>Waterkloof Gas 11080</x:v>
      </x:c>
      <x:c r="W575" s="15" t="str">
        <x:v>Smartapp</x:v>
      </x:c>
      <x:c r="X575" s="15" t="str">
        <x:v>FNB :-) R1565.00 paid from Current a/c..512781 @ Smartapp. Avail R36486. Ref.Waterkloof Gas 11080. 25Mar 11:24</x:v>
      </x:c>
      <x:c r="Y575" s="15" t="str">
        <x:v>f2ed5e51f7a55c65</x:v>
      </x:c>
    </x:row>
    <x:row r="576">
      <x:c r="A576" s="34" t="n">
        <x:v>46106.48333333333</x:v>
      </x:c>
      <x:c r="B576" s="36" t="n">
        <x:v>46106</x:v>
      </x:c>
      <x:c r="C576" s="34" t="n">
        <x:v>46106.483831018515</x:v>
      </x:c>
      <x:c r="D576" s="15" t="str">
        <x:v>Current a/c..512781</x:v>
      </x:c>
      <x:c r="E576" s="15" t="str">
        <x:v>card..2924</x:v>
      </x:c>
      <x:c r="F576" s="15" t="str">
        <x:v>R292.96 reserved for purchase @ Pep Home 5771 Komati from Current a/c..512781 using card..2924. Avail R36193. 25Mar 11:36</x:v>
      </x:c>
      <x:c r="G576" s="15" t="str">
        <x:v>Pep Home 5771 Komati</x:v>
      </x:c>
      <x:c r="H576" s="38" t="n">
        <x:v>292.96</x:v>
      </x:c>
      <x:c r="I576" s="15" t="str">
        <x:v>ZAR</x:v>
      </x:c>
      <x:c r="J576" s="15" t="str">
        <x:v>Outflow</x:v>
      </x:c>
      <x:c r="K576" s="15" t="str">
        <x:v>Card purchase</x:v>
      </x:c>
      <x:c r="L576" s="15" t="str">
        <x:v>Supplier payments</x:v>
      </x:c>
      <x:c r="M576" s="38"/>
      <x:c r="N576" s="38" t="n">
        <x:v>36193</x:v>
      </x:c>
      <x:c r="O576" s="15" t="str"/>
      <x:c r="P576" s="15" t="str">
        <x:v>eml_ALL_currentac__512781 (2).zip &gt; eml4currentac__512781.zip</x:v>
      </x:c>
      <x:c r="Q576" s="15" t="str">
        <x:v>FNB _-) R292.96 reserved for purchase @ Pep Home 5771 Komati from Current a_c..512781 using card..2924. 25Mar 11_36.eml</x:v>
      </x:c>
      <x:c r="R576" s="15" t="str">
        <x:v>High</x:v>
      </x:c>
      <x:c r="S576" s="15" t="str">
        <x:v>Category confidence Medium: Retail/supplier merchant keyword.</x:v>
      </x:c>
      <x:c r="T576" s="15" t="str"/>
      <x:c r="U576" s="15" t="str"/>
      <x:c r="V576" s="15" t="str"/>
      <x:c r="W576" s="15" t="str"/>
      <x:c r="X576" s="15" t="str">
        <x:v>FNB :-) R292.96 reserved for purchase @ Pep Home 5771 Komati from Current a/c..512781 using card..2924. Avail R36193. 25Mar 11:36</x:v>
      </x:c>
      <x:c r="Y576" s="15" t="str">
        <x:v>1226ce94aed22046</x:v>
      </x:c>
    </x:row>
    <x:row r="577">
      <x:c r="A577" s="34" t="n">
        <x:v>46106.48819444444</x:v>
      </x:c>
      <x:c r="B577" s="36" t="n">
        <x:v>46106</x:v>
      </x:c>
      <x:c r="C577" s="34" t="n">
        <x:v>46106.48820601852</x:v>
      </x:c>
      <x:c r="D577" s="15" t="str">
        <x:v>Current a/c..512781</x:v>
      </x:c>
      <x:c r="E577" s="15" t="str">
        <x:v>card..2924</x:v>
      </x:c>
      <x:c r="F577" s="15" t="str">
        <x:v>R119.97 reserved for purchase @ Pep Home 5771 Komati from Current a/c..512781 using card..2924. Avail R36073. 25Mar 11:43</x:v>
      </x:c>
      <x:c r="G577" s="15" t="str">
        <x:v>Pep Home 5771 Komati</x:v>
      </x:c>
      <x:c r="H577" s="38" t="n">
        <x:v>119.97</x:v>
      </x:c>
      <x:c r="I577" s="15" t="str">
        <x:v>ZAR</x:v>
      </x:c>
      <x:c r="J577" s="15" t="str">
        <x:v>Outflow</x:v>
      </x:c>
      <x:c r="K577" s="15" t="str">
        <x:v>Card purchase</x:v>
      </x:c>
      <x:c r="L577" s="15" t="str">
        <x:v>Supplier payments</x:v>
      </x:c>
      <x:c r="M577" s="38"/>
      <x:c r="N577" s="38" t="n">
        <x:v>36073</x:v>
      </x:c>
      <x:c r="O577" s="15" t="str"/>
      <x:c r="P577" s="15" t="str">
        <x:v>eml_ALL_currentac__512781 (2).zip &gt; eml4currentac__512781.zip</x:v>
      </x:c>
      <x:c r="Q577" s="15" t="str">
        <x:v>FNB _-) R119.97 reserved for purchase @ Pep Home 5771 Komati from Current a_c..512781 using card..2924. 25Mar 11_43.eml</x:v>
      </x:c>
      <x:c r="R577" s="15" t="str">
        <x:v>High</x:v>
      </x:c>
      <x:c r="S577" s="15" t="str">
        <x:v>Category confidence Medium: Retail/supplier merchant keyword.</x:v>
      </x:c>
      <x:c r="T577" s="15" t="str"/>
      <x:c r="U577" s="15" t="str"/>
      <x:c r="V577" s="15" t="str"/>
      <x:c r="W577" s="15" t="str"/>
      <x:c r="X577" s="15" t="str">
        <x:v>FNB :-) R119.97 reserved for purchase @ Pep Home 5771 Komati from Current a/c..512781 using card..2924. Avail R36073. 25Mar 11:43</x:v>
      </x:c>
      <x:c r="Y577" s="15" t="str">
        <x:v>a1764fe9f9ebca19</x:v>
      </x:c>
    </x:row>
    <x:row r="578">
      <x:c r="A578" s="34" t="n">
        <x:v>46106.53402777778</x:v>
      </x:c>
      <x:c r="B578" s="36" t="n">
        <x:v>46106</x:v>
      </x:c>
      <x:c r="C578" s="34" t="n">
        <x:v>46106.53428240741</x:v>
      </x:c>
      <x:c r="D578" s="15" t="str">
        <x:v>Current a/c..512781</x:v>
      </x:c>
      <x:c r="E578" s="15" t="str">
        <x:v>card..2924</x:v>
      </x:c>
      <x:c r="F578" s="15" t="str">
        <x:v>R1730.48 reserved for purchase @ Superspar Komatipoor from Current a/c..512781 using card..2924. Avail R34343. 25Mar 12:49</x:v>
      </x:c>
      <x:c r="G578" s="15" t="str">
        <x:v>Superspar Komatipoor</x:v>
      </x:c>
      <x:c r="H578" s="38" t="n">
        <x:v>1730.48</x:v>
      </x:c>
      <x:c r="I578" s="15" t="str">
        <x:v>ZAR</x:v>
      </x:c>
      <x:c r="J578" s="15" t="str">
        <x:v>Outflow</x:v>
      </x:c>
      <x:c r="K578" s="15" t="str">
        <x:v>Card purchase</x:v>
      </x:c>
      <x:c r="L578" s="15" t="str">
        <x:v>Supplier payments</x:v>
      </x:c>
      <x:c r="M578" s="38"/>
      <x:c r="N578" s="38" t="n">
        <x:v>34343</x:v>
      </x:c>
      <x:c r="O578" s="15" t="str"/>
      <x:c r="P578" s="15" t="str">
        <x:v>eml_ALL_currentac__512781 (2).zip &gt; eml4currentac__512781.zip</x:v>
      </x:c>
      <x:c r="Q578" s="15" t="str">
        <x:v>FNB _-) R1730.48 reserved for purchase @ Superspar Komatipoor from Current a_c..512781 using card..2924. 25Mar 12_49.eml</x:v>
      </x:c>
      <x:c r="R578" s="15" t="str">
        <x:v>High</x:v>
      </x:c>
      <x:c r="S578" s="15" t="str">
        <x:v>Category confidence Medium: Retail/supplier merchant keyword.</x:v>
      </x:c>
      <x:c r="T578" s="15" t="str"/>
      <x:c r="U578" s="15" t="str"/>
      <x:c r="V578" s="15" t="str"/>
      <x:c r="W578" s="15" t="str"/>
      <x:c r="X578" s="15" t="str">
        <x:v>FNB :-) R1730.48 reserved for purchase @ Superspar Komatipoor from Current a/c..512781 using card..2924. Avail R34343. 25Mar 12:49</x:v>
      </x:c>
      <x:c r="Y578" s="15" t="str">
        <x:v>31fa2ceb425436dd</x:v>
      </x:c>
    </x:row>
    <x:row r="579">
      <x:c r="A579" s="34" t="n">
        <x:v>46106.566666666666</x:v>
      </x:c>
      <x:c r="B579" s="36" t="n">
        <x:v>46106</x:v>
      </x:c>
      <x:c r="C579" s="34" t="n">
        <x:v>46106.56732638889</x:v>
      </x:c>
      <x:c r="D579" s="15" t="str">
        <x:v>Current a/c..512781</x:v>
      </x:c>
      <x:c r="E579" s="15" t="str">
        <x:v>card..2924</x:v>
      </x:c>
      <x:c r="F579" s="15" t="str">
        <x:v>R200.00 reserved for purchase @ Mascor Komatipoort F from Current a/c..512781 using card..2924. Avail R34143. 25Mar 13:36</x:v>
      </x:c>
      <x:c r="G579" s="15" t="str">
        <x:v>Mascor Komatipoort F</x:v>
      </x:c>
      <x:c r="H579" s="38" t="n">
        <x:v>200</x:v>
      </x:c>
      <x:c r="I579" s="15" t="str">
        <x:v>ZAR</x:v>
      </x:c>
      <x:c r="J579" s="15" t="str">
        <x:v>Outflow</x:v>
      </x:c>
      <x:c r="K579" s="15" t="str">
        <x:v>Card purchase</x:v>
      </x:c>
      <x:c r="L579" s="15" t="str">
        <x:v>Card spend</x:v>
      </x:c>
      <x:c r="M579" s="38"/>
      <x:c r="N579" s="38" t="n">
        <x:v>34143</x:v>
      </x:c>
      <x:c r="O579" s="15" t="str"/>
      <x:c r="P579" s="15" t="str">
        <x:v>eml_ALL_currentac__512781 (2).zip &gt; eml4currentac__512781.zip</x:v>
      </x:c>
      <x:c r="Q579" s="15" t="str">
        <x:v>FNB _-) R200.00 reserved for purchase @ Mascor Komatipoort F from Current a_c..512781 using card..2924. 25Mar 13_36.eml</x:v>
      </x:c>
      <x:c r="R579" s="15" t="str">
        <x:v>High</x:v>
      </x:c>
      <x:c r="S579" s="15" t="str">
        <x:v>Category confidence Low: Default card-spend category; merchant not confidently mapped.</x:v>
      </x:c>
      <x:c r="T579" s="15" t="str"/>
      <x:c r="U579" s="15" t="str"/>
      <x:c r="V579" s="15" t="str"/>
      <x:c r="W579" s="15" t="str"/>
      <x:c r="X579" s="15" t="str">
        <x:v>FNB :-) R200.00 reserved for purchase @ Mascor Komatipoort F from Current a/c..512781 using card..2924. Avail R34143. 25Mar 13:36</x:v>
      </x:c>
      <x:c r="Y579" s="15" t="str">
        <x:v>37e6223cf78514f4</x:v>
      </x:c>
    </x:row>
    <x:row r="580">
      <x:c r="A580" s="34" t="n">
        <x:v>46106.575694444444</x:v>
      </x:c>
      <x:c r="B580" s="36" t="n">
        <x:v>46106</x:v>
      </x:c>
      <x:c r="C580" s="34" t="n">
        <x:v>46106.575844907406</x:v>
      </x:c>
      <x:c r="D580" s="15" t="str">
        <x:v>Current a/c..512781</x:v>
      </x:c>
      <x:c r="E580" s="15" t="str">
        <x:v>card..2924</x:v>
      </x:c>
      <x:c r="F580" s="15" t="str">
        <x:v>R240.20 reserved for purchase @ Oasis Water Komatipo from Current a/c..512781 using card..2924. Avail R33903. 25Mar 13:49</x:v>
      </x:c>
      <x:c r="G580" s="15" t="str">
        <x:v>Oasis Water Komatipo</x:v>
      </x:c>
      <x:c r="H580" s="38" t="n">
        <x:v>240.2</x:v>
      </x:c>
      <x:c r="I580" s="15" t="str">
        <x:v>ZAR</x:v>
      </x:c>
      <x:c r="J580" s="15" t="str">
        <x:v>Outflow</x:v>
      </x:c>
      <x:c r="K580" s="15" t="str">
        <x:v>Card purchase</x:v>
      </x:c>
      <x:c r="L580" s="15" t="str">
        <x:v>Supplier payments</x:v>
      </x:c>
      <x:c r="M580" s="38"/>
      <x:c r="N580" s="38" t="n">
        <x:v>33903</x:v>
      </x:c>
      <x:c r="O580" s="15" t="str"/>
      <x:c r="P580" s="15" t="str">
        <x:v>eml_ALL_currentac__512781 (2).zip &gt; eml4currentac__512781.zip</x:v>
      </x:c>
      <x:c r="Q580" s="15" t="str">
        <x:v>FNB _-) R240.20 reserved for purchase @ Oasis Water Komatipo from Current a_c..512781 using card..2924. 25Mar 13_49.eml</x:v>
      </x:c>
      <x:c r="R580" s="15" t="str">
        <x:v>High</x:v>
      </x:c>
      <x:c r="S580" s="15" t="str">
        <x:v>Category confidence Medium: Retail/supplier merchant keyword.</x:v>
      </x:c>
      <x:c r="T580" s="15" t="str"/>
      <x:c r="U580" s="15" t="str"/>
      <x:c r="V580" s="15" t="str"/>
      <x:c r="W580" s="15" t="str"/>
      <x:c r="X580" s="15" t="str">
        <x:v>FNB :-) R240.20 reserved for purchase @ Oasis Water Komatipo from Current a/c..512781 using card..2924. Avail R33903. 25Mar 13:49</x:v>
      </x:c>
      <x:c r="Y580" s="15" t="str">
        <x:v>805ee6a26b81d655</x:v>
      </x:c>
    </x:row>
    <x:row r="581">
      <x:c r="A581" s="34" t="n">
        <x:v>46106.58263888889</x:v>
      </x:c>
      <x:c r="B581" s="36" t="n">
        <x:v>46106</x:v>
      </x:c>
      <x:c r="C581" s="34" t="n">
        <x:v>46106.5828125</x:v>
      </x:c>
      <x:c r="D581" s="15" t="str">
        <x:v>Current a/c..512781</x:v>
      </x:c>
      <x:c r="E581" s="15" t="str">
        <x:v>card..2924</x:v>
      </x:c>
      <x:c r="F581" s="15" t="str">
        <x:v>R112.80 reserved for purchase @ Oasis Water Komatipo from Current a/c..512781 using card..2924. Avail R33790. 25Mar 13:59</x:v>
      </x:c>
      <x:c r="G581" s="15" t="str">
        <x:v>Oasis Water Komatipo</x:v>
      </x:c>
      <x:c r="H581" s="38" t="n">
        <x:v>112.8</x:v>
      </x:c>
      <x:c r="I581" s="15" t="str">
        <x:v>ZAR</x:v>
      </x:c>
      <x:c r="J581" s="15" t="str">
        <x:v>Outflow</x:v>
      </x:c>
      <x:c r="K581" s="15" t="str">
        <x:v>Card purchase</x:v>
      </x:c>
      <x:c r="L581" s="15" t="str">
        <x:v>Supplier payments</x:v>
      </x:c>
      <x:c r="M581" s="38"/>
      <x:c r="N581" s="38" t="n">
        <x:v>33790</x:v>
      </x:c>
      <x:c r="O581" s="15" t="str"/>
      <x:c r="P581" s="15" t="str">
        <x:v>eml_ALL_currentac__512781 (2).zip &gt; eml4currentac__512781.zip</x:v>
      </x:c>
      <x:c r="Q581" s="15" t="str">
        <x:v>FNB _-) R112.80 reserved for purchase @ Oasis Water Komatipo from Current a_c..512781 using card..2924. 25Mar 13_59.eml</x:v>
      </x:c>
      <x:c r="R581" s="15" t="str">
        <x:v>High</x:v>
      </x:c>
      <x:c r="S581" s="15" t="str">
        <x:v>Category confidence Medium: Retail/supplier merchant keyword.</x:v>
      </x:c>
      <x:c r="T581" s="15" t="str"/>
      <x:c r="U581" s="15" t="str"/>
      <x:c r="V581" s="15" t="str"/>
      <x:c r="W581" s="15" t="str"/>
      <x:c r="X581" s="15" t="str">
        <x:v>FNB :-) R112.80 reserved for purchase @ Oasis Water Komatipo from Current a/c..512781 using card..2924. Avail R33790. 25Mar 13:59</x:v>
      </x:c>
      <x:c r="Y581" s="15" t="str">
        <x:v>984a931422bb51aa</x:v>
      </x:c>
    </x:row>
    <x:row r="582">
      <x:c r="A582" s="34" t="n">
        <x:v>46107.308333333334</x:v>
      </x:c>
      <x:c r="B582" s="36" t="n">
        <x:v>46107</x:v>
      </x:c>
      <x:c r="C582" s="34" t="n">
        <x:v>46107.30873842593</x:v>
      </x:c>
      <x:c r="D582" s="15" t="str">
        <x:v>Current a/c..512781</x:v>
      </x:c>
      <x:c r="E582" s="15" t="str"/>
      <x:c r="F582" s="15" t="str">
        <x:v>R150.00 paid from Current a/c..512781 @ Smartapp. Avail R33553. Ref.Electricity 14503572. 26Mar 07:24</x:v>
      </x:c>
      <x:c r="G582" s="15" t="str">
        <x:v>Electricity 14503572</x:v>
      </x:c>
      <x:c r="H582" s="38" t="n">
        <x:v>150</x:v>
      </x:c>
      <x:c r="I582" s="15" t="str">
        <x:v>ZAR</x:v>
      </x:c>
      <x:c r="J582" s="15" t="str">
        <x:v>Outflow</x:v>
      </x:c>
      <x:c r="K582" s="15" t="str">
        <x:v>EFT payment</x:v>
      </x:c>
      <x:c r="L582" s="15" t="str">
        <x:v>Telecom / utilities</x:v>
      </x:c>
      <x:c r="M582" s="38"/>
      <x:c r="N582" s="38" t="n">
        <x:v>33553</x:v>
      </x:c>
      <x:c r="O582" s="15" t="str"/>
      <x:c r="P582" s="15" t="str">
        <x:v>eml_ALL_currentac__512781 (2).zip &gt; eml4currentac__512781.zip</x:v>
      </x:c>
      <x:c r="Q582" s="15" t="str">
        <x:v>FNB _-) R150.00 paid from Current a_c..512781 @ Smartapp. Ref.Electricity 14503572. 26Mar 07_24.eml</x:v>
      </x:c>
      <x:c r="R582" s="15" t="str">
        <x:v>High</x:v>
      </x:c>
      <x:c r="S582" s="15" t="str"/>
      <x:c r="T582" s="15" t="str"/>
      <x:c r="U582" s="15" t="str"/>
      <x:c r="V582" s="15" t="str">
        <x:v>Electricity 14503572</x:v>
      </x:c>
      <x:c r="W582" s="15" t="str">
        <x:v>Smartapp</x:v>
      </x:c>
      <x:c r="X582" s="15" t="str">
        <x:v>FNB :-) R150.00 paid from Current a/c..512781 @ Smartapp. Avail R33553. Ref.Electricity 14503572. 26Mar 07:24</x:v>
      </x:c>
      <x:c r="Y582" s="15" t="str">
        <x:v>7970bbefc434dfa8</x:v>
      </x:c>
    </x:row>
    <x:row r="583">
      <x:c r="A583" s="34" t="n">
        <x:v>46107.33888888889</x:v>
      </x:c>
      <x:c r="B583" s="36" t="n">
        <x:v>46107</x:v>
      </x:c>
      <x:c r="C583" s="34" t="n">
        <x:v>46107.33930555556</x:v>
      </x:c>
      <x:c r="D583" s="15" t="str">
        <x:v>Current a/c..512781</x:v>
      </x:c>
      <x:c r="E583" s="15" t="str"/>
      <x:c r="F583" s="15" t="str">
        <x:v>R11517.18 paid to Current a/c..512781 @ Retail Forex. Ref.R026v0kzq0 Booking.c. 26Mar 08:08</x:v>
      </x:c>
      <x:c r="G583" s="15" t="str">
        <x:v>R026v0kzq0 Booking.c</x:v>
      </x:c>
      <x:c r="H583" s="38" t="n">
        <x:v>11517.18</x:v>
      </x:c>
      <x:c r="I583" s="15" t="str">
        <x:v>ZAR</x:v>
      </x:c>
      <x:c r="J583" s="15" t="str">
        <x:v>Inflow</x:v>
      </x:c>
      <x:c r="K583" s="15" t="str">
        <x:v>EFT receipt</x:v>
      </x:c>
      <x:c r="L583" s="15" t="str">
        <x:v>Sales / customer receipts</x:v>
      </x:c>
      <x:c r="M583" s="38"/>
      <x:c r="N583" s="38"/>
      <x:c r="O583" s="15" t="str"/>
      <x:c r="P583" s="15" t="str">
        <x:v>eml_ALL_currentac__512781 (2).zip &gt; eml4currentac__512781.zip</x:v>
      </x:c>
      <x:c r="Q583" s="15" t="str">
        <x:v>FNB _-) R11517.18 paid to Current a_c..512781 @ Retail Forex. Ref.R026v0kzq0 Booking.c. 26Mar 08_08.eml</x:v>
      </x:c>
      <x:c r="R583" s="15" t="str">
        <x:v>High</x:v>
      </x:c>
      <x:c r="S583" s="15" t="str">
        <x:v>Category confidence Medium: Default for incoming EFT/PayShap/online receipt.</x:v>
      </x:c>
      <x:c r="T583" s="15" t="str"/>
      <x:c r="U583" s="15" t="str"/>
      <x:c r="V583" s="15" t="str">
        <x:v>R026v0kzq0 Booking.c</x:v>
      </x:c>
      <x:c r="W583" s="15" t="str">
        <x:v>Retail Forex</x:v>
      </x:c>
      <x:c r="X583" s="15" t="str">
        <x:v>FNB :-) R11517.18 paid to Current a/c..512781 @ Retail Forex. Ref.R026v0kzq0 Booking.c. 26Mar 08:08</x:v>
      </x:c>
      <x:c r="Y583" s="15" t="str">
        <x:v>6a8a52a18d66759c</x:v>
      </x:c>
    </x:row>
    <x:row r="584">
      <x:c r="A584" s="34" t="n">
        <x:v>46107.57777777778</x:v>
      </x:c>
      <x:c r="B584" s="36" t="n">
        <x:v>46107</x:v>
      </x:c>
      <x:c r="C584" s="34" t="n">
        <x:v>46107.57782407408</x:v>
      </x:c>
      <x:c r="D584" s="15" t="str">
        <x:v>Current a/c..512781</x:v>
      </x:c>
      <x:c r="E584" s="15" t="str"/>
      <x:c r="F584" s="15" t="str">
        <x:v>R1441.44 paid to Current a/c..512781 @ Payshap. Ref.Ik Pay 487882. 26Mar 13:52</x:v>
      </x:c>
      <x:c r="G584" s="15" t="str">
        <x:v>Ik Pay 487882</x:v>
      </x:c>
      <x:c r="H584" s="38" t="n">
        <x:v>1441.44</x:v>
      </x:c>
      <x:c r="I584" s="15" t="str">
        <x:v>ZAR</x:v>
      </x:c>
      <x:c r="J584" s="15" t="str">
        <x:v>Inflow</x:v>
      </x:c>
      <x:c r="K584" s="15" t="str">
        <x:v>EFT receipt</x:v>
      </x:c>
      <x:c r="L584" s="15" t="str">
        <x:v>Sales / customer receipts</x:v>
      </x:c>
      <x:c r="M584" s="38"/>
      <x:c r="N584" s="38"/>
      <x:c r="O584" s="15" t="str"/>
      <x:c r="P584" s="15" t="str">
        <x:v>eml_ALL_currentac__512781 (2).zip &gt; eml4currentac__512781.zip</x:v>
      </x:c>
      <x:c r="Q584" s="15" t="str">
        <x:v>FNB _-) R1441.44 paid to Current a_c..512781 @ Payshap. Ref.Ik Pay 487882. 26Mar 13_52.eml</x:v>
      </x:c>
      <x:c r="R584" s="15" t="str">
        <x:v>High</x:v>
      </x:c>
      <x:c r="S584" s="15" t="str">
        <x:v>Category confidence Medium: Default for incoming EFT/PayShap/online receipt.</x:v>
      </x:c>
      <x:c r="T584" s="15" t="str"/>
      <x:c r="U584" s="15" t="str"/>
      <x:c r="V584" s="15" t="str">
        <x:v>Ik Pay 487882</x:v>
      </x:c>
      <x:c r="W584" s="15" t="str">
        <x:v>Payshap</x:v>
      </x:c>
      <x:c r="X584" s="15" t="str">
        <x:v>FNB :-) R1441.44 paid to Current a/c..512781 @ Payshap. Ref.Ik Pay 487882. 26Mar 13:52</x:v>
      </x:c>
      <x:c r="Y584" s="15" t="str">
        <x:v>98e28875a94048e1</x:v>
      </x:c>
    </x:row>
    <x:row r="585">
      <x:c r="A585" s="34" t="n">
        <x:v>46107.59097222222</x:v>
      </x:c>
      <x:c r="B585" s="36" t="n">
        <x:v>46107</x:v>
      </x:c>
      <x:c r="C585" s="34" t="n">
        <x:v>46107.59127314815</x:v>
      </x:c>
      <x:c r="D585" s="15" t="str">
        <x:v>Current a/c..512781</x:v>
      </x:c>
      <x:c r="E585" s="15" t="str">
        <x:v>card..2924</x:v>
      </x:c>
      <x:c r="F585" s="15" t="str">
        <x:v>R150.00 reserved for purchase @ Jabula Lodge 73 from Current a/c..512781 using card..2924. Avail R46293. 26Mar 14:11</x:v>
      </x:c>
      <x:c r="G585" s="15" t="str">
        <x:v>Jabula Lodge 73</x:v>
      </x:c>
      <x:c r="H585" s="38" t="n">
        <x:v>150</x:v>
      </x:c>
      <x:c r="I585" s="15" t="str">
        <x:v>ZAR</x:v>
      </x:c>
      <x:c r="J585" s="15" t="str">
        <x:v>Outflow</x:v>
      </x:c>
      <x:c r="K585" s="15" t="str">
        <x:v>Card purchase</x:v>
      </x:c>
      <x:c r="L585" s="15" t="str">
        <x:v>Accommodation / hotels</x:v>
      </x:c>
      <x:c r="M585" s="38"/>
      <x:c r="N585" s="38" t="n">
        <x:v>46293</x:v>
      </x:c>
      <x:c r="O585" s="15" t="str"/>
      <x:c r="P585" s="15" t="str">
        <x:v>eml_ALL_currentac__512781 (2).zip &gt; eml4currentac__512781.zip</x:v>
      </x:c>
      <x:c r="Q585" s="15" t="str">
        <x:v>FNB _-) R150.00 reserved for purchase @ Jabula Lodge 73 from Current a_c..512781 using card..2924. 26Mar 14_11.eml</x:v>
      </x:c>
      <x:c r="R585" s="15" t="str">
        <x:v>High</x:v>
      </x:c>
      <x:c r="S585" s="15" t="str">
        <x:v>Category confidence Medium: Accommodation/travel keyword.</x:v>
      </x:c>
      <x:c r="T585" s="15" t="str"/>
      <x:c r="U585" s="15" t="str"/>
      <x:c r="V585" s="15" t="str"/>
      <x:c r="W585" s="15" t="str"/>
      <x:c r="X585" s="15" t="str">
        <x:v>FNB :-) R150.00 reserved for purchase @ Jabula Lodge 73 from Current a/c..512781 using card..2924. Avail R46293. 26Mar 14:11</x:v>
      </x:c>
      <x:c r="Y585" s="15" t="str">
        <x:v>02fb6e1e2be2b411</x:v>
      </x:c>
    </x:row>
    <x:row r="586">
      <x:c r="A586" s="34" t="n">
        <x:v>46107.606944444444</x:v>
      </x:c>
      <x:c r="B586" s="36" t="n">
        <x:v>46107</x:v>
      </x:c>
      <x:c r="C586" s="34" t="n">
        <x:v>46107.6075462963</x:v>
      </x:c>
      <x:c r="D586" s="15" t="str">
        <x:v>Current a/c..512781</x:v>
      </x:c>
      <x:c r="E586" s="15" t="str">
        <x:v>card..2924</x:v>
      </x:c>
      <x:c r="F586" s="15" t="str">
        <x:v>R265.96 reserved for purchase @ Savemor Marloth Liqu from Current a/c..512781 using card..2924. Avail R46027. 26Mar 14:34</x:v>
      </x:c>
      <x:c r="G586" s="15" t="str">
        <x:v>Savemor Marloth Liqu</x:v>
      </x:c>
      <x:c r="H586" s="38" t="n">
        <x:v>265.96</x:v>
      </x:c>
      <x:c r="I586" s="15" t="str">
        <x:v>ZAR</x:v>
      </x:c>
      <x:c r="J586" s="15" t="str">
        <x:v>Outflow</x:v>
      </x:c>
      <x:c r="K586" s="15" t="str">
        <x:v>Card purchase</x:v>
      </x:c>
      <x:c r="L586" s="15" t="str">
        <x:v>Meals / restaurants / entertainment</x:v>
      </x:c>
      <x:c r="M586" s="38"/>
      <x:c r="N586" s="38" t="n">
        <x:v>46027</x:v>
      </x:c>
      <x:c r="O586" s="15" t="str"/>
      <x:c r="P586" s="15" t="str">
        <x:v>eml_ALL_currentac__512781 (2).zip &gt; eml4currentac__512781.zip</x:v>
      </x:c>
      <x:c r="Q586" s="15" t="str">
        <x:v>FNB _-) R265.96 reserved for purchase @ Savemor Marloth Liqu from Current a_c..512781 using card..2924. 26Mar 14_34.eml</x:v>
      </x:c>
      <x:c r="R586" s="15" t="str">
        <x:v>High</x:v>
      </x:c>
      <x:c r="S586" s="15" t="str"/>
      <x:c r="T586" s="15" t="str"/>
      <x:c r="U586" s="15" t="str"/>
      <x:c r="V586" s="15" t="str"/>
      <x:c r="W586" s="15" t="str"/>
      <x:c r="X586" s="15" t="str">
        <x:v>FNB :-) R265.96 reserved for purchase @ Savemor Marloth Liqu from Current a/c..512781 using card..2924. Avail R46027. 26Mar 14:34</x:v>
      </x:c>
      <x:c r="Y586" s="15" t="str">
        <x:v>4c5d913a6650bf6c</x:v>
      </x:c>
    </x:row>
    <x:row r="587">
      <x:c r="A587" s="34" t="n">
        <x:v>46107.626388888886</x:v>
      </x:c>
      <x:c r="B587" s="36" t="n">
        <x:v>46107</x:v>
      </x:c>
      <x:c r="C587" s="34" t="n">
        <x:v>46107.62662037037</x:v>
      </x:c>
      <x:c r="D587" s="15" t="str">
        <x:v>Current a/c..512781</x:v>
      </x:c>
      <x:c r="E587" s="15" t="str">
        <x:v>card..2924</x:v>
      </x:c>
      <x:c r="F587" s="15" t="str">
        <x:v>R200.01 reserved for purchase @ Toppies Hardware 66 from Current a/c..512781 using card..2924. Avail R45827. 26Mar 15:02</x:v>
      </x:c>
      <x:c r="G587" s="15" t="str">
        <x:v>Toppies Hardware 66</x:v>
      </x:c>
      <x:c r="H587" s="38" t="n">
        <x:v>200.01</x:v>
      </x:c>
      <x:c r="I587" s="15" t="str">
        <x:v>ZAR</x:v>
      </x:c>
      <x:c r="J587" s="15" t="str">
        <x:v>Outflow</x:v>
      </x:c>
      <x:c r="K587" s="15" t="str">
        <x:v>Card purchase</x:v>
      </x:c>
      <x:c r="L587" s="15" t="str">
        <x:v>Supplier payments</x:v>
      </x:c>
      <x:c r="M587" s="38"/>
      <x:c r="N587" s="38" t="n">
        <x:v>45827</x:v>
      </x:c>
      <x:c r="O587" s="15" t="str"/>
      <x:c r="P587" s="15" t="str">
        <x:v>eml_ALL_currentac__512781 (2).zip &gt; eml4currentac__512781.zip</x:v>
      </x:c>
      <x:c r="Q587" s="15" t="str">
        <x:v>FNB _-) R200.01 reserved for purchase @ Toppies Hardware 66 from Current a_c..512781 using card..2924. 26Mar 15_02.eml</x:v>
      </x:c>
      <x:c r="R587" s="15" t="str">
        <x:v>High</x:v>
      </x:c>
      <x:c r="S587" s="15" t="str">
        <x:v>Category confidence Medium: Retail/supplier merchant keyword.</x:v>
      </x:c>
      <x:c r="T587" s="15" t="str"/>
      <x:c r="U587" s="15" t="str"/>
      <x:c r="V587" s="15" t="str"/>
      <x:c r="W587" s="15" t="str"/>
      <x:c r="X587" s="15" t="str">
        <x:v>FNB :-) R200.01 reserved for purchase @ Toppies Hardware 66 from Current a/c..512781 using card..2924. Avail R45827. 26Mar 15:02</x:v>
      </x:c>
      <x:c r="Y587" s="15" t="str">
        <x:v>8e069483f8c9be35</x:v>
      </x:c>
    </x:row>
    <x:row r="588">
      <x:c r="A588" s="34" t="n">
        <x:v>46108.52777777778</x:v>
      </x:c>
      <x:c r="B588" s="36" t="n">
        <x:v>46108</x:v>
      </x:c>
      <x:c r="C588" s="34" t="n">
        <x:v>46108.52820601852</x:v>
      </x:c>
      <x:c r="D588" s="15" t="str">
        <x:v>Current a/c..512781</x:v>
      </x:c>
      <x:c r="E588" s="15" t="str">
        <x:v>card..2924</x:v>
      </x:c>
      <x:c r="F588" s="15" t="str">
        <x:v>R842.37 reserved for purchase @ Superspar Komatipoor from Current a/c..512781 using card..2924. Avail R44981. 27Mar 12:40</x:v>
      </x:c>
      <x:c r="G588" s="15" t="str">
        <x:v>Superspar Komatipoor</x:v>
      </x:c>
      <x:c r="H588" s="38" t="n">
        <x:v>842.37</x:v>
      </x:c>
      <x:c r="I588" s="15" t="str">
        <x:v>ZAR</x:v>
      </x:c>
      <x:c r="J588" s="15" t="str">
        <x:v>Outflow</x:v>
      </x:c>
      <x:c r="K588" s="15" t="str">
        <x:v>Card purchase</x:v>
      </x:c>
      <x:c r="L588" s="15" t="str">
        <x:v>Supplier payments</x:v>
      </x:c>
      <x:c r="M588" s="38"/>
      <x:c r="N588" s="38" t="n">
        <x:v>44981</x:v>
      </x:c>
      <x:c r="O588" s="15" t="str"/>
      <x:c r="P588" s="15" t="str">
        <x:v>eml_ALL_currentac__512781 (2).zip &gt; eml4currentac__512781.zip</x:v>
      </x:c>
      <x:c r="Q588" s="15" t="str">
        <x:v>FNB _-) R842.37 reserved for purchase @ Superspar Komatipoor from Current a_c..512781 using card..2924. 27Mar 12_40.eml</x:v>
      </x:c>
      <x:c r="R588" s="15" t="str">
        <x:v>High</x:v>
      </x:c>
      <x:c r="S588" s="15" t="str">
        <x:v>Category confidence Medium: Retail/supplier merchant keyword.</x:v>
      </x:c>
      <x:c r="T588" s="15" t="str"/>
      <x:c r="U588" s="15" t="str"/>
      <x:c r="V588" s="15" t="str"/>
      <x:c r="W588" s="15" t="str"/>
      <x:c r="X588" s="15" t="str">
        <x:v>FNB :-) R842.37 reserved for purchase @ Superspar Komatipoor from Current a/c..512781 using card..2924. Avail R44981. 27Mar 12:40</x:v>
      </x:c>
      <x:c r="Y588" s="15" t="str">
        <x:v>8ebf4f5f4f9a8ab5</x:v>
      </x:c>
    </x:row>
    <x:row r="589">
      <x:c r="A589" s="34" t="n">
        <x:v>46108.53194444445</x:v>
      </x:c>
      <x:c r="B589" s="36" t="n">
        <x:v>46108</x:v>
      </x:c>
      <x:c r="C589" s="34" t="n">
        <x:v>46108.53244212963</x:v>
      </x:c>
      <x:c r="D589" s="15" t="str">
        <x:v>Current a/c..512781</x:v>
      </x:c>
      <x:c r="E589" s="15" t="str">
        <x:v>card..2924</x:v>
      </x:c>
      <x:c r="F589" s="15" t="str">
        <x:v>R450.00 reserved for purchase @ Superspar Komatipoor from Current a/c..512781 using card..2924. Avail R44531. 27Mar 12:46</x:v>
      </x:c>
      <x:c r="G589" s="15" t="str">
        <x:v>Superspar Komatipoor</x:v>
      </x:c>
      <x:c r="H589" s="38" t="n">
        <x:v>450</x:v>
      </x:c>
      <x:c r="I589" s="15" t="str">
        <x:v>ZAR</x:v>
      </x:c>
      <x:c r="J589" s="15" t="str">
        <x:v>Outflow</x:v>
      </x:c>
      <x:c r="K589" s="15" t="str">
        <x:v>Card purchase</x:v>
      </x:c>
      <x:c r="L589" s="15" t="str">
        <x:v>Supplier payments</x:v>
      </x:c>
      <x:c r="M589" s="38"/>
      <x:c r="N589" s="38" t="n">
        <x:v>44531</x:v>
      </x:c>
      <x:c r="O589" s="15" t="str"/>
      <x:c r="P589" s="15" t="str">
        <x:v>eml_ALL_currentac__512781 (2).zip &gt; eml4currentac__512781.zip</x:v>
      </x:c>
      <x:c r="Q589" s="15" t="str">
        <x:v>FNB _-) R450.00 reserved for purchase @ Superspar Komatipoor from Current a_c..512781 using card..2924. 27Mar 12_46.eml</x:v>
      </x:c>
      <x:c r="R589" s="15" t="str">
        <x:v>High</x:v>
      </x:c>
      <x:c r="S589" s="15" t="str">
        <x:v>Category confidence Medium: Retail/supplier merchant keyword.</x:v>
      </x:c>
      <x:c r="T589" s="15" t="str"/>
      <x:c r="U589" s="15" t="str"/>
      <x:c r="V589" s="15" t="str"/>
      <x:c r="W589" s="15" t="str"/>
      <x:c r="X589" s="15" t="str">
        <x:v>FNB :-) R450.00 reserved for purchase @ Superspar Komatipoor from Current a/c..512781 using card..2924. Avail R44531. 27Mar 12:46</x:v>
      </x:c>
      <x:c r="Y589" s="15" t="str">
        <x:v>6c81cf5a17bd9a4d</x:v>
      </x:c>
    </x:row>
    <x:row r="590">
      <x:c r="A590" s="34" t="n">
        <x:v>46108.595138888886</x:v>
      </x:c>
      <x:c r="B590" s="36" t="n">
        <x:v>46108</x:v>
      </x:c>
      <x:c r="C590" s="34" t="n">
        <x:v>46108.59577546296</x:v>
      </x:c>
      <x:c r="D590" s="15" t="str">
        <x:v>Current a/c..512781</x:v>
      </x:c>
      <x:c r="E590" s="15" t="str"/>
      <x:c r="F590" s="15" t="str">
        <x:v>R500.00 paid from Current a/c..512781 @ Smartapp. Avail R44028. Ref.Electricity 04294887. 27Mar 14:17</x:v>
      </x:c>
      <x:c r="G590" s="15" t="str">
        <x:v>Electricity 04294887</x:v>
      </x:c>
      <x:c r="H590" s="38" t="n">
        <x:v>500</x:v>
      </x:c>
      <x:c r="I590" s="15" t="str">
        <x:v>ZAR</x:v>
      </x:c>
      <x:c r="J590" s="15" t="str">
        <x:v>Outflow</x:v>
      </x:c>
      <x:c r="K590" s="15" t="str">
        <x:v>EFT payment</x:v>
      </x:c>
      <x:c r="L590" s="15" t="str">
        <x:v>Telecom / utilities</x:v>
      </x:c>
      <x:c r="M590" s="38"/>
      <x:c r="N590" s="38" t="n">
        <x:v>44028</x:v>
      </x:c>
      <x:c r="O590" s="15" t="str"/>
      <x:c r="P590" s="15" t="str">
        <x:v>eml_ALL_currentac__512781 (2).zip &gt; eml4currentac__512781.zip</x:v>
      </x:c>
      <x:c r="Q590" s="15" t="str">
        <x:v>FNB _-) R500.00 paid from Current a_c..512781 @ Smartapp. Ref.Electricity 04294887. 27Mar 14_17.eml</x:v>
      </x:c>
      <x:c r="R590" s="15" t="str">
        <x:v>High</x:v>
      </x:c>
      <x:c r="S590" s="15" t="str"/>
      <x:c r="T590" s="15" t="str"/>
      <x:c r="U590" s="15" t="str"/>
      <x:c r="V590" s="15" t="str">
        <x:v>Electricity 04294887</x:v>
      </x:c>
      <x:c r="W590" s="15" t="str">
        <x:v>Smartapp</x:v>
      </x:c>
      <x:c r="X590" s="15" t="str">
        <x:v>FNB :-) R500.00 paid from Current a/c..512781 @ Smartapp. Avail R44028. Ref.Electricity 04294887. 27Mar 14:17</x:v>
      </x:c>
      <x:c r="Y590" s="15" t="str">
        <x:v>362832fb5378c3b6</x:v>
      </x:c>
    </x:row>
    <x:row r="591">
      <x:c r="A591" s="34" t="n">
        <x:v>46109.521527777775</x:v>
      </x:c>
      <x:c r="B591" s="36" t="n">
        <x:v>46109</x:v>
      </x:c>
      <x:c r="C591" s="34" t="n">
        <x:v>46109.52172453704</x:v>
      </x:c>
      <x:c r="D591" s="15" t="str">
        <x:v>Current a/c..512781</x:v>
      </x:c>
      <x:c r="E591" s="15" t="str"/>
      <x:c r="F591" s="15" t="str">
        <x:v>R2500.00 paid from Current a/c..512781 @ Smartapp. Avail R41505. Ref.Sakkie Wages. 28Mar 12:31</x:v>
      </x:c>
      <x:c r="G591" s="15" t="str">
        <x:v>Sakkie Wages</x:v>
      </x:c>
      <x:c r="H591" s="38" t="n">
        <x:v>2500</x:v>
      </x:c>
      <x:c r="I591" s="15" t="str">
        <x:v>ZAR</x:v>
      </x:c>
      <x:c r="J591" s="15" t="str">
        <x:v>Outflow</x:v>
      </x:c>
      <x:c r="K591" s="15" t="str">
        <x:v>EFT payment</x:v>
      </x:c>
      <x:c r="L591" s="15" t="str">
        <x:v>Salary / wages</x:v>
      </x:c>
      <x:c r="M591" s="38"/>
      <x:c r="N591" s="38" t="n">
        <x:v>41505</x:v>
      </x:c>
      <x:c r="O591" s="15" t="str"/>
      <x:c r="P591" s="15" t="str">
        <x:v>eml_ALL_currentac__512781 (2).zip &gt; eml4currentac__512781.zip</x:v>
      </x:c>
      <x:c r="Q591" s="15" t="str">
        <x:v>FNB _-) R2500.00 paid from Current a_c..512781 @ Smartapp. Ref.Sakkie Wages. 28Mar 12_31.eml</x:v>
      </x:c>
      <x:c r="R591" s="15" t="str">
        <x:v>High</x:v>
      </x:c>
      <x:c r="S591" s="15" t="str"/>
      <x:c r="T591" s="15" t="str"/>
      <x:c r="U591" s="15" t="str"/>
      <x:c r="V591" s="15" t="str">
        <x:v>Sakkie Wages</x:v>
      </x:c>
      <x:c r="W591" s="15" t="str">
        <x:v>Smartapp</x:v>
      </x:c>
      <x:c r="X591" s="15" t="str">
        <x:v>FNB :-) R2500.00 paid from Current a/c..512781 @ Smartapp. Avail R41505. Ref.Sakkie Wages. 28Mar 12:31</x:v>
      </x:c>
      <x:c r="Y591" s="15" t="str">
        <x:v>a7a9383fee2f5025</x:v>
      </x:c>
    </x:row>
    <x:row r="592">
      <x:c r="A592" s="34" t="n">
        <x:v>46109.77916666667</x:v>
      </x:c>
      <x:c r="B592" s="36" t="n">
        <x:v>46109</x:v>
      </x:c>
      <x:c r="C592" s="34" t="n">
        <x:v>46109.77929398148</x:v>
      </x:c>
      <x:c r="D592" s="15" t="str">
        <x:v>Current a/c..512781</x:v>
      </x:c>
      <x:c r="E592" s="15" t="str">
        <x:v>card..2924</x:v>
      </x:c>
      <x:c r="F592" s="15" t="str">
        <x:v>R240.00 reserved for purchase @ Amazing Kruger from Current a/c..512781 using card..2924. Avail R41218. 28Mar 18:42</x:v>
      </x:c>
      <x:c r="G592" s="15" t="str">
        <x:v>Amazing Kruger</x:v>
      </x:c>
      <x:c r="H592" s="38" t="n">
        <x:v>240</x:v>
      </x:c>
      <x:c r="I592" s="15" t="str">
        <x:v>ZAR</x:v>
      </x:c>
      <x:c r="J592" s="15" t="str">
        <x:v>Outflow</x:v>
      </x:c>
      <x:c r="K592" s="15" t="str">
        <x:v>Card purchase</x:v>
      </x:c>
      <x:c r="L592" s="15" t="str">
        <x:v>Card spend</x:v>
      </x:c>
      <x:c r="M592" s="38"/>
      <x:c r="N592" s="38" t="n">
        <x:v>41218</x:v>
      </x:c>
      <x:c r="O592" s="15" t="str"/>
      <x:c r="P592" s="15" t="str">
        <x:v>eml_ALL_currentac__512781 (2).zip &gt; eml4currentac__512781.zip</x:v>
      </x:c>
      <x:c r="Q592" s="15" t="str">
        <x:v>FNB _-) R240.00 reserved for purchase @ Amazing Kruger from Current a_c..512781 using card..2924. 28Mar 18_42.eml</x:v>
      </x:c>
      <x:c r="R592" s="15" t="str">
        <x:v>High</x:v>
      </x:c>
      <x:c r="S592" s="15" t="str">
        <x:v>Category confidence Low: Default card-spend category; merchant not confidently mapped.</x:v>
      </x:c>
      <x:c r="T592" s="15" t="str"/>
      <x:c r="U592" s="15" t="str"/>
      <x:c r="V592" s="15" t="str"/>
      <x:c r="W592" s="15" t="str"/>
      <x:c r="X592" s="15" t="str">
        <x:v>FNB :-) R240.00 reserved for purchase @ Amazing Kruger from Current a/c..512781 using card..2924. Avail R41218. 28Mar 18:42</x:v>
      </x:c>
      <x:c r="Y592" s="15" t="str">
        <x:v>d104cb4f5591fafa</x:v>
      </x:c>
    </x:row>
    <x:row r="593">
      <x:c r="A593" s="34" t="n">
        <x:v>46110.53611111111</x:v>
      </x:c>
      <x:c r="B593" s="36" t="n">
        <x:v>46110</x:v>
      </x:c>
      <x:c r="C593" s="34" t="n">
        <x:v>46110.53622685185</x:v>
      </x:c>
      <x:c r="D593" s="15" t="str">
        <x:v>Current a/c..512781</x:v>
      </x:c>
      <x:c r="E593" s="15" t="str">
        <x:v>card..2924</x:v>
      </x:c>
      <x:c r="F593" s="15" t="str">
        <x:v>R724.38 reserved for purchase @ Marlothi Petrol Stat from Current a/c..512781 using card..2924. Avail R40478. 29Mar 12:52</x:v>
      </x:c>
      <x:c r="G593" s="15" t="str">
        <x:v>Marlothi Petrol Stat</x:v>
      </x:c>
      <x:c r="H593" s="38" t="n">
        <x:v>724.38</x:v>
      </x:c>
      <x:c r="I593" s="15" t="str">
        <x:v>ZAR</x:v>
      </x:c>
      <x:c r="J593" s="15" t="str">
        <x:v>Outflow</x:v>
      </x:c>
      <x:c r="K593" s="15" t="str">
        <x:v>Card purchase</x:v>
      </x:c>
      <x:c r="L593" s="15" t="str">
        <x:v>Fuel / transport</x:v>
      </x:c>
      <x:c r="M593" s="38"/>
      <x:c r="N593" s="38" t="n">
        <x:v>40478</x:v>
      </x:c>
      <x:c r="O593" s="15" t="str"/>
      <x:c r="P593" s="15" t="str">
        <x:v>eml_ALL_currentac__512781 (2).zip &gt; eml4currentac__512781.zip</x:v>
      </x:c>
      <x:c r="Q593" s="15" t="str">
        <x:v>FNB _-) R724.38 reserved for purchase @ Marlothi Petrol Stat from Current a_c..512781 using card..2924. 29Mar 12_52.eml</x:v>
      </x:c>
      <x:c r="R593" s="15" t="str">
        <x:v>High</x:v>
      </x:c>
      <x:c r="S593" s="15" t="str"/>
      <x:c r="T593" s="15" t="str"/>
      <x:c r="U593" s="15" t="str"/>
      <x:c r="V593" s="15" t="str"/>
      <x:c r="W593" s="15" t="str"/>
      <x:c r="X593" s="15" t="str">
        <x:v>FNB :-) R724.38 reserved for purchase @ Marlothi Petrol Stat from Current a/c..512781 using card..2924. Avail R40478. 29Mar 12:52</x:v>
      </x:c>
      <x:c r="Y593" s="15" t="str">
        <x:v>a86e989b8321768a</x:v>
      </x:c>
    </x:row>
    <x:row r="594">
      <x:c r="A594" s="34" t="n">
        <x:v>46110.75069444445</x:v>
      </x:c>
      <x:c r="B594" s="36" t="n">
        <x:v>46110</x:v>
      </x:c>
      <x:c r="C594" s="34" t="n">
        <x:v>46110.75090277778</x:v>
      </x:c>
      <x:c r="D594" s="15" t="str">
        <x:v>Current a/c..512781</x:v>
      </x:c>
      <x:c r="E594" s="15" t="str">
        <x:v>card..2924</x:v>
      </x:c>
      <x:c r="F594" s="15" t="str">
        <x:v>R250.00 reserved for purchase @ The Tin Shack from Current a/c..512781 using card..2924. Avail R40163. 29Mar 18:01</x:v>
      </x:c>
      <x:c r="G594" s="15" t="str">
        <x:v>The Tin Shack</x:v>
      </x:c>
      <x:c r="H594" s="38" t="n">
        <x:v>250</x:v>
      </x:c>
      <x:c r="I594" s="15" t="str">
        <x:v>ZAR</x:v>
      </x:c>
      <x:c r="J594" s="15" t="str">
        <x:v>Outflow</x:v>
      </x:c>
      <x:c r="K594" s="15" t="str">
        <x:v>Card purchase</x:v>
      </x:c>
      <x:c r="L594" s="15" t="str">
        <x:v>Meals / restaurants / entertainment</x:v>
      </x:c>
      <x:c r="M594" s="38"/>
      <x:c r="N594" s="38" t="n">
        <x:v>40163</x:v>
      </x:c>
      <x:c r="O594" s="15" t="str"/>
      <x:c r="P594" s="15" t="str">
        <x:v>eml_ALL_currentac__512781 (2).zip &gt; eml4currentac__512781.zip</x:v>
      </x:c>
      <x:c r="Q594" s="15" t="str">
        <x:v>FNB _-) R250.00 reserved for purchase @ The Tin Shack from Current a_c..512781 using card..2924. 29Mar 18_01.eml</x:v>
      </x:c>
      <x:c r="R594" s="15" t="str">
        <x:v>High</x:v>
      </x:c>
      <x:c r="S594" s="15" t="str"/>
      <x:c r="T594" s="15" t="str"/>
      <x:c r="U594" s="15" t="str"/>
      <x:c r="V594" s="15" t="str"/>
      <x:c r="W594" s="15" t="str"/>
      <x:c r="X594" s="15" t="str">
        <x:v>FNB :-) R250.00 reserved for purchase @ The Tin Shack from Current a/c..512781 using card..2924. Avail R40163. 29Mar 18:01</x:v>
      </x:c>
      <x:c r="Y594" s="15" t="str">
        <x:v>8091d2b323884d92</x:v>
      </x:c>
    </x:row>
    <x:row r="595">
      <x:c r="A595" s="34" t="n">
        <x:v>46111.38888888889</x:v>
      </x:c>
      <x:c r="B595" s="36" t="n">
        <x:v>46111</x:v>
      </x:c>
      <x:c r="C595" s="34" t="n">
        <x:v>46111.3890625</x:v>
      </x:c>
      <x:c r="D595" s="15" t="str">
        <x:v>Current a/c..512781</x:v>
      </x:c>
      <x:c r="E595" s="15" t="str"/>
      <x:c r="F595" s="15" t="str">
        <x:v>R1500.00 paid from Current a/c..512781 @ Smartapp. Avail R38655. Ref.Lebombo Wash 03/30. 30Mar 09:20</x:v>
      </x:c>
      <x:c r="G595" s="15" t="str">
        <x:v>Lebombo Wash 03/30</x:v>
      </x:c>
      <x:c r="H595" s="38" t="n">
        <x:v>1500</x:v>
      </x:c>
      <x:c r="I595" s="15" t="str">
        <x:v>ZAR</x:v>
      </x:c>
      <x:c r="J595" s="15" t="str">
        <x:v>Outflow</x:v>
      </x:c>
      <x:c r="K595" s="15" t="str">
        <x:v>EFT payment</x:v>
      </x:c>
      <x:c r="L595" s="15" t="str">
        <x:v>Supplier payments</x:v>
      </x:c>
      <x:c r="M595" s="38"/>
      <x:c r="N595" s="38" t="n">
        <x:v>38655</x:v>
      </x:c>
      <x:c r="O595" s="15" t="str"/>
      <x:c r="P595" s="15" t="str">
        <x:v>eml_ALL_currentac__512781 (2).zip &gt; eml4currentac__512781.zip</x:v>
      </x:c>
      <x:c r="Q595" s="15" t="str">
        <x:v>FNB _-) R1500.00 paid from Current a_c..512781 @ Smartapp. Ref.Lebombo Wash 03_30. 30Mar 09_20.eml</x:v>
      </x:c>
      <x:c r="R595" s="15" t="str">
        <x:v>High</x:v>
      </x:c>
      <x:c r="S595" s="15" t="str">
        <x:v>Category confidence Low: Default outflow category; review counterparty/reference.</x:v>
      </x:c>
      <x:c r="T595" s="15" t="str"/>
      <x:c r="U595" s="15" t="str"/>
      <x:c r="V595" s="15" t="str">
        <x:v>Lebombo Wash 03/30</x:v>
      </x:c>
      <x:c r="W595" s="15" t="str">
        <x:v>Smartapp</x:v>
      </x:c>
      <x:c r="X595" s="15" t="str">
        <x:v>FNB :-) R1500.00 paid from Current a/c..512781 @ Smartapp. Avail R38655. Ref.Lebombo Wash 03/30. 30Mar 09:20</x:v>
      </x:c>
      <x:c r="Y595" s="15" t="str">
        <x:v>a077e33e7f0ed6a9</x:v>
      </x:c>
    </x:row>
    <x:row r="596">
      <x:c r="A596" s="34" t="n">
        <x:v>46111.49513888889</x:v>
      </x:c>
      <x:c r="B596" s="36" t="n">
        <x:v>46111</x:v>
      </x:c>
      <x:c r="C596" s="34" t="n">
        <x:v>46111.49533564815</x:v>
      </x:c>
      <x:c r="D596" s="15" t="str">
        <x:v>Current a/c..512781</x:v>
      </x:c>
      <x:c r="E596" s="15" t="str"/>
      <x:c r="F596" s="15" t="str">
        <x:v>R142.08 paid from Current a/c..512781 @ Smartapp. Avail R38505. Ref.Bon Express 8018. 30Mar 11:53</x:v>
      </x:c>
      <x:c r="G596" s="15" t="str">
        <x:v>Bon Express 8018</x:v>
      </x:c>
      <x:c r="H596" s="38" t="n">
        <x:v>142.08</x:v>
      </x:c>
      <x:c r="I596" s="15" t="str">
        <x:v>ZAR</x:v>
      </x:c>
      <x:c r="J596" s="15" t="str">
        <x:v>Outflow</x:v>
      </x:c>
      <x:c r="K596" s="15" t="str">
        <x:v>EFT payment</x:v>
      </x:c>
      <x:c r="L596" s="15" t="str">
        <x:v>Supplier payments</x:v>
      </x:c>
      <x:c r="M596" s="38"/>
      <x:c r="N596" s="38" t="n">
        <x:v>38505</x:v>
      </x:c>
      <x:c r="O596" s="15" t="str"/>
      <x:c r="P596" s="15" t="str">
        <x:v>eml_ALL_currentac__512781 (2).zip &gt; eml4currentac__512781.zip</x:v>
      </x:c>
      <x:c r="Q596" s="15" t="str">
        <x:v>FNB _-) R142.08 paid from Current a_c..512781 @ Smartapp. Ref.Bon Express 8018. 30Mar 11_53.eml</x:v>
      </x:c>
      <x:c r="R596" s="15" t="str">
        <x:v>High</x:v>
      </x:c>
      <x:c r="S596" s="15" t="str">
        <x:v>Category confidence Low: Default outflow category; review counterparty/reference.</x:v>
      </x:c>
      <x:c r="T596" s="15" t="str"/>
      <x:c r="U596" s="15" t="str"/>
      <x:c r="V596" s="15" t="str">
        <x:v>Bon Express 8018</x:v>
      </x:c>
      <x:c r="W596" s="15" t="str">
        <x:v>Smartapp</x:v>
      </x:c>
      <x:c r="X596" s="15" t="str">
        <x:v>FNB :-) R142.08 paid from Current a/c..512781 @ Smartapp. Avail R38505. Ref.Bon Express 8018. 30Mar 11:53</x:v>
      </x:c>
      <x:c r="Y596" s="15" t="str">
        <x:v>8c3bb265bdecdce2</x:v>
      </x:c>
    </x:row>
    <x:row r="597">
      <x:c r="A597" s="34" t="n">
        <x:v>46111.51458333333</x:v>
      </x:c>
      <x:c r="B597" s="36" t="n">
        <x:v>46111</x:v>
      </x:c>
      <x:c r="C597" s="34" t="n">
        <x:v>46111.51476851852</x:v>
      </x:c>
      <x:c r="D597" s="15" t="str">
        <x:v>Current a/c..512781</x:v>
      </x:c>
      <x:c r="E597" s="15" t="str"/>
      <x:c r="F597" s="15" t="str">
        <x:v>R23503.00 paid to Current a/c..512781 @ Online Banking. Ref.Ag1 Seaside Village. 30Mar 12:21</x:v>
      </x:c>
      <x:c r="G597" s="15" t="str">
        <x:v>Ag1 Seaside Village</x:v>
      </x:c>
      <x:c r="H597" s="38" t="n">
        <x:v>23503</x:v>
      </x:c>
      <x:c r="I597" s="15" t="str">
        <x:v>ZAR</x:v>
      </x:c>
      <x:c r="J597" s="15" t="str">
        <x:v>Inflow</x:v>
      </x:c>
      <x:c r="K597" s="15" t="str">
        <x:v>EFT receipt</x:v>
      </x:c>
      <x:c r="L597" s="15" t="str">
        <x:v>Sales / customer receipts</x:v>
      </x:c>
      <x:c r="M597" s="38"/>
      <x:c r="N597" s="38"/>
      <x:c r="O597" s="15" t="str"/>
      <x:c r="P597" s="15" t="str">
        <x:v>eml_ALL_currentac__512781 (2).zip &gt; eml4currentac__512781.zip</x:v>
      </x:c>
      <x:c r="Q597" s="15" t="str">
        <x:v>FNB _-) R23503.00 paid to Current a_c..512781 @ Online Banking. Ref.Ag1 Seaside Village. 30Mar 12_21.eml</x:v>
      </x:c>
      <x:c r="R597" s="15" t="str">
        <x:v>High</x:v>
      </x:c>
      <x:c r="S597" s="15" t="str">
        <x:v>Category confidence Medium: Default for incoming EFT/PayShap/online receipt.</x:v>
      </x:c>
      <x:c r="T597" s="15" t="str"/>
      <x:c r="U597" s="15" t="str"/>
      <x:c r="V597" s="15" t="str">
        <x:v>Ag1 Seaside Village</x:v>
      </x:c>
      <x:c r="W597" s="15" t="str">
        <x:v>Online Banking</x:v>
      </x:c>
      <x:c r="X597" s="15" t="str">
        <x:v>FNB :-) R23503.00 paid to Current a/c..512781 @ Online Banking. Ref.Ag1 Seaside Village. 30Mar 12:21</x:v>
      </x:c>
      <x:c r="Y597" s="15" t="str">
        <x:v>fbd9fc5a8eebe0c8</x:v>
      </x:c>
    </x:row>
    <x:row r="598">
      <x:c r="A598" s="34" t="n">
        <x:v>46111.57777777778</x:v>
      </x:c>
      <x:c r="B598" s="36" t="n">
        <x:v>46111</x:v>
      </x:c>
      <x:c r="C598" s="34" t="n">
        <x:v>46111.578414351854</x:v>
      </x:c>
      <x:c r="D598" s="15" t="str">
        <x:v>Current a/c..512781</x:v>
      </x:c>
      <x:c r="E598" s="15" t="str"/>
      <x:c r="F598" s="15" t="str">
        <x:v>R10191.21 paid to Current a/c..512781 @ Payshap. Ref.Ik Pay 487882. 30Mar 13:52</x:v>
      </x:c>
      <x:c r="G598" s="15" t="str">
        <x:v>Ik Pay 487882</x:v>
      </x:c>
      <x:c r="H598" s="38" t="n">
        <x:v>10191.21</x:v>
      </x:c>
      <x:c r="I598" s="15" t="str">
        <x:v>ZAR</x:v>
      </x:c>
      <x:c r="J598" s="15" t="str">
        <x:v>Inflow</x:v>
      </x:c>
      <x:c r="K598" s="15" t="str">
        <x:v>EFT receipt</x:v>
      </x:c>
      <x:c r="L598" s="15" t="str">
        <x:v>Sales / customer receipts</x:v>
      </x:c>
      <x:c r="M598" s="38"/>
      <x:c r="N598" s="38"/>
      <x:c r="O598" s="15" t="str"/>
      <x:c r="P598" s="15" t="str">
        <x:v>eml_ALL_currentac__512781 (2).zip &gt; eml4currentac__512781.zip</x:v>
      </x:c>
      <x:c r="Q598" s="15" t="str">
        <x:v>FNB _-) R10191.21 paid to Current a_c..512781 @ Payshap. Ref.Ik Pay 487882. 30Mar 13_52.eml</x:v>
      </x:c>
      <x:c r="R598" s="15" t="str">
        <x:v>High</x:v>
      </x:c>
      <x:c r="S598" s="15" t="str">
        <x:v>Category confidence Medium: Default for incoming EFT/PayShap/online receipt.</x:v>
      </x:c>
      <x:c r="T598" s="15" t="str"/>
      <x:c r="U598" s="15" t="str"/>
      <x:c r="V598" s="15" t="str">
        <x:v>Ik Pay 487882</x:v>
      </x:c>
      <x:c r="W598" s="15" t="str">
        <x:v>Payshap</x:v>
      </x:c>
      <x:c r="X598" s="15" t="str">
        <x:v>FNB :-) R10191.21 paid to Current a/c..512781 @ Payshap. Ref.Ik Pay 487882. 30Mar 13:52</x:v>
      </x:c>
      <x:c r="Y598" s="15" t="str">
        <x:v>4216c35c195361c3</x:v>
      </x:c>
    </x:row>
    <x:row r="599">
      <x:c r="A599" s="34" t="n">
        <x:v>46111.631944444445</x:v>
      </x:c>
      <x:c r="B599" s="36" t="n">
        <x:v>46111</x:v>
      </x:c>
      <x:c r="C599" s="34" t="n">
        <x:v>46111.63208333333</x:v>
      </x:c>
      <x:c r="D599" s="15" t="str">
        <x:v>Current a/c..512781</x:v>
      </x:c>
      <x:c r="E599" s="15" t="str">
        <x:v>card..2924</x:v>
      </x:c>
      <x:c r="F599" s="15" t="str">
        <x:v>R105.61 reserved for purchase @ Savemor Marloth from Current a/c..512781 using card..2924. Avail R72094. 30Mar 15:10</x:v>
      </x:c>
      <x:c r="G599" s="15" t="str">
        <x:v>Savemor Marloth</x:v>
      </x:c>
      <x:c r="H599" s="38" t="n">
        <x:v>105.61</x:v>
      </x:c>
      <x:c r="I599" s="15" t="str">
        <x:v>ZAR</x:v>
      </x:c>
      <x:c r="J599" s="15" t="str">
        <x:v>Outflow</x:v>
      </x:c>
      <x:c r="K599" s="15" t="str">
        <x:v>Card purchase</x:v>
      </x:c>
      <x:c r="L599" s="15" t="str">
        <x:v>Supplier payments</x:v>
      </x:c>
      <x:c r="M599" s="38"/>
      <x:c r="N599" s="38" t="n">
        <x:v>72094</x:v>
      </x:c>
      <x:c r="O599" s="15" t="str"/>
      <x:c r="P599" s="15" t="str">
        <x:v>eml_ALL_currentac__512781 (2).zip &gt; eml4currentac__512781.zip</x:v>
      </x:c>
      <x:c r="Q599" s="15" t="str">
        <x:v>FNB _-) R105.61 reserved for purchase @ Savemor Marloth from Current a_c..512781 using card..2924. 30Mar 15_10.eml</x:v>
      </x:c>
      <x:c r="R599" s="15" t="str">
        <x:v>High</x:v>
      </x:c>
      <x:c r="S599" s="15" t="str">
        <x:v>Category confidence Medium: Retail/supplier merchant keyword.</x:v>
      </x:c>
      <x:c r="T599" s="15" t="str"/>
      <x:c r="U599" s="15" t="str"/>
      <x:c r="V599" s="15" t="str"/>
      <x:c r="W599" s="15" t="str"/>
      <x:c r="X599" s="15" t="str">
        <x:v>FNB :-) R105.61 reserved for purchase @ Savemor Marloth from Current a/c..512781 using card..2924. Avail R72094. 30Mar 15:10</x:v>
      </x:c>
      <x:c r="Y599" s="15" t="str">
        <x:v>c9c29601635721c1</x:v>
      </x:c>
    </x:row>
    <x:row r="600">
      <x:c r="A600" s="34" t="n">
        <x:v>46112.37569444445</x:v>
      </x:c>
      <x:c r="B600" s="36" t="n">
        <x:v>46112</x:v>
      </x:c>
      <x:c r="C600" s="34" t="n">
        <x:v>46112.376238425924</x:v>
      </x:c>
      <x:c r="D600" s="15" t="str">
        <x:v>Current a/c..512781</x:v>
      </x:c>
      <x:c r="E600" s="15" t="str"/>
      <x:c r="F600" s="15" t="str">
        <x:v>R500.00 paid from Current a/c..512781 @ Smartapp. Avail R71576. Ref.Kpci - C1736 April. 31Mar 09:01</x:v>
      </x:c>
      <x:c r="G600" s="15" t="str">
        <x:v>Kpci - C1736 April</x:v>
      </x:c>
      <x:c r="H600" s="38" t="n">
        <x:v>500</x:v>
      </x:c>
      <x:c r="I600" s="15" t="str">
        <x:v>ZAR</x:v>
      </x:c>
      <x:c r="J600" s="15" t="str">
        <x:v>Outflow</x:v>
      </x:c>
      <x:c r="K600" s="15" t="str">
        <x:v>EFT payment</x:v>
      </x:c>
      <x:c r="L600" s="15" t="str">
        <x:v>Supplier payments</x:v>
      </x:c>
      <x:c r="M600" s="38"/>
      <x:c r="N600" s="38" t="n">
        <x:v>71576</x:v>
      </x:c>
      <x:c r="O600" s="15" t="str"/>
      <x:c r="P600" s="15" t="str">
        <x:v>eml_ALL_currentac__512781 (2).zip &gt; eml4currentac__512781.zip</x:v>
      </x:c>
      <x:c r="Q600" s="15" t="str">
        <x:v>FNB _-) R500.00 paid from Current a_c..512781 @ Smartapp. Ref.Kpci - C1736 April. 31Mar 09_01.eml</x:v>
      </x:c>
      <x:c r="R600" s="15" t="str">
        <x:v>High</x:v>
      </x:c>
      <x:c r="S600" s="15" t="str">
        <x:v>Category confidence Low: Default outflow category; review counterparty/reference.</x:v>
      </x:c>
      <x:c r="T600" s="15" t="str"/>
      <x:c r="U600" s="15" t="str"/>
      <x:c r="V600" s="15" t="str">
        <x:v>Kpci - C1736 April</x:v>
      </x:c>
      <x:c r="W600" s="15" t="str">
        <x:v>Smartapp</x:v>
      </x:c>
      <x:c r="X600" s="15" t="str">
        <x:v>FNB :-) R500.00 paid from Current a/c..512781 @ Smartapp. Avail R71576. Ref.Kpci - C1736 April. 31Mar 09:01</x:v>
      </x:c>
      <x:c r="Y600" s="15" t="str">
        <x:v>23123b582efdb4d4</x:v>
      </x:c>
    </x:row>
    <x:row r="601">
      <x:c r="A601" s="34" t="n">
        <x:v>46112.38125</x:v>
      </x:c>
      <x:c r="B601" s="36" t="n">
        <x:v>46112</x:v>
      </x:c>
      <x:c r="C601" s="34" t="n">
        <x:v>46112.381631944445</x:v>
      </x:c>
      <x:c r="D601" s="15" t="str">
        <x:v>Current a/c..512781</x:v>
      </x:c>
      <x:c r="E601" s="15" t="str"/>
      <x:c r="F601" s="15" t="str">
        <x:v>R2929.00 paid from Current a/c..512781 @ Smartapp. Avail R68644. Ref.Kruger Safari 1689. 31Mar 09:09</x:v>
      </x:c>
      <x:c r="G601" s="15" t="str">
        <x:v>Kruger Safari 1689</x:v>
      </x:c>
      <x:c r="H601" s="38" t="n">
        <x:v>2929</x:v>
      </x:c>
      <x:c r="I601" s="15" t="str">
        <x:v>ZAR</x:v>
      </x:c>
      <x:c r="J601" s="15" t="str">
        <x:v>Outflow</x:v>
      </x:c>
      <x:c r="K601" s="15" t="str">
        <x:v>EFT payment</x:v>
      </x:c>
      <x:c r="L601" s="15" t="str">
        <x:v>Supplier payments</x:v>
      </x:c>
      <x:c r="M601" s="38"/>
      <x:c r="N601" s="38" t="n">
        <x:v>68644</x:v>
      </x:c>
      <x:c r="O601" s="15" t="str"/>
      <x:c r="P601" s="15" t="str">
        <x:v>eml_ALL_currentac__512781 (2).zip &gt; eml4currentac__512781.zip</x:v>
      </x:c>
      <x:c r="Q601" s="15" t="str">
        <x:v>FNB _-) R2929.00 paid from Current a_c..512781 @ Smartapp. Ref.Kruger Safari 1689. 31Mar 09_09.eml</x:v>
      </x:c>
      <x:c r="R601" s="15" t="str">
        <x:v>High</x:v>
      </x:c>
      <x:c r="S601" s="15" t="str">
        <x:v>Category confidence Low: Default outflow category; review counterparty/reference.</x:v>
      </x:c>
      <x:c r="T601" s="15" t="str"/>
      <x:c r="U601" s="15" t="str"/>
      <x:c r="V601" s="15" t="str">
        <x:v>Kruger Safari 1689</x:v>
      </x:c>
      <x:c r="W601" s="15" t="str">
        <x:v>Smartapp</x:v>
      </x:c>
      <x:c r="X601" s="15" t="str">
        <x:v>FNB :-) R2929.00 paid from Current a/c..512781 @ Smartapp. Avail R68644. Ref.Kruger Safari 1689. 31Mar 09:09</x:v>
      </x:c>
      <x:c r="Y601" s="15" t="str">
        <x:v>700d30588981b453</x:v>
      </x:c>
    </x:row>
    <x:row r="602">
      <x:c r="A602" s="34" t="n">
        <x:v>46112.39513888889</x:v>
      </x:c>
      <x:c r="B602" s="36" t="n">
        <x:v>46112</x:v>
      </x:c>
      <x:c r="C602" s="34" t="n">
        <x:v>46112.395625</x:v>
      </x:c>
      <x:c r="D602" s="15" t="str">
        <x:v>Current a/c..512781</x:v>
      </x:c>
      <x:c r="E602" s="15" t="str"/>
      <x:c r="F602" s="15" t="str">
        <x:v>R8480.00 paid from Current a/c..512781 @ Smartapp. Avail R60156. Ref.Royal Bush 3766. 31Mar 09:29</x:v>
      </x:c>
      <x:c r="G602" s="15" t="str">
        <x:v>Royal Bush 3766</x:v>
      </x:c>
      <x:c r="H602" s="38" t="n">
        <x:v>8480</x:v>
      </x:c>
      <x:c r="I602" s="15" t="str">
        <x:v>ZAR</x:v>
      </x:c>
      <x:c r="J602" s="15" t="str">
        <x:v>Outflow</x:v>
      </x:c>
      <x:c r="K602" s="15" t="str">
        <x:v>EFT payment</x:v>
      </x:c>
      <x:c r="L602" s="15" t="str">
        <x:v>Supplier payments</x:v>
      </x:c>
      <x:c r="M602" s="38"/>
      <x:c r="N602" s="38" t="n">
        <x:v>60156</x:v>
      </x:c>
      <x:c r="O602" s="15" t="str"/>
      <x:c r="P602" s="15" t="str">
        <x:v>eml_ALL_currentac__512781 (2).zip &gt; eml4currentac__512781.zip</x:v>
      </x:c>
      <x:c r="Q602" s="15" t="str">
        <x:v>FNB _-) R8480.00 paid from Current a_c..512781 @ Smartapp. Ref.Royal Bush 3766. 31Mar 09_29.eml</x:v>
      </x:c>
      <x:c r="R602" s="15" t="str">
        <x:v>High</x:v>
      </x:c>
      <x:c r="S602" s="15" t="str">
        <x:v>Category confidence Low: Default outflow category; review counterparty/reference.</x:v>
      </x:c>
      <x:c r="T602" s="15" t="str"/>
      <x:c r="U602" s="15" t="str"/>
      <x:c r="V602" s="15" t="str">
        <x:v>Royal Bush 3766</x:v>
      </x:c>
      <x:c r="W602" s="15" t="str">
        <x:v>Smartapp</x:v>
      </x:c>
      <x:c r="X602" s="15" t="str">
        <x:v>FNB :-) R8480.00 paid from Current a/c..512781 @ Smartapp. Avail R60156. Ref.Royal Bush 3766. 31Mar 09:29</x:v>
      </x:c>
      <x:c r="Y602" s="15" t="str">
        <x:v>3fd5e40e6e5d536a</x:v>
      </x:c>
    </x:row>
    <x:row r="603">
      <x:c r="A603" s="34" t="n">
        <x:v>46112.57361111111</x:v>
      </x:c>
      <x:c r="B603" s="36" t="n">
        <x:v>46112</x:v>
      </x:c>
      <x:c r="C603" s="34" t="n">
        <x:v>46112.57429398148</x:v>
      </x:c>
      <x:c r="D603" s="15" t="str">
        <x:v>Current a/c..512781</x:v>
      </x:c>
      <x:c r="E603" s="15" t="str">
        <x:v>card..2924</x:v>
      </x:c>
      <x:c r="F603" s="15" t="str">
        <x:v>R973.88 reserved for purchase @ Superspar Komatipoor from Current a/c..512781 using card..2924. Avail R59183. 31Mar 13:46</x:v>
      </x:c>
      <x:c r="G603" s="15" t="str">
        <x:v>Superspar Komatipoor</x:v>
      </x:c>
      <x:c r="H603" s="38" t="n">
        <x:v>973.88</x:v>
      </x:c>
      <x:c r="I603" s="15" t="str">
        <x:v>ZAR</x:v>
      </x:c>
      <x:c r="J603" s="15" t="str">
        <x:v>Outflow</x:v>
      </x:c>
      <x:c r="K603" s="15" t="str">
        <x:v>Card purchase</x:v>
      </x:c>
      <x:c r="L603" s="15" t="str">
        <x:v>Supplier payments</x:v>
      </x:c>
      <x:c r="M603" s="38"/>
      <x:c r="N603" s="38" t="n">
        <x:v>59183</x:v>
      </x:c>
      <x:c r="O603" s="15" t="str"/>
      <x:c r="P603" s="15" t="str">
        <x:v>eml_ALL_currentac__512781 (2).zip &gt; eml4currentac__512781.zip</x:v>
      </x:c>
      <x:c r="Q603" s="15" t="str">
        <x:v>FNB _-) R973.88 reserved for purchase @ Superspar Komatipoor from Current a_c..512781 using card..2924. 31Mar 13_46.eml</x:v>
      </x:c>
      <x:c r="R603" s="15" t="str">
        <x:v>High</x:v>
      </x:c>
      <x:c r="S603" s="15" t="str">
        <x:v>Category confidence Medium: Retail/supplier merchant keyword.</x:v>
      </x:c>
      <x:c r="T603" s="15" t="str"/>
      <x:c r="U603" s="15" t="str"/>
      <x:c r="V603" s="15" t="str"/>
      <x:c r="W603" s="15" t="str"/>
      <x:c r="X603" s="15" t="str">
        <x:v>FNB :-) R973.88 reserved for purchase @ Superspar Komatipoor from Current a/c..512781 using card..2924. Avail R59183. 31Mar 13:46</x:v>
      </x:c>
      <x:c r="Y603" s="15" t="str">
        <x:v>a1843c42b60264c3</x:v>
      </x:c>
    </x:row>
    <x:row r="604">
      <x:c r="A604" s="34" t="n">
        <x:v>46112.575694444444</x:v>
      </x:c>
      <x:c r="B604" s="36" t="n">
        <x:v>46112</x:v>
      </x:c>
      <x:c r="C604" s="34" t="n">
        <x:v>46112.57611111111</x:v>
      </x:c>
      <x:c r="D604" s="15" t="str">
        <x:v>Current a/c..512781</x:v>
      </x:c>
      <x:c r="E604" s="15" t="str"/>
      <x:c r="F604" s="15" t="str">
        <x:v>R150.00 paid from Current a/c..512781 @ Smartapp. Avail R59031. Ref.Electricity 14503572. 31Mar 13:49</x:v>
      </x:c>
      <x:c r="G604" s="15" t="str">
        <x:v>Electricity 14503572</x:v>
      </x:c>
      <x:c r="H604" s="38" t="n">
        <x:v>150</x:v>
      </x:c>
      <x:c r="I604" s="15" t="str">
        <x:v>ZAR</x:v>
      </x:c>
      <x:c r="J604" s="15" t="str">
        <x:v>Outflow</x:v>
      </x:c>
      <x:c r="K604" s="15" t="str">
        <x:v>EFT payment</x:v>
      </x:c>
      <x:c r="L604" s="15" t="str">
        <x:v>Telecom / utilities</x:v>
      </x:c>
      <x:c r="M604" s="38"/>
      <x:c r="N604" s="38" t="n">
        <x:v>59031</x:v>
      </x:c>
      <x:c r="O604" s="15" t="str"/>
      <x:c r="P604" s="15" t="str">
        <x:v>eml_ALL_currentac__512781 (2).zip &gt; eml4currentac__512781.zip</x:v>
      </x:c>
      <x:c r="Q604" s="15" t="str">
        <x:v>FNB _-) R150.00 paid from Current a_c..512781 @ Smartapp. Ref.Electricity 14503572. 31Mar 13_49.eml</x:v>
      </x:c>
      <x:c r="R604" s="15" t="str">
        <x:v>High</x:v>
      </x:c>
      <x:c r="S604" s="15" t="str"/>
      <x:c r="T604" s="15" t="str"/>
      <x:c r="U604" s="15" t="str"/>
      <x:c r="V604" s="15" t="str">
        <x:v>Electricity 14503572</x:v>
      </x:c>
      <x:c r="W604" s="15" t="str">
        <x:v>Smartapp</x:v>
      </x:c>
      <x:c r="X604" s="15" t="str">
        <x:v>FNB :-) R150.00 paid from Current a/c..512781 @ Smartapp. Avail R59031. Ref.Electricity 14503572. 31Mar 13:49</x:v>
      </x:c>
      <x:c r="Y604" s="15" t="str">
        <x:v>c61a33880bbdfbd6</x:v>
      </x:c>
    </x:row>
    <x:row r="605">
      <x:c r="A605" s="34" t="n">
        <x:v>46112.57708333333</x:v>
      </x:c>
      <x:c r="B605" s="36" t="n">
        <x:v>46112</x:v>
      </x:c>
      <x:c r="C605" s="34" t="n">
        <x:v>46112.57771990741</x:v>
      </x:c>
      <x:c r="D605" s="15" t="str">
        <x:v>Current a/c..512781</x:v>
      </x:c>
      <x:c r="E605" s="15" t="str"/>
      <x:c r="F605" s="15" t="str">
        <x:v>R9043.16 paid to Current a/c..512781 @ Payshap. Ref.Ik Pay 487882. 31Mar 13:51</x:v>
      </x:c>
      <x:c r="G605" s="15" t="str">
        <x:v>Ik Pay 487882</x:v>
      </x:c>
      <x:c r="H605" s="38" t="n">
        <x:v>9043.16</x:v>
      </x:c>
      <x:c r="I605" s="15" t="str">
        <x:v>ZAR</x:v>
      </x:c>
      <x:c r="J605" s="15" t="str">
        <x:v>Inflow</x:v>
      </x:c>
      <x:c r="K605" s="15" t="str">
        <x:v>EFT receipt</x:v>
      </x:c>
      <x:c r="L605" s="15" t="str">
        <x:v>Sales / customer receipts</x:v>
      </x:c>
      <x:c r="M605" s="38"/>
      <x:c r="N605" s="38"/>
      <x:c r="O605" s="15" t="str"/>
      <x:c r="P605" s="15" t="str">
        <x:v>eml_ALL_currentac__512781 (2).zip &gt; eml4currentac__512781.zip</x:v>
      </x:c>
      <x:c r="Q605" s="15" t="str">
        <x:v>FNB _-) R9043.16 paid to Current a_c..512781 @ Payshap. Ref.Ik Pay 487882. 31Mar 13_51.eml</x:v>
      </x:c>
      <x:c r="R605" s="15" t="str">
        <x:v>High</x:v>
      </x:c>
      <x:c r="S605" s="15" t="str">
        <x:v>Category confidence Medium: Default for incoming EFT/PayShap/online receipt.</x:v>
      </x:c>
      <x:c r="T605" s="15" t="str"/>
      <x:c r="U605" s="15" t="str"/>
      <x:c r="V605" s="15" t="str">
        <x:v>Ik Pay 487882</x:v>
      </x:c>
      <x:c r="W605" s="15" t="str">
        <x:v>Payshap</x:v>
      </x:c>
      <x:c r="X605" s="15" t="str">
        <x:v>FNB :-) R9043.16 paid to Current a/c..512781 @ Payshap. Ref.Ik Pay 487882. 31Mar 13:51</x:v>
      </x:c>
      <x:c r="Y605" s="15" t="str">
        <x:v>3bb0706f427a756b</x:v>
      </x:c>
    </x:row>
    <x:row r="606">
      <x:c r="A606" s="34" t="n">
        <x:v>46112.740277777775</x:v>
      </x:c>
      <x:c r="B606" s="36" t="n">
        <x:v>46112</x:v>
      </x:c>
      <x:c r="C606" s="34" t="n">
        <x:v>46112.74087962963</x:v>
      </x:c>
      <x:c r="D606" s="15" t="str">
        <x:v>Current a/c..512781</x:v>
      </x:c>
      <x:c r="E606" s="15" t="str"/>
      <x:c r="F606" s="15" t="str">
        <x:v>R25000.00 t/fer from Current a/c..512781 to Current a/c..261544 @ Smartapp. Avail R42979. 31Mar 17:46</x:v>
      </x:c>
      <x:c r="G606" s="15" t="str">
        <x:v>Current a/c..261544</x:v>
      </x:c>
      <x:c r="H606" s="38" t="n">
        <x:v>25000</x:v>
      </x:c>
      <x:c r="I606" s="15" t="str">
        <x:v>ZAR</x:v>
      </x:c>
      <x:c r="J606" s="15" t="str">
        <x:v>Internal Transfer</x:v>
      </x:c>
      <x:c r="K606" s="15" t="str">
        <x:v>Internal transfer</x:v>
      </x:c>
      <x:c r="L606" s="15" t="str">
        <x:v>Inter-account transfer</x:v>
      </x:c>
      <x:c r="M606" s="38"/>
      <x:c r="N606" s="38" t="n">
        <x:v>42979</x:v>
      </x:c>
      <x:c r="O606" s="15" t="str"/>
      <x:c r="P606" s="15" t="str">
        <x:v>eml_ALL_currentac__512781 (2).zip &gt; eml4currentac__512781.zip</x:v>
      </x:c>
      <x:c r="Q606" s="15" t="str">
        <x:v>FNB _-) R25000.00 t_fer from Current a_c..512781 to Current a_c..261544 @ Smartapp. 31Mar 17_46.eml</x:v>
      </x:c>
      <x:c r="R606" s="15" t="str">
        <x:v>High</x:v>
      </x:c>
      <x:c r="S606" s="15" t="str">
        <x:v>Classified as internal/inter-account transfer and excluded from operating cashflow.</x:v>
      </x:c>
      <x:c r="T606" s="15" t="str">
        <x:v>Current a/c..512781</x:v>
      </x:c>
      <x:c r="U606" s="15" t="str">
        <x:v>Current a/c..261544</x:v>
      </x:c>
      <x:c r="V606" s="15" t="str"/>
      <x:c r="W606" s="15" t="str">
        <x:v>Smartapp</x:v>
      </x:c>
      <x:c r="X606" s="15" t="str">
        <x:v>FNB :-) R25000.00 t/fer from Current a/c..512781 to Current a/c..261544 @ Smartapp. Avail R42979. 31Mar 17:46</x:v>
      </x:c>
      <x:c r="Y606" s="15" t="str">
        <x:v>6ac824cd965ccea6</x:v>
      </x:c>
    </x:row>
    <x:row r="607">
      <x:c r="A607" s="34" t="n">
        <x:v>46113.39513888889</x:v>
      </x:c>
      <x:c r="B607" s="36" t="n">
        <x:v>46113</x:v>
      </x:c>
      <x:c r="C607" s="34" t="n">
        <x:v>46113.39543981481</x:v>
      </x:c>
      <x:c r="D607" s="15" t="str">
        <x:v>Current a/c..512781</x:v>
      </x:c>
      <x:c r="E607" s="15" t="str"/>
      <x:c r="F607" s="15" t="str">
        <x:v>R2037.00 paid from Current a/c..512781 @ Smartapp. Avail R40819. Ref.Kruger Safari 1690. 1Apr 09:29</x:v>
      </x:c>
      <x:c r="G607" s="15" t="str">
        <x:v>Kruger Safari 1690</x:v>
      </x:c>
      <x:c r="H607" s="38" t="n">
        <x:v>2037</x:v>
      </x:c>
      <x:c r="I607" s="15" t="str">
        <x:v>ZAR</x:v>
      </x:c>
      <x:c r="J607" s="15" t="str">
        <x:v>Outflow</x:v>
      </x:c>
      <x:c r="K607" s="15" t="str">
        <x:v>EFT payment</x:v>
      </x:c>
      <x:c r="L607" s="15" t="str">
        <x:v>Supplier payments</x:v>
      </x:c>
      <x:c r="M607" s="38"/>
      <x:c r="N607" s="38" t="n">
        <x:v>40819</x:v>
      </x:c>
      <x:c r="O607" s="15" t="str"/>
      <x:c r="P607" s="15" t="str">
        <x:v>eml_ALL_currentac__512781 (2).zip &gt; eml4currentac__512781.zip</x:v>
      </x:c>
      <x:c r="Q607" s="15" t="str">
        <x:v>FNB _-) R2037.00 paid from Current a_c..512781 @ Smartapp. Ref.Kruger Safari 1690.  1Apr 09_29.eml</x:v>
      </x:c>
      <x:c r="R607" s="15" t="str">
        <x:v>High</x:v>
      </x:c>
      <x:c r="S607" s="15" t="str">
        <x:v>Category confidence Low: Default outflow category; review counterparty/reference.</x:v>
      </x:c>
      <x:c r="T607" s="15" t="str"/>
      <x:c r="U607" s="15" t="str"/>
      <x:c r="V607" s="15" t="str">
        <x:v>Kruger Safari 1690</x:v>
      </x:c>
      <x:c r="W607" s="15" t="str">
        <x:v>Smartapp</x:v>
      </x:c>
      <x:c r="X607" s="15" t="str">
        <x:v>FNB :-) R2037.00 paid from Current a/c..512781 @ Smartapp. Avail R40819. Ref.Kruger Safari 1690. 1Apr 09:29</x:v>
      </x:c>
      <x:c r="Y607" s="15" t="str">
        <x:v>75dfc2c7893eeca0</x:v>
      </x:c>
    </x:row>
    <x:row r="608">
      <x:c r="A608" s="34" t="n">
        <x:v>46113.395833333336</x:v>
      </x:c>
      <x:c r="B608" s="36" t="n">
        <x:v>46113</x:v>
      </x:c>
      <x:c r="C608" s="34" t="n">
        <x:v>46113.39641203704</x:v>
      </x:c>
      <x:c r="D608" s="15" t="str">
        <x:v>Current a/c..512781</x:v>
      </x:c>
      <x:c r="E608" s="15" t="str"/>
      <x:c r="F608" s="15" t="str">
        <x:v>R12000.00 paid from Current a/c..512781 @ Gen Ph. Avail R16789. Ref.Staff Salary. 1Apr 09:30</x:v>
      </x:c>
      <x:c r="G608" s="15" t="str">
        <x:v>Staff Salary</x:v>
      </x:c>
      <x:c r="H608" s="38" t="n">
        <x:v>12000</x:v>
      </x:c>
      <x:c r="I608" s="15" t="str">
        <x:v>ZAR</x:v>
      </x:c>
      <x:c r="J608" s="15" t="str">
        <x:v>Outflow</x:v>
      </x:c>
      <x:c r="K608" s="15" t="str">
        <x:v>EFT payment</x:v>
      </x:c>
      <x:c r="L608" s="15" t="str">
        <x:v>Salary / wages</x:v>
      </x:c>
      <x:c r="M608" s="38"/>
      <x:c r="N608" s="38" t="n">
        <x:v>16789</x:v>
      </x:c>
      <x:c r="O608" s="15" t="str"/>
      <x:c r="P608" s="15" t="str">
        <x:v>eml_ALL_currentac__512781 (2).zip &gt; eml4currentac__512781.zip</x:v>
      </x:c>
      <x:c r="Q608" s="15" t="str">
        <x:v>FNB _-) R12000.00 paid from Current a_c..512781 @ Gen Ph. Ref.Staff Salary.  1Apr 09_30.eml</x:v>
      </x:c>
      <x:c r="R608" s="15" t="str">
        <x:v>High</x:v>
      </x:c>
      <x:c r="S608" s="15" t="str"/>
      <x:c r="T608" s="15" t="str"/>
      <x:c r="U608" s="15" t="str"/>
      <x:c r="V608" s="15" t="str">
        <x:v>Staff Salary</x:v>
      </x:c>
      <x:c r="W608" s="15" t="str">
        <x:v>Gen Ph</x:v>
      </x:c>
      <x:c r="X608" s="15" t="str">
        <x:v>FNB :-) R12000.00 paid from Current a/c..512781 @ Gen Ph. Avail R16789. Ref.Staff Salary. 1Apr 09:30</x:v>
      </x:c>
      <x:c r="Y608" s="15" t="str">
        <x:v>5557ab1ec804e1e9</x:v>
      </x:c>
    </x:row>
    <x:row r="609">
      <x:c r="A609" s="34" t="n">
        <x:v>46113.395833333336</x:v>
      </x:c>
      <x:c r="B609" s="36" t="n">
        <x:v>46113</x:v>
      </x:c>
      <x:c r="C609" s="34" t="n">
        <x:v>46113.39599537037</x:v>
      </x:c>
      <x:c r="D609" s="15" t="str">
        <x:v>Current a/c..512781</x:v>
      </x:c>
      <x:c r="E609" s="15" t="str"/>
      <x:c r="F609" s="15" t="str">
        <x:v>R12000.00 paid from Current a/c..512781 @ Gen Ph. Avail R28804. Ref.Staff Salary. 1Apr 09:30</x:v>
      </x:c>
      <x:c r="G609" s="15" t="str">
        <x:v>Staff Salary</x:v>
      </x:c>
      <x:c r="H609" s="38" t="n">
        <x:v>12000</x:v>
      </x:c>
      <x:c r="I609" s="15" t="str">
        <x:v>ZAR</x:v>
      </x:c>
      <x:c r="J609" s="15" t="str">
        <x:v>Outflow</x:v>
      </x:c>
      <x:c r="K609" s="15" t="str">
        <x:v>EFT payment</x:v>
      </x:c>
      <x:c r="L609" s="15" t="str">
        <x:v>Salary / wages</x:v>
      </x:c>
      <x:c r="M609" s="38"/>
      <x:c r="N609" s="38" t="n">
        <x:v>28804</x:v>
      </x:c>
      <x:c r="O609" s="15" t="str"/>
      <x:c r="P609" s="15" t="str">
        <x:v>eml_ALL_currentac__512781 (2).zip &gt; eml4currentac__512781.zip</x:v>
      </x:c>
      <x:c r="Q609" s="15" t="str">
        <x:v>FNB _-) R12000.00 paid from Current a_c..512781 @ Gen Ph. Ref.Staff Salary.  1Apr 09_30_1.eml</x:v>
      </x:c>
      <x:c r="R609" s="15" t="str">
        <x:v>High</x:v>
      </x:c>
      <x:c r="S609" s="15" t="str"/>
      <x:c r="T609" s="15" t="str"/>
      <x:c r="U609" s="15" t="str"/>
      <x:c r="V609" s="15" t="str">
        <x:v>Staff Salary</x:v>
      </x:c>
      <x:c r="W609" s="15" t="str">
        <x:v>Gen Ph</x:v>
      </x:c>
      <x:c r="X609" s="15" t="str">
        <x:v>FNB :-) R12000.00 paid from Current a/c..512781 @ Gen Ph. Avail R28804. Ref.Staff Salary. 1Apr 09:30</x:v>
      </x:c>
      <x:c r="Y609" s="15" t="str">
        <x:v>ecbbf92c8b114936</x:v>
      </x:c>
    </x:row>
    <x:row r="610">
      <x:c r="A610" s="34" t="n">
        <x:v>46113.39722222222</x:v>
      </x:c>
      <x:c r="B610" s="36" t="n">
        <x:v>46113</x:v>
      </x:c>
      <x:c r="C610" s="34" t="n">
        <x:v>46113.39765046296</x:v>
      </x:c>
      <x:c r="D610" s="15" t="str">
        <x:v>Current a/c..512781</x:v>
      </x:c>
      <x:c r="E610" s="15" t="str"/>
      <x:c r="F610" s="15" t="str">
        <x:v>R759.00 paid from Current a/c..512781 @ Smartapp. Avail R16030. Ref.Nb N992820. 1Apr 09:32</x:v>
      </x:c>
      <x:c r="G610" s="15" t="str">
        <x:v>Nb N992820</x:v>
      </x:c>
      <x:c r="H610" s="38" t="n">
        <x:v>759</x:v>
      </x:c>
      <x:c r="I610" s="15" t="str">
        <x:v>ZAR</x:v>
      </x:c>
      <x:c r="J610" s="15" t="str">
        <x:v>Outflow</x:v>
      </x:c>
      <x:c r="K610" s="15" t="str">
        <x:v>EFT payment</x:v>
      </x:c>
      <x:c r="L610" s="15" t="str">
        <x:v>Supplier payments</x:v>
      </x:c>
      <x:c r="M610" s="38"/>
      <x:c r="N610" s="38" t="n">
        <x:v>16030</x:v>
      </x:c>
      <x:c r="O610" s="15" t="str"/>
      <x:c r="P610" s="15" t="str">
        <x:v>eml_ALL_currentac__512781 (2).zip &gt; eml4currentac__512781.zip</x:v>
      </x:c>
      <x:c r="Q610" s="15" t="str">
        <x:v>FNB _-) R759.00 paid from Current a_c..512781 @ Smartapp. Ref.Nb N992820.  1Apr 09_32.eml</x:v>
      </x:c>
      <x:c r="R610" s="15" t="str">
        <x:v>High</x:v>
      </x:c>
      <x:c r="S610" s="15" t="str">
        <x:v>Category confidence Low: Default outflow category; review counterparty/reference.</x:v>
      </x:c>
      <x:c r="T610" s="15" t="str"/>
      <x:c r="U610" s="15" t="str"/>
      <x:c r="V610" s="15" t="str">
        <x:v>Nb N992820</x:v>
      </x:c>
      <x:c r="W610" s="15" t="str">
        <x:v>Smartapp</x:v>
      </x:c>
      <x:c r="X610" s="15" t="str">
        <x:v>FNB :-) R759.00 paid from Current a/c..512781 @ Smartapp. Avail R16030. Ref.Nb N992820. 1Apr 09:32</x:v>
      </x:c>
      <x:c r="Y610" s="15" t="str">
        <x:v>e611ba5b560bb495</x:v>
      </x:c>
    </x:row>
    <x:row r="611">
      <x:c r="A611" s="34" t="n">
        <x:v>46113.39791666667</x:v>
      </x:c>
      <x:c r="B611" s="36" t="n">
        <x:v>46113</x:v>
      </x:c>
      <x:c r="C611" s="34" t="n">
        <x:v>46113.39861111111</x:v>
      </x:c>
      <x:c r="D611" s="15" t="str">
        <x:v>Current a/c..512781</x:v>
      </x:c>
      <x:c r="E611" s="15" t="str"/>
      <x:c r="F611" s="15" t="str">
        <x:v>R3000.00 paid from Current a/c..512781 @ Smartapp. Avail R13027. Ref.Staff Salary. 1Apr 09:33</x:v>
      </x:c>
      <x:c r="G611" s="15" t="str">
        <x:v>Staff Salary</x:v>
      </x:c>
      <x:c r="H611" s="38" t="n">
        <x:v>3000</x:v>
      </x:c>
      <x:c r="I611" s="15" t="str">
        <x:v>ZAR</x:v>
      </x:c>
      <x:c r="J611" s="15" t="str">
        <x:v>Outflow</x:v>
      </x:c>
      <x:c r="K611" s="15" t="str">
        <x:v>EFT payment</x:v>
      </x:c>
      <x:c r="L611" s="15" t="str">
        <x:v>Salary / wages</x:v>
      </x:c>
      <x:c r="M611" s="38"/>
      <x:c r="N611" s="38" t="n">
        <x:v>13027</x:v>
      </x:c>
      <x:c r="O611" s="15" t="str"/>
      <x:c r="P611" s="15" t="str">
        <x:v>eml_ALL_currentac__512781 (2).zip &gt; eml4currentac__512781.zip</x:v>
      </x:c>
      <x:c r="Q611" s="15" t="str">
        <x:v>FNB _-) R3000.00 paid from Current a_c..512781 @ Smartapp. Ref.Staff Salary.  1Apr 09_33.eml</x:v>
      </x:c>
      <x:c r="R611" s="15" t="str">
        <x:v>High</x:v>
      </x:c>
      <x:c r="S611" s="15" t="str"/>
      <x:c r="T611" s="15" t="str"/>
      <x:c r="U611" s="15" t="str"/>
      <x:c r="V611" s="15" t="str">
        <x:v>Staff Salary</x:v>
      </x:c>
      <x:c r="W611" s="15" t="str">
        <x:v>Smartapp</x:v>
      </x:c>
      <x:c r="X611" s="15" t="str">
        <x:v>FNB :-) R3000.00 paid from Current a/c..512781 @ Smartapp. Avail R13027. Ref.Staff Salary. 1Apr 09:33</x:v>
      </x:c>
      <x:c r="Y611" s="15" t="str">
        <x:v>34d2e0b3b88ab28b</x:v>
      </x:c>
    </x:row>
    <x:row r="612">
      <x:c r="A612" s="34" t="n">
        <x:v>46113.42013888889</x:v>
      </x:c>
      <x:c r="B612" s="36" t="n">
        <x:v>46113</x:v>
      </x:c>
      <x:c r="C612" s="34" t="n">
        <x:v>46113.42030092593</x:v>
      </x:c>
      <x:c r="D612" s="15" t="str">
        <x:v>Current a/c..512781</x:v>
      </x:c>
      <x:c r="E612" s="15" t="str"/>
      <x:c r="F612" s="15" t="str">
        <x:v>R1482.00 paid from Current a/c..512781 @ Smartapp. Avail R11542. Ref.Dinner Box 109255. 1Apr 10:05</x:v>
      </x:c>
      <x:c r="G612" s="15" t="str">
        <x:v>Dinner Box 109255</x:v>
      </x:c>
      <x:c r="H612" s="38" t="n">
        <x:v>1482</x:v>
      </x:c>
      <x:c r="I612" s="15" t="str">
        <x:v>ZAR</x:v>
      </x:c>
      <x:c r="J612" s="15" t="str">
        <x:v>Outflow</x:v>
      </x:c>
      <x:c r="K612" s="15" t="str">
        <x:v>EFT payment</x:v>
      </x:c>
      <x:c r="L612" s="15" t="str">
        <x:v>Meals / restaurants / entertainment</x:v>
      </x:c>
      <x:c r="M612" s="38"/>
      <x:c r="N612" s="38" t="n">
        <x:v>11542</x:v>
      </x:c>
      <x:c r="O612" s="15" t="str"/>
      <x:c r="P612" s="15" t="str">
        <x:v>eml_ALL_currentac__512781 (2).zip &gt; eml4currentac__512781.zip</x:v>
      </x:c>
      <x:c r="Q612" s="15" t="str">
        <x:v>FNB _-) R1482.00 paid from Current a_c..512781 @ Smartapp. Ref.Dinner Box 109255.  1Apr 10_05.eml</x:v>
      </x:c>
      <x:c r="R612" s="15" t="str">
        <x:v>High</x:v>
      </x:c>
      <x:c r="S612" s="15" t="str"/>
      <x:c r="T612" s="15" t="str"/>
      <x:c r="U612" s="15" t="str"/>
      <x:c r="V612" s="15" t="str">
        <x:v>Dinner Box 109255</x:v>
      </x:c>
      <x:c r="W612" s="15" t="str">
        <x:v>Smartapp</x:v>
      </x:c>
      <x:c r="X612" s="15" t="str">
        <x:v>FNB :-) R1482.00 paid from Current a/c..512781 @ Smartapp. Avail R11542. Ref.Dinner Box 109255. 1Apr 10:05</x:v>
      </x:c>
      <x:c r="Y612" s="15" t="str">
        <x:v>60df83c444bc210a</x:v>
      </x:c>
    </x:row>
    <x:row r="613">
      <x:c r="A613" s="34" t="n">
        <x:v>46113.427083333336</x:v>
      </x:c>
      <x:c r="B613" s="36" t="n">
        <x:v>46113</x:v>
      </x:c>
      <x:c r="C613" s="34" t="n">
        <x:v>46113.42712962963</x:v>
      </x:c>
      <x:c r="D613" s="15" t="str">
        <x:v>Current a/c..512781</x:v>
      </x:c>
      <x:c r="E613" s="15" t="str"/>
      <x:c r="F613" s="15" t="str">
        <x:v>R284.17 paid from Current a/c..512781 @ Smartapp. Avail R11258. Ref.Bon Express 008072. 1Apr 10:15</x:v>
      </x:c>
      <x:c r="G613" s="15" t="str">
        <x:v>Bon Express 008072</x:v>
      </x:c>
      <x:c r="H613" s="38" t="n">
        <x:v>284.17</x:v>
      </x:c>
      <x:c r="I613" s="15" t="str">
        <x:v>ZAR</x:v>
      </x:c>
      <x:c r="J613" s="15" t="str">
        <x:v>Outflow</x:v>
      </x:c>
      <x:c r="K613" s="15" t="str">
        <x:v>EFT payment</x:v>
      </x:c>
      <x:c r="L613" s="15" t="str">
        <x:v>Supplier payments</x:v>
      </x:c>
      <x:c r="M613" s="38"/>
      <x:c r="N613" s="38" t="n">
        <x:v>11258</x:v>
      </x:c>
      <x:c r="O613" s="15" t="str"/>
      <x:c r="P613" s="15" t="str">
        <x:v>eml_ALL_currentac__512781 (2).zip &gt; eml4currentac__512781.zip</x:v>
      </x:c>
      <x:c r="Q613" s="15" t="str">
        <x:v>FNB _-) R284.17 paid from Current a_c..512781 @ Smartapp. Ref.Bon Express 008072.  1Apr 10_15.eml</x:v>
      </x:c>
      <x:c r="R613" s="15" t="str">
        <x:v>High</x:v>
      </x:c>
      <x:c r="S613" s="15" t="str">
        <x:v>Category confidence Low: Default outflow category; review counterparty/reference.</x:v>
      </x:c>
      <x:c r="T613" s="15" t="str"/>
      <x:c r="U613" s="15" t="str"/>
      <x:c r="V613" s="15" t="str">
        <x:v>Bon Express 008072</x:v>
      </x:c>
      <x:c r="W613" s="15" t="str">
        <x:v>Smartapp</x:v>
      </x:c>
      <x:c r="X613" s="15" t="str">
        <x:v>FNB :-) R284.17 paid from Current a/c..512781 @ Smartapp. Avail R11258. Ref.Bon Express 008072. 1Apr 10:15</x:v>
      </x:c>
      <x:c r="Y613" s="15" t="str">
        <x:v>7b237d8bc9c43c0c</x:v>
      </x:c>
    </x:row>
    <x:row r="614">
      <x:c r="A614" s="34" t="n">
        <x:v>46113.57083333333</x:v>
      </x:c>
      <x:c r="B614" s="36" t="n">
        <x:v>46113</x:v>
      </x:c>
      <x:c r="C614" s="34" t="n">
        <x:v>46113.57087962963</x:v>
      </x:c>
      <x:c r="D614" s="15" t="str">
        <x:v>Current a/c..512781</x:v>
      </x:c>
      <x:c r="E614" s="15" t="str">
        <x:v>card..2924</x:v>
      </x:c>
      <x:c r="F614" s="15" t="str">
        <x:v>R1486.59 reserved for purchase @ Shoprite Komatipoort from Current a/c..512781 using card..2924. Avail R9771. 1Apr 13:42</x:v>
      </x:c>
      <x:c r="G614" s="15" t="str">
        <x:v>Shoprite Komatipoort</x:v>
      </x:c>
      <x:c r="H614" s="38" t="n">
        <x:v>1486.59</x:v>
      </x:c>
      <x:c r="I614" s="15" t="str">
        <x:v>ZAR</x:v>
      </x:c>
      <x:c r="J614" s="15" t="str">
        <x:v>Outflow</x:v>
      </x:c>
      <x:c r="K614" s="15" t="str">
        <x:v>Card purchase</x:v>
      </x:c>
      <x:c r="L614" s="15" t="str">
        <x:v>Supplier payments</x:v>
      </x:c>
      <x:c r="M614" s="38"/>
      <x:c r="N614" s="38" t="n">
        <x:v>9771</x:v>
      </x:c>
      <x:c r="O614" s="15" t="str"/>
      <x:c r="P614" s="15" t="str">
        <x:v>eml_ALL_currentac__512781 (2).zip &gt; eml4currentac__512781.zip</x:v>
      </x:c>
      <x:c r="Q614" s="15" t="str">
        <x:v>FNB _-) R1486.59 reserved for purchase @ Shoprite Komatipoort from Current a_c..512781 using card..2924.  1Apr 13_42.eml</x:v>
      </x:c>
      <x:c r="R614" s="15" t="str">
        <x:v>High</x:v>
      </x:c>
      <x:c r="S614" s="15" t="str">
        <x:v>Category confidence Medium: Retail/supplier merchant keyword.</x:v>
      </x:c>
      <x:c r="T614" s="15" t="str"/>
      <x:c r="U614" s="15" t="str"/>
      <x:c r="V614" s="15" t="str"/>
      <x:c r="W614" s="15" t="str"/>
      <x:c r="X614" s="15" t="str">
        <x:v>FNB :-) R1486.59 reserved for purchase @ Shoprite Komatipoort from Current a/c..512781 using card..2924. Avail R9771. 1Apr 13:42</x:v>
      </x:c>
      <x:c r="Y614" s="15" t="str">
        <x:v>b1fbb2bf2e8722d9</x:v>
      </x:c>
    </x:row>
    <x:row r="615">
      <x:c r="A615" s="34" t="n">
        <x:v>46113.583333333336</x:v>
      </x:c>
      <x:c r="B615" s="36" t="n">
        <x:v>46113</x:v>
      </x:c>
      <x:c r="C615" s="34" t="n">
        <x:v>46113.58394675926</x:v>
      </x:c>
      <x:c r="D615" s="15" t="str">
        <x:v>Current a/c..512781</x:v>
      </x:c>
      <x:c r="E615" s="15" t="str">
        <x:v>card..2924</x:v>
      </x:c>
      <x:c r="F615" s="15" t="str">
        <x:v>R122.30 reserved for purchase @ Lebombo Butchery from Current a/c..512781 using card..2924. Avail R9649. 1Apr 14:00</x:v>
      </x:c>
      <x:c r="G615" s="15" t="str">
        <x:v>Lebombo Butchery</x:v>
      </x:c>
      <x:c r="H615" s="38" t="n">
        <x:v>122.3</x:v>
      </x:c>
      <x:c r="I615" s="15" t="str">
        <x:v>ZAR</x:v>
      </x:c>
      <x:c r="J615" s="15" t="str">
        <x:v>Outflow</x:v>
      </x:c>
      <x:c r="K615" s="15" t="str">
        <x:v>Card purchase</x:v>
      </x:c>
      <x:c r="L615" s="15" t="str">
        <x:v>Supplier payments</x:v>
      </x:c>
      <x:c r="M615" s="38"/>
      <x:c r="N615" s="38" t="n">
        <x:v>9649</x:v>
      </x:c>
      <x:c r="O615" s="15" t="str"/>
      <x:c r="P615" s="15" t="str">
        <x:v>eml_ALL_currentac__512781 (2).zip &gt; eml4currentac__512781.zip</x:v>
      </x:c>
      <x:c r="Q615" s="15" t="str">
        <x:v>FNB _-) R122.30 reserved for purchase @ Lebombo Butchery from Current a_c..512781 using card..2924.  1Apr 14_00.eml</x:v>
      </x:c>
      <x:c r="R615" s="15" t="str">
        <x:v>High</x:v>
      </x:c>
      <x:c r="S615" s="15" t="str">
        <x:v>Category confidence Medium: Retail/supplier merchant keyword.</x:v>
      </x:c>
      <x:c r="T615" s="15" t="str"/>
      <x:c r="U615" s="15" t="str"/>
      <x:c r="V615" s="15" t="str"/>
      <x:c r="W615" s="15" t="str"/>
      <x:c r="X615" s="15" t="str">
        <x:v>FNB :-) R122.30 reserved for purchase @ Lebombo Butchery from Current a/c..512781 using card..2924. Avail R9649. 1Apr 14:00</x:v>
      </x:c>
      <x:c r="Y615" s="15" t="str">
        <x:v>b88998d4c96e85a3</x:v>
      </x:c>
    </x:row>
    <x:row r="616">
      <x:c r="A616" s="34" t="n">
        <x:v>46114.15138888889</x:v>
      </x:c>
      <x:c r="B616" s="36" t="n">
        <x:v>46114</x:v>
      </x:c>
      <x:c r="C616" s="34" t="n">
        <x:v>46114.15179398148</x:v>
      </x:c>
      <x:c r="D616" s="15" t="str">
        <x:v>Current a/c..512781</x:v>
      </x:c>
      <x:c r="E616" s="15" t="str"/>
      <x:c r="F616" s="15" t="str">
        <x:v>R2000.00 paid from Current a/c..512781 @ Smartapp. Avail R7646. Ref.Staff. 2Apr 03:38</x:v>
      </x:c>
      <x:c r="G616" s="15" t="str">
        <x:v>Staff</x:v>
      </x:c>
      <x:c r="H616" s="38" t="n">
        <x:v>2000</x:v>
      </x:c>
      <x:c r="I616" s="15" t="str">
        <x:v>ZAR</x:v>
      </x:c>
      <x:c r="J616" s="15" t="str">
        <x:v>Outflow</x:v>
      </x:c>
      <x:c r="K616" s="15" t="str">
        <x:v>EFT payment</x:v>
      </x:c>
      <x:c r="L616" s="15" t="str">
        <x:v>Salary / wages</x:v>
      </x:c>
      <x:c r="M616" s="38"/>
      <x:c r="N616" s="38" t="n">
        <x:v>7646</x:v>
      </x:c>
      <x:c r="O616" s="15" t="str"/>
      <x:c r="P616" s="15" t="str">
        <x:v>eml_ALL_currentac__512781 (2).zip &gt; eml4currentac__512781.zip</x:v>
      </x:c>
      <x:c r="Q616" s="15" t="str">
        <x:v>FNB _-) R2000.00 paid from Current a_c..512781 @ Smartapp. Ref.Staff.  2Apr 03_38.eml</x:v>
      </x:c>
      <x:c r="R616" s="15" t="str">
        <x:v>High</x:v>
      </x:c>
      <x:c r="S616" s="15" t="str"/>
      <x:c r="T616" s="15" t="str"/>
      <x:c r="U616" s="15" t="str"/>
      <x:c r="V616" s="15" t="str">
        <x:v>Staff</x:v>
      </x:c>
      <x:c r="W616" s="15" t="str">
        <x:v>Smartapp</x:v>
      </x:c>
      <x:c r="X616" s="15" t="str">
        <x:v>FNB :-) R2000.00 paid from Current a/c..512781 @ Smartapp. Avail R7646. Ref.Staff. 2Apr 03:38</x:v>
      </x:c>
      <x:c r="Y616" s="15" t="str">
        <x:v>9019313b420be4c1</x:v>
      </x:c>
    </x:row>
    <x:row r="617">
      <x:c r="A617" s="34" t="n">
        <x:v>46114.228472222225</x:v>
      </x:c>
      <x:c r="B617" s="36" t="n">
        <x:v>46114</x:v>
      </x:c>
      <x:c r="C617" s="34" t="n">
        <x:v>46114.22856481482</x:v>
      </x:c>
      <x:c r="D617" s="15" t="str">
        <x:v>Current a/c..512781</x:v>
      </x:c>
      <x:c r="E617" s="15" t="str"/>
      <x:c r="F617" s="15" t="str">
        <x:v>R2000.00 paid from Current a/c..512781 @ Smartapp. Avail R5643. Ref.Staff. 2Apr 05:29</x:v>
      </x:c>
      <x:c r="G617" s="15" t="str">
        <x:v>Staff</x:v>
      </x:c>
      <x:c r="H617" s="38" t="n">
        <x:v>2000</x:v>
      </x:c>
      <x:c r="I617" s="15" t="str">
        <x:v>ZAR</x:v>
      </x:c>
      <x:c r="J617" s="15" t="str">
        <x:v>Outflow</x:v>
      </x:c>
      <x:c r="K617" s="15" t="str">
        <x:v>EFT payment</x:v>
      </x:c>
      <x:c r="L617" s="15" t="str">
        <x:v>Salary / wages</x:v>
      </x:c>
      <x:c r="M617" s="38"/>
      <x:c r="N617" s="38" t="n">
        <x:v>5643</x:v>
      </x:c>
      <x:c r="O617" s="15" t="str"/>
      <x:c r="P617" s="15" t="str">
        <x:v>eml_ALL_currentac__512781 (2).zip &gt; eml4currentac__512781.zip</x:v>
      </x:c>
      <x:c r="Q617" s="15" t="str">
        <x:v>FNB _-) R2000.00 paid from Current a_c..512781 @ Smartapp. Ref.Staff.  2Apr 05_29.eml</x:v>
      </x:c>
      <x:c r="R617" s="15" t="str">
        <x:v>High</x:v>
      </x:c>
      <x:c r="S617" s="15" t="str"/>
      <x:c r="T617" s="15" t="str"/>
      <x:c r="U617" s="15" t="str"/>
      <x:c r="V617" s="15" t="str">
        <x:v>Staff</x:v>
      </x:c>
      <x:c r="W617" s="15" t="str">
        <x:v>Smartapp</x:v>
      </x:c>
      <x:c r="X617" s="15" t="str">
        <x:v>FNB :-) R2000.00 paid from Current a/c..512781 @ Smartapp. Avail R5643. Ref.Staff. 2Apr 05:29</x:v>
      </x:c>
      <x:c r="Y617" s="15" t="str">
        <x:v>10bda3dabde5c74a</x:v>
      </x:c>
    </x:row>
    <x:row r="618">
      <x:c r="A618" s="34" t="n">
        <x:v>46114.38055555556</x:v>
      </x:c>
      <x:c r="B618" s="36" t="n">
        <x:v>46114</x:v>
      </x:c>
      <x:c r="C618" s="34" t="n">
        <x:v>46114.38085648148</x:v>
      </x:c>
      <x:c r="D618" s="15" t="str">
        <x:v>Current a/c..512781</x:v>
      </x:c>
      <x:c r="E618" s="15" t="str"/>
      <x:c r="F618" s="15" t="str">
        <x:v>R24034.56 paid to Current a/c..512781 @ Retail Forex. Ref.R026txbl00 Booking.c. 2Apr 09:08</x:v>
      </x:c>
      <x:c r="G618" s="15" t="str">
        <x:v>R026txbl00 Booking.c</x:v>
      </x:c>
      <x:c r="H618" s="38" t="n">
        <x:v>24034.56</x:v>
      </x:c>
      <x:c r="I618" s="15" t="str">
        <x:v>ZAR</x:v>
      </x:c>
      <x:c r="J618" s="15" t="str">
        <x:v>Inflow</x:v>
      </x:c>
      <x:c r="K618" s="15" t="str">
        <x:v>EFT receipt</x:v>
      </x:c>
      <x:c r="L618" s="15" t="str">
        <x:v>Sales / customer receipts</x:v>
      </x:c>
      <x:c r="M618" s="38"/>
      <x:c r="N618" s="38"/>
      <x:c r="O618" s="15" t="str"/>
      <x:c r="P618" s="15" t="str">
        <x:v>eml_ALL_currentac__512781 (2).zip &gt; eml4currentac__512781.zip</x:v>
      </x:c>
      <x:c r="Q618" s="15" t="str">
        <x:v>FNB _-) R24034.56 paid to Current a_c..512781 @ Retail Forex. Ref.R026txbl00 Booking.c.  2Apr 09_08.eml</x:v>
      </x:c>
      <x:c r="R618" s="15" t="str">
        <x:v>High</x:v>
      </x:c>
      <x:c r="S618" s="15" t="str">
        <x:v>Category confidence Medium: Default for incoming EFT/PayShap/online receipt.</x:v>
      </x:c>
      <x:c r="T618" s="15" t="str"/>
      <x:c r="U618" s="15" t="str"/>
      <x:c r="V618" s="15" t="str">
        <x:v>R026txbl00 Booking.c</x:v>
      </x:c>
      <x:c r="W618" s="15" t="str">
        <x:v>Retail Forex</x:v>
      </x:c>
      <x:c r="X618" s="15" t="str">
        <x:v>FNB :-) R24034.56 paid to Current a/c..512781 @ Retail Forex. Ref.R026txbl00 Booking.c. 2Apr 09:08</x:v>
      </x:c>
      <x:c r="Y618" s="15" t="str">
        <x:v>4e04d99380dc83ac</x:v>
      </x:c>
    </x:row>
    <x:row r="619">
      <x:c r="A619" s="34" t="n">
        <x:v>46114.501388888886</x:v>
      </x:c>
      <x:c r="B619" s="36" t="n">
        <x:v>46114</x:v>
      </x:c>
      <x:c r="C619" s="34" t="n">
        <x:v>46114.50166666666</x:v>
      </x:c>
      <x:c r="D619" s="15" t="str">
        <x:v>Current a/c..512781</x:v>
      </x:c>
      <x:c r="E619" s="15" t="str">
        <x:v>card..2924</x:v>
      </x:c>
      <x:c r="F619" s="15" t="str">
        <x:v>R1137.33 reserved for purchase @ Woolworths from Current a/c..512781 using card..2924. Avail R28540. 2Apr 12:02</x:v>
      </x:c>
      <x:c r="G619" s="15" t="str">
        <x:v>Woolworths</x:v>
      </x:c>
      <x:c r="H619" s="38" t="n">
        <x:v>1137.33</x:v>
      </x:c>
      <x:c r="I619" s="15" t="str">
        <x:v>ZAR</x:v>
      </x:c>
      <x:c r="J619" s="15" t="str">
        <x:v>Outflow</x:v>
      </x:c>
      <x:c r="K619" s="15" t="str">
        <x:v>Card purchase</x:v>
      </x:c>
      <x:c r="L619" s="15" t="str">
        <x:v>Supplier payments</x:v>
      </x:c>
      <x:c r="M619" s="38"/>
      <x:c r="N619" s="38" t="n">
        <x:v>28540</x:v>
      </x:c>
      <x:c r="O619" s="15" t="str"/>
      <x:c r="P619" s="15" t="str">
        <x:v>eml_ALL_currentac__512781 (2).zip &gt; eml4currentac__512781.zip</x:v>
      </x:c>
      <x:c r="Q619" s="15" t="str">
        <x:v>FNB _-) R1137.33 reserved for purchase @ Woolworths from Current a_c..512781 using card..2924.  2Apr 12_02.eml</x:v>
      </x:c>
      <x:c r="R619" s="15" t="str">
        <x:v>High</x:v>
      </x:c>
      <x:c r="S619" s="15" t="str">
        <x:v>Category confidence Medium: Retail/supplier merchant keyword.</x:v>
      </x:c>
      <x:c r="T619" s="15" t="str"/>
      <x:c r="U619" s="15" t="str"/>
      <x:c r="V619" s="15" t="str"/>
      <x:c r="W619" s="15" t="str"/>
      <x:c r="X619" s="15" t="str">
        <x:v>FNB :-) R1137.33 reserved for purchase @ Woolworths from Current a/c..512781 using card..2924. Avail R28540. 2Apr 12:02</x:v>
      </x:c>
      <x:c r="Y619" s="15" t="str">
        <x:v>7877de4172c8a626</x:v>
      </x:c>
    </x:row>
    <x:row r="620">
      <x:c r="A620" s="34" t="n">
        <x:v>46114.55972222222</x:v>
      </x:c>
      <x:c r="B620" s="36" t="n">
        <x:v>46114</x:v>
      </x:c>
      <x:c r="C620" s="34" t="n">
        <x:v>46114.559965277775</x:v>
      </x:c>
      <x:c r="D620" s="15" t="str">
        <x:v>Current a/c..512781</x:v>
      </x:c>
      <x:c r="E620" s="15" t="str">
        <x:v>card..2924</x:v>
      </x:c>
      <x:c r="F620" s="15" t="str">
        <x:v>R918.06 reserved for purchase @ Superspar Malelane from Current a/c..512781 using card..2924. Avail R27622. 2Apr 13:26</x:v>
      </x:c>
      <x:c r="G620" s="15" t="str">
        <x:v>Superspar Malelane</x:v>
      </x:c>
      <x:c r="H620" s="38" t="n">
        <x:v>918.06</x:v>
      </x:c>
      <x:c r="I620" s="15" t="str">
        <x:v>ZAR</x:v>
      </x:c>
      <x:c r="J620" s="15" t="str">
        <x:v>Outflow</x:v>
      </x:c>
      <x:c r="K620" s="15" t="str">
        <x:v>Card purchase</x:v>
      </x:c>
      <x:c r="L620" s="15" t="str">
        <x:v>Supplier payments</x:v>
      </x:c>
      <x:c r="M620" s="38"/>
      <x:c r="N620" s="38" t="n">
        <x:v>27622</x:v>
      </x:c>
      <x:c r="O620" s="15" t="str"/>
      <x:c r="P620" s="15" t="str">
        <x:v>eml_ALL_currentac__512781 (2).zip &gt; eml4currentac__512781.zip</x:v>
      </x:c>
      <x:c r="Q620" s="15" t="str">
        <x:v>FNB _-) R918.06 reserved for purchase @ Superspar Malelane from Current a_c..512781 using card..2924.  2Apr 13_26.eml</x:v>
      </x:c>
      <x:c r="R620" s="15" t="str">
        <x:v>High</x:v>
      </x:c>
      <x:c r="S620" s="15" t="str">
        <x:v>Category confidence Medium: Retail/supplier merchant keyword.</x:v>
      </x:c>
      <x:c r="T620" s="15" t="str"/>
      <x:c r="U620" s="15" t="str"/>
      <x:c r="V620" s="15" t="str"/>
      <x:c r="W620" s="15" t="str"/>
      <x:c r="X620" s="15" t="str">
        <x:v>FNB :-) R918.06 reserved for purchase @ Superspar Malelane from Current a/c..512781 using card..2924. Avail R27622. 2Apr 13:26</x:v>
      </x:c>
      <x:c r="Y620" s="15" t="str">
        <x:v>6d86204d61355ea9</x:v>
      </x:c>
    </x:row>
    <x:row r="621">
      <x:c r="A621" s="34" t="n">
        <x:v>46114.57361111111</x:v>
      </x:c>
      <x:c r="B621" s="36" t="n">
        <x:v>46114</x:v>
      </x:c>
      <x:c r="C621" s="34" t="n">
        <x:v>46114.574166666665</x:v>
      </x:c>
      <x:c r="D621" s="15" t="str">
        <x:v>Current a/c..512781</x:v>
      </x:c>
      <x:c r="E621" s="15" t="str">
        <x:v>card..2924</x:v>
      </x:c>
      <x:c r="F621" s="15" t="str">
        <x:v>R254.20 reserved for purchase @ Oasis Water Malelane from Current a/c..512781 using card..2924. Avail R27285. 2Apr 13:46</x:v>
      </x:c>
      <x:c r="G621" s="15" t="str">
        <x:v>Oasis Water Malelane</x:v>
      </x:c>
      <x:c r="H621" s="38" t="n">
        <x:v>254.2</x:v>
      </x:c>
      <x:c r="I621" s="15" t="str">
        <x:v>ZAR</x:v>
      </x:c>
      <x:c r="J621" s="15" t="str">
        <x:v>Outflow</x:v>
      </x:c>
      <x:c r="K621" s="15" t="str">
        <x:v>Card purchase</x:v>
      </x:c>
      <x:c r="L621" s="15" t="str">
        <x:v>Supplier payments</x:v>
      </x:c>
      <x:c r="M621" s="38"/>
      <x:c r="N621" s="38" t="n">
        <x:v>27285</x:v>
      </x:c>
      <x:c r="O621" s="15" t="str"/>
      <x:c r="P621" s="15" t="str">
        <x:v>eml_ALL_currentac__512781 (2).zip &gt; eml4currentac__512781.zip</x:v>
      </x:c>
      <x:c r="Q621" s="15" t="str">
        <x:v>FNB _-) R254.20 reserved for purchase @ Oasis Water Malelane from Current a_c..512781 using card..2924.  2Apr 13_46.eml</x:v>
      </x:c>
      <x:c r="R621" s="15" t="str">
        <x:v>High</x:v>
      </x:c>
      <x:c r="S621" s="15" t="str">
        <x:v>Category confidence Medium: Retail/supplier merchant keyword.</x:v>
      </x:c>
      <x:c r="T621" s="15" t="str"/>
      <x:c r="U621" s="15" t="str"/>
      <x:c r="V621" s="15" t="str"/>
      <x:c r="W621" s="15" t="str"/>
      <x:c r="X621" s="15" t="str">
        <x:v>FNB :-) R254.20 reserved for purchase @ Oasis Water Malelane from Current a/c..512781 using card..2924. Avail R27285. 2Apr 13:46</x:v>
      </x:c>
      <x:c r="Y621" s="15" t="str">
        <x:v>91bc038dc81cd73e</x:v>
      </x:c>
    </x:row>
    <x:row r="622">
      <x:c r="A622" s="34" t="n">
        <x:v>46114.68541666667</x:v>
      </x:c>
      <x:c r="B622" s="36" t="n">
        <x:v>46114</x:v>
      </x:c>
      <x:c r="C622" s="34" t="n">
        <x:v>46114.685532407406</x:v>
      </x:c>
      <x:c r="D622" s="15" t="str">
        <x:v>Current a/c..512781</x:v>
      </x:c>
      <x:c r="E622" s="15" t="str"/>
      <x:c r="F622" s="15" t="str">
        <x:v>R500.00 paid from Current a/c..512781 @ Smartapp. Avail R26785. Ref.Electricity 04294887. 2Apr 16:27</x:v>
      </x:c>
      <x:c r="G622" s="15" t="str">
        <x:v>Electricity 04294887</x:v>
      </x:c>
      <x:c r="H622" s="38" t="n">
        <x:v>500</x:v>
      </x:c>
      <x:c r="I622" s="15" t="str">
        <x:v>ZAR</x:v>
      </x:c>
      <x:c r="J622" s="15" t="str">
        <x:v>Outflow</x:v>
      </x:c>
      <x:c r="K622" s="15" t="str">
        <x:v>EFT payment</x:v>
      </x:c>
      <x:c r="L622" s="15" t="str">
        <x:v>Telecom / utilities</x:v>
      </x:c>
      <x:c r="M622" s="38"/>
      <x:c r="N622" s="38" t="n">
        <x:v>26785</x:v>
      </x:c>
      <x:c r="O622" s="15" t="str"/>
      <x:c r="P622" s="15" t="str">
        <x:v>eml_ALL_currentac__512781 (2).zip &gt; eml4currentac__512781.zip</x:v>
      </x:c>
      <x:c r="Q622" s="15" t="str">
        <x:v>FNB _-) R500.00 paid from Current a_c..512781 @ Smartapp. Ref.Electricity 04294887.  2Apr 16_27.eml</x:v>
      </x:c>
      <x:c r="R622" s="15" t="str">
        <x:v>High</x:v>
      </x:c>
      <x:c r="S622" s="15" t="str"/>
      <x:c r="T622" s="15" t="str"/>
      <x:c r="U622" s="15" t="str"/>
      <x:c r="V622" s="15" t="str">
        <x:v>Electricity 04294887</x:v>
      </x:c>
      <x:c r="W622" s="15" t="str">
        <x:v>Smartapp</x:v>
      </x:c>
      <x:c r="X622" s="15" t="str">
        <x:v>FNB :-) R500.00 paid from Current a/c..512781 @ Smartapp. Avail R26785. Ref.Electricity 04294887. 2Apr 16:27</x:v>
      </x:c>
      <x:c r="Y622" s="15" t="str">
        <x:v>0f6dbed0b0f85634</x:v>
      </x:c>
    </x:row>
    <x:row r="623">
      <x:c r="A623" s="34" t="n">
        <x:v>46114.73125</x:v>
      </x:c>
      <x:c r="B623" s="36" t="n">
        <x:v>46114</x:v>
      </x:c>
      <x:c r="C623" s="34" t="n">
        <x:v>46114.73168981481</x:v>
      </x:c>
      <x:c r="D623" s="15" t="str">
        <x:v>Current a/c..512781</x:v>
      </x:c>
      <x:c r="E623" s="15" t="str">
        <x:v>card..2924</x:v>
      </x:c>
      <x:c r="F623" s="15" t="str">
        <x:v>R500.00 reserved for purchase @ The Tin Shack from Current a/c..512781 using card..2924. Avail R26285. 2Apr 17:33</x:v>
      </x:c>
      <x:c r="G623" s="15" t="str">
        <x:v>The Tin Shack</x:v>
      </x:c>
      <x:c r="H623" s="38" t="n">
        <x:v>500</x:v>
      </x:c>
      <x:c r="I623" s="15" t="str">
        <x:v>ZAR</x:v>
      </x:c>
      <x:c r="J623" s="15" t="str">
        <x:v>Outflow</x:v>
      </x:c>
      <x:c r="K623" s="15" t="str">
        <x:v>Card purchase</x:v>
      </x:c>
      <x:c r="L623" s="15" t="str">
        <x:v>Meals / restaurants / entertainment</x:v>
      </x:c>
      <x:c r="M623" s="38"/>
      <x:c r="N623" s="38" t="n">
        <x:v>26285</x:v>
      </x:c>
      <x:c r="O623" s="15" t="str"/>
      <x:c r="P623" s="15" t="str">
        <x:v>eml_ALL_currentac__512781 (2).zip &gt; eml4currentac__512781.zip</x:v>
      </x:c>
      <x:c r="Q623" s="15" t="str">
        <x:v>FNB _-) R500.00 reserved for purchase @ The Tin Shack from Current a_c..512781 using card..2924.  2Apr 17_33.eml</x:v>
      </x:c>
      <x:c r="R623" s="15" t="str">
        <x:v>High</x:v>
      </x:c>
      <x:c r="S623" s="15" t="str"/>
      <x:c r="T623" s="15" t="str"/>
      <x:c r="U623" s="15" t="str"/>
      <x:c r="V623" s="15" t="str"/>
      <x:c r="W623" s="15" t="str"/>
      <x:c r="X623" s="15" t="str">
        <x:v>FNB :-) R500.00 reserved for purchase @ The Tin Shack from Current a/c..512781 using card..2924. Avail R26285. 2Apr 17:33</x:v>
      </x:c>
      <x:c r="Y623" s="15" t="str">
        <x:v>ae1e74d824abf273</x:v>
      </x:c>
    </x:row>
    <x:row r="624">
      <x:c r="A624" s="34" t="n">
        <x:v>46115.44236111111</x:v>
      </x:c>
      <x:c r="B624" s="36" t="n">
        <x:v>46115</x:v>
      </x:c>
      <x:c r="C624" s="34" t="n">
        <x:v>46115.44287037037</x:v>
      </x:c>
      <x:c r="D624" s="15" t="str">
        <x:v>Current a/c..512781</x:v>
      </x:c>
      <x:c r="E624" s="15" t="str">
        <x:v>card..2924</x:v>
      </x:c>
      <x:c r="F624" s="15" t="str">
        <x:v>R329.96 reserved for purchase @ Savemor Marloth from Current a/c..512781 using card..2924. Avail R25954. 3Apr 10:37</x:v>
      </x:c>
      <x:c r="G624" s="15" t="str">
        <x:v>Savemor Marloth</x:v>
      </x:c>
      <x:c r="H624" s="38" t="n">
        <x:v>329.96</x:v>
      </x:c>
      <x:c r="I624" s="15" t="str">
        <x:v>ZAR</x:v>
      </x:c>
      <x:c r="J624" s="15" t="str">
        <x:v>Outflow</x:v>
      </x:c>
      <x:c r="K624" s="15" t="str">
        <x:v>Card purchase</x:v>
      </x:c>
      <x:c r="L624" s="15" t="str">
        <x:v>Supplier payments</x:v>
      </x:c>
      <x:c r="M624" s="38"/>
      <x:c r="N624" s="38" t="n">
        <x:v>25954</x:v>
      </x:c>
      <x:c r="O624" s="15" t="str"/>
      <x:c r="P624" s="15" t="str">
        <x:v>eml_ALL_currentac__512781 (2).zip &gt; eml4currentac__512781.zip</x:v>
      </x:c>
      <x:c r="Q624" s="15" t="str">
        <x:v>FNB _-) R329.96 reserved for purchase @ Savemor Marloth from Current a_c..512781 using card..2924.  3Apr 10_37.eml</x:v>
      </x:c>
      <x:c r="R624" s="15" t="str">
        <x:v>High</x:v>
      </x:c>
      <x:c r="S624" s="15" t="str">
        <x:v>Category confidence Medium: Retail/supplier merchant keyword.</x:v>
      </x:c>
      <x:c r="T624" s="15" t="str"/>
      <x:c r="U624" s="15" t="str"/>
      <x:c r="V624" s="15" t="str"/>
      <x:c r="W624" s="15" t="str"/>
      <x:c r="X624" s="15" t="str">
        <x:v>FNB :-) R329.96 reserved for purchase @ Savemor Marloth from Current a/c..512781 using card..2924. Avail R25954. 3Apr 10:37</x:v>
      </x:c>
      <x:c r="Y624" s="15" t="str">
        <x:v>3827e78644a28d58</x:v>
      </x:c>
    </x:row>
    <x:row r="625">
      <x:c r="A625" s="34" t="n">
        <x:v>46115.868055555555</x:v>
      </x:c>
      <x:c r="B625" s="36" t="n">
        <x:v>46115</x:v>
      </x:c>
      <x:c r="C625" s="34" t="n">
        <x:v>46115.868113425924</x:v>
      </x:c>
      <x:c r="D625" s="15" t="str">
        <x:v>Current a/c..512781</x:v>
      </x:c>
      <x:c r="E625" s="15" t="str">
        <x:v>card..2924</x:v>
      </x:c>
      <x:c r="F625" s="15" t="str">
        <x:v>R335.00 reserved for purchase @ Yoco *k2025744041 from Current a/c..512781 using card..2924. Avail R25619. 3Apr 20:50</x:v>
      </x:c>
      <x:c r="G625" s="15" t="str">
        <x:v>Yoco *k2025744041</x:v>
      </x:c>
      <x:c r="H625" s="38" t="n">
        <x:v>335</x:v>
      </x:c>
      <x:c r="I625" s="15" t="str">
        <x:v>ZAR</x:v>
      </x:c>
      <x:c r="J625" s="15" t="str">
        <x:v>Outflow</x:v>
      </x:c>
      <x:c r="K625" s="15" t="str">
        <x:v>Card purchase</x:v>
      </x:c>
      <x:c r="L625" s="15" t="str">
        <x:v>Card spend</x:v>
      </x:c>
      <x:c r="M625" s="38"/>
      <x:c r="N625" s="38" t="n">
        <x:v>25619</x:v>
      </x:c>
      <x:c r="O625" s="15" t="str"/>
      <x:c r="P625" s="15" t="str">
        <x:v>eml_ALL_currentac__512781 (2).zip &gt; eml4currentac__512781.zip</x:v>
      </x:c>
      <x:c r="Q625" s="15" t="str">
        <x:v>FNB _-) R335.00 reserved for purchase @ Yoco _k2025744041 from Current a_c..512781 using card..2924.  3Apr 20_50.eml</x:v>
      </x:c>
      <x:c r="R625" s="15" t="str">
        <x:v>High</x:v>
      </x:c>
      <x:c r="S625" s="15" t="str">
        <x:v>Category confidence Low: Default card-spend category; merchant not confidently mapped.</x:v>
      </x:c>
      <x:c r="T625" s="15" t="str"/>
      <x:c r="U625" s="15" t="str"/>
      <x:c r="V625" s="15" t="str"/>
      <x:c r="W625" s="15" t="str"/>
      <x:c r="X625" s="15" t="str">
        <x:v>FNB :-) R335.00 reserved for purchase @ Yoco *k2025744041 from Current a/c..512781 using card..2924. Avail R25619. 3Apr 20:50</x:v>
      </x:c>
      <x:c r="Y625" s="15" t="str">
        <x:v>ab522a75510bc1eb</x:v>
      </x:c>
    </x:row>
    <x:row r="626">
      <x:c r="A626" s="34" t="n">
        <x:v>46116.45</x:v>
      </x:c>
      <x:c r="B626" s="36" t="n">
        <x:v>46116</x:v>
      </x:c>
      <x:c r="C626" s="34" t="n">
        <x:v>46116.450104166666</x:v>
      </x:c>
      <x:c r="D626" s="15" t="str">
        <x:v>Current a/c..512781</x:v>
      </x:c>
      <x:c r="E626" s="15" t="str"/>
      <x:c r="F626" s="15" t="str">
        <x:v>R226.65 paid to Current a/c..512781 @ Payshap. Ref.Ik Pay 487882. 4Apr 10:48</x:v>
      </x:c>
      <x:c r="G626" s="15" t="str">
        <x:v>Ik Pay 487882</x:v>
      </x:c>
      <x:c r="H626" s="38" t="n">
        <x:v>226.65</x:v>
      </x:c>
      <x:c r="I626" s="15" t="str">
        <x:v>ZAR</x:v>
      </x:c>
      <x:c r="J626" s="15" t="str">
        <x:v>Inflow</x:v>
      </x:c>
      <x:c r="K626" s="15" t="str">
        <x:v>EFT receipt</x:v>
      </x:c>
      <x:c r="L626" s="15" t="str">
        <x:v>Sales / customer receipts</x:v>
      </x:c>
      <x:c r="M626" s="38"/>
      <x:c r="N626" s="38"/>
      <x:c r="O626" s="15" t="str"/>
      <x:c r="P626" s="15" t="str">
        <x:v>eml_ALL_currentac__512781 (2).zip &gt; eml4currentac__512781.zip</x:v>
      </x:c>
      <x:c r="Q626" s="15" t="str">
        <x:v>FNB _-) R226.65 paid to Current a_c..512781 @ Payshap. Ref.Ik Pay 487882.  4Apr 10_48.eml</x:v>
      </x:c>
      <x:c r="R626" s="15" t="str">
        <x:v>High</x:v>
      </x:c>
      <x:c r="S626" s="15" t="str">
        <x:v>Category confidence Medium: Default for incoming EFT/PayShap/online receipt.</x:v>
      </x:c>
      <x:c r="T626" s="15" t="str"/>
      <x:c r="U626" s="15" t="str"/>
      <x:c r="V626" s="15" t="str">
        <x:v>Ik Pay 487882</x:v>
      </x:c>
      <x:c r="W626" s="15" t="str">
        <x:v>Payshap</x:v>
      </x:c>
      <x:c r="X626" s="15" t="str">
        <x:v>FNB :-) R226.65 paid to Current a/c..512781 @ Payshap. Ref.Ik Pay 487882. 4Apr 10:48</x:v>
      </x:c>
      <x:c r="Y626" s="15" t="str">
        <x:v>0958813757693d42</x:v>
      </x:c>
    </x:row>
    <x:row r="627">
      <x:c r="A627" s="34" t="n">
        <x:v>46116.50486111111</x:v>
      </x:c>
      <x:c r="B627" s="36" t="n">
        <x:v>46116</x:v>
      </x:c>
      <x:c r="C627" s="34" t="n">
        <x:v>46116.50508101852</x:v>
      </x:c>
      <x:c r="D627" s="15" t="str">
        <x:v>Current a/c..512781</x:v>
      </x:c>
      <x:c r="E627" s="15" t="str">
        <x:v>card..2924</x:v>
      </x:c>
      <x:c r="F627" s="15" t="str">
        <x:v>R736.86 reserved for purchase @ Woolworths from Current a/c..512781 using card..2924. Avail R25109. 4Apr 12:07</x:v>
      </x:c>
      <x:c r="G627" s="15" t="str">
        <x:v>Woolworths</x:v>
      </x:c>
      <x:c r="H627" s="38" t="n">
        <x:v>736.86</x:v>
      </x:c>
      <x:c r="I627" s="15" t="str">
        <x:v>ZAR</x:v>
      </x:c>
      <x:c r="J627" s="15" t="str">
        <x:v>Outflow</x:v>
      </x:c>
      <x:c r="K627" s="15" t="str">
        <x:v>Card purchase</x:v>
      </x:c>
      <x:c r="L627" s="15" t="str">
        <x:v>Supplier payments</x:v>
      </x:c>
      <x:c r="M627" s="38"/>
      <x:c r="N627" s="38" t="n">
        <x:v>25109</x:v>
      </x:c>
      <x:c r="O627" s="15" t="str"/>
      <x:c r="P627" s="15" t="str">
        <x:v>eml_ALL_currentac__512781 (2).zip &gt; eml4currentac__512781.zip</x:v>
      </x:c>
      <x:c r="Q627" s="15" t="str">
        <x:v>FNB _-) R736.86 reserved for purchase @ Woolworths from Current a_c..512781 using card..2924.  4Apr 12_07.eml</x:v>
      </x:c>
      <x:c r="R627" s="15" t="str">
        <x:v>High</x:v>
      </x:c>
      <x:c r="S627" s="15" t="str">
        <x:v>Category confidence Medium: Retail/supplier merchant keyword.</x:v>
      </x:c>
      <x:c r="T627" s="15" t="str"/>
      <x:c r="U627" s="15" t="str"/>
      <x:c r="V627" s="15" t="str"/>
      <x:c r="W627" s="15" t="str"/>
      <x:c r="X627" s="15" t="str">
        <x:v>FNB :-) R736.86 reserved for purchase @ Woolworths from Current a/c..512781 using card..2924. Avail R25109. 4Apr 12:07</x:v>
      </x:c>
      <x:c r="Y627" s="15" t="str">
        <x:v>e55761bc134ff46f</x:v>
      </x:c>
    </x:row>
    <x:row r="628">
      <x:c r="A628" s="34" t="n">
        <x:v>46116.53611111111</x:v>
      </x:c>
      <x:c r="B628" s="36" t="n">
        <x:v>46116</x:v>
      </x:c>
      <x:c r="C628" s="34" t="n">
        <x:v>46116.53613425926</x:v>
      </x:c>
      <x:c r="D628" s="15" t="str">
        <x:v>Current a/c..512781</x:v>
      </x:c>
      <x:c r="E628" s="15" t="str">
        <x:v>card..2924</x:v>
      </x:c>
      <x:c r="F628" s="15" t="str">
        <x:v>R731.35 reserved for purchase @ Superspar Malelane from Current a/c..512781 using card..2924. Avail R24377. 4Apr 12:52</x:v>
      </x:c>
      <x:c r="G628" s="15" t="str">
        <x:v>Superspar Malelane</x:v>
      </x:c>
      <x:c r="H628" s="38" t="n">
        <x:v>731.35</x:v>
      </x:c>
      <x:c r="I628" s="15" t="str">
        <x:v>ZAR</x:v>
      </x:c>
      <x:c r="J628" s="15" t="str">
        <x:v>Outflow</x:v>
      </x:c>
      <x:c r="K628" s="15" t="str">
        <x:v>Card purchase</x:v>
      </x:c>
      <x:c r="L628" s="15" t="str">
        <x:v>Supplier payments</x:v>
      </x:c>
      <x:c r="M628" s="38"/>
      <x:c r="N628" s="38" t="n">
        <x:v>24377</x:v>
      </x:c>
      <x:c r="O628" s="15" t="str"/>
      <x:c r="P628" s="15" t="str">
        <x:v>eml_ALL_currentac__512781 (2).zip &gt; eml4currentac__512781.zip</x:v>
      </x:c>
      <x:c r="Q628" s="15" t="str">
        <x:v>FNB _-) R731.35 reserved for purchase @ Superspar Malelane from Current a_c..512781 using card..2924.  4Apr 12_52.eml</x:v>
      </x:c>
      <x:c r="R628" s="15" t="str">
        <x:v>High</x:v>
      </x:c>
      <x:c r="S628" s="15" t="str">
        <x:v>Category confidence Medium: Retail/supplier merchant keyword.</x:v>
      </x:c>
      <x:c r="T628" s="15" t="str"/>
      <x:c r="U628" s="15" t="str"/>
      <x:c r="V628" s="15" t="str"/>
      <x:c r="W628" s="15" t="str"/>
      <x:c r="X628" s="15" t="str">
        <x:v>FNB :-) R731.35 reserved for purchase @ Superspar Malelane from Current a/c..512781 using card..2924. Avail R24377. 4Apr 12:52</x:v>
      </x:c>
      <x:c r="Y628" s="15" t="str">
        <x:v>ccc4542eb744f5a0</x:v>
      </x:c>
    </x:row>
    <x:row r="629">
      <x:c r="A629" s="34" t="n">
        <x:v>46116.600694444445</x:v>
      </x:c>
      <x:c r="B629" s="36" t="n">
        <x:v>46116</x:v>
      </x:c>
      <x:c r="C629" s="34" t="n">
        <x:v>46116.60108796296</x:v>
      </x:c>
      <x:c r="D629" s="15" t="str">
        <x:v>Current a/c..512781</x:v>
      </x:c>
      <x:c r="E629" s="15" t="str"/>
      <x:c r="F629" s="15" t="str">
        <x:v>R250.00 paid from Current a/c..512781 @ Smartapp. Avail R24127. Ref.Sakkie Wages. 4Apr 14:25</x:v>
      </x:c>
      <x:c r="G629" s="15" t="str">
        <x:v>Sakkie Wages</x:v>
      </x:c>
      <x:c r="H629" s="38" t="n">
        <x:v>250</x:v>
      </x:c>
      <x:c r="I629" s="15" t="str">
        <x:v>ZAR</x:v>
      </x:c>
      <x:c r="J629" s="15" t="str">
        <x:v>Outflow</x:v>
      </x:c>
      <x:c r="K629" s="15" t="str">
        <x:v>EFT payment</x:v>
      </x:c>
      <x:c r="L629" s="15" t="str">
        <x:v>Salary / wages</x:v>
      </x:c>
      <x:c r="M629" s="38"/>
      <x:c r="N629" s="38" t="n">
        <x:v>24127</x:v>
      </x:c>
      <x:c r="O629" s="15" t="str"/>
      <x:c r="P629" s="15" t="str">
        <x:v>eml_ALL_currentac__512781 (2).zip &gt; eml4currentac__512781.zip</x:v>
      </x:c>
      <x:c r="Q629" s="15" t="str">
        <x:v>FNB _-) R250.00 paid from Current a_c..512781 @ Smartapp. Ref.Sakkie Wages.  4Apr 14_25.eml</x:v>
      </x:c>
      <x:c r="R629" s="15" t="str">
        <x:v>High</x:v>
      </x:c>
      <x:c r="S629" s="15" t="str"/>
      <x:c r="T629" s="15" t="str"/>
      <x:c r="U629" s="15" t="str"/>
      <x:c r="V629" s="15" t="str">
        <x:v>Sakkie Wages</x:v>
      </x:c>
      <x:c r="W629" s="15" t="str">
        <x:v>Smartapp</x:v>
      </x:c>
      <x:c r="X629" s="15" t="str">
        <x:v>FNB :-) R250.00 paid from Current a/c..512781 @ Smartapp. Avail R24127. Ref.Sakkie Wages. 4Apr 14:25</x:v>
      </x:c>
      <x:c r="Y629" s="15" t="str">
        <x:v>1c95d6702a4bcf0c</x:v>
      </x:c>
    </x:row>
    <x:row r="630">
      <x:c r="A630" s="34" t="n">
        <x:v>46117.50763888889</x:v>
      </x:c>
      <x:c r="B630" s="36" t="n">
        <x:v>46117</x:v>
      </x:c>
      <x:c r="C630" s="34" t="n">
        <x:v>46117.508206018516</x:v>
      </x:c>
      <x:c r="D630" s="15" t="str">
        <x:v>Current a/c..512781</x:v>
      </x:c>
      <x:c r="E630" s="15" t="str">
        <x:v>card..2924</x:v>
      </x:c>
      <x:c r="F630" s="15" t="str">
        <x:v>R400.00 withdrawn from Current a/c..512781 using card..2924 @ Atmh11960000001. Avail R23668. 5Apr 12:11</x:v>
      </x:c>
      <x:c r="G630" s="15" t="str">
        <x:v>Atmh11960000001</x:v>
      </x:c>
      <x:c r="H630" s="38" t="n">
        <x:v>400</x:v>
      </x:c>
      <x:c r="I630" s="15" t="str">
        <x:v>ZAR</x:v>
      </x:c>
      <x:c r="J630" s="15" t="str">
        <x:v>Outflow</x:v>
      </x:c>
      <x:c r="K630" s="15" t="str">
        <x:v>ATM / cash withdrawal</x:v>
      </x:c>
      <x:c r="L630" s="15" t="str">
        <x:v>Cash withdrawal</x:v>
      </x:c>
      <x:c r="M630" s="38"/>
      <x:c r="N630" s="38" t="n">
        <x:v>23668</x:v>
      </x:c>
      <x:c r="O630" s="15" t="str">
        <x:v>Atmh11960000001</x:v>
      </x:c>
      <x:c r="P630" s="15" t="str">
        <x:v>eml_ALL_currentac__512781 (2).zip &gt; eml4currentac__512781.zip</x:v>
      </x:c>
      <x:c r="Q630" s="15" t="str">
        <x:v>FNB _-) R400.00 withdrawn from Current a_c..512781 using card..2924 @ Atmh11960000001.  5Apr 12_11.eml</x:v>
      </x:c>
      <x:c r="R630" s="15" t="str">
        <x:v>High</x:v>
      </x:c>
      <x:c r="S630" s="15" t="str">
        <x:v>Cash withdrawal; included in outflows and separated in income statement.</x:v>
      </x:c>
      <x:c r="T630" s="15" t="str"/>
      <x:c r="U630" s="15" t="str"/>
      <x:c r="V630" s="15" t="str"/>
      <x:c r="W630" s="15" t="str"/>
      <x:c r="X630" s="15" t="str">
        <x:v>FNB :-) R400.00 withdrawn from Current a/c..512781 using card..2924 @ Atmh11960000001. Avail R23668. 5Apr 12:11</x:v>
      </x:c>
      <x:c r="Y630" s="15" t="str">
        <x:v>7d64e760bd4e0ae2</x:v>
      </x:c>
    </x:row>
    <x:row r="631">
      <x:c r="A631" s="34" t="n">
        <x:v>46118.53055555555</x:v>
      </x:c>
      <x:c r="B631" s="36" t="n">
        <x:v>46118</x:v>
      </x:c>
      <x:c r="C631" s="34" t="n">
        <x:v>46118.531168981484</x:v>
      </x:c>
      <x:c r="D631" s="15" t="str">
        <x:v>Current a/c..512781</x:v>
      </x:c>
      <x:c r="E631" s="15" t="str">
        <x:v>card..2924</x:v>
      </x:c>
      <x:c r="F631" s="15" t="str">
        <x:v>R169.96 reserved for purchase @ Savemor Marloth from Current a/c..512781 using card..2924. Avail R23498. 6Apr 12:44</x:v>
      </x:c>
      <x:c r="G631" s="15" t="str">
        <x:v>Savemor Marloth</x:v>
      </x:c>
      <x:c r="H631" s="38" t="n">
        <x:v>169.96</x:v>
      </x:c>
      <x:c r="I631" s="15" t="str">
        <x:v>ZAR</x:v>
      </x:c>
      <x:c r="J631" s="15" t="str">
        <x:v>Outflow</x:v>
      </x:c>
      <x:c r="K631" s="15" t="str">
        <x:v>Card purchase</x:v>
      </x:c>
      <x:c r="L631" s="15" t="str">
        <x:v>Supplier payments</x:v>
      </x:c>
      <x:c r="M631" s="38"/>
      <x:c r="N631" s="38" t="n">
        <x:v>23498</x:v>
      </x:c>
      <x:c r="O631" s="15" t="str"/>
      <x:c r="P631" s="15" t="str">
        <x:v>eml_ALL_currentac__512781 (2).zip &gt; eml4currentac__512781.zip</x:v>
      </x:c>
      <x:c r="Q631" s="15" t="str">
        <x:v>FNB _-) R169.96 reserved for purchase @ Savemor Marloth from Current a_c..512781 using card..2924.  6Apr 12_44.eml</x:v>
      </x:c>
      <x:c r="R631" s="15" t="str">
        <x:v>High</x:v>
      </x:c>
      <x:c r="S631" s="15" t="str">
        <x:v>Category confidence Medium: Retail/supplier merchant keyword.</x:v>
      </x:c>
      <x:c r="T631" s="15" t="str"/>
      <x:c r="U631" s="15" t="str"/>
      <x:c r="V631" s="15" t="str"/>
      <x:c r="W631" s="15" t="str"/>
      <x:c r="X631" s="15" t="str">
        <x:v>FNB :-) R169.96 reserved for purchase @ Savemor Marloth from Current a/c..512781 using card..2924. Avail R23498. 6Apr 12:44</x:v>
      </x:c>
      <x:c r="Y631" s="15" t="str">
        <x:v>aee00bb3b8be0c45</x:v>
      </x:c>
    </x:row>
    <x:row r="632">
      <x:c r="A632" s="34" t="n">
        <x:v>46119.552777777775</x:v>
      </x:c>
      <x:c r="B632" s="36" t="n">
        <x:v>46119</x:v>
      </x:c>
      <x:c r="C632" s="34" t="n">
        <x:v>46119.55284722222</x:v>
      </x:c>
      <x:c r="D632" s="15" t="str">
        <x:v>Current a/c..512781</x:v>
      </x:c>
      <x:c r="E632" s="15" t="str">
        <x:v>card..2924</x:v>
      </x:c>
      <x:c r="F632" s="15" t="str">
        <x:v>R129.61 reserved for purchase @ Pep Home 5771 Komati from Current a/c..512781 using card..2924. Avail R23057. 7Apr 13:16</x:v>
      </x:c>
      <x:c r="G632" s="15" t="str">
        <x:v>Pep Home 5771 Komati</x:v>
      </x:c>
      <x:c r="H632" s="38" t="n">
        <x:v>129.61</x:v>
      </x:c>
      <x:c r="I632" s="15" t="str">
        <x:v>ZAR</x:v>
      </x:c>
      <x:c r="J632" s="15" t="str">
        <x:v>Outflow</x:v>
      </x:c>
      <x:c r="K632" s="15" t="str">
        <x:v>Card purchase</x:v>
      </x:c>
      <x:c r="L632" s="15" t="str">
        <x:v>Supplier payments</x:v>
      </x:c>
      <x:c r="M632" s="38"/>
      <x:c r="N632" s="38" t="n">
        <x:v>23057</x:v>
      </x:c>
      <x:c r="O632" s="15" t="str"/>
      <x:c r="P632" s="15" t="str">
        <x:v>eml_ALL_currentac__512781 (2).zip &gt; eml4currentac__512781.zip</x:v>
      </x:c>
      <x:c r="Q632" s="15" t="str">
        <x:v>FNB _-) R129.61 reserved for purchase @ Pep Home 5771 Komati from Current a_c..512781 using card..2924.  7Apr 13_16.eml</x:v>
      </x:c>
      <x:c r="R632" s="15" t="str">
        <x:v>High</x:v>
      </x:c>
      <x:c r="S632" s="15" t="str">
        <x:v>Category confidence Medium: Retail/supplier merchant keyword.</x:v>
      </x:c>
      <x:c r="T632" s="15" t="str"/>
      <x:c r="U632" s="15" t="str"/>
      <x:c r="V632" s="15" t="str"/>
      <x:c r="W632" s="15" t="str"/>
      <x:c r="X632" s="15" t="str">
        <x:v>FNB :-) R129.61 reserved for purchase @ Pep Home 5771 Komati from Current a/c..512781 using card..2924. Avail R23057. 7Apr 13:16</x:v>
      </x:c>
      <x:c r="Y632" s="15" t="str">
        <x:v>74e649c421f2df18</x:v>
      </x:c>
    </x:row>
    <x:row r="633">
      <x:c r="A633" s="34" t="n">
        <x:v>46119.57708333333</x:v>
      </x:c>
      <x:c r="B633" s="36" t="n">
        <x:v>46119</x:v>
      </x:c>
      <x:c r="C633" s="34" t="n">
        <x:v>46119.57745370371</x:v>
      </x:c>
      <x:c r="D633" s="15" t="str">
        <x:v>Current a/c..512781</x:v>
      </x:c>
      <x:c r="E633" s="15" t="str"/>
      <x:c r="F633" s="15" t="str">
        <x:v>R27685.14 paid to Current a/c..512781 @ Payshap. Ref.Ik Pay 487882. 7Apr 13:51</x:v>
      </x:c>
      <x:c r="G633" s="15" t="str">
        <x:v>Ik Pay 487882</x:v>
      </x:c>
      <x:c r="H633" s="38" t="n">
        <x:v>27685.14</x:v>
      </x:c>
      <x:c r="I633" s="15" t="str">
        <x:v>ZAR</x:v>
      </x:c>
      <x:c r="J633" s="15" t="str">
        <x:v>Inflow</x:v>
      </x:c>
      <x:c r="K633" s="15" t="str">
        <x:v>EFT receipt</x:v>
      </x:c>
      <x:c r="L633" s="15" t="str">
        <x:v>Sales / customer receipts</x:v>
      </x:c>
      <x:c r="M633" s="38"/>
      <x:c r="N633" s="38"/>
      <x:c r="O633" s="15" t="str"/>
      <x:c r="P633" s="15" t="str">
        <x:v>eml_ALL_currentac__512781 (2).zip &gt; eml4currentac__512781.zip</x:v>
      </x:c>
      <x:c r="Q633" s="15" t="str">
        <x:v>FNB _-) R27685.14 paid to Current a_c..512781 @ Payshap. Ref.Ik Pay 487882.  7Apr 13_51.eml</x:v>
      </x:c>
      <x:c r="R633" s="15" t="str">
        <x:v>High</x:v>
      </x:c>
      <x:c r="S633" s="15" t="str">
        <x:v>Category confidence Medium: Default for incoming EFT/PayShap/online receipt.</x:v>
      </x:c>
      <x:c r="T633" s="15" t="str"/>
      <x:c r="U633" s="15" t="str"/>
      <x:c r="V633" s="15" t="str">
        <x:v>Ik Pay 487882</x:v>
      </x:c>
      <x:c r="W633" s="15" t="str">
        <x:v>Payshap</x:v>
      </x:c>
      <x:c r="X633" s="15" t="str">
        <x:v>FNB :-) R27685.14 paid to Current a/c..512781 @ Payshap. Ref.Ik Pay 487882. 7Apr 13:51</x:v>
      </x:c>
      <x:c r="Y633" s="15" t="str">
        <x:v>077fc3de7dddd50f</x:v>
      </x:c>
    </x:row>
    <x:row r="634">
      <x:c r="A634" s="34" t="n">
        <x:v>46119.59444444445</x:v>
      </x:c>
      <x:c r="B634" s="36" t="n">
        <x:v>46119</x:v>
      </x:c>
      <x:c r="C634" s="34" t="n">
        <x:v>46119.59469907408</x:v>
      </x:c>
      <x:c r="D634" s="15" t="str">
        <x:v>Current a/c..512781</x:v>
      </x:c>
      <x:c r="E634" s="15" t="str">
        <x:v>card..2924</x:v>
      </x:c>
      <x:c r="F634" s="15" t="str">
        <x:v>R1285.78 reserved for purchase @ Superspar Komatipoor from Current a/c..512781 using card..2924. Avail R49457. 7Apr 14:16</x:v>
      </x:c>
      <x:c r="G634" s="15" t="str">
        <x:v>Superspar Komatipoor</x:v>
      </x:c>
      <x:c r="H634" s="38" t="n">
        <x:v>1285.78</x:v>
      </x:c>
      <x:c r="I634" s="15" t="str">
        <x:v>ZAR</x:v>
      </x:c>
      <x:c r="J634" s="15" t="str">
        <x:v>Outflow</x:v>
      </x:c>
      <x:c r="K634" s="15" t="str">
        <x:v>Card purchase</x:v>
      </x:c>
      <x:c r="L634" s="15" t="str">
        <x:v>Supplier payments</x:v>
      </x:c>
      <x:c r="M634" s="38"/>
      <x:c r="N634" s="38" t="n">
        <x:v>49457</x:v>
      </x:c>
      <x:c r="O634" s="15" t="str"/>
      <x:c r="P634" s="15" t="str">
        <x:v>eml_ALL_currentac__512781 (2).zip &gt; eml4currentac__512781.zip</x:v>
      </x:c>
      <x:c r="Q634" s="15" t="str">
        <x:v>FNB _-) R1285.78 reserved for purchase @ Superspar Komatipoor from Current a_c..512781 using card..2924.  7Apr 14_16.eml</x:v>
      </x:c>
      <x:c r="R634" s="15" t="str">
        <x:v>High</x:v>
      </x:c>
      <x:c r="S634" s="15" t="str">
        <x:v>Category confidence Medium: Retail/supplier merchant keyword.</x:v>
      </x:c>
      <x:c r="T634" s="15" t="str"/>
      <x:c r="U634" s="15" t="str"/>
      <x:c r="V634" s="15" t="str"/>
      <x:c r="W634" s="15" t="str"/>
      <x:c r="X634" s="15" t="str">
        <x:v>FNB :-) R1285.78 reserved for purchase @ Superspar Komatipoor from Current a/c..512781 using card..2924. Avail R49457. 7Apr 14:16</x:v>
      </x:c>
      <x:c r="Y634" s="15" t="str">
        <x:v>be8376ba4d89198b</x:v>
      </x:c>
    </x:row>
    <x:row r="635">
      <x:c r="A635" s="34" t="n">
        <x:v>46119.600694444445</x:v>
      </x:c>
      <x:c r="B635" s="36" t="n">
        <x:v>46119</x:v>
      </x:c>
      <x:c r="C635" s="34" t="n">
        <x:v>46119.600856481484</x:v>
      </x:c>
      <x:c r="D635" s="15" t="str">
        <x:v>Current a/c..512781</x:v>
      </x:c>
      <x:c r="E635" s="15" t="str">
        <x:v>card..2924</x:v>
      </x:c>
      <x:c r="F635" s="15" t="str">
        <x:v>R164.89 reserved for purchase @ The Crazy Store Koma from Current a/c..512781 using card..2924. Avail R49292. 7Apr 14:25</x:v>
      </x:c>
      <x:c r="G635" s="15" t="str">
        <x:v>The Crazy Store Koma</x:v>
      </x:c>
      <x:c r="H635" s="38" t="n">
        <x:v>164.89</x:v>
      </x:c>
      <x:c r="I635" s="15" t="str">
        <x:v>ZAR</x:v>
      </x:c>
      <x:c r="J635" s="15" t="str">
        <x:v>Outflow</x:v>
      </x:c>
      <x:c r="K635" s="15" t="str">
        <x:v>Card purchase</x:v>
      </x:c>
      <x:c r="L635" s="15" t="str">
        <x:v>Card spend</x:v>
      </x:c>
      <x:c r="M635" s="38"/>
      <x:c r="N635" s="38" t="n">
        <x:v>49292</x:v>
      </x:c>
      <x:c r="O635" s="15" t="str"/>
      <x:c r="P635" s="15" t="str">
        <x:v>eml_ALL_currentac__512781 (2).zip &gt; eml4currentac__512781.zip</x:v>
      </x:c>
      <x:c r="Q635" s="15" t="str">
        <x:v>FNB _-) R164.89 reserved for purchase @ The Crazy Store Koma from Current a_c..512781 using card..2924.  7Apr 14_25.eml</x:v>
      </x:c>
      <x:c r="R635" s="15" t="str">
        <x:v>High</x:v>
      </x:c>
      <x:c r="S635" s="15" t="str">
        <x:v>Category confidence Low: Default card-spend category; merchant not confidently mapped.</x:v>
      </x:c>
      <x:c r="T635" s="15" t="str"/>
      <x:c r="U635" s="15" t="str"/>
      <x:c r="V635" s="15" t="str"/>
      <x:c r="W635" s="15" t="str"/>
      <x:c r="X635" s="15" t="str">
        <x:v>FNB :-) R164.89 reserved for purchase @ The Crazy Store Koma from Current a/c..512781 using card..2924. Avail R49292. 7Apr 14:25</x:v>
      </x:c>
      <x:c r="Y635" s="15" t="str">
        <x:v>044158deba8507bc</x:v>
      </x:c>
    </x:row>
    <x:row r="636">
      <x:c r="A636" s="34" t="n">
        <x:v>46119.68819444445</x:v>
      </x:c>
      <x:c r="B636" s="36" t="n">
        <x:v>46119</x:v>
      </x:c>
      <x:c r="C636" s="34" t="n">
        <x:v>46119.68880787037</x:v>
      </x:c>
      <x:c r="D636" s="15" t="str">
        <x:v>Current a/c..512781</x:v>
      </x:c>
      <x:c r="E636" s="15" t="str"/>
      <x:c r="F636" s="15" t="str">
        <x:v>R4240.00 paid from Current a/c..512781 @ Smartapp. Avail R45044. Ref.Royal Bush 3783. 7Apr 16:31</x:v>
      </x:c>
      <x:c r="G636" s="15" t="str">
        <x:v>Royal Bush 3783</x:v>
      </x:c>
      <x:c r="H636" s="38" t="n">
        <x:v>4240</x:v>
      </x:c>
      <x:c r="I636" s="15" t="str">
        <x:v>ZAR</x:v>
      </x:c>
      <x:c r="J636" s="15" t="str">
        <x:v>Outflow</x:v>
      </x:c>
      <x:c r="K636" s="15" t="str">
        <x:v>EFT payment</x:v>
      </x:c>
      <x:c r="L636" s="15" t="str">
        <x:v>Supplier payments</x:v>
      </x:c>
      <x:c r="M636" s="38"/>
      <x:c r="N636" s="38" t="n">
        <x:v>45044</x:v>
      </x:c>
      <x:c r="O636" s="15" t="str"/>
      <x:c r="P636" s="15" t="str">
        <x:v>eml_ALL_currentac__512781 (2).zip &gt; eml4currentac__512781.zip</x:v>
      </x:c>
      <x:c r="Q636" s="15" t="str">
        <x:v>FNB _-) R4240.00 paid from Current a_c..512781 @ Smartapp. Ref.Royal Bush 3783.  7Apr 16_31.eml</x:v>
      </x:c>
      <x:c r="R636" s="15" t="str">
        <x:v>High</x:v>
      </x:c>
      <x:c r="S636" s="15" t="str">
        <x:v>Category confidence Low: Default outflow category; review counterparty/reference.</x:v>
      </x:c>
      <x:c r="T636" s="15" t="str"/>
      <x:c r="U636" s="15" t="str"/>
      <x:c r="V636" s="15" t="str">
        <x:v>Royal Bush 3783</x:v>
      </x:c>
      <x:c r="W636" s="15" t="str">
        <x:v>Smartapp</x:v>
      </x:c>
      <x:c r="X636" s="15" t="str">
        <x:v>FNB :-) R4240.00 paid from Current a/c..512781 @ Smartapp. Avail R45044. Ref.Royal Bush 3783. 7Apr 16:31</x:v>
      </x:c>
      <x:c r="Y636" s="15" t="str">
        <x:v>e4a186e31f6aed15</x:v>
      </x:c>
    </x:row>
    <x:row r="637">
      <x:c r="A637" s="34" t="n">
        <x:v>46119.69236111111</x:v>
      </x:c>
      <x:c r="B637" s="36" t="n">
        <x:v>46119</x:v>
      </x:c>
      <x:c r="C637" s="34" t="n">
        <x:v>46119.6928587963</x:v>
      </x:c>
      <x:c r="D637" s="15" t="str">
        <x:v>Current a/c..512781</x:v>
      </x:c>
      <x:c r="E637" s="15" t="str"/>
      <x:c r="F637" s="15" t="str">
        <x:v>R9176.00 paid from Current a/c..512781 @ Smartapp. Avail R35860. Ref.Kruger Safari 1691. 7Apr 16:37</x:v>
      </x:c>
      <x:c r="G637" s="15" t="str">
        <x:v>Kruger Safari 1691</x:v>
      </x:c>
      <x:c r="H637" s="38" t="n">
        <x:v>9176</x:v>
      </x:c>
      <x:c r="I637" s="15" t="str">
        <x:v>ZAR</x:v>
      </x:c>
      <x:c r="J637" s="15" t="str">
        <x:v>Outflow</x:v>
      </x:c>
      <x:c r="K637" s="15" t="str">
        <x:v>EFT payment</x:v>
      </x:c>
      <x:c r="L637" s="15" t="str">
        <x:v>Supplier payments</x:v>
      </x:c>
      <x:c r="M637" s="38"/>
      <x:c r="N637" s="38" t="n">
        <x:v>35860</x:v>
      </x:c>
      <x:c r="O637" s="15" t="str"/>
      <x:c r="P637" s="15" t="str">
        <x:v>eml_ALL_currentac__512781 (2).zip &gt; eml4currentac__512781.zip</x:v>
      </x:c>
      <x:c r="Q637" s="15" t="str">
        <x:v>FNB _-) R9176.00 paid from Current a_c..512781 @ Smartapp. Ref.Kruger Safari 1691.  7Apr 16_37.eml</x:v>
      </x:c>
      <x:c r="R637" s="15" t="str">
        <x:v>High</x:v>
      </x:c>
      <x:c r="S637" s="15" t="str">
        <x:v>Category confidence Low: Default outflow category; review counterparty/reference.</x:v>
      </x:c>
      <x:c r="T637" s="15" t="str"/>
      <x:c r="U637" s="15" t="str"/>
      <x:c r="V637" s="15" t="str">
        <x:v>Kruger Safari 1691</x:v>
      </x:c>
      <x:c r="W637" s="15" t="str">
        <x:v>Smartapp</x:v>
      </x:c>
      <x:c r="X637" s="15" t="str">
        <x:v>FNB :-) R9176.00 paid from Current a/c..512781 @ Smartapp. Avail R35860. Ref.Kruger Safari 1691. 7Apr 16:37</x:v>
      </x:c>
      <x:c r="Y637" s="15" t="str">
        <x:v>8917cfffd37c5b1f</x:v>
      </x:c>
    </x:row>
    <x:row r="638">
      <x:c r="A638" s="34" t="n">
        <x:v>46119.69305555556</x:v>
      </x:c>
      <x:c r="B638" s="36" t="n">
        <x:v>46119</x:v>
      </x:c>
      <x:c r="C638" s="34" t="n">
        <x:v>46119.69315972222</x:v>
      </x:c>
      <x:c r="D638" s="15" t="str">
        <x:v>Current a/c..512781</x:v>
      </x:c>
      <x:c r="E638" s="15" t="str"/>
      <x:c r="F638" s="15" t="str">
        <x:v>R5000.00 paid from Current a/c..512781 @ Smartapp. Avail R30857. Ref.Staff. 7Apr 16:38</x:v>
      </x:c>
      <x:c r="G638" s="15" t="str">
        <x:v>Staff</x:v>
      </x:c>
      <x:c r="H638" s="38" t="n">
        <x:v>5000</x:v>
      </x:c>
      <x:c r="I638" s="15" t="str">
        <x:v>ZAR</x:v>
      </x:c>
      <x:c r="J638" s="15" t="str">
        <x:v>Outflow</x:v>
      </x:c>
      <x:c r="K638" s="15" t="str">
        <x:v>EFT payment</x:v>
      </x:c>
      <x:c r="L638" s="15" t="str">
        <x:v>Salary / wages</x:v>
      </x:c>
      <x:c r="M638" s="38"/>
      <x:c r="N638" s="38" t="n">
        <x:v>30857</x:v>
      </x:c>
      <x:c r="O638" s="15" t="str"/>
      <x:c r="P638" s="15" t="str">
        <x:v>eml_ALL_currentac__512781 (2).zip &gt; eml4currentac__512781.zip</x:v>
      </x:c>
      <x:c r="Q638" s="15" t="str">
        <x:v>FNB _-) R5000.00 paid from Current a_c..512781 @ Smartapp. Ref.Staff.  7Apr 16_38.eml</x:v>
      </x:c>
      <x:c r="R638" s="15" t="str">
        <x:v>High</x:v>
      </x:c>
      <x:c r="S638" s="15" t="str"/>
      <x:c r="T638" s="15" t="str"/>
      <x:c r="U638" s="15" t="str"/>
      <x:c r="V638" s="15" t="str">
        <x:v>Staff</x:v>
      </x:c>
      <x:c r="W638" s="15" t="str">
        <x:v>Smartapp</x:v>
      </x:c>
      <x:c r="X638" s="15" t="str">
        <x:v>FNB :-) R5000.00 paid from Current a/c..512781 @ Smartapp. Avail R30857. Ref.Staff. 7Apr 16:38</x:v>
      </x:c>
      <x:c r="Y638" s="15" t="str">
        <x:v>fca33de4b7fb8a11</x:v>
      </x:c>
    </x:row>
    <x:row r="639">
      <x:c r="A639" s="34" t="n">
        <x:v>46119.75902777778</x:v>
      </x:c>
      <x:c r="B639" s="36" t="n">
        <x:v>46119</x:v>
      </x:c>
      <x:c r="C639" s="34" t="n">
        <x:v>46119.759097222224</x:v>
      </x:c>
      <x:c r="D639" s="15" t="str">
        <x:v>Current a/c..512781</x:v>
      </x:c>
      <x:c r="E639" s="15" t="str"/>
      <x:c r="F639" s="15" t="str">
        <x:v>R500.00 paid from Current a/c..512781 @ Smartapp. Avail R30354. Ref.Electricity 04294887. 7Apr 18:13</x:v>
      </x:c>
      <x:c r="G639" s="15" t="str">
        <x:v>Electricity 04294887</x:v>
      </x:c>
      <x:c r="H639" s="38" t="n">
        <x:v>500</x:v>
      </x:c>
      <x:c r="I639" s="15" t="str">
        <x:v>ZAR</x:v>
      </x:c>
      <x:c r="J639" s="15" t="str">
        <x:v>Outflow</x:v>
      </x:c>
      <x:c r="K639" s="15" t="str">
        <x:v>EFT payment</x:v>
      </x:c>
      <x:c r="L639" s="15" t="str">
        <x:v>Telecom / utilities</x:v>
      </x:c>
      <x:c r="M639" s="38"/>
      <x:c r="N639" s="38" t="n">
        <x:v>30354</x:v>
      </x:c>
      <x:c r="O639" s="15" t="str"/>
      <x:c r="P639" s="15" t="str">
        <x:v>eml_ALL_currentac__512781 (2).zip &gt; eml4currentac__512781.zip</x:v>
      </x:c>
      <x:c r="Q639" s="15" t="str">
        <x:v>FNB _-) R500.00 paid from Current a_c..512781 @ Smartapp. Ref.Electricity 04294887.  7Apr 18_13.eml</x:v>
      </x:c>
      <x:c r="R639" s="15" t="str">
        <x:v>High</x:v>
      </x:c>
      <x:c r="S639" s="15" t="str"/>
      <x:c r="T639" s="15" t="str"/>
      <x:c r="U639" s="15" t="str"/>
      <x:c r="V639" s="15" t="str">
        <x:v>Electricity 04294887</x:v>
      </x:c>
      <x:c r="W639" s="15" t="str">
        <x:v>Smartapp</x:v>
      </x:c>
      <x:c r="X639" s="15" t="str">
        <x:v>FNB :-) R500.00 paid from Current a/c..512781 @ Smartapp. Avail R30354. Ref.Electricity 04294887. 7Apr 18:13</x:v>
      </x:c>
      <x:c r="Y639" s="15" t="str">
        <x:v>8fa8d7aa1bf23252</x:v>
      </x:c>
    </x:row>
    <x:row r="640">
      <x:c r="A640" s="34" t="n">
        <x:v>46120.57638888889</x:v>
      </x:c>
      <x:c r="B640" s="36" t="n">
        <x:v>46120</x:v>
      </x:c>
      <x:c r="C640" s="34" t="n">
        <x:v>46120.576527777775</x:v>
      </x:c>
      <x:c r="D640" s="15" t="str">
        <x:v>Current a/c..512781</x:v>
      </x:c>
      <x:c r="E640" s="15" t="str"/>
      <x:c r="F640" s="15" t="str">
        <x:v>R9063.98 paid to Current a/c..512781 @ Payshap. Ref.Ik Pay 487882. 8Apr 13:50</x:v>
      </x:c>
      <x:c r="G640" s="15" t="str">
        <x:v>Ik Pay 487882</x:v>
      </x:c>
      <x:c r="H640" s="38" t="n">
        <x:v>9063.98</x:v>
      </x:c>
      <x:c r="I640" s="15" t="str">
        <x:v>ZAR</x:v>
      </x:c>
      <x:c r="J640" s="15" t="str">
        <x:v>Inflow</x:v>
      </x:c>
      <x:c r="K640" s="15" t="str">
        <x:v>EFT receipt</x:v>
      </x:c>
      <x:c r="L640" s="15" t="str">
        <x:v>Sales / customer receipts</x:v>
      </x:c>
      <x:c r="M640" s="38"/>
      <x:c r="N640" s="38"/>
      <x:c r="O640" s="15" t="str"/>
      <x:c r="P640" s="15" t="str">
        <x:v>eml_ALL_currentac__512781 (2).zip &gt; eml4currentac__512781.zip</x:v>
      </x:c>
      <x:c r="Q640" s="15" t="str">
        <x:v>FNB _-) R9063.98 paid to Current a_c..512781 @ Payshap. Ref.Ik Pay 487882.  8Apr 13_50.eml</x:v>
      </x:c>
      <x:c r="R640" s="15" t="str">
        <x:v>High</x:v>
      </x:c>
      <x:c r="S640" s="15" t="str">
        <x:v>Category confidence Medium: Default for incoming EFT/PayShap/online receipt.</x:v>
      </x:c>
      <x:c r="T640" s="15" t="str"/>
      <x:c r="U640" s="15" t="str"/>
      <x:c r="V640" s="15" t="str">
        <x:v>Ik Pay 487882</x:v>
      </x:c>
      <x:c r="W640" s="15" t="str">
        <x:v>Payshap</x:v>
      </x:c>
      <x:c r="X640" s="15" t="str">
        <x:v>FNB :-) R9063.98 paid to Current a/c..512781 @ Payshap. Ref.Ik Pay 487882. 8Apr 13:50</x:v>
      </x:c>
      <x:c r="Y640" s="15" t="str">
        <x:v>f3808727a632241f</x:v>
      </x:c>
    </x:row>
    <x:row r="641">
      <x:c r="A641" s="34" t="n">
        <x:v>46121.05347222222</x:v>
      </x:c>
      <x:c r="B641" s="36" t="n">
        <x:v>46121</x:v>
      </x:c>
      <x:c r="C641" s="34" t="n">
        <x:v>46121.0537962963</x:v>
      </x:c>
      <x:c r="D641" s="15" t="str">
        <x:v>Current a/c..512781</x:v>
      </x:c>
      <x:c r="E641" s="15" t="str"/>
      <x:c r="F641" s="15" t="str">
        <x:v>R5000.00 paid from Current a/c..512781 @ Gen Ph. Avail R34292. Ref.African Sky. 9Apr 01:17</x:v>
      </x:c>
      <x:c r="G641" s="15" t="str">
        <x:v>African Sky</x:v>
      </x:c>
      <x:c r="H641" s="38" t="n">
        <x:v>5000</x:v>
      </x:c>
      <x:c r="I641" s="15" t="str">
        <x:v>ZAR</x:v>
      </x:c>
      <x:c r="J641" s="15" t="str">
        <x:v>Outflow</x:v>
      </x:c>
      <x:c r="K641" s="15" t="str">
        <x:v>EFT payment</x:v>
      </x:c>
      <x:c r="L641" s="15" t="str">
        <x:v>Supplier payments</x:v>
      </x:c>
      <x:c r="M641" s="38"/>
      <x:c r="N641" s="38" t="n">
        <x:v>34292</x:v>
      </x:c>
      <x:c r="O641" s="15" t="str"/>
      <x:c r="P641" s="15" t="str">
        <x:v>eml_ALL_currentac__512781 (2).zip &gt; eml4currentac__512781.zip</x:v>
      </x:c>
      <x:c r="Q641" s="15" t="str">
        <x:v>FNB _-) R5000.00 paid from Current a_c..512781 @ Gen Ph. Ref.African Sky.  9Apr 01_17.eml</x:v>
      </x:c>
      <x:c r="R641" s="15" t="str">
        <x:v>High</x:v>
      </x:c>
      <x:c r="S641" s="15" t="str">
        <x:v>Category confidence Low: Default outflow category; review counterparty/reference.</x:v>
      </x:c>
      <x:c r="T641" s="15" t="str"/>
      <x:c r="U641" s="15" t="str"/>
      <x:c r="V641" s="15" t="str">
        <x:v>African Sky</x:v>
      </x:c>
      <x:c r="W641" s="15" t="str">
        <x:v>Gen Ph</x:v>
      </x:c>
      <x:c r="X641" s="15" t="str">
        <x:v>FNB :-) R5000.00 paid from Current a/c..512781 @ Gen Ph. Avail R34292. Ref.African Sky. 9Apr 01:17</x:v>
      </x:c>
      <x:c r="Y641" s="15" t="str">
        <x:v>825c3e1a4d67141f</x:v>
      </x:c>
    </x:row>
    <x:row r="642">
      <x:c r="A642" s="34" t="n">
        <x:v>46121.15277777778</x:v>
      </x:c>
      <x:c r="B642" s="36" t="n">
        <x:v>46121</x:v>
      </x:c>
      <x:c r="C642" s="34" t="n">
        <x:v>46121.15341435185</x:v>
      </x:c>
      <x:c r="D642" s="15" t="str">
        <x:v>Current a/c..512781</x:v>
      </x:c>
      <x:c r="E642" s="15" t="str"/>
      <x:c r="F642" s="15" t="str">
        <x:v>R4000.00 paid from Current a/c..512781 @ Smartapp. Avail R30289. Ref.Staff. 9Apr 03:40</x:v>
      </x:c>
      <x:c r="G642" s="15" t="str">
        <x:v>Staff</x:v>
      </x:c>
      <x:c r="H642" s="38" t="n">
        <x:v>4000</x:v>
      </x:c>
      <x:c r="I642" s="15" t="str">
        <x:v>ZAR</x:v>
      </x:c>
      <x:c r="J642" s="15" t="str">
        <x:v>Outflow</x:v>
      </x:c>
      <x:c r="K642" s="15" t="str">
        <x:v>EFT payment</x:v>
      </x:c>
      <x:c r="L642" s="15" t="str">
        <x:v>Salary / wages</x:v>
      </x:c>
      <x:c r="M642" s="38"/>
      <x:c r="N642" s="38" t="n">
        <x:v>30289</x:v>
      </x:c>
      <x:c r="O642" s="15" t="str"/>
      <x:c r="P642" s="15" t="str">
        <x:v>eml_ALL_currentac__512781 (2).zip &gt; eml4currentac__512781.zip</x:v>
      </x:c>
      <x:c r="Q642" s="15" t="str">
        <x:v>FNB _-) R4000.00 paid from Current a_c..512781 @ Smartapp. Ref.Staff.  9Apr 03_40.eml</x:v>
      </x:c>
      <x:c r="R642" s="15" t="str">
        <x:v>High</x:v>
      </x:c>
      <x:c r="S642" s="15" t="str"/>
      <x:c r="T642" s="15" t="str"/>
      <x:c r="U642" s="15" t="str"/>
      <x:c r="V642" s="15" t="str">
        <x:v>Staff</x:v>
      </x:c>
      <x:c r="W642" s="15" t="str">
        <x:v>Smartapp</x:v>
      </x:c>
      <x:c r="X642" s="15" t="str">
        <x:v>FNB :-) R4000.00 paid from Current a/c..512781 @ Smartapp. Avail R30289. Ref.Staff. 9Apr 03:40</x:v>
      </x:c>
      <x:c r="Y642" s="15" t="str">
        <x:v>d5fc9248e1f86c5c</x:v>
      </x:c>
    </x:row>
    <x:row r="643">
      <x:c r="A643" s="34" t="n">
        <x:v>46121.34722222222</x:v>
      </x:c>
      <x:c r="B643" s="36" t="n">
        <x:v>46121</x:v>
      </x:c>
      <x:c r="C643" s="34" t="n">
        <x:v>46121.34744212963</x:v>
      </x:c>
      <x:c r="D643" s="15" t="str">
        <x:v>Current a/c..512781</x:v>
      </x:c>
      <x:c r="E643" s="15" t="str"/>
      <x:c r="F643" s="15" t="str">
        <x:v>R35316.64 paid to Current a/c..512781 @ Retail Forex. Ref.R026tnsk50 Booking.c. 9Apr 08:20</x:v>
      </x:c>
      <x:c r="G643" s="15" t="str">
        <x:v>R026tnsk50 Booking.c</x:v>
      </x:c>
      <x:c r="H643" s="38" t="n">
        <x:v>35316.64</x:v>
      </x:c>
      <x:c r="I643" s="15" t="str">
        <x:v>ZAR</x:v>
      </x:c>
      <x:c r="J643" s="15" t="str">
        <x:v>Inflow</x:v>
      </x:c>
      <x:c r="K643" s="15" t="str">
        <x:v>EFT receipt</x:v>
      </x:c>
      <x:c r="L643" s="15" t="str">
        <x:v>Sales / customer receipts</x:v>
      </x:c>
      <x:c r="M643" s="38"/>
      <x:c r="N643" s="38"/>
      <x:c r="O643" s="15" t="str"/>
      <x:c r="P643" s="15" t="str">
        <x:v>eml_ALL_currentac__512781 (2).zip &gt; eml4currentac__512781.zip</x:v>
      </x:c>
      <x:c r="Q643" s="15" t="str">
        <x:v>FNB _-) R35316.64 paid to Current a_c..512781 @ Retail Forex. Ref.R026tnsk50 Booking.c.  9Apr 08_20.eml</x:v>
      </x:c>
      <x:c r="R643" s="15" t="str">
        <x:v>High</x:v>
      </x:c>
      <x:c r="S643" s="15" t="str">
        <x:v>Category confidence Medium: Default for incoming EFT/PayShap/online receipt.</x:v>
      </x:c>
      <x:c r="T643" s="15" t="str"/>
      <x:c r="U643" s="15" t="str"/>
      <x:c r="V643" s="15" t="str">
        <x:v>R026tnsk50 Booking.c</x:v>
      </x:c>
      <x:c r="W643" s="15" t="str">
        <x:v>Retail Forex</x:v>
      </x:c>
      <x:c r="X643" s="15" t="str">
        <x:v>FNB :-) R35316.64 paid to Current a/c..512781 @ Retail Forex. Ref.R026tnsk50 Booking.c. 9Apr 08:20</x:v>
      </x:c>
      <x:c r="Y643" s="15" t="str">
        <x:v>05c8a5aee2183e2f</x:v>
      </x:c>
    </x:row>
    <x:row r="644">
      <x:c r="A644" s="34" t="n">
        <x:v>46121.57638888889</x:v>
      </x:c>
      <x:c r="B644" s="36" t="n">
        <x:v>46121</x:v>
      </x:c>
      <x:c r="C644" s="34" t="n">
        <x:v>46121.57680555555</x:v>
      </x:c>
      <x:c r="D644" s="15" t="str">
        <x:v>Current a/c..512781</x:v>
      </x:c>
      <x:c r="E644" s="15" t="str"/>
      <x:c r="F644" s="15" t="str">
        <x:v>R8506.05 paid to Current a/c..512781 @ Payshap. Ref.Ik Pay 487882. 9Apr 13:50</x:v>
      </x:c>
      <x:c r="G644" s="15" t="str">
        <x:v>Ik Pay 487882</x:v>
      </x:c>
      <x:c r="H644" s="38" t="n">
        <x:v>8506.05</x:v>
      </x:c>
      <x:c r="I644" s="15" t="str">
        <x:v>ZAR</x:v>
      </x:c>
      <x:c r="J644" s="15" t="str">
        <x:v>Inflow</x:v>
      </x:c>
      <x:c r="K644" s="15" t="str">
        <x:v>EFT receipt</x:v>
      </x:c>
      <x:c r="L644" s="15" t="str">
        <x:v>Sales / customer receipts</x:v>
      </x:c>
      <x:c r="M644" s="38"/>
      <x:c r="N644" s="38"/>
      <x:c r="O644" s="15" t="str"/>
      <x:c r="P644" s="15" t="str">
        <x:v>eml_ALL_currentac__512781 (2).zip &gt; eml4currentac__512781.zip</x:v>
      </x:c>
      <x:c r="Q644" s="15" t="str">
        <x:v>FNB _-) R8506.05 paid to Current a_c..512781 @ Payshap. Ref.Ik Pay 487882.  9Apr 13_50.eml</x:v>
      </x:c>
      <x:c r="R644" s="15" t="str">
        <x:v>High</x:v>
      </x:c>
      <x:c r="S644" s="15" t="str">
        <x:v>Category confidence Medium: Default for incoming EFT/PayShap/online receipt.</x:v>
      </x:c>
      <x:c r="T644" s="15" t="str"/>
      <x:c r="U644" s="15" t="str"/>
      <x:c r="V644" s="15" t="str">
        <x:v>Ik Pay 487882</x:v>
      </x:c>
      <x:c r="W644" s="15" t="str">
        <x:v>Payshap</x:v>
      </x:c>
      <x:c r="X644" s="15" t="str">
        <x:v>FNB :-) R8506.05 paid to Current a/c..512781 @ Payshap. Ref.Ik Pay 487882. 9Apr 13:50</x:v>
      </x:c>
      <x:c r="Y644" s="15" t="str">
        <x:v>74cc39e922558cd5</x:v>
      </x:c>
    </x:row>
    <x:row r="645">
      <x:c r="A645" s="34" t="n">
        <x:v>46121.580555555556</x:v>
      </x:c>
      <x:c r="B645" s="36" t="n">
        <x:v>46121</x:v>
      </x:c>
      <x:c r="C645" s="34" t="n">
        <x:v>46121.58094907407</x:v>
      </x:c>
      <x:c r="D645" s="15" t="str">
        <x:v>Current a/c..512781</x:v>
      </x:c>
      <x:c r="E645" s="15" t="str">
        <x:v>card..2924</x:v>
      </x:c>
      <x:c r="F645" s="15" t="str">
        <x:v>R905.75 reserved for purchase @ Superspar Komatipoor from Current a/c..512781 using card..2924. Avail R73206. 9Apr 13:56</x:v>
      </x:c>
      <x:c r="G645" s="15" t="str">
        <x:v>Superspar Komatipoor</x:v>
      </x:c>
      <x:c r="H645" s="38" t="n">
        <x:v>905.75</x:v>
      </x:c>
      <x:c r="I645" s="15" t="str">
        <x:v>ZAR</x:v>
      </x:c>
      <x:c r="J645" s="15" t="str">
        <x:v>Outflow</x:v>
      </x:c>
      <x:c r="K645" s="15" t="str">
        <x:v>Card purchase</x:v>
      </x:c>
      <x:c r="L645" s="15" t="str">
        <x:v>Supplier payments</x:v>
      </x:c>
      <x:c r="M645" s="38"/>
      <x:c r="N645" s="38" t="n">
        <x:v>73206</x:v>
      </x:c>
      <x:c r="O645" s="15" t="str"/>
      <x:c r="P645" s="15" t="str">
        <x:v>eml_ALL_currentac__512781 (2).zip &gt; eml4currentac__512781.zip</x:v>
      </x:c>
      <x:c r="Q645" s="15" t="str">
        <x:v>FNB _-) R905.75 reserved for purchase @ Superspar Komatipoor from Current a_c..512781 using card..2924.  9Apr 13_56.eml</x:v>
      </x:c>
      <x:c r="R645" s="15" t="str">
        <x:v>High</x:v>
      </x:c>
      <x:c r="S645" s="15" t="str">
        <x:v>Category confidence Medium: Retail/supplier merchant keyword.</x:v>
      </x:c>
      <x:c r="T645" s="15" t="str"/>
      <x:c r="U645" s="15" t="str"/>
      <x:c r="V645" s="15" t="str"/>
      <x:c r="W645" s="15" t="str"/>
      <x:c r="X645" s="15" t="str">
        <x:v>FNB :-) R905.75 reserved for purchase @ Superspar Komatipoor from Current a/c..512781 using card..2924. Avail R73206. 9Apr 13:56</x:v>
      </x:c>
      <x:c r="Y645" s="15" t="str">
        <x:v>a41c644423e9482c</x:v>
      </x:c>
    </x:row>
    <x:row r="646">
      <x:c r="A646" s="34" t="n">
        <x:v>46121.59930555556</x:v>
      </x:c>
      <x:c r="B646" s="36" t="n">
        <x:v>46121</x:v>
      </x:c>
      <x:c r="C646" s="34" t="n">
        <x:v>46121.599340277775</x:v>
      </x:c>
      <x:c r="D646" s="15" t="str">
        <x:v>Current a/c..512781</x:v>
      </x:c>
      <x:c r="E646" s="15" t="str">
        <x:v>card..2924</x:v>
      </x:c>
      <x:c r="F646" s="15" t="str">
        <x:v>R235.20 reserved for purchase @ Oasis Water Komatipo from Current a/c..512781 using card..2924. Avail R72971. 9Apr 14:23</x:v>
      </x:c>
      <x:c r="G646" s="15" t="str">
        <x:v>Oasis Water Komatipo</x:v>
      </x:c>
      <x:c r="H646" s="38" t="n">
        <x:v>235.2</x:v>
      </x:c>
      <x:c r="I646" s="15" t="str">
        <x:v>ZAR</x:v>
      </x:c>
      <x:c r="J646" s="15" t="str">
        <x:v>Outflow</x:v>
      </x:c>
      <x:c r="K646" s="15" t="str">
        <x:v>Card purchase</x:v>
      </x:c>
      <x:c r="L646" s="15" t="str">
        <x:v>Supplier payments</x:v>
      </x:c>
      <x:c r="M646" s="38"/>
      <x:c r="N646" s="38" t="n">
        <x:v>72971</x:v>
      </x:c>
      <x:c r="O646" s="15" t="str"/>
      <x:c r="P646" s="15" t="str">
        <x:v>eml_ALL_currentac__512781 (2).zip &gt; eml4currentac__512781.zip</x:v>
      </x:c>
      <x:c r="Q646" s="15" t="str">
        <x:v>FNB _-) R235.20 reserved for purchase @ Oasis Water Komatipo from Current a_c..512781 using card..2924.  9Apr 14_23.eml</x:v>
      </x:c>
      <x:c r="R646" s="15" t="str">
        <x:v>High</x:v>
      </x:c>
      <x:c r="S646" s="15" t="str">
        <x:v>Category confidence Medium: Retail/supplier merchant keyword.</x:v>
      </x:c>
      <x:c r="T646" s="15" t="str"/>
      <x:c r="U646" s="15" t="str"/>
      <x:c r="V646" s="15" t="str"/>
      <x:c r="W646" s="15" t="str"/>
      <x:c r="X646" s="15" t="str">
        <x:v>FNB :-) R235.20 reserved for purchase @ Oasis Water Komatipo from Current a/c..512781 using card..2924. Avail R72971. 9Apr 14:23</x:v>
      </x:c>
      <x:c r="Y646" s="15" t="str">
        <x:v>543f016b161a61fd</x:v>
      </x:c>
    </x:row>
    <x:row r="647">
      <x:c r="A647" s="34" t="n">
        <x:v>46121.691666666666</x:v>
      </x:c>
      <x:c r="B647" s="36" t="n">
        <x:v>46121</x:v>
      </x:c>
      <x:c r="C647" s="34" t="n">
        <x:v>46121.692083333335</x:v>
      </x:c>
      <x:c r="D647" s="15" t="str">
        <x:v>Current a/c..512781</x:v>
      </x:c>
      <x:c r="E647" s="15" t="str"/>
      <x:c r="F647" s="15" t="str">
        <x:v>R150.00 paid from Current a/c..512781 @ Smartapp. Avail R72809. Ref.Electricity 14503572. 9Apr 16:36</x:v>
      </x:c>
      <x:c r="G647" s="15" t="str">
        <x:v>Electricity 14503572</x:v>
      </x:c>
      <x:c r="H647" s="38" t="n">
        <x:v>150</x:v>
      </x:c>
      <x:c r="I647" s="15" t="str">
        <x:v>ZAR</x:v>
      </x:c>
      <x:c r="J647" s="15" t="str">
        <x:v>Outflow</x:v>
      </x:c>
      <x:c r="K647" s="15" t="str">
        <x:v>EFT payment</x:v>
      </x:c>
      <x:c r="L647" s="15" t="str">
        <x:v>Telecom / utilities</x:v>
      </x:c>
      <x:c r="M647" s="38"/>
      <x:c r="N647" s="38" t="n">
        <x:v>72809</x:v>
      </x:c>
      <x:c r="O647" s="15" t="str"/>
      <x:c r="P647" s="15" t="str">
        <x:v>eml_ALL_currentac__512781 (2).zip &gt; eml4currentac__512781.zip</x:v>
      </x:c>
      <x:c r="Q647" s="15" t="str">
        <x:v>FNB _-) R150.00 paid from Current a_c..512781 @ Smartapp. Ref.Electricity 14503572.  9Apr 16_36.eml</x:v>
      </x:c>
      <x:c r="R647" s="15" t="str">
        <x:v>High</x:v>
      </x:c>
      <x:c r="S647" s="15" t="str"/>
      <x:c r="T647" s="15" t="str"/>
      <x:c r="U647" s="15" t="str"/>
      <x:c r="V647" s="15" t="str">
        <x:v>Electricity 14503572</x:v>
      </x:c>
      <x:c r="W647" s="15" t="str">
        <x:v>Smartapp</x:v>
      </x:c>
      <x:c r="X647" s="15" t="str">
        <x:v>FNB :-) R150.00 paid from Current a/c..512781 @ Smartapp. Avail R72809. Ref.Electricity 14503572. 9Apr 16:36</x:v>
      </x:c>
      <x:c r="Y647" s="15" t="str">
        <x:v>65281504956ad55f</x:v>
      </x:c>
    </x:row>
    <x:row r="648">
      <x:c r="A648" s="34" t="n">
        <x:v>46122.39166666667</x:v>
      </x:c>
      <x:c r="B648" s="36" t="n">
        <x:v>46122</x:v>
      </x:c>
      <x:c r="C648" s="34" t="n">
        <x:v>46122.39173611111</x:v>
      </x:c>
      <x:c r="D648" s="15" t="str">
        <x:v>Current a/c..512781</x:v>
      </x:c>
      <x:c r="E648" s="15" t="str"/>
      <x:c r="F648" s="15" t="str">
        <x:v>R8865.50 paid to Current a/c..512781 @ Retail Forex. Ref.R026tlz5b0 Johan Spr. 10Apr 09:24</x:v>
      </x:c>
      <x:c r="G648" s="15" t="str">
        <x:v>R026tlz5b0 Johan Spr</x:v>
      </x:c>
      <x:c r="H648" s="38" t="n">
        <x:v>8865.5</x:v>
      </x:c>
      <x:c r="I648" s="15" t="str">
        <x:v>ZAR</x:v>
      </x:c>
      <x:c r="J648" s="15" t="str">
        <x:v>Inflow</x:v>
      </x:c>
      <x:c r="K648" s="15" t="str">
        <x:v>EFT receipt</x:v>
      </x:c>
      <x:c r="L648" s="15" t="str">
        <x:v>Sales / customer receipts</x:v>
      </x:c>
      <x:c r="M648" s="38"/>
      <x:c r="N648" s="38"/>
      <x:c r="O648" s="15" t="str"/>
      <x:c r="P648" s="15" t="str">
        <x:v>eml_ALL_currentac__512781 (2).zip &gt; eml4currentac__512781.zip</x:v>
      </x:c>
      <x:c r="Q648" s="15" t="str">
        <x:v>FNB _-) R8865.50 paid to Current a_c..512781 @ Retail Forex. Ref.R026tlz5b0 Johan Spr. 10Apr 09_24.eml</x:v>
      </x:c>
      <x:c r="R648" s="15" t="str">
        <x:v>High</x:v>
      </x:c>
      <x:c r="S648" s="15" t="str">
        <x:v>Category confidence Medium: Default for incoming EFT/PayShap/online receipt.</x:v>
      </x:c>
      <x:c r="T648" s="15" t="str"/>
      <x:c r="U648" s="15" t="str"/>
      <x:c r="V648" s="15" t="str">
        <x:v>R026tlz5b0 Johan Spr</x:v>
      </x:c>
      <x:c r="W648" s="15" t="str">
        <x:v>Retail Forex</x:v>
      </x:c>
      <x:c r="X648" s="15" t="str">
        <x:v>FNB :-) R8865.50 paid to Current a/c..512781 @ Retail Forex. Ref.R026tlz5b0 Johan Spr. 10Apr 09:24</x:v>
      </x:c>
      <x:c r="Y648" s="15" t="str">
        <x:v>6b078159b0accfea</x:v>
      </x:c>
    </x:row>
    <x:row r="649">
      <x:c r="A649" s="34" t="n">
        <x:v>46122.4875</x:v>
      </x:c>
      <x:c r="B649" s="36" t="n">
        <x:v>46122</x:v>
      </x:c>
      <x:c r="C649" s="34" t="n">
        <x:v>46122.48813657407</x:v>
      </x:c>
      <x:c r="D649" s="15" t="str">
        <x:v>Current a/c..512781</x:v>
      </x:c>
      <x:c r="E649" s="15" t="str"/>
      <x:c r="F649" s="15" t="str">
        <x:v>R2929.00 paid from Current a/c..512781 @ Smartapp. Avail R78702. Ref.Kruger Safari 1693. 10Apr 11:42</x:v>
      </x:c>
      <x:c r="G649" s="15" t="str">
        <x:v>Kruger Safari 1693</x:v>
      </x:c>
      <x:c r="H649" s="38" t="n">
        <x:v>2929</x:v>
      </x:c>
      <x:c r="I649" s="15" t="str">
        <x:v>ZAR</x:v>
      </x:c>
      <x:c r="J649" s="15" t="str">
        <x:v>Outflow</x:v>
      </x:c>
      <x:c r="K649" s="15" t="str">
        <x:v>EFT payment</x:v>
      </x:c>
      <x:c r="L649" s="15" t="str">
        <x:v>Supplier payments</x:v>
      </x:c>
      <x:c r="M649" s="38"/>
      <x:c r="N649" s="38" t="n">
        <x:v>78702</x:v>
      </x:c>
      <x:c r="O649" s="15" t="str"/>
      <x:c r="P649" s="15" t="str">
        <x:v>eml_ALL_currentac__512781 (2).zip &gt; eml4currentac__512781.zip</x:v>
      </x:c>
      <x:c r="Q649" s="15" t="str">
        <x:v>FNB _-) R2929.00 paid from Current a_c..512781 @ Smartapp. Ref.Kruger Safari 1693. 10Apr 11_42.eml</x:v>
      </x:c>
      <x:c r="R649" s="15" t="str">
        <x:v>High</x:v>
      </x:c>
      <x:c r="S649" s="15" t="str">
        <x:v>Category confidence Low: Default outflow category; review counterparty/reference.</x:v>
      </x:c>
      <x:c r="T649" s="15" t="str"/>
      <x:c r="U649" s="15" t="str"/>
      <x:c r="V649" s="15" t="str">
        <x:v>Kruger Safari 1693</x:v>
      </x:c>
      <x:c r="W649" s="15" t="str">
        <x:v>Smartapp</x:v>
      </x:c>
      <x:c r="X649" s="15" t="str">
        <x:v>FNB :-) R2929.00 paid from Current a/c..512781 @ Smartapp. Avail R78702. Ref.Kruger Safari 1693. 10Apr 11:42</x:v>
      </x:c>
      <x:c r="Y649" s="15" t="str">
        <x:v>4287c1a80689f6ac</x:v>
      </x:c>
    </x:row>
    <x:row r="650">
      <x:c r="A650" s="34" t="n">
        <x:v>46122.49097222222</x:v>
      </x:c>
      <x:c r="B650" s="36" t="n">
        <x:v>46122</x:v>
      </x:c>
      <x:c r="C650" s="34" t="n">
        <x:v>46122.49144675926</x:v>
      </x:c>
      <x:c r="D650" s="15" t="str">
        <x:v>Current a/c..512781</x:v>
      </x:c>
      <x:c r="E650" s="15" t="str"/>
      <x:c r="F650" s="15" t="str">
        <x:v>R1500.00 paid from Current a/c..512781 @ Smartapp. Avail R77199. Ref.Muncipality Bigbay. 10Apr 11:47</x:v>
      </x:c>
      <x:c r="G650" s="15" t="str">
        <x:v>Muncipality Bigbay</x:v>
      </x:c>
      <x:c r="H650" s="38" t="n">
        <x:v>1500</x:v>
      </x:c>
      <x:c r="I650" s="15" t="str">
        <x:v>ZAR</x:v>
      </x:c>
      <x:c r="J650" s="15" t="str">
        <x:v>Outflow</x:v>
      </x:c>
      <x:c r="K650" s="15" t="str">
        <x:v>EFT payment</x:v>
      </x:c>
      <x:c r="L650" s="15" t="str">
        <x:v>Supplier payments</x:v>
      </x:c>
      <x:c r="M650" s="38"/>
      <x:c r="N650" s="38" t="n">
        <x:v>77199</x:v>
      </x:c>
      <x:c r="O650" s="15" t="str"/>
      <x:c r="P650" s="15" t="str">
        <x:v>eml_ALL_currentac__512781 (2).zip &gt; eml4currentac__512781.zip</x:v>
      </x:c>
      <x:c r="Q650" s="15" t="str">
        <x:v>FNB _-) R1500.00 paid from Current a_c..512781 @ Smartapp. Ref.Muncipality Bigbay. 10Apr 11_47.eml</x:v>
      </x:c>
      <x:c r="R650" s="15" t="str">
        <x:v>High</x:v>
      </x:c>
      <x:c r="S650" s="15" t="str">
        <x:v>Category confidence Low: Default outflow category; review counterparty/reference.</x:v>
      </x:c>
      <x:c r="T650" s="15" t="str"/>
      <x:c r="U650" s="15" t="str"/>
      <x:c r="V650" s="15" t="str">
        <x:v>Muncipality Bigbay</x:v>
      </x:c>
      <x:c r="W650" s="15" t="str">
        <x:v>Smartapp</x:v>
      </x:c>
      <x:c r="X650" s="15" t="str">
        <x:v>FNB :-) R1500.00 paid from Current a/c..512781 @ Smartapp. Avail R77199. Ref.Muncipality Bigbay. 10Apr 11:47</x:v>
      </x:c>
      <x:c r="Y650" s="15" t="str">
        <x:v>bf1dce21e8b8b20b</x:v>
      </x:c>
    </x:row>
    <x:row r="651">
      <x:c r="A651" s="34" t="n">
        <x:v>46122.57638888889</x:v>
      </x:c>
      <x:c r="B651" s="36" t="n">
        <x:v>46122</x:v>
      </x:c>
      <x:c r="C651" s="34" t="n">
        <x:v>46122.57650462963</x:v>
      </x:c>
      <x:c r="D651" s="15" t="str">
        <x:v>Current a/c..512781</x:v>
      </x:c>
      <x:c r="E651" s="15" t="str"/>
      <x:c r="F651" s="15" t="str">
        <x:v>R29586.28 paid to Current a/c..512781 @ Payshap. Ref.Ik Pay 487882. 10Apr 13:50</x:v>
      </x:c>
      <x:c r="G651" s="15" t="str">
        <x:v>Ik Pay 487882</x:v>
      </x:c>
      <x:c r="H651" s="38" t="n">
        <x:v>29586.28</x:v>
      </x:c>
      <x:c r="I651" s="15" t="str">
        <x:v>ZAR</x:v>
      </x:c>
      <x:c r="J651" s="15" t="str">
        <x:v>Inflow</x:v>
      </x:c>
      <x:c r="K651" s="15" t="str">
        <x:v>EFT receipt</x:v>
      </x:c>
      <x:c r="L651" s="15" t="str">
        <x:v>Sales / customer receipts</x:v>
      </x:c>
      <x:c r="M651" s="38"/>
      <x:c r="N651" s="38"/>
      <x:c r="O651" s="15" t="str"/>
      <x:c r="P651" s="15" t="str">
        <x:v>eml_ALL_currentac__512781 (2).zip &gt; eml4currentac__512781.zip</x:v>
      </x:c>
      <x:c r="Q651" s="15" t="str">
        <x:v>FNB _-) R29586.28 paid to Current a_c..512781 @ Payshap. Ref.Ik Pay 487882. 10Apr 13_50.eml</x:v>
      </x:c>
      <x:c r="R651" s="15" t="str">
        <x:v>High</x:v>
      </x:c>
      <x:c r="S651" s="15" t="str">
        <x:v>Category confidence Medium: Default for incoming EFT/PayShap/online receipt.</x:v>
      </x:c>
      <x:c r="T651" s="15" t="str"/>
      <x:c r="U651" s="15" t="str"/>
      <x:c r="V651" s="15" t="str">
        <x:v>Ik Pay 487882</x:v>
      </x:c>
      <x:c r="W651" s="15" t="str">
        <x:v>Payshap</x:v>
      </x:c>
      <x:c r="X651" s="15" t="str">
        <x:v>FNB :-) R29586.28 paid to Current a/c..512781 @ Payshap. Ref.Ik Pay 487882. 10Apr 13:50</x:v>
      </x:c>
      <x:c r="Y651" s="15" t="str">
        <x:v>57db3deaae343a04</x:v>
      </x:c>
    </x:row>
    <x:row r="652">
      <x:c r="A652" s="34" t="n">
        <x:v>46122.604166666664</x:v>
      </x:c>
      <x:c r="B652" s="36" t="n">
        <x:v>46122</x:v>
      </x:c>
      <x:c r="C652" s="34" t="n">
        <x:v>46122.60444444444</x:v>
      </x:c>
      <x:c r="D652" s="15" t="str">
        <x:v>Current a/c..512781</x:v>
      </x:c>
      <x:c r="E652" s="15" t="str"/>
      <x:c r="F652" s="15" t="str">
        <x:v>R2500.00 paid from Current a/c..512781 @ Smartapp. Avail R104278. Ref.Sakkie Wages. 10Apr 14:30</x:v>
      </x:c>
      <x:c r="G652" s="15" t="str">
        <x:v>Sakkie Wages</x:v>
      </x:c>
      <x:c r="H652" s="38" t="n">
        <x:v>2500</x:v>
      </x:c>
      <x:c r="I652" s="15" t="str">
        <x:v>ZAR</x:v>
      </x:c>
      <x:c r="J652" s="15" t="str">
        <x:v>Outflow</x:v>
      </x:c>
      <x:c r="K652" s="15" t="str">
        <x:v>EFT payment</x:v>
      </x:c>
      <x:c r="L652" s="15" t="str">
        <x:v>Salary / wages</x:v>
      </x:c>
      <x:c r="M652" s="38"/>
      <x:c r="N652" s="38" t="n">
        <x:v>104278</x:v>
      </x:c>
      <x:c r="O652" s="15" t="str"/>
      <x:c r="P652" s="15" t="str">
        <x:v>eml_ALL_currentac__512781 (2).zip &gt; eml4currentac__512781.zip</x:v>
      </x:c>
      <x:c r="Q652" s="15" t="str">
        <x:v>FNB _-) R2500.00 paid from Current a_c..512781 @ Smartapp. Ref.Sakkie Wages. 10Apr 14_30.eml</x:v>
      </x:c>
      <x:c r="R652" s="15" t="str">
        <x:v>High</x:v>
      </x:c>
      <x:c r="S652" s="15" t="str"/>
      <x:c r="T652" s="15" t="str"/>
      <x:c r="U652" s="15" t="str"/>
      <x:c r="V652" s="15" t="str">
        <x:v>Sakkie Wages</x:v>
      </x:c>
      <x:c r="W652" s="15" t="str">
        <x:v>Smartapp</x:v>
      </x:c>
      <x:c r="X652" s="15" t="str">
        <x:v>FNB :-) R2500.00 paid from Current a/c..512781 @ Smartapp. Avail R104278. Ref.Sakkie Wages. 10Apr 14:30</x:v>
      </x:c>
      <x:c r="Y652" s="15" t="str">
        <x:v>d8a76516f6aa15be</x:v>
      </x:c>
    </x:row>
    <x:row r="653">
      <x:c r="A653" s="34" t="n">
        <x:v>46122.60555555556</x:v>
      </x:c>
      <x:c r="B653" s="36" t="n">
        <x:v>46122</x:v>
      </x:c>
      <x:c r="C653" s="34" t="n">
        <x:v>46122.60623842593</x:v>
      </x:c>
      <x:c r="D653" s="15" t="str">
        <x:v>Current a/c..512781</x:v>
      </x:c>
      <x:c r="E653" s="15" t="str"/>
      <x:c r="F653" s="15" t="str">
        <x:v>R5000.00 paid from Current a/c..512781 @ Smartapp. Avail R99275. Ref.Salary. 10Apr 14:32</x:v>
      </x:c>
      <x:c r="G653" s="15" t="str">
        <x:v>Salary</x:v>
      </x:c>
      <x:c r="H653" s="38" t="n">
        <x:v>5000</x:v>
      </x:c>
      <x:c r="I653" s="15" t="str">
        <x:v>ZAR</x:v>
      </x:c>
      <x:c r="J653" s="15" t="str">
        <x:v>Outflow</x:v>
      </x:c>
      <x:c r="K653" s="15" t="str">
        <x:v>EFT payment</x:v>
      </x:c>
      <x:c r="L653" s="15" t="str">
        <x:v>Salary / wages</x:v>
      </x:c>
      <x:c r="M653" s="38"/>
      <x:c r="N653" s="38" t="n">
        <x:v>99275</x:v>
      </x:c>
      <x:c r="O653" s="15" t="str"/>
      <x:c r="P653" s="15" t="str">
        <x:v>eml_ALL_currentac__512781 (2).zip &gt; eml4currentac__512781.zip</x:v>
      </x:c>
      <x:c r="Q653" s="15" t="str">
        <x:v>FNB _-) R5000.00 paid from Current a_c..512781 @ Smartapp. Ref.Salary. 10Apr 14_32.eml</x:v>
      </x:c>
      <x:c r="R653" s="15" t="str">
        <x:v>High</x:v>
      </x:c>
      <x:c r="S653" s="15" t="str"/>
      <x:c r="T653" s="15" t="str"/>
      <x:c r="U653" s="15" t="str"/>
      <x:c r="V653" s="15" t="str">
        <x:v>Salary</x:v>
      </x:c>
      <x:c r="W653" s="15" t="str">
        <x:v>Smartapp</x:v>
      </x:c>
      <x:c r="X653" s="15" t="str">
        <x:v>FNB :-) R5000.00 paid from Current a/c..512781 @ Smartapp. Avail R99275. Ref.Salary. 10Apr 14:32</x:v>
      </x:c>
      <x:c r="Y653" s="15" t="str">
        <x:v>6553d90507369820</x:v>
      </x:c>
    </x:row>
    <x:row r="654">
      <x:c r="A654" s="34" t="n">
        <x:v>46122.77569444444</x:v>
      </x:c>
      <x:c r="B654" s="36" t="n">
        <x:v>46122</x:v>
      </x:c>
      <x:c r="C654" s="34" t="n">
        <x:v>46122.775729166664</x:v>
      </x:c>
      <x:c r="D654" s="15" t="str">
        <x:v>Current a/c..512781</x:v>
      </x:c>
      <x:c r="E654" s="15" t="str">
        <x:v>card..2924</x:v>
      </x:c>
      <x:c r="F654" s="15" t="str">
        <x:v>R210.00 reserved for purchase @ The Tin Shack from Current a/c..512781 using card..2924. Avail R99065. 10Apr 18:37</x:v>
      </x:c>
      <x:c r="G654" s="15" t="str">
        <x:v>The Tin Shack</x:v>
      </x:c>
      <x:c r="H654" s="38" t="n">
        <x:v>210</x:v>
      </x:c>
      <x:c r="I654" s="15" t="str">
        <x:v>ZAR</x:v>
      </x:c>
      <x:c r="J654" s="15" t="str">
        <x:v>Outflow</x:v>
      </x:c>
      <x:c r="K654" s="15" t="str">
        <x:v>Card purchase</x:v>
      </x:c>
      <x:c r="L654" s="15" t="str">
        <x:v>Meals / restaurants / entertainment</x:v>
      </x:c>
      <x:c r="M654" s="38"/>
      <x:c r="N654" s="38" t="n">
        <x:v>99065</x:v>
      </x:c>
      <x:c r="O654" s="15" t="str"/>
      <x:c r="P654" s="15" t="str">
        <x:v>eml_ALL_currentac__512781 (2).zip &gt; eml4currentac__512781.zip</x:v>
      </x:c>
      <x:c r="Q654" s="15" t="str">
        <x:v>FNB _-) R210.00 reserved for purchase @ The Tin Shack from Current a_c..512781 using card..2924. 10Apr 18_37.eml</x:v>
      </x:c>
      <x:c r="R654" s="15" t="str">
        <x:v>High</x:v>
      </x:c>
      <x:c r="S654" s="15" t="str"/>
      <x:c r="T654" s="15" t="str"/>
      <x:c r="U654" s="15" t="str"/>
      <x:c r="V654" s="15" t="str"/>
      <x:c r="W654" s="15" t="str"/>
      <x:c r="X654" s="15" t="str">
        <x:v>FNB :-) R210.00 reserved for purchase @ The Tin Shack from Current a/c..512781 using card..2924. Avail R99065. 10Apr 18:37</x:v>
      </x:c>
      <x:c r="Y654" s="15" t="str">
        <x:v>772f62d5191e1599</x:v>
      </x:c>
    </x:row>
    <x:row r="655">
      <x:c r="A655" s="34" t="n">
        <x:v>46123.46388888889</x:v>
      </x:c>
      <x:c r="B655" s="36" t="n">
        <x:v>46123</x:v>
      </x:c>
      <x:c r="C655" s="34" t="n">
        <x:v>46123.46439814815</x:v>
      </x:c>
      <x:c r="D655" s="15" t="str">
        <x:v>Current a/c..512781</x:v>
      </x:c>
      <x:c r="E655" s="15" t="str">
        <x:v>card..2924</x:v>
      </x:c>
      <x:c r="F655" s="15" t="str">
        <x:v>R174.98 reserved for purchase @ Buco Komatipoort 116 from Current a/c..512781 using card..2924. Avail R98886. 11Apr 11:08</x:v>
      </x:c>
      <x:c r="G655" s="15" t="str">
        <x:v>Buco Komatipoort 116</x:v>
      </x:c>
      <x:c r="H655" s="38" t="n">
        <x:v>174.98</x:v>
      </x:c>
      <x:c r="I655" s="15" t="str">
        <x:v>ZAR</x:v>
      </x:c>
      <x:c r="J655" s="15" t="str">
        <x:v>Outflow</x:v>
      </x:c>
      <x:c r="K655" s="15" t="str">
        <x:v>Card purchase</x:v>
      </x:c>
      <x:c r="L655" s="15" t="str">
        <x:v>Supplier payments</x:v>
      </x:c>
      <x:c r="M655" s="38"/>
      <x:c r="N655" s="38" t="n">
        <x:v>98886</x:v>
      </x:c>
      <x:c r="O655" s="15" t="str"/>
      <x:c r="P655" s="15" t="str">
        <x:v>eml_ALL_currentac__512781 (2).zip &gt; eml4currentac__512781.zip</x:v>
      </x:c>
      <x:c r="Q655" s="15" t="str">
        <x:v>FNB _-) R174.98 reserved for purchase @ Buco Komatipoort 116 from Current a_c..512781 using card..2924. 11Apr 11_08.eml</x:v>
      </x:c>
      <x:c r="R655" s="15" t="str">
        <x:v>High</x:v>
      </x:c>
      <x:c r="S655" s="15" t="str">
        <x:v>Category confidence Medium: Retail/supplier merchant keyword.</x:v>
      </x:c>
      <x:c r="T655" s="15" t="str"/>
      <x:c r="U655" s="15" t="str"/>
      <x:c r="V655" s="15" t="str"/>
      <x:c r="W655" s="15" t="str"/>
      <x:c r="X655" s="15" t="str">
        <x:v>FNB :-) R174.98 reserved for purchase @ Buco Komatipoort 116 from Current a/c..512781 using card..2924. Avail R98886. 11Apr 11:08</x:v>
      </x:c>
      <x:c r="Y655" s="15" t="str">
        <x:v>37e672782bf61aa9</x:v>
      </x:c>
    </x:row>
    <x:row r="656">
      <x:c r="A656" s="34" t="n">
        <x:v>46123.49097222222</x:v>
      </x:c>
      <x:c r="B656" s="36" t="n">
        <x:v>46123</x:v>
      </x:c>
      <x:c r="C656" s="34" t="n">
        <x:v>46123.49144675926</x:v>
      </x:c>
      <x:c r="D656" s="15" t="str">
        <x:v>Current a/c..512781</x:v>
      </x:c>
      <x:c r="E656" s="15" t="str">
        <x:v>card..2924</x:v>
      </x:c>
      <x:c r="F656" s="15" t="str">
        <x:v>R534.31 reserved for purchase @ Superspar Komatipoor from Current a/c..512781 using card..2924. Avail R98352. 11Apr 11:47</x:v>
      </x:c>
      <x:c r="G656" s="15" t="str">
        <x:v>Superspar Komatipoor</x:v>
      </x:c>
      <x:c r="H656" s="38" t="n">
        <x:v>534.31</x:v>
      </x:c>
      <x:c r="I656" s="15" t="str">
        <x:v>ZAR</x:v>
      </x:c>
      <x:c r="J656" s="15" t="str">
        <x:v>Outflow</x:v>
      </x:c>
      <x:c r="K656" s="15" t="str">
        <x:v>Card purchase</x:v>
      </x:c>
      <x:c r="L656" s="15" t="str">
        <x:v>Supplier payments</x:v>
      </x:c>
      <x:c r="M656" s="38"/>
      <x:c r="N656" s="38" t="n">
        <x:v>98352</x:v>
      </x:c>
      <x:c r="O656" s="15" t="str"/>
      <x:c r="P656" s="15" t="str">
        <x:v>eml_ALL_currentac__512781 (2).zip &gt; eml4currentac__512781.zip</x:v>
      </x:c>
      <x:c r="Q656" s="15" t="str">
        <x:v>FNB _-) R534.31 reserved for purchase @ Superspar Komatipoor from Current a_c..512781 using card..2924. 11Apr 11_47.eml</x:v>
      </x:c>
      <x:c r="R656" s="15" t="str">
        <x:v>High</x:v>
      </x:c>
      <x:c r="S656" s="15" t="str">
        <x:v>Category confidence Medium: Retail/supplier merchant keyword.</x:v>
      </x:c>
      <x:c r="T656" s="15" t="str"/>
      <x:c r="U656" s="15" t="str"/>
      <x:c r="V656" s="15" t="str"/>
      <x:c r="W656" s="15" t="str"/>
      <x:c r="X656" s="15" t="str">
        <x:v>FNB :-) R534.31 reserved for purchase @ Superspar Komatipoor from Current a/c..512781 using card..2924. Avail R98352. 11Apr 11:47</x:v>
      </x:c>
      <x:c r="Y656" s="15" t="str">
        <x:v>2cc751286fd553c4</x:v>
      </x:c>
    </x:row>
    <x:row r="657">
      <x:c r="A657" s="34" t="n">
        <x:v>46123.501388888886</x:v>
      </x:c>
      <x:c r="B657" s="36" t="n">
        <x:v>46123</x:v>
      </x:c>
      <x:c r="C657" s="34" t="n">
        <x:v>46123.501909722225</x:v>
      </x:c>
      <x:c r="D657" s="15" t="str">
        <x:v>Current a/c..512781</x:v>
      </x:c>
      <x:c r="E657" s="15" t="str">
        <x:v>card..2924</x:v>
      </x:c>
      <x:c r="F657" s="15" t="str">
        <x:v>R138.49 reserved for purchase @ Komati Pharmacy from Current a/c..512781 using card..2924. Avail R98213. 11Apr 12:02</x:v>
      </x:c>
      <x:c r="G657" s="15" t="str">
        <x:v>Komati Pharmacy</x:v>
      </x:c>
      <x:c r="H657" s="38" t="n">
        <x:v>138.49</x:v>
      </x:c>
      <x:c r="I657" s="15" t="str">
        <x:v>ZAR</x:v>
      </x:c>
      <x:c r="J657" s="15" t="str">
        <x:v>Outflow</x:v>
      </x:c>
      <x:c r="K657" s="15" t="str">
        <x:v>Card purchase</x:v>
      </x:c>
      <x:c r="L657" s="15" t="str">
        <x:v>Supplier payments</x:v>
      </x:c>
      <x:c r="M657" s="38"/>
      <x:c r="N657" s="38" t="n">
        <x:v>98213</x:v>
      </x:c>
      <x:c r="O657" s="15" t="str"/>
      <x:c r="P657" s="15" t="str">
        <x:v>eml_ALL_currentac__512781 (2).zip &gt; eml4currentac__512781.zip</x:v>
      </x:c>
      <x:c r="Q657" s="15" t="str">
        <x:v>FNB _-) R138.49 reserved for purchase @ Komati Pharmacy from Current a_c..512781 using card..2924. 11Apr 12_02.eml</x:v>
      </x:c>
      <x:c r="R657" s="15" t="str">
        <x:v>High</x:v>
      </x:c>
      <x:c r="S657" s="15" t="str">
        <x:v>Category confidence Medium: Retail/supplier merchant keyword.</x:v>
      </x:c>
      <x:c r="T657" s="15" t="str"/>
      <x:c r="U657" s="15" t="str"/>
      <x:c r="V657" s="15" t="str"/>
      <x:c r="W657" s="15" t="str"/>
      <x:c r="X657" s="15" t="str">
        <x:v>FNB :-) R138.49 reserved for purchase @ Komati Pharmacy from Current a/c..512781 using card..2924. Avail R98213. 11Apr 12:02</x:v>
      </x:c>
      <x:c r="Y657" s="15" t="str">
        <x:v>6e4700c47c8ad968</x:v>
      </x:c>
    </x:row>
    <x:row r="658">
      <x:c r="A658" s="34" t="n">
        <x:v>46123.50625</x:v>
      </x:c>
      <x:c r="B658" s="36" t="n">
        <x:v>46123</x:v>
      </x:c>
      <x:c r="C658" s="34" t="n">
        <x:v>46123.50693287037</x:v>
      </x:c>
      <x:c r="D658" s="15" t="str">
        <x:v>Current a/c..512781</x:v>
      </x:c>
      <x:c r="E658" s="15" t="str">
        <x:v>card..2924</x:v>
      </x:c>
      <x:c r="F658" s="15" t="str">
        <x:v>R214.96 reserved for purchase @ Tops Komatipoort from Current a/c..512781 using card..2924. Avail R97998. 11Apr 12:09</x:v>
      </x:c>
      <x:c r="G658" s="15" t="str">
        <x:v>Tops Komatipoort</x:v>
      </x:c>
      <x:c r="H658" s="38" t="n">
        <x:v>214.96</x:v>
      </x:c>
      <x:c r="I658" s="15" t="str">
        <x:v>ZAR</x:v>
      </x:c>
      <x:c r="J658" s="15" t="str">
        <x:v>Outflow</x:v>
      </x:c>
      <x:c r="K658" s="15" t="str">
        <x:v>Card purchase</x:v>
      </x:c>
      <x:c r="L658" s="15" t="str">
        <x:v>Meals / restaurants / entertainment</x:v>
      </x:c>
      <x:c r="M658" s="38"/>
      <x:c r="N658" s="38" t="n">
        <x:v>97998</x:v>
      </x:c>
      <x:c r="O658" s="15" t="str"/>
      <x:c r="P658" s="15" t="str">
        <x:v>eml_ALL_currentac__512781 (2).zip &gt; eml4currentac__512781.zip</x:v>
      </x:c>
      <x:c r="Q658" s="15" t="str">
        <x:v>FNB _-) R214.96 reserved for purchase @ Tops Komatipoort from Current a_c..512781 using card..2924. 11Apr 12_09.eml</x:v>
      </x:c>
      <x:c r="R658" s="15" t="str">
        <x:v>High</x:v>
      </x:c>
      <x:c r="S658" s="15" t="str"/>
      <x:c r="T658" s="15" t="str"/>
      <x:c r="U658" s="15" t="str"/>
      <x:c r="V658" s="15" t="str"/>
      <x:c r="W658" s="15" t="str"/>
      <x:c r="X658" s="15" t="str">
        <x:v>FNB :-) R214.96 reserved for purchase @ Tops Komatipoort from Current a/c..512781 using card..2924. Avail R97998. 11Apr 12:09</x:v>
      </x:c>
      <x:c r="Y658" s="15" t="str">
        <x:v>cb1aa3315edd5828</x:v>
      </x:c>
    </x:row>
    <x:row r="659">
      <x:c r="A659" s="34" t="n">
        <x:v>46123.513194444444</x:v>
      </x:c>
      <x:c r="B659" s="36" t="n">
        <x:v>46123</x:v>
      </x:c>
      <x:c r="C659" s="34" t="n">
        <x:v>46123.513877314814</x:v>
      </x:c>
      <x:c r="D659" s="15" t="str">
        <x:v>Current a/c..512781</x:v>
      </x:c>
      <x:c r="E659" s="15" t="str">
        <x:v>card..2924</x:v>
      </x:c>
      <x:c r="F659" s="15" t="str">
        <x:v>R200.00 reserved for purchase @ Ae Komatipoort from Current a/c..512781 using card..2924. Avail R97798. 11Apr 12:19</x:v>
      </x:c>
      <x:c r="G659" s="15" t="str">
        <x:v>Ae Komatipoort</x:v>
      </x:c>
      <x:c r="H659" s="38" t="n">
        <x:v>200</x:v>
      </x:c>
      <x:c r="I659" s="15" t="str">
        <x:v>ZAR</x:v>
      </x:c>
      <x:c r="J659" s="15" t="str">
        <x:v>Outflow</x:v>
      </x:c>
      <x:c r="K659" s="15" t="str">
        <x:v>Card purchase</x:v>
      </x:c>
      <x:c r="L659" s="15" t="str">
        <x:v>Card spend</x:v>
      </x:c>
      <x:c r="M659" s="38"/>
      <x:c r="N659" s="38" t="n">
        <x:v>97798</x:v>
      </x:c>
      <x:c r="O659" s="15" t="str"/>
      <x:c r="P659" s="15" t="str">
        <x:v>eml_ALL_currentac__512781 (2).zip &gt; eml3currentac__512781.zip</x:v>
      </x:c>
      <x:c r="Q659" s="15" t="str">
        <x:v>FNB _-) R200.00 reserved for purchase @ Ae Komatipoort from Current a_c..512781 using card..2924. 11Apr 12_19.eml</x:v>
      </x:c>
      <x:c r="R659" s="15" t="str">
        <x:v>High</x:v>
      </x:c>
      <x:c r="S659" s="15" t="str">
        <x:v>Category confidence Low: Default card-spend category; merchant not confidently mapped.</x:v>
      </x:c>
      <x:c r="T659" s="15" t="str"/>
      <x:c r="U659" s="15" t="str"/>
      <x:c r="V659" s="15" t="str"/>
      <x:c r="W659" s="15" t="str"/>
      <x:c r="X659" s="15" t="str">
        <x:v>FNB :-) R200.00 reserved for purchase @ Ae Komatipoort from Current a/c..512781 using card..2924. Avail R97798. 11Apr 12:19</x:v>
      </x:c>
      <x:c r="Y659" s="15" t="str">
        <x:v>c1e5d3f4d9893a97</x:v>
      </x:c>
    </x:row>
    <x:row r="660">
      <x:c r="A660" s="34" t="n">
        <x:v>46123.58541666667</x:v>
      </x:c>
      <x:c r="B660" s="36" t="n">
        <x:v>46123</x:v>
      </x:c>
      <x:c r="C660" s="34" t="n">
        <x:v>46123.585648148146</x:v>
      </x:c>
      <x:c r="D660" s="15" t="str">
        <x:v>Current a/c..512781</x:v>
      </x:c>
      <x:c r="E660" s="15" t="str"/>
      <x:c r="F660" s="15" t="str">
        <x:v>R372.00 paid from Current a/c..512781 @ Smartapp. Avail R97418. Ref.Cf Moto Saf - Inv 3. 11Apr 14:03</x:v>
      </x:c>
      <x:c r="G660" s="15" t="str">
        <x:v>Cf Moto Saf - Inv 3</x:v>
      </x:c>
      <x:c r="H660" s="38" t="n">
        <x:v>372</x:v>
      </x:c>
      <x:c r="I660" s="15" t="str">
        <x:v>ZAR</x:v>
      </x:c>
      <x:c r="J660" s="15" t="str">
        <x:v>Outflow</x:v>
      </x:c>
      <x:c r="K660" s="15" t="str">
        <x:v>EFT payment</x:v>
      </x:c>
      <x:c r="L660" s="15" t="str">
        <x:v>Supplier payments</x:v>
      </x:c>
      <x:c r="M660" s="38"/>
      <x:c r="N660" s="38" t="n">
        <x:v>97418</x:v>
      </x:c>
      <x:c r="O660" s="15" t="str"/>
      <x:c r="P660" s="15" t="str">
        <x:v>eml_ALL_currentac__512781 (2).zip &gt; eml3currentac__512781.zip</x:v>
      </x:c>
      <x:c r="Q660" s="15" t="str">
        <x:v>FNB _-) R372.00 paid from Current a_c..512781 @ Smartapp. Ref.Cf Moto Saf - Inv 3. 11Apr 14_03.eml</x:v>
      </x:c>
      <x:c r="R660" s="15" t="str">
        <x:v>High</x:v>
      </x:c>
      <x:c r="S660" s="15" t="str">
        <x:v>Category confidence Low: Default outflow category; review counterparty/reference.</x:v>
      </x:c>
      <x:c r="T660" s="15" t="str"/>
      <x:c r="U660" s="15" t="str"/>
      <x:c r="V660" s="15" t="str">
        <x:v>Cf Moto Saf - Inv 3</x:v>
      </x:c>
      <x:c r="W660" s="15" t="str">
        <x:v>Smartapp</x:v>
      </x:c>
      <x:c r="X660" s="15" t="str">
        <x:v>FNB :-) R372.00 paid from Current a/c..512781 @ Smartapp. Avail R97418. Ref.Cf Moto Saf - Inv 3. 11Apr 14:03</x:v>
      </x:c>
      <x:c r="Y660" s="15" t="str">
        <x:v>7d2b47ef5623f427</x:v>
      </x:c>
    </x:row>
    <x:row r="661">
      <x:c r="A661" s="34" t="n">
        <x:v>46124.54027777778</x:v>
      </x:c>
      <x:c r="B661" s="36" t="n">
        <x:v>46124</x:v>
      </x:c>
      <x:c r="C661" s="34" t="n">
        <x:v>46124.54063657407</x:v>
      </x:c>
      <x:c r="D661" s="15" t="str">
        <x:v>Current a/c..512781</x:v>
      </x:c>
      <x:c r="E661" s="15" t="str">
        <x:v>card..2924</x:v>
      </x:c>
      <x:c r="F661" s="15" t="str">
        <x:v>R550.00 withdrawn from Current a/c..512781 using card..2924 @ Atmh11960000001. Avail R96868. 12Apr 12:58</x:v>
      </x:c>
      <x:c r="G661" s="15" t="str">
        <x:v>Atmh11960000001</x:v>
      </x:c>
      <x:c r="H661" s="38" t="n">
        <x:v>550</x:v>
      </x:c>
      <x:c r="I661" s="15" t="str">
        <x:v>ZAR</x:v>
      </x:c>
      <x:c r="J661" s="15" t="str">
        <x:v>Outflow</x:v>
      </x:c>
      <x:c r="K661" s="15" t="str">
        <x:v>ATM / cash withdrawal</x:v>
      </x:c>
      <x:c r="L661" s="15" t="str">
        <x:v>Cash withdrawal</x:v>
      </x:c>
      <x:c r="M661" s="38"/>
      <x:c r="N661" s="38" t="n">
        <x:v>96868</x:v>
      </x:c>
      <x:c r="O661" s="15" t="str">
        <x:v>Atmh11960000001</x:v>
      </x:c>
      <x:c r="P661" s="15" t="str">
        <x:v>eml_ALL_currentac__512781 (2).zip &gt; eml3currentac__512781.zip</x:v>
      </x:c>
      <x:c r="Q661" s="15" t="str">
        <x:v>FNB _-) R550.00 withdrawn from Current a_c..512781 using card..2924 @ Atmh11960000001. 12Apr 12_58.eml</x:v>
      </x:c>
      <x:c r="R661" s="15" t="str">
        <x:v>High</x:v>
      </x:c>
      <x:c r="S661" s="15" t="str">
        <x:v>Cash withdrawal; included in outflows and separated in income statement.</x:v>
      </x:c>
      <x:c r="T661" s="15" t="str"/>
      <x:c r="U661" s="15" t="str"/>
      <x:c r="V661" s="15" t="str"/>
      <x:c r="W661" s="15" t="str"/>
      <x:c r="X661" s="15" t="str">
        <x:v>FNB :-) R550.00 withdrawn from Current a/c..512781 using card..2924 @ Atmh11960000001. Avail R96868. 12Apr 12:58</x:v>
      </x:c>
      <x:c r="Y661" s="15" t="str">
        <x:v>cd1ff465618b0f5b</x:v>
      </x:c>
    </x:row>
    <x:row r="662">
      <x:c r="A662" s="34" t="n">
        <x:v>46124.6125</x:v>
      </x:c>
      <x:c r="B662" s="36" t="n">
        <x:v>46124</x:v>
      </x:c>
      <x:c r="C662" s="34" t="n">
        <x:v>46124.61314814815</x:v>
      </x:c>
      <x:c r="D662" s="15" t="str">
        <x:v>Current a/c..512781</x:v>
      </x:c>
      <x:c r="E662" s="15" t="str">
        <x:v>card..0104</x:v>
      </x:c>
      <x:c r="F662" s="15" t="str">
        <x:v>R399.00 reserved for purchase @ Openai *chatgpt Subscr+14 from Current a/c..512781 using card..0104. Avail R96469. 12Apr 14:42</x:v>
      </x:c>
      <x:c r="G662" s="15" t="str">
        <x:v>Openai *chatgpt Subscr+14</x:v>
      </x:c>
      <x:c r="H662" s="38" t="n">
        <x:v>399</x:v>
      </x:c>
      <x:c r="I662" s="15" t="str">
        <x:v>ZAR</x:v>
      </x:c>
      <x:c r="J662" s="15" t="str">
        <x:v>Outflow</x:v>
      </x:c>
      <x:c r="K662" s="15" t="str">
        <x:v>Card purchase</x:v>
      </x:c>
      <x:c r="L662" s="15" t="str">
        <x:v>Software / subscriptions</x:v>
      </x:c>
      <x:c r="M662" s="38"/>
      <x:c r="N662" s="38" t="n">
        <x:v>96469</x:v>
      </x:c>
      <x:c r="O662" s="15" t="str"/>
      <x:c r="P662" s="15" t="str">
        <x:v>eml_ALL_currentac__512781 (2).zip &gt; eml3currentac__512781.zip</x:v>
      </x:c>
      <x:c r="Q662" s="15" t="str">
        <x:v>FNB _-) R399.00 reserved for purchase @ Openai _chatgpt Subscr+14 from Current a_c..512781 using card..0104. 12Apr 14_42.eml</x:v>
      </x:c>
      <x:c r="R662" s="15" t="str">
        <x:v>High</x:v>
      </x:c>
      <x:c r="S662" s="15" t="str"/>
      <x:c r="T662" s="15" t="str"/>
      <x:c r="U662" s="15" t="str"/>
      <x:c r="V662" s="15" t="str"/>
      <x:c r="W662" s="15" t="str"/>
      <x:c r="X662" s="15" t="str">
        <x:v>FNB :-) R399.00 reserved for purchase @ Openai *chatgpt Subscr+14 from Current a/c..512781 using card..0104. Avail R96469. 12Apr 14:42</x:v>
      </x:c>
      <x:c r="Y662" s="15" t="str">
        <x:v>4e1836693b7db09a</x:v>
      </x:c>
    </x:row>
    <x:row r="663">
      <x:c r="A663" s="34" t="n">
        <x:v>46125.56736111111</x:v>
      </x:c>
      <x:c r="B663" s="36" t="n">
        <x:v>46125</x:v>
      </x:c>
      <x:c r="C663" s="34" t="n">
        <x:v>46125.568020833336</x:v>
      </x:c>
      <x:c r="D663" s="15" t="str">
        <x:v>Current a/c..512781</x:v>
      </x:c>
      <x:c r="E663" s="15" t="str"/>
      <x:c r="F663" s="15" t="str">
        <x:v>R3274.00 paid from Current a/c..512781 @ Smartapp. Avail R93140. Ref.Kruger Safari 1694. 13Apr 13:37</x:v>
      </x:c>
      <x:c r="G663" s="15" t="str">
        <x:v>Kruger Safari 1694</x:v>
      </x:c>
      <x:c r="H663" s="38" t="n">
        <x:v>3274</x:v>
      </x:c>
      <x:c r="I663" s="15" t="str">
        <x:v>ZAR</x:v>
      </x:c>
      <x:c r="J663" s="15" t="str">
        <x:v>Outflow</x:v>
      </x:c>
      <x:c r="K663" s="15" t="str">
        <x:v>EFT payment</x:v>
      </x:c>
      <x:c r="L663" s="15" t="str">
        <x:v>Supplier payments</x:v>
      </x:c>
      <x:c r="M663" s="38"/>
      <x:c r="N663" s="38" t="n">
        <x:v>93140</x:v>
      </x:c>
      <x:c r="O663" s="15" t="str"/>
      <x:c r="P663" s="15" t="str">
        <x:v>eml_ALL_currentac__512781 (2).zip &gt; eml3currentac__512781.zip</x:v>
      </x:c>
      <x:c r="Q663" s="15" t="str">
        <x:v>FNB _-) R3274.00 paid from Current a_c..512781 @ Smartapp. Ref.Kruger Safari 1694. 13Apr 13_37.eml</x:v>
      </x:c>
      <x:c r="R663" s="15" t="str">
        <x:v>High</x:v>
      </x:c>
      <x:c r="S663" s="15" t="str">
        <x:v>Category confidence Low: Default outflow category; review counterparty/reference.</x:v>
      </x:c>
      <x:c r="T663" s="15" t="str"/>
      <x:c r="U663" s="15" t="str"/>
      <x:c r="V663" s="15" t="str">
        <x:v>Kruger Safari 1694</x:v>
      </x:c>
      <x:c r="W663" s="15" t="str">
        <x:v>Smartapp</x:v>
      </x:c>
      <x:c r="X663" s="15" t="str">
        <x:v>FNB :-) R3274.00 paid from Current a/c..512781 @ Smartapp. Avail R93140. Ref.Kruger Safari 1694. 13Apr 13:37</x:v>
      </x:c>
      <x:c r="Y663" s="15" t="str">
        <x:v>0ff576086f87a106</x:v>
      </x:c>
    </x:row>
    <x:row r="664">
      <x:c r="A664" s="34" t="n">
        <x:v>46125.84930555556</x:v>
      </x:c>
      <x:c r="B664" s="36" t="n">
        <x:v>46125</x:v>
      </x:c>
      <x:c r="C664" s="34" t="n">
        <x:v>46125.85</x:v>
      </x:c>
      <x:c r="D664" s="15" t="str">
        <x:v>Current a/c..512781</x:v>
      </x:c>
      <x:c r="E664" s="15" t="str"/>
      <x:c r="F664" s="15" t="str">
        <x:v>R150.00 paid from Current a/c..512781 @ Smartapp. Avail R92913. Ref.Electricity 14503572. 13Apr 20:23</x:v>
      </x:c>
      <x:c r="G664" s="15" t="str">
        <x:v>Electricity 14503572</x:v>
      </x:c>
      <x:c r="H664" s="38" t="n">
        <x:v>150</x:v>
      </x:c>
      <x:c r="I664" s="15" t="str">
        <x:v>ZAR</x:v>
      </x:c>
      <x:c r="J664" s="15" t="str">
        <x:v>Outflow</x:v>
      </x:c>
      <x:c r="K664" s="15" t="str">
        <x:v>EFT payment</x:v>
      </x:c>
      <x:c r="L664" s="15" t="str">
        <x:v>Telecom / utilities</x:v>
      </x:c>
      <x:c r="M664" s="38"/>
      <x:c r="N664" s="38" t="n">
        <x:v>92913</x:v>
      </x:c>
      <x:c r="O664" s="15" t="str"/>
      <x:c r="P664" s="15" t="str">
        <x:v>eml_ALL_currentac__512781 (2).zip &gt; eml3currentac__512781.zip</x:v>
      </x:c>
      <x:c r="Q664" s="15" t="str">
        <x:v>FNB _-) R150.00 paid from Current a_c..512781 @ Smartapp. Ref.Electricity 14503572. 13Apr 20_23.eml</x:v>
      </x:c>
      <x:c r="R664" s="15" t="str">
        <x:v>High</x:v>
      </x:c>
      <x:c r="S664" s="15" t="str"/>
      <x:c r="T664" s="15" t="str"/>
      <x:c r="U664" s="15" t="str"/>
      <x:c r="V664" s="15" t="str">
        <x:v>Electricity 14503572</x:v>
      </x:c>
      <x:c r="W664" s="15" t="str">
        <x:v>Smartapp</x:v>
      </x:c>
      <x:c r="X664" s="15" t="str">
        <x:v>FNB :-) R150.00 paid from Current a/c..512781 @ Smartapp. Avail R92913. Ref.Electricity 14503572. 13Apr 20:23</x:v>
      </x:c>
      <x:c r="Y664" s="15" t="str">
        <x:v>8147bd778c008e74</x:v>
      </x:c>
    </x:row>
    <x:row r="665">
      <x:c r="A665" s="34" t="n">
        <x:v>46126.37222222222</x:v>
      </x:c>
      <x:c r="B665" s="36" t="n">
        <x:v>46126</x:v>
      </x:c>
      <x:c r="C665" s="34" t="n">
        <x:v>46126.37278935185</x:v>
      </x:c>
      <x:c r="D665" s="15" t="str">
        <x:v>Current a/c..512781</x:v>
      </x:c>
      <x:c r="E665" s="15" t="str"/>
      <x:c r="F665" s="15" t="str">
        <x:v>R500.00 paid from Current a/c..512781 @ Smartapp. Avail R92378. Ref.Electricity 04294887. 14Apr 08:56</x:v>
      </x:c>
      <x:c r="G665" s="15" t="str">
        <x:v>Electricity 04294887</x:v>
      </x:c>
      <x:c r="H665" s="38" t="n">
        <x:v>500</x:v>
      </x:c>
      <x:c r="I665" s="15" t="str">
        <x:v>ZAR</x:v>
      </x:c>
      <x:c r="J665" s="15" t="str">
        <x:v>Outflow</x:v>
      </x:c>
      <x:c r="K665" s="15" t="str">
        <x:v>EFT payment</x:v>
      </x:c>
      <x:c r="L665" s="15" t="str">
        <x:v>Telecom / utilities</x:v>
      </x:c>
      <x:c r="M665" s="38"/>
      <x:c r="N665" s="38" t="n">
        <x:v>92378</x:v>
      </x:c>
      <x:c r="O665" s="15" t="str"/>
      <x:c r="P665" s="15" t="str">
        <x:v>eml_ALL_currentac__512781 (2).zip &gt; eml3currentac__512781.zip</x:v>
      </x:c>
      <x:c r="Q665" s="15" t="str">
        <x:v>FNB _-) R500.00 paid from Current a_c..512781 @ Smartapp. Ref.Electricity 04294887. 14Apr 08_56.eml</x:v>
      </x:c>
      <x:c r="R665" s="15" t="str">
        <x:v>High</x:v>
      </x:c>
      <x:c r="S665" s="15" t="str"/>
      <x:c r="T665" s="15" t="str"/>
      <x:c r="U665" s="15" t="str"/>
      <x:c r="V665" s="15" t="str">
        <x:v>Electricity 04294887</x:v>
      </x:c>
      <x:c r="W665" s="15" t="str">
        <x:v>Smartapp</x:v>
      </x:c>
      <x:c r="X665" s="15" t="str">
        <x:v>FNB :-) R500.00 paid from Current a/c..512781 @ Smartapp. Avail R92378. Ref.Electricity 04294887. 14Apr 08:56</x:v>
      </x:c>
      <x:c r="Y665" s="15" t="str">
        <x:v>995546995ea16dc9</x:v>
      </x:c>
    </x:row>
    <x:row r="666">
      <x:c r="A666" s="34" t="n">
        <x:v>46126.50555555556</x:v>
      </x:c>
      <x:c r="B666" s="36" t="n">
        <x:v>46126</x:v>
      </x:c>
      <x:c r="C666" s="34" t="n">
        <x:v>46126.50564814815</x:v>
      </x:c>
      <x:c r="D666" s="15" t="str">
        <x:v>Current a/c..512781</x:v>
      </x:c>
      <x:c r="E666" s="15" t="str">
        <x:v>card..2924</x:v>
      </x:c>
      <x:c r="F666" s="15" t="str">
        <x:v>R632.48 reserved for purchase @ Sqsp* Websit from Current a/c..512781 using card..2924. Avail R91746. 14Apr 12:08</x:v>
      </x:c>
      <x:c r="G666" s="15" t="str">
        <x:v>Sqsp* Websit</x:v>
      </x:c>
      <x:c r="H666" s="38" t="n">
        <x:v>632.48</x:v>
      </x:c>
      <x:c r="I666" s="15" t="str">
        <x:v>ZAR</x:v>
      </x:c>
      <x:c r="J666" s="15" t="str">
        <x:v>Outflow</x:v>
      </x:c>
      <x:c r="K666" s="15" t="str">
        <x:v>Card purchase</x:v>
      </x:c>
      <x:c r="L666" s="15" t="str">
        <x:v>Software / subscriptions</x:v>
      </x:c>
      <x:c r="M666" s="38"/>
      <x:c r="N666" s="38" t="n">
        <x:v>91746</x:v>
      </x:c>
      <x:c r="O666" s="15" t="str"/>
      <x:c r="P666" s="15" t="str">
        <x:v>eml_ALL_currentac__512781 (2).zip &gt; eml3currentac__512781.zip</x:v>
      </x:c>
      <x:c r="Q666" s="15" t="str">
        <x:v>FNB _-) R632.48 reserved for purchase @ Sqsp_ Websit from Current a_c..512781 using card..2924. 14Apr 12_08.eml</x:v>
      </x:c>
      <x:c r="R666" s="15" t="str">
        <x:v>High</x:v>
      </x:c>
      <x:c r="S666" s="15" t="str"/>
      <x:c r="T666" s="15" t="str"/>
      <x:c r="U666" s="15" t="str"/>
      <x:c r="V666" s="15" t="str"/>
      <x:c r="W666" s="15" t="str"/>
      <x:c r="X666" s="15" t="str">
        <x:v>FNB :-) R632.48 reserved for purchase @ Sqsp* Websit from Current a/c..512781 using card..2924. Avail R91746. 14Apr 12:08</x:v>
      </x:c>
      <x:c r="Y666" s="15" t="str">
        <x:v>98cf1add6d202566</x:v>
      </x:c>
    </x:row>
    <x:row r="667">
      <x:c r="A667" s="34" t="n">
        <x:v>46126.55138888889</x:v>
      </x:c>
      <x:c r="B667" s="36" t="n">
        <x:v>46126</x:v>
      </x:c>
      <x:c r="C667" s="34" t="n">
        <x:v>46126.551840277774</x:v>
      </x:c>
      <x:c r="D667" s="15" t="str">
        <x:v>Current a/c..512781</x:v>
      </x:c>
      <x:c r="E667" s="15" t="str">
        <x:v>card..2924</x:v>
      </x:c>
      <x:c r="F667" s="15" t="str">
        <x:v>R1416.72 reserved for purchase @ Superspar Komatipoor from Current a/c..512781 using card..2924. Avail R90329. 14Apr 13:14</x:v>
      </x:c>
      <x:c r="G667" s="15" t="str">
        <x:v>Superspar Komatipoor</x:v>
      </x:c>
      <x:c r="H667" s="38" t="n">
        <x:v>1416.72</x:v>
      </x:c>
      <x:c r="I667" s="15" t="str">
        <x:v>ZAR</x:v>
      </x:c>
      <x:c r="J667" s="15" t="str">
        <x:v>Outflow</x:v>
      </x:c>
      <x:c r="K667" s="15" t="str">
        <x:v>Card purchase</x:v>
      </x:c>
      <x:c r="L667" s="15" t="str">
        <x:v>Supplier payments</x:v>
      </x:c>
      <x:c r="M667" s="38"/>
      <x:c r="N667" s="38" t="n">
        <x:v>90329</x:v>
      </x:c>
      <x:c r="O667" s="15" t="str"/>
      <x:c r="P667" s="15" t="str">
        <x:v>eml_ALL_currentac__512781 (2).zip &gt; eml3currentac__512781.zip</x:v>
      </x:c>
      <x:c r="Q667" s="15" t="str">
        <x:v>FNB _-) R1416.72 reserved for purchase @ Superspar Komatipoor from Current a_c..512781 using card..2924. 14Apr 13_14.eml</x:v>
      </x:c>
      <x:c r="R667" s="15" t="str">
        <x:v>High</x:v>
      </x:c>
      <x:c r="S667" s="15" t="str">
        <x:v>Category confidence Medium: Retail/supplier merchant keyword.</x:v>
      </x:c>
      <x:c r="T667" s="15" t="str"/>
      <x:c r="U667" s="15" t="str"/>
      <x:c r="V667" s="15" t="str"/>
      <x:c r="W667" s="15" t="str"/>
      <x:c r="X667" s="15" t="str">
        <x:v>FNB :-) R1416.72 reserved for purchase @ Superspar Komatipoor from Current a/c..512781 using card..2924. Avail R90329. 14Apr 13:14</x:v>
      </x:c>
      <x:c r="Y667" s="15" t="str">
        <x:v>949035a9ac693222</x:v>
      </x:c>
    </x:row>
    <x:row r="668">
      <x:c r="A668" s="34" t="n">
        <x:v>46126.57083333333</x:v>
      </x:c>
      <x:c r="B668" s="36" t="n">
        <x:v>46126</x:v>
      </x:c>
      <x:c r="C668" s="34" t="n">
        <x:v>46126.571377314816</x:v>
      </x:c>
      <x:c r="D668" s="15" t="str">
        <x:v>Current a/c..512781</x:v>
      </x:c>
      <x:c r="E668" s="15" t="str">
        <x:v>card..2924</x:v>
      </x:c>
      <x:c r="F668" s="15" t="str">
        <x:v>R252.74 reserved for purchase @ Buco Komatipoort 116 from Current a/c..512781 using card..2924. Avail R90076. 14Apr 13:42</x:v>
      </x:c>
      <x:c r="G668" s="15" t="str">
        <x:v>Buco Komatipoort 116</x:v>
      </x:c>
      <x:c r="H668" s="38" t="n">
        <x:v>252.74</x:v>
      </x:c>
      <x:c r="I668" s="15" t="str">
        <x:v>ZAR</x:v>
      </x:c>
      <x:c r="J668" s="15" t="str">
        <x:v>Outflow</x:v>
      </x:c>
      <x:c r="K668" s="15" t="str">
        <x:v>Card purchase</x:v>
      </x:c>
      <x:c r="L668" s="15" t="str">
        <x:v>Supplier payments</x:v>
      </x:c>
      <x:c r="M668" s="38"/>
      <x:c r="N668" s="38" t="n">
        <x:v>90076</x:v>
      </x:c>
      <x:c r="O668" s="15" t="str"/>
      <x:c r="P668" s="15" t="str">
        <x:v>eml_ALL_currentac__512781 (2).zip &gt; eml3currentac__512781.zip</x:v>
      </x:c>
      <x:c r="Q668" s="15" t="str">
        <x:v>FNB _-) R252.74 reserved for purchase @ Buco Komatipoort 116 from Current a_c..512781 using card..2924. 14Apr 13_42.eml</x:v>
      </x:c>
      <x:c r="R668" s="15" t="str">
        <x:v>High</x:v>
      </x:c>
      <x:c r="S668" s="15" t="str">
        <x:v>Category confidence Medium: Retail/supplier merchant keyword.</x:v>
      </x:c>
      <x:c r="T668" s="15" t="str"/>
      <x:c r="U668" s="15" t="str"/>
      <x:c r="V668" s="15" t="str"/>
      <x:c r="W668" s="15" t="str"/>
      <x:c r="X668" s="15" t="str">
        <x:v>FNB :-) R252.74 reserved for purchase @ Buco Komatipoort 116 from Current a/c..512781 using card..2924. Avail R90076. 14Apr 13:42</x:v>
      </x:c>
      <x:c r="Y668" s="15" t="str">
        <x:v>24d764fa088649bf</x:v>
      </x:c>
    </x:row>
    <x:row r="669">
      <x:c r="A669" s="34" t="n">
        <x:v>46126.575694444444</x:v>
      </x:c>
      <x:c r="B669" s="36" t="n">
        <x:v>46126</x:v>
      </x:c>
      <x:c r="C669" s="34" t="n">
        <x:v>46126.57585648148</x:v>
      </x:c>
      <x:c r="D669" s="15" t="str">
        <x:v>Current a/c..512781</x:v>
      </x:c>
      <x:c r="E669" s="15" t="str"/>
      <x:c r="F669" s="15" t="str">
        <x:v>R9152.55 paid to Current a/c..512781 @ Payshap. Ref.Ik Pay 487882. 14Apr 13:49</x:v>
      </x:c>
      <x:c r="G669" s="15" t="str">
        <x:v>Ik Pay 487882</x:v>
      </x:c>
      <x:c r="H669" s="38" t="n">
        <x:v>9152.55</x:v>
      </x:c>
      <x:c r="I669" s="15" t="str">
        <x:v>ZAR</x:v>
      </x:c>
      <x:c r="J669" s="15" t="str">
        <x:v>Inflow</x:v>
      </x:c>
      <x:c r="K669" s="15" t="str">
        <x:v>EFT receipt</x:v>
      </x:c>
      <x:c r="L669" s="15" t="str">
        <x:v>Sales / customer receipts</x:v>
      </x:c>
      <x:c r="M669" s="38"/>
      <x:c r="N669" s="38"/>
      <x:c r="O669" s="15" t="str"/>
      <x:c r="P669" s="15" t="str">
        <x:v>eml_ALL_currentac__512781 (2).zip &gt; eml3currentac__512781.zip</x:v>
      </x:c>
      <x:c r="Q669" s="15" t="str">
        <x:v>FNB _-) R9152.55 paid to Current a_c..512781 @ Payshap. Ref.Ik Pay 487882. 14Apr 13_49.eml</x:v>
      </x:c>
      <x:c r="R669" s="15" t="str">
        <x:v>High</x:v>
      </x:c>
      <x:c r="S669" s="15" t="str">
        <x:v>Category confidence Medium: Default for incoming EFT/PayShap/online receipt.</x:v>
      </x:c>
      <x:c r="T669" s="15" t="str"/>
      <x:c r="U669" s="15" t="str"/>
      <x:c r="V669" s="15" t="str">
        <x:v>Ik Pay 487882</x:v>
      </x:c>
      <x:c r="W669" s="15" t="str">
        <x:v>Payshap</x:v>
      </x:c>
      <x:c r="X669" s="15" t="str">
        <x:v>FNB :-) R9152.55 paid to Current a/c..512781 @ Payshap. Ref.Ik Pay 487882. 14Apr 13:49</x:v>
      </x:c>
      <x:c r="Y669" s="15" t="str">
        <x:v>889ce0cfe21ce869</x:v>
      </x:c>
    </x:row>
    <x:row r="670">
      <x:c r="A670" s="34" t="n">
        <x:v>46127.39027777778</x:v>
      </x:c>
      <x:c r="B670" s="36" t="n">
        <x:v>46127</x:v>
      </x:c>
      <x:c r="C670" s="34" t="n">
        <x:v>46127.39092592592</x:v>
      </x:c>
      <x:c r="D670" s="15" t="str">
        <x:v>Current a/c..512781</x:v>
      </x:c>
      <x:c r="E670" s="15" t="str"/>
      <x:c r="F670" s="15" t="str">
        <x:v>R150.00 paid from Current a/c..512781 @ Smartapp. Avail R99038. Ref.Electricity 14503572. 15Apr 09:22</x:v>
      </x:c>
      <x:c r="G670" s="15" t="str">
        <x:v>Electricity 14503572</x:v>
      </x:c>
      <x:c r="H670" s="38" t="n">
        <x:v>150</x:v>
      </x:c>
      <x:c r="I670" s="15" t="str">
        <x:v>ZAR</x:v>
      </x:c>
      <x:c r="J670" s="15" t="str">
        <x:v>Outflow</x:v>
      </x:c>
      <x:c r="K670" s="15" t="str">
        <x:v>EFT payment</x:v>
      </x:c>
      <x:c r="L670" s="15" t="str">
        <x:v>Telecom / utilities</x:v>
      </x:c>
      <x:c r="M670" s="38"/>
      <x:c r="N670" s="38" t="n">
        <x:v>99038</x:v>
      </x:c>
      <x:c r="O670" s="15" t="str"/>
      <x:c r="P670" s="15" t="str">
        <x:v>eml_ALL_currentac__512781 (2).zip &gt; eml3currentac__512781.zip</x:v>
      </x:c>
      <x:c r="Q670" s="15" t="str">
        <x:v>FNB _-) R150.00 paid from Current a_c..512781 @ Smartapp. Ref.Electricity 14503572. 15Apr 09_22.eml</x:v>
      </x:c>
      <x:c r="R670" s="15" t="str">
        <x:v>High</x:v>
      </x:c>
      <x:c r="S670" s="15" t="str"/>
      <x:c r="T670" s="15" t="str"/>
      <x:c r="U670" s="15" t="str"/>
      <x:c r="V670" s="15" t="str">
        <x:v>Electricity 14503572</x:v>
      </x:c>
      <x:c r="W670" s="15" t="str">
        <x:v>Smartapp</x:v>
      </x:c>
      <x:c r="X670" s="15" t="str">
        <x:v>FNB :-) R150.00 paid from Current a/c..512781 @ Smartapp. Avail R99038. Ref.Electricity 14503572. 15Apr 09:22</x:v>
      </x:c>
      <x:c r="Y670" s="15" t="str">
        <x:v>60074aa0ac2dae64</x:v>
      </x:c>
    </x:row>
    <x:row r="671">
      <x:c r="A671" s="34" t="n">
        <x:v>46127.42222222222</x:v>
      </x:c>
      <x:c r="B671" s="36" t="n">
        <x:v>46127</x:v>
      </x:c>
      <x:c r="C671" s="34" t="n">
        <x:v>46127.42225694445</x:v>
      </x:c>
      <x:c r="D671" s="15" t="str">
        <x:v>Current a/c..512781</x:v>
      </x:c>
      <x:c r="E671" s="15" t="str"/>
      <x:c r="F671" s="15" t="str">
        <x:v>R600.00 paid from Current a/c..512781 @ Smartapp. Avail R98435. Ref.Printing Signboard. 15Apr 10:08</x:v>
      </x:c>
      <x:c r="G671" s="15" t="str">
        <x:v>Printing Signboard</x:v>
      </x:c>
      <x:c r="H671" s="38" t="n">
        <x:v>600</x:v>
      </x:c>
      <x:c r="I671" s="15" t="str">
        <x:v>ZAR</x:v>
      </x:c>
      <x:c r="J671" s="15" t="str">
        <x:v>Outflow</x:v>
      </x:c>
      <x:c r="K671" s="15" t="str">
        <x:v>EFT payment</x:v>
      </x:c>
      <x:c r="L671" s="15" t="str">
        <x:v>Supplier payments</x:v>
      </x:c>
      <x:c r="M671" s="38"/>
      <x:c r="N671" s="38" t="n">
        <x:v>98435</x:v>
      </x:c>
      <x:c r="O671" s="15" t="str"/>
      <x:c r="P671" s="15" t="str">
        <x:v>eml_ALL_currentac__512781 (2).zip &gt; eml3currentac__512781.zip</x:v>
      </x:c>
      <x:c r="Q671" s="15" t="str">
        <x:v>FNB _-) R600.00 paid from Current a_c..512781 @ Smartapp. Ref.Printing Signboard. 15Apr 10_08.eml</x:v>
      </x:c>
      <x:c r="R671" s="15" t="str">
        <x:v>High</x:v>
      </x:c>
      <x:c r="S671" s="15" t="str">
        <x:v>Category confidence Low: Default outflow category; review counterparty/reference.</x:v>
      </x:c>
      <x:c r="T671" s="15" t="str"/>
      <x:c r="U671" s="15" t="str"/>
      <x:c r="V671" s="15" t="str">
        <x:v>Printing Signboard</x:v>
      </x:c>
      <x:c r="W671" s="15" t="str">
        <x:v>Smartapp</x:v>
      </x:c>
      <x:c r="X671" s="15" t="str">
        <x:v>FNB :-) R600.00 paid from Current a/c..512781 @ Smartapp. Avail R98435. Ref.Printing Signboard. 15Apr 10:08</x:v>
      </x:c>
      <x:c r="Y671" s="15" t="str">
        <x:v>4993ef08acb3c528</x:v>
      </x:c>
    </x:row>
    <x:row r="672">
      <x:c r="A672" s="34" t="n">
        <x:v>46127.42222222222</x:v>
      </x:c>
      <x:c r="B672" s="36" t="n">
        <x:v>46127</x:v>
      </x:c>
      <x:c r="C672" s="34" t="n">
        <x:v>46127.42277777778</x:v>
      </x:c>
      <x:c r="D672" s="15" t="str">
        <x:v>Current a/c..512781</x:v>
      </x:c>
      <x:c r="E672" s="15" t="str"/>
      <x:c r="F672" s="15" t="str">
        <x:v>R600.00 paid to Current a/c..512781 @ Smartapp. Ref.Printing Signboard. 15Apr 10:08</x:v>
      </x:c>
      <x:c r="G672" s="15" t="str">
        <x:v>Printing Signboard</x:v>
      </x:c>
      <x:c r="H672" s="38" t="n">
        <x:v>600</x:v>
      </x:c>
      <x:c r="I672" s="15" t="str">
        <x:v>ZAR</x:v>
      </x:c>
      <x:c r="J672" s="15" t="str">
        <x:v>Inflow</x:v>
      </x:c>
      <x:c r="K672" s="15" t="str">
        <x:v>EFT receipt</x:v>
      </x:c>
      <x:c r="L672" s="15" t="str">
        <x:v>Sales / customer receipts</x:v>
      </x:c>
      <x:c r="M672" s="38"/>
      <x:c r="N672" s="38"/>
      <x:c r="O672" s="15" t="str"/>
      <x:c r="P672" s="15" t="str">
        <x:v>eml_ALL_currentac__512781 (2).zip &gt; eml3currentac__512781.zip</x:v>
      </x:c>
      <x:c r="Q672" s="15" t="str">
        <x:v>FNB _-) R600.00 paid to Current a_c..512781 @ Smartapp. Ref.Printing Signboard. 15Apr 10_08.eml</x:v>
      </x:c>
      <x:c r="R672" s="15" t="str">
        <x:v>High</x:v>
      </x:c>
      <x:c r="S672" s="15" t="str">
        <x:v>Category confidence Medium: Default for incoming EFT/PayShap/online receipt.</x:v>
      </x:c>
      <x:c r="T672" s="15" t="str"/>
      <x:c r="U672" s="15" t="str"/>
      <x:c r="V672" s="15" t="str">
        <x:v>Printing Signboard</x:v>
      </x:c>
      <x:c r="W672" s="15" t="str">
        <x:v>Smartapp</x:v>
      </x:c>
      <x:c r="X672" s="15" t="str">
        <x:v>FNB :-) R600.00 paid to Current a/c..512781 @ Smartapp. Ref.Printing Signboard. 15Apr 10:08</x:v>
      </x:c>
      <x:c r="Y672" s="15" t="str">
        <x:v>f714ff0cd7a05754</x:v>
      </x:c>
    </x:row>
    <x:row r="673">
      <x:c r="A673" s="34" t="n">
        <x:v>46127.427083333336</x:v>
      </x:c>
      <x:c r="B673" s="36" t="n">
        <x:v>46127</x:v>
      </x:c>
      <x:c r="C673" s="34" t="n">
        <x:v>46127.42762731481</x:v>
      </x:c>
      <x:c r="D673" s="15" t="str">
        <x:v>Current a/c..512781</x:v>
      </x:c>
      <x:c r="E673" s="15" t="str"/>
      <x:c r="F673" s="15" t="str">
        <x:v>R1200.00 paid from Current a/c..512781 @ Gen Ph. Avail R97830. Ref.Printing Signboard. 15Apr 10:15</x:v>
      </x:c>
      <x:c r="G673" s="15" t="str">
        <x:v>Printing Signboard</x:v>
      </x:c>
      <x:c r="H673" s="38" t="n">
        <x:v>1200</x:v>
      </x:c>
      <x:c r="I673" s="15" t="str">
        <x:v>ZAR</x:v>
      </x:c>
      <x:c r="J673" s="15" t="str">
        <x:v>Outflow</x:v>
      </x:c>
      <x:c r="K673" s="15" t="str">
        <x:v>EFT payment</x:v>
      </x:c>
      <x:c r="L673" s="15" t="str">
        <x:v>Supplier payments</x:v>
      </x:c>
      <x:c r="M673" s="38"/>
      <x:c r="N673" s="38" t="n">
        <x:v>97830</x:v>
      </x:c>
      <x:c r="O673" s="15" t="str"/>
      <x:c r="P673" s="15" t="str">
        <x:v>eml_ALL_currentac__512781 (2).zip &gt; eml3currentac__512781.zip</x:v>
      </x:c>
      <x:c r="Q673" s="15" t="str">
        <x:v>FNB _-) R1200.00 paid from Current a_c..512781 @ Gen Ph. Ref.Printing Signboard. 15Apr 10_15.eml</x:v>
      </x:c>
      <x:c r="R673" s="15" t="str">
        <x:v>High</x:v>
      </x:c>
      <x:c r="S673" s="15" t="str">
        <x:v>Category confidence Low: Default outflow category; review counterparty/reference.</x:v>
      </x:c>
      <x:c r="T673" s="15" t="str"/>
      <x:c r="U673" s="15" t="str"/>
      <x:c r="V673" s="15" t="str">
        <x:v>Printing Signboard</x:v>
      </x:c>
      <x:c r="W673" s="15" t="str">
        <x:v>Gen Ph</x:v>
      </x:c>
      <x:c r="X673" s="15" t="str">
        <x:v>FNB :-) R1200.00 paid from Current a/c..512781 @ Gen Ph. Avail R97830. Ref.Printing Signboard. 15Apr 10:15</x:v>
      </x:c>
      <x:c r="Y673" s="15" t="str">
        <x:v>51fd7c2345bcbaf7</x:v>
      </x:c>
    </x:row>
    <x:row r="674">
      <x:c r="A674" s="34" t="n">
        <x:v>46127.629166666666</x:v>
      </x:c>
      <x:c r="B674" s="36" t="n">
        <x:v>46127</x:v>
      </x:c>
      <x:c r="C674" s="34" t="n">
        <x:v>46127.62929398148</x:v>
      </x:c>
      <x:c r="D674" s="15" t="str">
        <x:v>Current a/c..512781</x:v>
      </x:c>
      <x:c r="E674" s="15" t="str">
        <x:v>card..2924</x:v>
      </x:c>
      <x:c r="F674" s="15" t="str">
        <x:v>R118.57 reserved for purchase @ Savemor Marloth from Current a/c..512781 using card..2924. Avail R97711. 15Apr 15:06</x:v>
      </x:c>
      <x:c r="G674" s="15" t="str">
        <x:v>Savemor Marloth</x:v>
      </x:c>
      <x:c r="H674" s="38" t="n">
        <x:v>118.57</x:v>
      </x:c>
      <x:c r="I674" s="15" t="str">
        <x:v>ZAR</x:v>
      </x:c>
      <x:c r="J674" s="15" t="str">
        <x:v>Outflow</x:v>
      </x:c>
      <x:c r="K674" s="15" t="str">
        <x:v>Card purchase</x:v>
      </x:c>
      <x:c r="L674" s="15" t="str">
        <x:v>Supplier payments</x:v>
      </x:c>
      <x:c r="M674" s="38"/>
      <x:c r="N674" s="38" t="n">
        <x:v>97711</x:v>
      </x:c>
      <x:c r="O674" s="15" t="str"/>
      <x:c r="P674" s="15" t="str">
        <x:v>eml_ALL_currentac__512781 (2).zip &gt; eml3currentac__512781.zip</x:v>
      </x:c>
      <x:c r="Q674" s="15" t="str">
        <x:v>FNB _-) R118.57 reserved for purchase @ Savemor Marloth from Current a_c..512781 using card..2924. 15Apr 15_06.eml</x:v>
      </x:c>
      <x:c r="R674" s="15" t="str">
        <x:v>High</x:v>
      </x:c>
      <x:c r="S674" s="15" t="str">
        <x:v>Category confidence Medium: Retail/supplier merchant keyword.</x:v>
      </x:c>
      <x:c r="T674" s="15" t="str"/>
      <x:c r="U674" s="15" t="str"/>
      <x:c r="V674" s="15" t="str"/>
      <x:c r="W674" s="15" t="str"/>
      <x:c r="X674" s="15" t="str">
        <x:v>FNB :-) R118.57 reserved for purchase @ Savemor Marloth from Current a/c..512781 using card..2924. Avail R97711. 15Apr 15:06</x:v>
      </x:c>
      <x:c r="Y674" s="15" t="str">
        <x:v>fa43d10ac0b71210</x:v>
      </x:c>
    </x:row>
    <x:row r="675">
      <x:c r="A675" s="34" t="n">
        <x:v>46128.35486111111</x:v>
      </x:c>
      <x:c r="B675" s="36" t="n">
        <x:v>46128</x:v>
      </x:c>
      <x:c r="C675" s="34" t="n">
        <x:v>46128.35493055556</x:v>
      </x:c>
      <x:c r="D675" s="15" t="str">
        <x:v>Current a/c..512781</x:v>
      </x:c>
      <x:c r="E675" s="15" t="str"/>
      <x:c r="F675" s="15" t="str">
        <x:v>R4822.71 paid to Current a/c..512781 @ Retail Forex. Ref.R026tc0tx0 Booking.c. 16Apr 08:31</x:v>
      </x:c>
      <x:c r="G675" s="15" t="str">
        <x:v>R026tc0tx0 Booking.c</x:v>
      </x:c>
      <x:c r="H675" s="38" t="n">
        <x:v>4822.71</x:v>
      </x:c>
      <x:c r="I675" s="15" t="str">
        <x:v>ZAR</x:v>
      </x:c>
      <x:c r="J675" s="15" t="str">
        <x:v>Inflow</x:v>
      </x:c>
      <x:c r="K675" s="15" t="str">
        <x:v>EFT receipt</x:v>
      </x:c>
      <x:c r="L675" s="15" t="str">
        <x:v>Sales / customer receipts</x:v>
      </x:c>
      <x:c r="M675" s="38"/>
      <x:c r="N675" s="38"/>
      <x:c r="O675" s="15" t="str"/>
      <x:c r="P675" s="15" t="str">
        <x:v>eml_ALL_currentac__512781 (2).zip &gt; eml3currentac__512781.zip</x:v>
      </x:c>
      <x:c r="Q675" s="15" t="str">
        <x:v>FNB _-) R4822.71 paid to Current a_c..512781 @ Retail Forex. Ref.R026tc0tx0 Booking.c. 16Apr 08_31.eml</x:v>
      </x:c>
      <x:c r="R675" s="15" t="str">
        <x:v>High</x:v>
      </x:c>
      <x:c r="S675" s="15" t="str">
        <x:v>Category confidence Medium: Default for incoming EFT/PayShap/online receipt.</x:v>
      </x:c>
      <x:c r="T675" s="15" t="str"/>
      <x:c r="U675" s="15" t="str"/>
      <x:c r="V675" s="15" t="str">
        <x:v>R026tc0tx0 Booking.c</x:v>
      </x:c>
      <x:c r="W675" s="15" t="str">
        <x:v>Retail Forex</x:v>
      </x:c>
      <x:c r="X675" s="15" t="str">
        <x:v>FNB :-) R4822.71 paid to Current a/c..512781 @ Retail Forex. Ref.R026tc0tx0 Booking.c. 16Apr 08:31</x:v>
      </x:c>
      <x:c r="Y675" s="15" t="str">
        <x:v>7b586ddf33dd0da6</x:v>
      </x:c>
    </x:row>
    <x:row r="676">
      <x:c r="A676" s="34" t="n">
        <x:v>46128.37777777778</x:v>
      </x:c>
      <x:c r="B676" s="36" t="n">
        <x:v>46128</x:v>
      </x:c>
      <x:c r="C676" s="34" t="n">
        <x:v>46128.37842592593</x:v>
      </x:c>
      <x:c r="D676" s="15" t="str">
        <x:v>Current a/c..512781</x:v>
      </x:c>
      <x:c r="E676" s="15" t="str"/>
      <x:c r="F676" s="15" t="str">
        <x:v>R1250.00 paid from Current a/c..512781 @ Smartapp. Avail R101272. Ref.Lebombo Washing Mach. 16Apr 09:04</x:v>
      </x:c>
      <x:c r="G676" s="15" t="str">
        <x:v>Lebombo Washing Mach</x:v>
      </x:c>
      <x:c r="H676" s="38" t="n">
        <x:v>1250</x:v>
      </x:c>
      <x:c r="I676" s="15" t="str">
        <x:v>ZAR</x:v>
      </x:c>
      <x:c r="J676" s="15" t="str">
        <x:v>Outflow</x:v>
      </x:c>
      <x:c r="K676" s="15" t="str">
        <x:v>EFT payment</x:v>
      </x:c>
      <x:c r="L676" s="15" t="str">
        <x:v>Supplier payments</x:v>
      </x:c>
      <x:c r="M676" s="38"/>
      <x:c r="N676" s="38" t="n">
        <x:v>101272</x:v>
      </x:c>
      <x:c r="O676" s="15" t="str"/>
      <x:c r="P676" s="15" t="str">
        <x:v>eml_ALL_currentac__512781 (2).zip &gt; eml3currentac__512781.zip</x:v>
      </x:c>
      <x:c r="Q676" s="15" t="str">
        <x:v>FNB _-) R1250.00 paid from Current a_c..512781 @ Smartapp. Ref.Lebombo Washing Mach. 16Apr 09_04.eml</x:v>
      </x:c>
      <x:c r="R676" s="15" t="str">
        <x:v>High</x:v>
      </x:c>
      <x:c r="S676" s="15" t="str">
        <x:v>Category confidence Low: Default outflow category; review counterparty/reference.</x:v>
      </x:c>
      <x:c r="T676" s="15" t="str"/>
      <x:c r="U676" s="15" t="str"/>
      <x:c r="V676" s="15" t="str">
        <x:v>Lebombo Washing Mach</x:v>
      </x:c>
      <x:c r="W676" s="15" t="str">
        <x:v>Smartapp</x:v>
      </x:c>
      <x:c r="X676" s="15" t="str">
        <x:v>FNB :-) R1250.00 paid from Current a/c..512781 @ Smartapp. Avail R101272. Ref.Lebombo Washing Mach. 16Apr 09:04</x:v>
      </x:c>
      <x:c r="Y676" s="15" t="str">
        <x:v>7cc43f523cd66a56</x:v>
      </x:c>
    </x:row>
    <x:row r="677">
      <x:c r="A677" s="34" t="n">
        <x:v>46128.618055555555</x:v>
      </x:c>
      <x:c r="B677" s="36" t="n">
        <x:v>46128</x:v>
      </x:c>
      <x:c r="C677" s="34" t="n">
        <x:v>46128.6183912037</x:v>
      </x:c>
      <x:c r="D677" s="15" t="str">
        <x:v>Current a/c..512781</x:v>
      </x:c>
      <x:c r="E677" s="15" t="str">
        <x:v>card..2924</x:v>
      </x:c>
      <x:c r="F677" s="15" t="str">
        <x:v>R200.00 reserved for purchase @ Marlothi Petrol Stat from Current a/c..512781 using card..2924. Avail R101072. 16Apr 14:50</x:v>
      </x:c>
      <x:c r="G677" s="15" t="str">
        <x:v>Marlothi Petrol Stat</x:v>
      </x:c>
      <x:c r="H677" s="38" t="n">
        <x:v>200</x:v>
      </x:c>
      <x:c r="I677" s="15" t="str">
        <x:v>ZAR</x:v>
      </x:c>
      <x:c r="J677" s="15" t="str">
        <x:v>Outflow</x:v>
      </x:c>
      <x:c r="K677" s="15" t="str">
        <x:v>Card purchase</x:v>
      </x:c>
      <x:c r="L677" s="15" t="str">
        <x:v>Fuel / transport</x:v>
      </x:c>
      <x:c r="M677" s="38"/>
      <x:c r="N677" s="38" t="n">
        <x:v>101072</x:v>
      </x:c>
      <x:c r="O677" s="15" t="str"/>
      <x:c r="P677" s="15" t="str">
        <x:v>eml_ALL_currentac__512781 (2).zip &gt; eml3currentac__512781.zip</x:v>
      </x:c>
      <x:c r="Q677" s="15" t="str">
        <x:v>FNB _-) R200.00 reserved for purchase @ Marlothi Petrol Stat from Current a_c..512781 using card..2924. 16Apr 14_50.eml</x:v>
      </x:c>
      <x:c r="R677" s="15" t="str">
        <x:v>High</x:v>
      </x:c>
      <x:c r="S677" s="15" t="str"/>
      <x:c r="T677" s="15" t="str"/>
      <x:c r="U677" s="15" t="str"/>
      <x:c r="V677" s="15" t="str"/>
      <x:c r="W677" s="15" t="str"/>
      <x:c r="X677" s="15" t="str">
        <x:v>FNB :-) R200.00 reserved for purchase @ Marlothi Petrol Stat from Current a/c..512781 using card..2924. Avail R101072. 16Apr 14:50</x:v>
      </x:c>
      <x:c r="Y677" s="15" t="str">
        <x:v>ce3fe16a40b95f34</x:v>
      </x:c>
    </x:row>
    <x:row r="678">
      <x:c r="A678" s="34" t="n">
        <x:v>46129.25763888889</x:v>
      </x:c>
      <x:c r="B678" s="36" t="n">
        <x:v>46129</x:v>
      </x:c>
      <x:c r="C678" s="34" t="n">
        <x:v>46129.25833333333</x:v>
      </x:c>
      <x:c r="D678" s="15" t="str">
        <x:v>Current a/c..512781</x:v>
      </x:c>
      <x:c r="E678" s="15" t="str"/>
      <x:c r="F678" s="15" t="str">
        <x:v>R150.00 paid from Current a/c..512781 @ Smartapp. Avail R100877. Ref.Electricity 14503572. 17Apr 06:11</x:v>
      </x:c>
      <x:c r="G678" s="15" t="str">
        <x:v>Electricity 14503572</x:v>
      </x:c>
      <x:c r="H678" s="38" t="n">
        <x:v>150</x:v>
      </x:c>
      <x:c r="I678" s="15" t="str">
        <x:v>ZAR</x:v>
      </x:c>
      <x:c r="J678" s="15" t="str">
        <x:v>Outflow</x:v>
      </x:c>
      <x:c r="K678" s="15" t="str">
        <x:v>EFT payment</x:v>
      </x:c>
      <x:c r="L678" s="15" t="str">
        <x:v>Telecom / utilities</x:v>
      </x:c>
      <x:c r="M678" s="38"/>
      <x:c r="N678" s="38" t="n">
        <x:v>100877</x:v>
      </x:c>
      <x:c r="O678" s="15" t="str"/>
      <x:c r="P678" s="15" t="str">
        <x:v>eml_ALL_currentac__512781 (2).zip &gt; eml3currentac__512781.zip</x:v>
      </x:c>
      <x:c r="Q678" s="15" t="str">
        <x:v>FNB _-) R150.00 paid from Current a_c..512781 @ Smartapp. Ref.Electricity 14503572. 17Apr 06_11.eml</x:v>
      </x:c>
      <x:c r="R678" s="15" t="str">
        <x:v>High</x:v>
      </x:c>
      <x:c r="S678" s="15" t="str"/>
      <x:c r="T678" s="15" t="str"/>
      <x:c r="U678" s="15" t="str"/>
      <x:c r="V678" s="15" t="str">
        <x:v>Electricity 14503572</x:v>
      </x:c>
      <x:c r="W678" s="15" t="str">
        <x:v>Smartapp</x:v>
      </x:c>
      <x:c r="X678" s="15" t="str">
        <x:v>FNB :-) R150.00 paid from Current a/c..512781 @ Smartapp. Avail R100877. Ref.Electricity 14503572. 17Apr 06:11</x:v>
      </x:c>
      <x:c r="Y678" s="15" t="str">
        <x:v>a09198a2669ba885</x:v>
      </x:c>
    </x:row>
    <x:row r="679">
      <x:c r="A679" s="34" t="n">
        <x:v>46129.44375</x:v>
      </x:c>
      <x:c r="B679" s="36" t="n">
        <x:v>46129</x:v>
      </x:c>
      <x:c r="C679" s="34" t="n">
        <x:v>46129.444027777776</x:v>
      </x:c>
      <x:c r="D679" s="15" t="str">
        <x:v>Current a/c..512781</x:v>
      </x:c>
      <x:c r="E679" s="15" t="str">
        <x:v>card..2924</x:v>
      </x:c>
      <x:c r="F679" s="15" t="str">
        <x:v>R228.85 reserved for purchase @ Paystack *zoho Co from Current a/c..512781 using card..2924. Avail R100649. 17Apr 10:39</x:v>
      </x:c>
      <x:c r="G679" s="15" t="str">
        <x:v>Paystack *zoho Co</x:v>
      </x:c>
      <x:c r="H679" s="38" t="n">
        <x:v>228.85</x:v>
      </x:c>
      <x:c r="I679" s="15" t="str">
        <x:v>ZAR</x:v>
      </x:c>
      <x:c r="J679" s="15" t="str">
        <x:v>Outflow</x:v>
      </x:c>
      <x:c r="K679" s="15" t="str">
        <x:v>Card purchase</x:v>
      </x:c>
      <x:c r="L679" s="15" t="str">
        <x:v>Software / subscriptions</x:v>
      </x:c>
      <x:c r="M679" s="38"/>
      <x:c r="N679" s="38" t="n">
        <x:v>100649</x:v>
      </x:c>
      <x:c r="O679" s="15" t="str"/>
      <x:c r="P679" s="15" t="str">
        <x:v>eml_ALL_currentac__512781 (2).zip &gt; eml3currentac__512781.zip</x:v>
      </x:c>
      <x:c r="Q679" s="15" t="str">
        <x:v>FNB _-) R228.85 reserved for purchase @ Paystack _zoho Co from Current a_c..512781 using card..2924. 17Apr 10_39.eml</x:v>
      </x:c>
      <x:c r="R679" s="15" t="str">
        <x:v>High</x:v>
      </x:c>
      <x:c r="S679" s="15" t="str"/>
      <x:c r="T679" s="15" t="str"/>
      <x:c r="U679" s="15" t="str"/>
      <x:c r="V679" s="15" t="str"/>
      <x:c r="W679" s="15" t="str"/>
      <x:c r="X679" s="15" t="str">
        <x:v>FNB :-) R228.85 reserved for purchase @ Paystack *zoho Co from Current a/c..512781 using card..2924. Avail R100649. 17Apr 10:39</x:v>
      </x:c>
      <x:c r="Y679" s="15" t="str">
        <x:v>9ad1735f005a2f8e</x:v>
      </x:c>
    </x:row>
    <x:row r="680">
      <x:c r="A680" s="34" t="n">
        <x:v>46129.51458333333</x:v>
      </x:c>
      <x:c r="B680" s="36" t="n">
        <x:v>46129</x:v>
      </x:c>
      <x:c r="C680" s="34" t="n">
        <x:v>46129.51464120371</x:v>
      </x:c>
      <x:c r="D680" s="15" t="str">
        <x:v>Current a/c..512781</x:v>
      </x:c>
      <x:c r="E680" s="15" t="str"/>
      <x:c r="F680" s="15" t="str">
        <x:v>Payment Link created from Current a/c..512781 To Impala Asset Fin..067277 @ Smartapp. 17Apr 12:21 Call 087 575 9404 for help.</x:v>
      </x:c>
      <x:c r="G680" s="15" t="str">
        <x:v>Impala Asset Fin..067277</x:v>
      </x:c>
      <x:c r="H680" s="38"/>
      <x:c r="I680" s="15" t="str"/>
      <x:c r="J680" s="15" t="str">
        <x:v>Neutral/Information Only</x:v>
      </x:c>
      <x:c r="K680" s="15" t="str">
        <x:v>Other</x:v>
      </x:c>
      <x:c r="L680" s="15" t="str">
        <x:v>Other</x:v>
      </x:c>
      <x:c r="M680" s="38"/>
      <x:c r="N680" s="38"/>
      <x:c r="O680" s="15" t="str"/>
      <x:c r="P680" s="15" t="str">
        <x:v>eml_ALL_currentac__512781 (2).zip &gt; eml3currentac__512781.zip</x:v>
      </x:c>
      <x:c r="Q680" s="15" t="str">
        <x:v>FNB _-) Payment Link created from Current a_c..512781 To Impala Asset Fin..067277 @ Smartapp. 17Apr 12_21 Call 087 575 9404  for help..eml</x:v>
      </x:c>
      <x:c r="R680" s="15" t="str">
        <x:v>High</x:v>
      </x:c>
      <x:c r="S680" s="15" t="str">
        <x:v>Payment link creation only; no money movement indicated. Category confidence Low: Unable to map confidently.</x:v>
      </x:c>
      <x:c r="T680" s="15" t="str">
        <x:v>Current a/c..512781</x:v>
      </x:c>
      <x:c r="U680" s="15" t="str">
        <x:v>Impala Asset Fin..067277</x:v>
      </x:c>
      <x:c r="V680" s="15" t="str"/>
      <x:c r="W680" s="15" t="str">
        <x:v>Smartapp</x:v>
      </x:c>
      <x:c r="X680" s="15" t="str">
        <x:v>FNB :-) Payment Link created from Current a/c..512781 To Impala Asset Fin..067277 @ Smartapp. 17Apr 12:21 Call 087 575 9404 for help.</x:v>
      </x:c>
      <x:c r="Y680" s="15" t="str">
        <x:v>d48bc098691fdbfc</x:v>
      </x:c>
    </x:row>
    <x:row r="681">
      <x:c r="A681" s="34" t="n">
        <x:v>46129.51458333333</x:v>
      </x:c>
      <x:c r="B681" s="36" t="n">
        <x:v>46129</x:v>
      </x:c>
      <x:c r="C681" s="34" t="n">
        <x:v>46129.514872685184</x:v>
      </x:c>
      <x:c r="D681" s="15" t="str">
        <x:v>Current a/c..512781</x:v>
      </x:c>
      <x:c r="E681" s="15" t="str"/>
      <x:c r="F681" s="15" t="str">
        <x:v>R5000.00 paid from Current a/c..512781 @ Smartapp. Avail R95641. Ref.Car. 17Apr 12:21</x:v>
      </x:c>
      <x:c r="G681" s="15" t="str">
        <x:v>Car</x:v>
      </x:c>
      <x:c r="H681" s="38" t="n">
        <x:v>5000</x:v>
      </x:c>
      <x:c r="I681" s="15" t="str">
        <x:v>ZAR</x:v>
      </x:c>
      <x:c r="J681" s="15" t="str">
        <x:v>Outflow</x:v>
      </x:c>
      <x:c r="K681" s="15" t="str">
        <x:v>EFT payment</x:v>
      </x:c>
      <x:c r="L681" s="15" t="str">
        <x:v>Supplier payments</x:v>
      </x:c>
      <x:c r="M681" s="38"/>
      <x:c r="N681" s="38" t="n">
        <x:v>95641</x:v>
      </x:c>
      <x:c r="O681" s="15" t="str"/>
      <x:c r="P681" s="15" t="str">
        <x:v>eml_ALL_currentac__512781 (2).zip &gt; eml3currentac__512781.zip</x:v>
      </x:c>
      <x:c r="Q681" s="15" t="str">
        <x:v>FNB _-) R5000.00 paid from Current a_c..512781 @ Smartapp. Ref.Car. 17Apr 12_21.eml</x:v>
      </x:c>
      <x:c r="R681" s="15" t="str">
        <x:v>High</x:v>
      </x:c>
      <x:c r="S681" s="15" t="str">
        <x:v>Category confidence Low: Default outflow category; review counterparty/reference.</x:v>
      </x:c>
      <x:c r="T681" s="15" t="str"/>
      <x:c r="U681" s="15" t="str"/>
      <x:c r="V681" s="15" t="str">
        <x:v>Car</x:v>
      </x:c>
      <x:c r="W681" s="15" t="str">
        <x:v>Smartapp</x:v>
      </x:c>
      <x:c r="X681" s="15" t="str">
        <x:v>FNB :-) R5000.00 paid from Current a/c..512781 @ Smartapp. Avail R95641. Ref.Car. 17Apr 12:21</x:v>
      </x:c>
      <x:c r="Y681" s="15" t="str">
        <x:v>88ba843e4e6474a9</x:v>
      </x:c>
    </x:row>
    <x:row r="682">
      <x:c r="A682" s="34" t="n">
        <x:v>46129.93402777778</x:v>
      </x:c>
      <x:c r="B682" s="36" t="n">
        <x:v>46129</x:v>
      </x:c>
      <x:c r="C682" s="34" t="n">
        <x:v>46129.934375</x:v>
      </x:c>
      <x:c r="D682" s="15" t="str">
        <x:v>Current a/c..512781</x:v>
      </x:c>
      <x:c r="E682" s="15" t="str">
        <x:v>card..0104</x:v>
      </x:c>
      <x:c r="F682" s="15" t="str">
        <x:v>R1511.34 reserved for purchase @ Openai *chatgpt Subscr+14 from Current a/c..512781 using card..0104. Avail R94129. 17Apr 22:25</x:v>
      </x:c>
      <x:c r="G682" s="15" t="str">
        <x:v>Openai *chatgpt Subscr+14</x:v>
      </x:c>
      <x:c r="H682" s="38" t="n">
        <x:v>1511.34</x:v>
      </x:c>
      <x:c r="I682" s="15" t="str">
        <x:v>ZAR</x:v>
      </x:c>
      <x:c r="J682" s="15" t="str">
        <x:v>Outflow</x:v>
      </x:c>
      <x:c r="K682" s="15" t="str">
        <x:v>Card purchase</x:v>
      </x:c>
      <x:c r="L682" s="15" t="str">
        <x:v>Software / subscriptions</x:v>
      </x:c>
      <x:c r="M682" s="38"/>
      <x:c r="N682" s="38" t="n">
        <x:v>94129</x:v>
      </x:c>
      <x:c r="O682" s="15" t="str"/>
      <x:c r="P682" s="15" t="str">
        <x:v>eml_ALL_currentac__512781 (2).zip &gt; eml3currentac__512781.zip</x:v>
      </x:c>
      <x:c r="Q682" s="15" t="str">
        <x:v>FNB _-) R1511.34 reserved for purchase @ Openai _chatgpt Subscr+14 from Current a_c..512781 using card..0104. 17Apr 22_25.eml</x:v>
      </x:c>
      <x:c r="R682" s="15" t="str">
        <x:v>High</x:v>
      </x:c>
      <x:c r="S682" s="15" t="str"/>
      <x:c r="T682" s="15" t="str"/>
      <x:c r="U682" s="15" t="str"/>
      <x:c r="V682" s="15" t="str"/>
      <x:c r="W682" s="15" t="str"/>
      <x:c r="X682" s="15" t="str">
        <x:v>FNB :-) R1511.34 reserved for purchase @ Openai *chatgpt Subscr+14 from Current a/c..512781 using card..0104. Avail R94129. 17Apr 22:25</x:v>
      </x:c>
      <x:c r="Y682" s="15" t="str">
        <x:v>47b1572d002557af</x:v>
      </x:c>
    </x:row>
    <x:row r="683">
      <x:c r="A683" s="34" t="n">
        <x:v>46130.44027777778</x:v>
      </x:c>
      <x:c r="B683" s="36" t="n">
        <x:v>46130</x:v>
      </x:c>
      <x:c r="C683" s="34" t="n">
        <x:v>46130.4405787037</x:v>
      </x:c>
      <x:c r="D683" s="15" t="str">
        <x:v>Current a/c..512781</x:v>
      </x:c>
      <x:c r="E683" s="15" t="str"/>
      <x:c r="F683" s="15" t="str">
        <x:v>R6086.11 paid to Current a/c..512781 @ Payshap. Ref.Ik Pay 487882. 18Apr 10:34</x:v>
      </x:c>
      <x:c r="G683" s="15" t="str">
        <x:v>Ik Pay 487882</x:v>
      </x:c>
      <x:c r="H683" s="38" t="n">
        <x:v>6086.11</x:v>
      </x:c>
      <x:c r="I683" s="15" t="str">
        <x:v>ZAR</x:v>
      </x:c>
      <x:c r="J683" s="15" t="str">
        <x:v>Inflow</x:v>
      </x:c>
      <x:c r="K683" s="15" t="str">
        <x:v>EFT receipt</x:v>
      </x:c>
      <x:c r="L683" s="15" t="str">
        <x:v>Sales / customer receipts</x:v>
      </x:c>
      <x:c r="M683" s="38"/>
      <x:c r="N683" s="38"/>
      <x:c r="O683" s="15" t="str"/>
      <x:c r="P683" s="15" t="str">
        <x:v>eml_ALL_currentac__512781 (2).zip &gt; eml3currentac__512781.zip</x:v>
      </x:c>
      <x:c r="Q683" s="15" t="str">
        <x:v>FNB _-) R6086.11 paid to Current a_c..512781 @ Payshap. Ref.Ik Pay 487882. 18Apr 10_34.eml</x:v>
      </x:c>
      <x:c r="R683" s="15" t="str">
        <x:v>High</x:v>
      </x:c>
      <x:c r="S683" s="15" t="str">
        <x:v>Category confidence Medium: Default for incoming EFT/PayShap/online receipt.</x:v>
      </x:c>
      <x:c r="T683" s="15" t="str"/>
      <x:c r="U683" s="15" t="str"/>
      <x:c r="V683" s="15" t="str">
        <x:v>Ik Pay 487882</x:v>
      </x:c>
      <x:c r="W683" s="15" t="str">
        <x:v>Payshap</x:v>
      </x:c>
      <x:c r="X683" s="15" t="str">
        <x:v>FNB :-) R6086.11 paid to Current a/c..512781 @ Payshap. Ref.Ik Pay 487882. 18Apr 10:34</x:v>
      </x:c>
      <x:c r="Y683" s="15" t="str">
        <x:v>bc5bb627eaa3255e</x:v>
      </x:c>
    </x:row>
    <x:row r="684">
      <x:c r="A684" s="34" t="n">
        <x:v>46130.47638888889</x:v>
      </x:c>
      <x:c r="B684" s="36" t="n">
        <x:v>46130</x:v>
      </x:c>
      <x:c r="C684" s="34" t="n">
        <x:v>46130.476875</x:v>
      </x:c>
      <x:c r="D684" s="15" t="str">
        <x:v>Current a/c..512781</x:v>
      </x:c>
      <x:c r="E684" s="15" t="str">
        <x:v>card..2924</x:v>
      </x:c>
      <x:c r="F684" s="15" t="str">
        <x:v>R579.00 reserved for purchase @ Buco Komatipoort 116 from Current a/c..512781 using card..2924. Avail R99633. 18Apr 11:26</x:v>
      </x:c>
      <x:c r="G684" s="15" t="str">
        <x:v>Buco Komatipoort 116</x:v>
      </x:c>
      <x:c r="H684" s="38" t="n">
        <x:v>579</x:v>
      </x:c>
      <x:c r="I684" s="15" t="str">
        <x:v>ZAR</x:v>
      </x:c>
      <x:c r="J684" s="15" t="str">
        <x:v>Outflow</x:v>
      </x:c>
      <x:c r="K684" s="15" t="str">
        <x:v>Card purchase</x:v>
      </x:c>
      <x:c r="L684" s="15" t="str">
        <x:v>Supplier payments</x:v>
      </x:c>
      <x:c r="M684" s="38"/>
      <x:c r="N684" s="38" t="n">
        <x:v>99633</x:v>
      </x:c>
      <x:c r="O684" s="15" t="str"/>
      <x:c r="P684" s="15" t="str">
        <x:v>eml_ALL_currentac__512781 (2).zip &gt; eml3currentac__512781.zip</x:v>
      </x:c>
      <x:c r="Q684" s="15" t="str">
        <x:v>FNB _-) R579.00 reserved for purchase @ Buco Komatipoort 116 from Current a_c..512781 using card..2924. 18Apr 11_26.eml</x:v>
      </x:c>
      <x:c r="R684" s="15" t="str">
        <x:v>High</x:v>
      </x:c>
      <x:c r="S684" s="15" t="str">
        <x:v>Category confidence Medium: Retail/supplier merchant keyword.</x:v>
      </x:c>
      <x:c r="T684" s="15" t="str"/>
      <x:c r="U684" s="15" t="str"/>
      <x:c r="V684" s="15" t="str"/>
      <x:c r="W684" s="15" t="str"/>
      <x:c r="X684" s="15" t="str">
        <x:v>FNB :-) R579.00 reserved for purchase @ Buco Komatipoort 116 from Current a/c..512781 using card..2924. Avail R99633. 18Apr 11:26</x:v>
      </x:c>
      <x:c r="Y684" s="15" t="str">
        <x:v>deff952dcd9495e2</x:v>
      </x:c>
    </x:row>
    <x:row r="685">
      <x:c r="A685" s="34" t="n">
        <x:v>46130.509722222225</x:v>
      </x:c>
      <x:c r="B685" s="36" t="n">
        <x:v>46130</x:v>
      </x:c>
      <x:c r="C685" s="34" t="n">
        <x:v>46130.51037037037</x:v>
      </x:c>
      <x:c r="D685" s="15" t="str">
        <x:v>Current a/c..512781</x:v>
      </x:c>
      <x:c r="E685" s="15" t="str">
        <x:v>card..2924</x:v>
      </x:c>
      <x:c r="F685" s="15" t="str">
        <x:v>R1093.90 reserved for purchase @ Superspar Komatipoor from Current a/c..512781 using card..2924. Avail R98539. 18Apr 12:14</x:v>
      </x:c>
      <x:c r="G685" s="15" t="str">
        <x:v>Superspar Komatipoor</x:v>
      </x:c>
      <x:c r="H685" s="38" t="n">
        <x:v>1093.9</x:v>
      </x:c>
      <x:c r="I685" s="15" t="str">
        <x:v>ZAR</x:v>
      </x:c>
      <x:c r="J685" s="15" t="str">
        <x:v>Outflow</x:v>
      </x:c>
      <x:c r="K685" s="15" t="str">
        <x:v>Card purchase</x:v>
      </x:c>
      <x:c r="L685" s="15" t="str">
        <x:v>Supplier payments</x:v>
      </x:c>
      <x:c r="M685" s="38"/>
      <x:c r="N685" s="38" t="n">
        <x:v>98539</x:v>
      </x:c>
      <x:c r="O685" s="15" t="str"/>
      <x:c r="P685" s="15" t="str">
        <x:v>eml_ALL_currentac__512781 (2).zip &gt; eml3currentac__512781.zip</x:v>
      </x:c>
      <x:c r="Q685" s="15" t="str">
        <x:v>FNB _-) R1093.90 reserved for purchase @ Superspar Komatipoor from Current a_c..512781 using card..2924. 18Apr 12_14.eml</x:v>
      </x:c>
      <x:c r="R685" s="15" t="str">
        <x:v>High</x:v>
      </x:c>
      <x:c r="S685" s="15" t="str">
        <x:v>Category confidence Medium: Retail/supplier merchant keyword.</x:v>
      </x:c>
      <x:c r="T685" s="15" t="str"/>
      <x:c r="U685" s="15" t="str"/>
      <x:c r="V685" s="15" t="str"/>
      <x:c r="W685" s="15" t="str"/>
      <x:c r="X685" s="15" t="str">
        <x:v>FNB :-) R1093.90 reserved for purchase @ Superspar Komatipoor from Current a/c..512781 using card..2924. Avail R98539. 18Apr 12:14</x:v>
      </x:c>
      <x:c r="Y685" s="15" t="str">
        <x:v>08e1c616b15e87fb</x:v>
      </x:c>
    </x:row>
    <x:row r="686">
      <x:c r="A686" s="34" t="n">
        <x:v>46131.555555555555</x:v>
      </x:c>
      <x:c r="B686" s="36" t="n">
        <x:v>46131</x:v>
      </x:c>
      <x:c r="C686" s="34" t="n">
        <x:v>46131.55613425926</x:v>
      </x:c>
      <x:c r="D686" s="15" t="str">
        <x:v>Current a/c..512781</x:v>
      </x:c>
      <x:c r="E686" s="15" t="str">
        <x:v>card..2924</x:v>
      </x:c>
      <x:c r="F686" s="15" t="str">
        <x:v>R329.98 reserved for purchase @ Savemor Marloth from Current a/c..512781 using card..2924. Avail R98209. 19Apr 13:20</x:v>
      </x:c>
      <x:c r="G686" s="15" t="str">
        <x:v>Savemor Marloth</x:v>
      </x:c>
      <x:c r="H686" s="38" t="n">
        <x:v>329.98</x:v>
      </x:c>
      <x:c r="I686" s="15" t="str">
        <x:v>ZAR</x:v>
      </x:c>
      <x:c r="J686" s="15" t="str">
        <x:v>Outflow</x:v>
      </x:c>
      <x:c r="K686" s="15" t="str">
        <x:v>Card purchase</x:v>
      </x:c>
      <x:c r="L686" s="15" t="str">
        <x:v>Supplier payments</x:v>
      </x:c>
      <x:c r="M686" s="38"/>
      <x:c r="N686" s="38" t="n">
        <x:v>98209</x:v>
      </x:c>
      <x:c r="O686" s="15" t="str"/>
      <x:c r="P686" s="15" t="str">
        <x:v>eml_ALL_currentac__512781 (2).zip &gt; eml3currentac__512781.zip</x:v>
      </x:c>
      <x:c r="Q686" s="15" t="str">
        <x:v>FNB _-) R329.98 reserved for purchase @ Savemor Marloth from Current a_c..512781 using card..2924. 19Apr 13_20.eml</x:v>
      </x:c>
      <x:c r="R686" s="15" t="str">
        <x:v>High</x:v>
      </x:c>
      <x:c r="S686" s="15" t="str">
        <x:v>Category confidence Medium: Retail/supplier merchant keyword.</x:v>
      </x:c>
      <x:c r="T686" s="15" t="str"/>
      <x:c r="U686" s="15" t="str"/>
      <x:c r="V686" s="15" t="str"/>
      <x:c r="W686" s="15" t="str"/>
      <x:c r="X686" s="15" t="str">
        <x:v>FNB :-) R329.98 reserved for purchase @ Savemor Marloth from Current a/c..512781 using card..2924. Avail R98209. 19Apr 13:20</x:v>
      </x:c>
      <x:c r="Y686" s="15" t="str">
        <x:v>e3b3ce4f26129d6e</x:v>
      </x:c>
    </x:row>
    <x:row r="687">
      <x:c r="A687" s="34" t="n">
        <x:v>46132.638194444444</x:v>
      </x:c>
      <x:c r="B687" s="36" t="n">
        <x:v>46132</x:v>
      </x:c>
      <x:c r="C687" s="34" t="n">
        <x:v>46132.638506944444</x:v>
      </x:c>
      <x:c r="D687" s="15" t="str">
        <x:v>Current a/c..512781</x:v>
      </x:c>
      <x:c r="E687" s="15" t="str"/>
      <x:c r="F687" s="15" t="str">
        <x:v>R26500.00 t/fer from Current a/c..512781 to home loan a/c..057026 @ Smartapp. Avail R71664. 20Apr 15:19</x:v>
      </x:c>
      <x:c r="G687" s="15" t="str">
        <x:v>home loan a/c..057026</x:v>
      </x:c>
      <x:c r="H687" s="38" t="n">
        <x:v>26500</x:v>
      </x:c>
      <x:c r="I687" s="15" t="str">
        <x:v>ZAR</x:v>
      </x:c>
      <x:c r="J687" s="15" t="str">
        <x:v>Internal Transfer</x:v>
      </x:c>
      <x:c r="K687" s="15" t="str">
        <x:v>Internal transfer</x:v>
      </x:c>
      <x:c r="L687" s="15" t="str">
        <x:v>Inter-account transfer</x:v>
      </x:c>
      <x:c r="M687" s="38"/>
      <x:c r="N687" s="38" t="n">
        <x:v>71664</x:v>
      </x:c>
      <x:c r="O687" s="15" t="str"/>
      <x:c r="P687" s="15" t="str">
        <x:v>eml_ALL_currentac__512781 (2).zip &gt; eml3currentac__512781.zip</x:v>
      </x:c>
      <x:c r="Q687" s="15" t="str">
        <x:v>FNB _-) R26500.00 t_fer from Current a_c..512781 to home loan a_c..057026 @ Smartapp. 20Apr 15_19.eml</x:v>
      </x:c>
      <x:c r="R687" s="15" t="str">
        <x:v>High</x:v>
      </x:c>
      <x:c r="S687" s="15" t="str">
        <x:v>Classified as internal/inter-account transfer and excluded from operating cashflow.</x:v>
      </x:c>
      <x:c r="T687" s="15" t="str">
        <x:v>Current a/c..512781</x:v>
      </x:c>
      <x:c r="U687" s="15" t="str">
        <x:v>home loan a/c..057026</x:v>
      </x:c>
      <x:c r="V687" s="15" t="str"/>
      <x:c r="W687" s="15" t="str">
        <x:v>Smartapp</x:v>
      </x:c>
      <x:c r="X687" s="15" t="str">
        <x:v>FNB :-) R26500.00 t/fer from Current a/c..512781 to home loan a/c..057026 @ Smartapp. Avail R71664. 20Apr 15:19</x:v>
      </x:c>
      <x:c r="Y687" s="15" t="str">
        <x:v>80b6637ade0a2191</x:v>
      </x:c>
    </x:row>
    <x:row r="688">
      <x:c r="A688" s="34" t="n">
        <x:v>46132.854166666664</x:v>
      </x:c>
      <x:c r="B688" s="36" t="n">
        <x:v>46132</x:v>
      </x:c>
      <x:c r="C688" s="34" t="n">
        <x:v>46132.854212962964</x:v>
      </x:c>
      <x:c r="D688" s="15" t="str">
        <x:v>Current a/c..512781</x:v>
      </x:c>
      <x:c r="E688" s="15" t="str"/>
      <x:c r="F688" s="15" t="str">
        <x:v>R150.00 paid from Current a/c..512781 @ Smartapp. Avail R71512. Ref.Electricity 14503572. 20Apr 20:30</x:v>
      </x:c>
      <x:c r="G688" s="15" t="str">
        <x:v>Electricity 14503572</x:v>
      </x:c>
      <x:c r="H688" s="38" t="n">
        <x:v>150</x:v>
      </x:c>
      <x:c r="I688" s="15" t="str">
        <x:v>ZAR</x:v>
      </x:c>
      <x:c r="J688" s="15" t="str">
        <x:v>Outflow</x:v>
      </x:c>
      <x:c r="K688" s="15" t="str">
        <x:v>EFT payment</x:v>
      </x:c>
      <x:c r="L688" s="15" t="str">
        <x:v>Telecom / utilities</x:v>
      </x:c>
      <x:c r="M688" s="38"/>
      <x:c r="N688" s="38" t="n">
        <x:v>71512</x:v>
      </x:c>
      <x:c r="O688" s="15" t="str"/>
      <x:c r="P688" s="15" t="str">
        <x:v>eml_ALL_currentac__512781 (2).zip &gt; eml3currentac__512781.zip</x:v>
      </x:c>
      <x:c r="Q688" s="15" t="str">
        <x:v>FNB _-) R150.00 paid from Current a_c..512781 @ Smartapp. Ref.Electricity 14503572. 20Apr 20_30.eml</x:v>
      </x:c>
      <x:c r="R688" s="15" t="str">
        <x:v>High</x:v>
      </x:c>
      <x:c r="S688" s="15" t="str"/>
      <x:c r="T688" s="15" t="str"/>
      <x:c r="U688" s="15" t="str"/>
      <x:c r="V688" s="15" t="str">
        <x:v>Electricity 14503572</x:v>
      </x:c>
      <x:c r="W688" s="15" t="str">
        <x:v>Smartapp</x:v>
      </x:c>
      <x:c r="X688" s="15" t="str">
        <x:v>FNB :-) R150.00 paid from Current a/c..512781 @ Smartapp. Avail R71512. Ref.Electricity 14503572. 20Apr 20:30</x:v>
      </x:c>
      <x:c r="Y688" s="15" t="str">
        <x:v>481cf528f625b13d</x:v>
      </x:c>
    </x:row>
    <x:row r="689">
      <x:c r="A689" s="34" t="n">
        <x:v>46132.927083333336</x:v>
      </x:c>
      <x:c r="B689" s="36" t="n">
        <x:v>46132</x:v>
      </x:c>
      <x:c r="C689" s="34" t="n">
        <x:v>46132.92755787037</x:v>
      </x:c>
      <x:c r="D689" s="15" t="str">
        <x:v>Current a/c..512781</x:v>
      </x:c>
      <x:c r="E689" s="15" t="str"/>
      <x:c r="F689" s="15" t="str">
        <x:v>R150.00 paid from Current a/c..512781 @ Smartapp. Avail R71362. Ref.Electricity 14503572. 20Apr 22:15</x:v>
      </x:c>
      <x:c r="G689" s="15" t="str">
        <x:v>Electricity 14503572</x:v>
      </x:c>
      <x:c r="H689" s="38" t="n">
        <x:v>150</x:v>
      </x:c>
      <x:c r="I689" s="15" t="str">
        <x:v>ZAR</x:v>
      </x:c>
      <x:c r="J689" s="15" t="str">
        <x:v>Outflow</x:v>
      </x:c>
      <x:c r="K689" s="15" t="str">
        <x:v>EFT payment</x:v>
      </x:c>
      <x:c r="L689" s="15" t="str">
        <x:v>Telecom / utilities</x:v>
      </x:c>
      <x:c r="M689" s="38"/>
      <x:c r="N689" s="38" t="n">
        <x:v>71362</x:v>
      </x:c>
      <x:c r="O689" s="15" t="str"/>
      <x:c r="P689" s="15" t="str">
        <x:v>eml_ALL_currentac__512781 (2).zip &gt; eml3currentac__512781.zip</x:v>
      </x:c>
      <x:c r="Q689" s="15" t="str">
        <x:v>FNB _-) R150.00 paid from Current a_c..512781 @ Smartapp. Ref.Electricity 14503572. 20Apr 22_15.eml</x:v>
      </x:c>
      <x:c r="R689" s="15" t="str">
        <x:v>High</x:v>
      </x:c>
      <x:c r="S689" s="15" t="str"/>
      <x:c r="T689" s="15" t="str"/>
      <x:c r="U689" s="15" t="str"/>
      <x:c r="V689" s="15" t="str">
        <x:v>Electricity 14503572</x:v>
      </x:c>
      <x:c r="W689" s="15" t="str">
        <x:v>Smartapp</x:v>
      </x:c>
      <x:c r="X689" s="15" t="str">
        <x:v>FNB :-) R150.00 paid from Current a/c..512781 @ Smartapp. Avail R71362. Ref.Electricity 14503572. 20Apr 22:15</x:v>
      </x:c>
      <x:c r="Y689" s="15" t="str">
        <x:v>a055118ffc9e6124</x:v>
      </x:c>
    </x:row>
    <x:row r="690">
      <x:c r="A690" s="34" t="n">
        <x:v>46133.39444444444</x:v>
      </x:c>
      <x:c r="B690" s="36" t="n">
        <x:v>46133</x:v>
      </x:c>
      <x:c r="C690" s="34" t="n">
        <x:v>46133.39487268519</x:v>
      </x:c>
      <x:c r="D690" s="15" t="str">
        <x:v>Current a/c..512781</x:v>
      </x:c>
      <x:c r="E690" s="15" t="str">
        <x:v>card..2924</x:v>
      </x:c>
      <x:c r="F690" s="15" t="str">
        <x:v>R2015.02 reserved for purchase @ Toppies Hardware 66 from Current a/c..512781 using card..2924. Avail R69340. 21Apr 09:28</x:v>
      </x:c>
      <x:c r="G690" s="15" t="str">
        <x:v>Toppies Hardware 66</x:v>
      </x:c>
      <x:c r="H690" s="38" t="n">
        <x:v>2015.02</x:v>
      </x:c>
      <x:c r="I690" s="15" t="str">
        <x:v>ZAR</x:v>
      </x:c>
      <x:c r="J690" s="15" t="str">
        <x:v>Outflow</x:v>
      </x:c>
      <x:c r="K690" s="15" t="str">
        <x:v>Card purchase</x:v>
      </x:c>
      <x:c r="L690" s="15" t="str">
        <x:v>Supplier payments</x:v>
      </x:c>
      <x:c r="M690" s="38"/>
      <x:c r="N690" s="38" t="n">
        <x:v>69340</x:v>
      </x:c>
      <x:c r="O690" s="15" t="str"/>
      <x:c r="P690" s="15" t="str">
        <x:v>eml_ALL_currentac__512781 (2).zip &gt; eml3currentac__512781.zip</x:v>
      </x:c>
      <x:c r="Q690" s="15" t="str">
        <x:v>FNB _-) R2015.02 reserved for purchase @ Toppies Hardware 66 from Current a_c..512781 using card..2924. 21Apr 09_28.eml</x:v>
      </x:c>
      <x:c r="R690" s="15" t="str">
        <x:v>High</x:v>
      </x:c>
      <x:c r="S690" s="15" t="str">
        <x:v>Category confidence Medium: Retail/supplier merchant keyword.</x:v>
      </x:c>
      <x:c r="T690" s="15" t="str"/>
      <x:c r="U690" s="15" t="str"/>
      <x:c r="V690" s="15" t="str"/>
      <x:c r="W690" s="15" t="str"/>
      <x:c r="X690" s="15" t="str">
        <x:v>FNB :-) R2015.02 reserved for purchase @ Toppies Hardware 66 from Current a/c..512781 using card..2924. Avail R69340. 21Apr 09:28</x:v>
      </x:c>
      <x:c r="Y690" s="15" t="str">
        <x:v>8faea5d7b44a6b21</x:v>
      </x:c>
    </x:row>
    <x:row r="691">
      <x:c r="A691" s="34" t="n">
        <x:v>46133.498611111114</x:v>
      </x:c>
      <x:c r="B691" s="36" t="n">
        <x:v>46133</x:v>
      </x:c>
      <x:c r="C691" s="34" t="n">
        <x:v>46133.498819444445</x:v>
      </x:c>
      <x:c r="D691" s="15" t="str">
        <x:v>Current a/c..512781</x:v>
      </x:c>
      <x:c r="E691" s="15" t="str">
        <x:v>card..2924</x:v>
      </x:c>
      <x:c r="F691" s="15" t="str">
        <x:v>R1854.99 reserved for purchase @ Superspar Komatipoor from Current a/c..512781 using card..2924. Avail R67485. 21Apr 11:58</x:v>
      </x:c>
      <x:c r="G691" s="15" t="str">
        <x:v>Superspar Komatipoor</x:v>
      </x:c>
      <x:c r="H691" s="38" t="n">
        <x:v>1854.99</x:v>
      </x:c>
      <x:c r="I691" s="15" t="str">
        <x:v>ZAR</x:v>
      </x:c>
      <x:c r="J691" s="15" t="str">
        <x:v>Outflow</x:v>
      </x:c>
      <x:c r="K691" s="15" t="str">
        <x:v>Card purchase</x:v>
      </x:c>
      <x:c r="L691" s="15" t="str">
        <x:v>Supplier payments</x:v>
      </x:c>
      <x:c r="M691" s="38"/>
      <x:c r="N691" s="38" t="n">
        <x:v>67485</x:v>
      </x:c>
      <x:c r="O691" s="15" t="str"/>
      <x:c r="P691" s="15" t="str">
        <x:v>eml_ALL_currentac__512781 (2).zip &gt; eml3currentac__512781.zip</x:v>
      </x:c>
      <x:c r="Q691" s="15" t="str">
        <x:v>FNB _-) R1854.99 reserved for purchase @ Superspar Komatipoor from Current a_c..512781 using card..2924. 21Apr 11_58.eml</x:v>
      </x:c>
      <x:c r="R691" s="15" t="str">
        <x:v>High</x:v>
      </x:c>
      <x:c r="S691" s="15" t="str">
        <x:v>Category confidence Medium: Retail/supplier merchant keyword.</x:v>
      </x:c>
      <x:c r="T691" s="15" t="str"/>
      <x:c r="U691" s="15" t="str"/>
      <x:c r="V691" s="15" t="str"/>
      <x:c r="W691" s="15" t="str"/>
      <x:c r="X691" s="15" t="str">
        <x:v>FNB :-) R1854.99 reserved for purchase @ Superspar Komatipoor from Current a/c..512781 using card..2924. Avail R67485. 21Apr 11:58</x:v>
      </x:c>
      <x:c r="Y691" s="15" t="str">
        <x:v>1005bb93992f2104</x:v>
      </x:c>
    </x:row>
    <x:row r="692">
      <x:c r="A692" s="34" t="n">
        <x:v>46133.50347222222</x:v>
      </x:c>
      <x:c r="B692" s="36" t="n">
        <x:v>46133</x:v>
      </x:c>
      <x:c r="C692" s="34" t="n">
        <x:v>46133.504155092596</x:v>
      </x:c>
      <x:c r="D692" s="15" t="str">
        <x:v>Current a/c..512781</x:v>
      </x:c>
      <x:c r="E692" s="15" t="str">
        <x:v>card..2924</x:v>
      </x:c>
      <x:c r="F692" s="15" t="str">
        <x:v>R194.97 reserved for purchase @ Tops Komatipoort from Current a/c..512781 using card..2924. Avail R67290. 21Apr 12:05</x:v>
      </x:c>
      <x:c r="G692" s="15" t="str">
        <x:v>Tops Komatipoort</x:v>
      </x:c>
      <x:c r="H692" s="38" t="n">
        <x:v>194.97</x:v>
      </x:c>
      <x:c r="I692" s="15" t="str">
        <x:v>ZAR</x:v>
      </x:c>
      <x:c r="J692" s="15" t="str">
        <x:v>Outflow</x:v>
      </x:c>
      <x:c r="K692" s="15" t="str">
        <x:v>Card purchase</x:v>
      </x:c>
      <x:c r="L692" s="15" t="str">
        <x:v>Meals / restaurants / entertainment</x:v>
      </x:c>
      <x:c r="M692" s="38"/>
      <x:c r="N692" s="38" t="n">
        <x:v>67290</x:v>
      </x:c>
      <x:c r="O692" s="15" t="str"/>
      <x:c r="P692" s="15" t="str">
        <x:v>eml_ALL_currentac__512781 (2).zip &gt; eml3currentac__512781.zip</x:v>
      </x:c>
      <x:c r="Q692" s="15" t="str">
        <x:v>FNB _-) R194.97 reserved for purchase @ Tops Komatipoort from Current a_c..512781 using card..2924. 21Apr 12_05.eml</x:v>
      </x:c>
      <x:c r="R692" s="15" t="str">
        <x:v>High</x:v>
      </x:c>
      <x:c r="S692" s="15" t="str"/>
      <x:c r="T692" s="15" t="str"/>
      <x:c r="U692" s="15" t="str"/>
      <x:c r="V692" s="15" t="str"/>
      <x:c r="W692" s="15" t="str"/>
      <x:c r="X692" s="15" t="str">
        <x:v>FNB :-) R194.97 reserved for purchase @ Tops Komatipoort from Current a/c..512781 using card..2924. Avail R67290. 21Apr 12:05</x:v>
      </x:c>
      <x:c r="Y692" s="15" t="str">
        <x:v>203d07a42a8f7f54</x:v>
      </x:c>
    </x:row>
    <x:row r="693">
      <x:c r="A693" s="34" t="n">
        <x:v>46133.67222222222</x:v>
      </x:c>
      <x:c r="B693" s="36" t="n">
        <x:v>46133</x:v>
      </x:c>
      <x:c r="C693" s="34" t="n">
        <x:v>46133.67240740741</x:v>
      </x:c>
      <x:c r="D693" s="15" t="str">
        <x:v>Current a/c..512781</x:v>
      </x:c>
      <x:c r="E693" s="15" t="str"/>
      <x:c r="F693" s="15" t="str">
        <x:v>R550.00 paid from Current a/c..512781 @ Smartapp. Avail R66682. Ref.Lebombo Washing Mach. 21Apr 16:08</x:v>
      </x:c>
      <x:c r="G693" s="15" t="str">
        <x:v>Lebombo Washing Mach</x:v>
      </x:c>
      <x:c r="H693" s="38" t="n">
        <x:v>550</x:v>
      </x:c>
      <x:c r="I693" s="15" t="str">
        <x:v>ZAR</x:v>
      </x:c>
      <x:c r="J693" s="15" t="str">
        <x:v>Outflow</x:v>
      </x:c>
      <x:c r="K693" s="15" t="str">
        <x:v>EFT payment</x:v>
      </x:c>
      <x:c r="L693" s="15" t="str">
        <x:v>Supplier payments</x:v>
      </x:c>
      <x:c r="M693" s="38"/>
      <x:c r="N693" s="38" t="n">
        <x:v>66682</x:v>
      </x:c>
      <x:c r="O693" s="15" t="str"/>
      <x:c r="P693" s="15" t="str">
        <x:v>eml_ALL_currentac__512781 (2).zip &gt; eml3currentac__512781.zip</x:v>
      </x:c>
      <x:c r="Q693" s="15" t="str">
        <x:v>FNB _-) R550.00 paid from Current a_c..512781 @ Smartapp. Ref.Lebombo Washing Mach. 21Apr 16_08.eml</x:v>
      </x:c>
      <x:c r="R693" s="15" t="str">
        <x:v>High</x:v>
      </x:c>
      <x:c r="S693" s="15" t="str">
        <x:v>Category confidence Low: Default outflow category; review counterparty/reference.</x:v>
      </x:c>
      <x:c r="T693" s="15" t="str"/>
      <x:c r="U693" s="15" t="str"/>
      <x:c r="V693" s="15" t="str">
        <x:v>Lebombo Washing Mach</x:v>
      </x:c>
      <x:c r="W693" s="15" t="str">
        <x:v>Smartapp</x:v>
      </x:c>
      <x:c r="X693" s="15" t="str">
        <x:v>FNB :-) R550.00 paid from Current a/c..512781 @ Smartapp. Avail R66682. Ref.Lebombo Washing Mach. 21Apr 16:08</x:v>
      </x:c>
      <x:c r="Y693" s="15" t="str">
        <x:v>775ccad34db71d05</x:v>
      </x:c>
    </x:row>
    <x:row r="694">
      <x:c r="A694" s="34" t="n">
        <x:v>46134.38680555556</x:v>
      </x:c>
      <x:c r="B694" s="36" t="n">
        <x:v>46134</x:v>
      </x:c>
      <x:c r="C694" s="34" t="n">
        <x:v>46134.387094907404</x:v>
      </x:c>
      <x:c r="D694" s="15" t="str">
        <x:v>Current a/c..512781</x:v>
      </x:c>
      <x:c r="E694" s="15" t="str"/>
      <x:c r="F694" s="15" t="str">
        <x:v>R850.00 paid from Current a/c..512781 @ Smartapp. Avail R65820. Ref.Deon"s Diy 19/04. 22Apr 09:17</x:v>
      </x:c>
      <x:c r="G694" s="15" t="str">
        <x:v>Deon"s Diy 19/04</x:v>
      </x:c>
      <x:c r="H694" s="38" t="n">
        <x:v>850</x:v>
      </x:c>
      <x:c r="I694" s="15" t="str">
        <x:v>ZAR</x:v>
      </x:c>
      <x:c r="J694" s="15" t="str">
        <x:v>Outflow</x:v>
      </x:c>
      <x:c r="K694" s="15" t="str">
        <x:v>EFT payment</x:v>
      </x:c>
      <x:c r="L694" s="15" t="str">
        <x:v>Supplier payments</x:v>
      </x:c>
      <x:c r="M694" s="38"/>
      <x:c r="N694" s="38" t="n">
        <x:v>65820</x:v>
      </x:c>
      <x:c r="O694" s="15" t="str"/>
      <x:c r="P694" s="15" t="str">
        <x:v>eml_ALL_currentac__512781 (2).zip &gt; eml3currentac__512781.zip</x:v>
      </x:c>
      <x:c r="Q694" s="15" t="str">
        <x:v>FNB _-) R850.00 paid from Current a_c..512781 @ Smartapp. Ref.Deon_s Diy 19_04. 22Apr 09_17.eml</x:v>
      </x:c>
      <x:c r="R694" s="15" t="str">
        <x:v>High</x:v>
      </x:c>
      <x:c r="S694" s="15" t="str">
        <x:v>Category confidence Low: Default outflow category; review counterparty/reference.</x:v>
      </x:c>
      <x:c r="T694" s="15" t="str"/>
      <x:c r="U694" s="15" t="str"/>
      <x:c r="V694" s="15" t="str">
        <x:v>Deon"s Diy 19/04</x:v>
      </x:c>
      <x:c r="W694" s="15" t="str">
        <x:v>Smartapp</x:v>
      </x:c>
      <x:c r="X694" s="15" t="str">
        <x:v>FNB :-) R850.00 paid from Current a/c..512781 @ Smartapp. Avail R65820. Ref.Deon"s Diy 19/04. 22Apr 09:17</x:v>
      </x:c>
      <x:c r="Y694" s="15" t="str">
        <x:v>a06ecea56eadb8cf</x:v>
      </x:c>
    </x:row>
    <x:row r="695">
      <x:c r="A695" s="34" t="n">
        <x:v>46134.388194444444</x:v>
      </x:c>
      <x:c r="B695" s="36" t="n">
        <x:v>46134</x:v>
      </x:c>
      <x:c r="C695" s="34" t="n">
        <x:v>46134.388333333336</x:v>
      </x:c>
      <x:c r="D695" s="15" t="str">
        <x:v>Current a/c..512781</x:v>
      </x:c>
      <x:c r="E695" s="15" t="str"/>
      <x:c r="F695" s="15" t="str">
        <x:v>R3966.60 paid from Current a/c..512781 @ Smartapp. Avail R61851. Ref.Kruger Safari 1695. 22Apr 09:19</x:v>
      </x:c>
      <x:c r="G695" s="15" t="str">
        <x:v>Kruger Safari 1695</x:v>
      </x:c>
      <x:c r="H695" s="38" t="n">
        <x:v>3966.6</x:v>
      </x:c>
      <x:c r="I695" s="15" t="str">
        <x:v>ZAR</x:v>
      </x:c>
      <x:c r="J695" s="15" t="str">
        <x:v>Outflow</x:v>
      </x:c>
      <x:c r="K695" s="15" t="str">
        <x:v>EFT payment</x:v>
      </x:c>
      <x:c r="L695" s="15" t="str">
        <x:v>Supplier payments</x:v>
      </x:c>
      <x:c r="M695" s="38"/>
      <x:c r="N695" s="38" t="n">
        <x:v>61851</x:v>
      </x:c>
      <x:c r="O695" s="15" t="str"/>
      <x:c r="P695" s="15" t="str">
        <x:v>eml_ALL_currentac__512781 (2).zip &gt; eml3currentac__512781.zip</x:v>
      </x:c>
      <x:c r="Q695" s="15" t="str">
        <x:v>FNB _-) R3966.60 paid from Current a_c..512781 @ Smartapp. Ref.Kruger Safari 1695. 22Apr 09_19.eml</x:v>
      </x:c>
      <x:c r="R695" s="15" t="str">
        <x:v>High</x:v>
      </x:c>
      <x:c r="S695" s="15" t="str">
        <x:v>Category confidence Low: Default outflow category; review counterparty/reference.</x:v>
      </x:c>
      <x:c r="T695" s="15" t="str"/>
      <x:c r="U695" s="15" t="str"/>
      <x:c r="V695" s="15" t="str">
        <x:v>Kruger Safari 1695</x:v>
      </x:c>
      <x:c r="W695" s="15" t="str">
        <x:v>Smartapp</x:v>
      </x:c>
      <x:c r="X695" s="15" t="str">
        <x:v>FNB :-) R3966.60 paid from Current a/c..512781 @ Smartapp. Avail R61851. Ref.Kruger Safari 1695. 22Apr 09:19</x:v>
      </x:c>
      <x:c r="Y695" s="15" t="str">
        <x:v>b4656a5f87c1b1c5</x:v>
      </x:c>
    </x:row>
    <x:row r="696">
      <x:c r="A696" s="34" t="n">
        <x:v>46134.38888888889</x:v>
      </x:c>
      <x:c r="B696" s="36" t="n">
        <x:v>46134</x:v>
      </x:c>
      <x:c r="C696" s="34" t="n">
        <x:v>46134.38952546296</x:v>
      </x:c>
      <x:c r="D696" s="15" t="str">
        <x:v>Current a/c..512781</x:v>
      </x:c>
      <x:c r="E696" s="15" t="str"/>
      <x:c r="F696" s="15" t="str">
        <x:v>R7656.01 paid from Current a/c..512781 @ Smartapp. Avail R54187. Ref.Stratton Prop Mng. 22Apr 09:20</x:v>
      </x:c>
      <x:c r="G696" s="15" t="str">
        <x:v>Stratton Prop Mng</x:v>
      </x:c>
      <x:c r="H696" s="38" t="n">
        <x:v>7656.01</x:v>
      </x:c>
      <x:c r="I696" s="15" t="str">
        <x:v>ZAR</x:v>
      </x:c>
      <x:c r="J696" s="15" t="str">
        <x:v>Outflow</x:v>
      </x:c>
      <x:c r="K696" s="15" t="str">
        <x:v>EFT payment</x:v>
      </x:c>
      <x:c r="L696" s="15" t="str">
        <x:v>Supplier payments</x:v>
      </x:c>
      <x:c r="M696" s="38"/>
      <x:c r="N696" s="38" t="n">
        <x:v>54187</x:v>
      </x:c>
      <x:c r="O696" s="15" t="str"/>
      <x:c r="P696" s="15" t="str">
        <x:v>eml_ALL_currentac__512781 (2).zip &gt; eml3currentac__512781.zip</x:v>
      </x:c>
      <x:c r="Q696" s="15" t="str">
        <x:v>FNB _-) R7656.01 paid from Current a_c..512781 @ Smartapp. Ref.Stratton Prop Mng. 22Apr 09_20.eml</x:v>
      </x:c>
      <x:c r="R696" s="15" t="str">
        <x:v>High</x:v>
      </x:c>
      <x:c r="S696" s="15" t="str">
        <x:v>Category confidence Low: Default outflow category; review counterparty/reference.</x:v>
      </x:c>
      <x:c r="T696" s="15" t="str"/>
      <x:c r="U696" s="15" t="str"/>
      <x:c r="V696" s="15" t="str">
        <x:v>Stratton Prop Mng</x:v>
      </x:c>
      <x:c r="W696" s="15" t="str">
        <x:v>Smartapp</x:v>
      </x:c>
      <x:c r="X696" s="15" t="str">
        <x:v>FNB :-) R7656.01 paid from Current a/c..512781 @ Smartapp. Avail R54187. Ref.Stratton Prop Mng. 22Apr 09:20</x:v>
      </x:c>
      <x:c r="Y696" s="15" t="str">
        <x:v>869d93ffd40b560e</x:v>
      </x:c>
    </x:row>
    <x:row r="697">
      <x:c r="A697" s="34" t="n">
        <x:v>46134.63333333333</x:v>
      </x:c>
      <x:c r="B697" s="36" t="n">
        <x:v>46134</x:v>
      </x:c>
      <x:c r="C697" s="34" t="n">
        <x:v>46134.63349537037</x:v>
      </x:c>
      <x:c r="D697" s="15" t="str">
        <x:v>Current a/c..512781</x:v>
      </x:c>
      <x:c r="E697" s="15" t="str">
        <x:v>card..2924</x:v>
      </x:c>
      <x:c r="F697" s="15" t="str">
        <x:v>R333.37 reserved for purchase @ Savemor Marloth from Current a/c..512781 using card..2924. Avail R53853. 22Apr 15:12</x:v>
      </x:c>
      <x:c r="G697" s="15" t="str">
        <x:v>Savemor Marloth</x:v>
      </x:c>
      <x:c r="H697" s="38" t="n">
        <x:v>333.37</x:v>
      </x:c>
      <x:c r="I697" s="15" t="str">
        <x:v>ZAR</x:v>
      </x:c>
      <x:c r="J697" s="15" t="str">
        <x:v>Outflow</x:v>
      </x:c>
      <x:c r="K697" s="15" t="str">
        <x:v>Card purchase</x:v>
      </x:c>
      <x:c r="L697" s="15" t="str">
        <x:v>Supplier payments</x:v>
      </x:c>
      <x:c r="M697" s="38"/>
      <x:c r="N697" s="38" t="n">
        <x:v>53853</x:v>
      </x:c>
      <x:c r="O697" s="15" t="str"/>
      <x:c r="P697" s="15" t="str">
        <x:v>eml_ALL_currentac__512781 (2).zip &gt; eml3currentac__512781.zip</x:v>
      </x:c>
      <x:c r="Q697" s="15" t="str">
        <x:v>FNB _-) R333.37 reserved for purchase @ Savemor Marloth from Current a_c..512781 using card..2924. 22Apr 15_12.eml</x:v>
      </x:c>
      <x:c r="R697" s="15" t="str">
        <x:v>High</x:v>
      </x:c>
      <x:c r="S697" s="15" t="str">
        <x:v>Category confidence Medium: Retail/supplier merchant keyword.</x:v>
      </x:c>
      <x:c r="T697" s="15" t="str"/>
      <x:c r="U697" s="15" t="str"/>
      <x:c r="V697" s="15" t="str"/>
      <x:c r="W697" s="15" t="str"/>
      <x:c r="X697" s="15" t="str">
        <x:v>FNB :-) R333.37 reserved for purchase @ Savemor Marloth from Current a/c..512781 using card..2924. Avail R53853. 22Apr 15:12</x:v>
      </x:c>
      <x:c r="Y697" s="15" t="str">
        <x:v>3a13a7b3232df067</x:v>
      </x:c>
    </x:row>
    <x:row r="698">
      <x:c r="A698" s="34" t="n">
        <x:v>46134.64791666667</x:v>
      </x:c>
      <x:c r="B698" s="36" t="n">
        <x:v>46134</x:v>
      </x:c>
      <x:c r="C698" s="34" t="n">
        <x:v>46134.64854166667</x:v>
      </x:c>
      <x:c r="D698" s="15" t="str">
        <x:v>Current a/c..512781</x:v>
      </x:c>
      <x:c r="E698" s="15" t="str">
        <x:v>card..2924</x:v>
      </x:c>
      <x:c r="F698" s="15" t="str">
        <x:v>R200.00 reserved for purchase @ Marlothi Petrol Stat from Current a/c..512781 using card..2924. Avail R53653. 22Apr 15:33</x:v>
      </x:c>
      <x:c r="G698" s="15" t="str">
        <x:v>Marlothi Petrol Stat</x:v>
      </x:c>
      <x:c r="H698" s="38" t="n">
        <x:v>200</x:v>
      </x:c>
      <x:c r="I698" s="15" t="str">
        <x:v>ZAR</x:v>
      </x:c>
      <x:c r="J698" s="15" t="str">
        <x:v>Outflow</x:v>
      </x:c>
      <x:c r="K698" s="15" t="str">
        <x:v>Card purchase</x:v>
      </x:c>
      <x:c r="L698" s="15" t="str">
        <x:v>Fuel / transport</x:v>
      </x:c>
      <x:c r="M698" s="38"/>
      <x:c r="N698" s="38" t="n">
        <x:v>53653</x:v>
      </x:c>
      <x:c r="O698" s="15" t="str"/>
      <x:c r="P698" s="15" t="str">
        <x:v>eml_ALL_currentac__512781 (2).zip &gt; eml3currentac__512781.zip</x:v>
      </x:c>
      <x:c r="Q698" s="15" t="str">
        <x:v>FNB _-) R200.00 reserved for purchase @ Marlothi Petrol Stat from Current a_c..512781 using card..2924. 22Apr 15_33.eml</x:v>
      </x:c>
      <x:c r="R698" s="15" t="str">
        <x:v>High</x:v>
      </x:c>
      <x:c r="S698" s="15" t="str"/>
      <x:c r="T698" s="15" t="str"/>
      <x:c r="U698" s="15" t="str"/>
      <x:c r="V698" s="15" t="str"/>
      <x:c r="W698" s="15" t="str"/>
      <x:c r="X698" s="15" t="str">
        <x:v>FNB :-) R200.00 reserved for purchase @ Marlothi Petrol Stat from Current a/c..512781 using card..2924. Avail R53653. 22Apr 15:33</x:v>
      </x:c>
      <x:c r="Y698" s="15" t="str">
        <x:v>433cf868b71098da</x:v>
      </x:c>
    </x:row>
    <x:row r="699">
      <x:c r="A699" s="34" t="n">
        <x:v>46134.72222222222</x:v>
      </x:c>
      <x:c r="B699" s="36" t="n">
        <x:v>46134</x:v>
      </x:c>
      <x:c r="C699" s="34" t="n">
        <x:v>46134.72283564815</x:v>
      </x:c>
      <x:c r="D699" s="15" t="str">
        <x:v>Current a/c..512781</x:v>
      </x:c>
      <x:c r="E699" s="15" t="str"/>
      <x:c r="F699" s="15" t="str">
        <x:v>R500.00 paid from Current a/c..512781 @ Smartapp. Avail R53151. Ref.Electricity 04294887. 22Apr 17:20</x:v>
      </x:c>
      <x:c r="G699" s="15" t="str">
        <x:v>Electricity 04294887</x:v>
      </x:c>
      <x:c r="H699" s="38" t="n">
        <x:v>500</x:v>
      </x:c>
      <x:c r="I699" s="15" t="str">
        <x:v>ZAR</x:v>
      </x:c>
      <x:c r="J699" s="15" t="str">
        <x:v>Outflow</x:v>
      </x:c>
      <x:c r="K699" s="15" t="str">
        <x:v>EFT payment</x:v>
      </x:c>
      <x:c r="L699" s="15" t="str">
        <x:v>Telecom / utilities</x:v>
      </x:c>
      <x:c r="M699" s="38"/>
      <x:c r="N699" s="38" t="n">
        <x:v>53151</x:v>
      </x:c>
      <x:c r="O699" s="15" t="str"/>
      <x:c r="P699" s="15" t="str">
        <x:v>eml_ALL_currentac__512781 (2).zip &gt; eml3currentac__512781.zip</x:v>
      </x:c>
      <x:c r="Q699" s="15" t="str">
        <x:v>FNB _-) R500.00 paid from Current a_c..512781 @ Smartapp. Ref.Electricity 04294887. 22Apr 17_20.eml</x:v>
      </x:c>
      <x:c r="R699" s="15" t="str">
        <x:v>High</x:v>
      </x:c>
      <x:c r="S699" s="15" t="str"/>
      <x:c r="T699" s="15" t="str"/>
      <x:c r="U699" s="15" t="str"/>
      <x:c r="V699" s="15" t="str">
        <x:v>Electricity 04294887</x:v>
      </x:c>
      <x:c r="W699" s="15" t="str">
        <x:v>Smartapp</x:v>
      </x:c>
      <x:c r="X699" s="15" t="str">
        <x:v>FNB :-) R500.00 paid from Current a/c..512781 @ Smartapp. Avail R53151. Ref.Electricity 04294887. 22Apr 17:20</x:v>
      </x:c>
      <x:c r="Y699" s="15" t="str">
        <x:v>8fa35382c65c6746</x:v>
      </x:c>
    </x:row>
    <x:row r="700">
      <x:c r="A700" s="34" t="n">
        <x:v>46134.729166666664</x:v>
      </x:c>
      <x:c r="B700" s="36" t="n">
        <x:v>46134</x:v>
      </x:c>
      <x:c r="C700" s="34" t="n">
        <x:v>46134.72982638889</x:v>
      </x:c>
      <x:c r="D700" s="15" t="str">
        <x:v>Current a/c..512781</x:v>
      </x:c>
      <x:c r="E700" s="15" t="str"/>
      <x:c r="F700" s="15" t="str">
        <x:v>R500.00 paid to Current a/c..512781 @ Smartapp. Ref.108964,04294887007. 22Apr 17:30</x:v>
      </x:c>
      <x:c r="G700" s="15" t="str">
        <x:v>108964,04294887007</x:v>
      </x:c>
      <x:c r="H700" s="38" t="n">
        <x:v>500</x:v>
      </x:c>
      <x:c r="I700" s="15" t="str">
        <x:v>ZAR</x:v>
      </x:c>
      <x:c r="J700" s="15" t="str">
        <x:v>Inflow</x:v>
      </x:c>
      <x:c r="K700" s="15" t="str">
        <x:v>EFT receipt</x:v>
      </x:c>
      <x:c r="L700" s="15" t="str">
        <x:v>Sales / customer receipts</x:v>
      </x:c>
      <x:c r="M700" s="38"/>
      <x:c r="N700" s="38"/>
      <x:c r="O700" s="15" t="str"/>
      <x:c r="P700" s="15" t="str">
        <x:v>eml_ALL_currentac__512781 (2).zip &gt; eml3currentac__512781.zip</x:v>
      </x:c>
      <x:c r="Q700" s="15" t="str">
        <x:v>FNB _-) R500.00 paid to Current a_c..512781 @ Smartapp. Ref.108964,04294887007. 22Apr 17_30.eml</x:v>
      </x:c>
      <x:c r="R700" s="15" t="str">
        <x:v>High</x:v>
      </x:c>
      <x:c r="S700" s="15" t="str">
        <x:v>Category confidence Medium: Default for incoming EFT/PayShap/online receipt.</x:v>
      </x:c>
      <x:c r="T700" s="15" t="str"/>
      <x:c r="U700" s="15" t="str"/>
      <x:c r="V700" s="15" t="str">
        <x:v>108964,04294887007</x:v>
      </x:c>
      <x:c r="W700" s="15" t="str">
        <x:v>Smartapp</x:v>
      </x:c>
      <x:c r="X700" s="15" t="str">
        <x:v>FNB :-) R500.00 paid to Current a/c..512781 @ Smartapp. Ref.108964,04294887007. 22Apr 17:30</x:v>
      </x:c>
      <x:c r="Y700" s="15" t="str">
        <x:v>54734674dd5e5ec0</x:v>
      </x:c>
    </x:row>
    <x:row r="701">
      <x:c r="A701" s="34" t="n">
        <x:v>46134.7375</x:v>
      </x:c>
      <x:c r="B701" s="36" t="n">
        <x:v>46134</x:v>
      </x:c>
      <x:c r="C701" s="34" t="n">
        <x:v>46134.73810185185</x:v>
      </x:c>
      <x:c r="D701" s="15" t="str">
        <x:v>Current a/c..512781</x:v>
      </x:c>
      <x:c r="E701" s="15" t="str"/>
      <x:c r="F701" s="15" t="str">
        <x:v>R500.00 paid from Current a/c..512781 @ Smartapp. Avail R53151. Ref.Electricity 04294887. 22Apr 17:42</x:v>
      </x:c>
      <x:c r="G701" s="15" t="str">
        <x:v>Electricity 04294887</x:v>
      </x:c>
      <x:c r="H701" s="38" t="n">
        <x:v>500</x:v>
      </x:c>
      <x:c r="I701" s="15" t="str">
        <x:v>ZAR</x:v>
      </x:c>
      <x:c r="J701" s="15" t="str">
        <x:v>Outflow</x:v>
      </x:c>
      <x:c r="K701" s="15" t="str">
        <x:v>EFT payment</x:v>
      </x:c>
      <x:c r="L701" s="15" t="str">
        <x:v>Telecom / utilities</x:v>
      </x:c>
      <x:c r="M701" s="38"/>
      <x:c r="N701" s="38" t="n">
        <x:v>53151</x:v>
      </x:c>
      <x:c r="O701" s="15" t="str"/>
      <x:c r="P701" s="15" t="str">
        <x:v>eml_ALL_currentac__512781 (2).zip &gt; eml3currentac__512781.zip</x:v>
      </x:c>
      <x:c r="Q701" s="15" t="str">
        <x:v>FNB _-) R500.00 paid from Current a_c..512781 @ Smartapp. Ref.Electricity 04294887. 22Apr 17_42.eml</x:v>
      </x:c>
      <x:c r="R701" s="15" t="str">
        <x:v>High</x:v>
      </x:c>
      <x:c r="S701" s="15" t="str"/>
      <x:c r="T701" s="15" t="str"/>
      <x:c r="U701" s="15" t="str"/>
      <x:c r="V701" s="15" t="str">
        <x:v>Electricity 04294887</x:v>
      </x:c>
      <x:c r="W701" s="15" t="str">
        <x:v>Smartapp</x:v>
      </x:c>
      <x:c r="X701" s="15" t="str">
        <x:v>FNB :-) R500.00 paid from Current a/c..512781 @ Smartapp. Avail R53151. Ref.Electricity 04294887. 22Apr 17:42</x:v>
      </x:c>
      <x:c r="Y701" s="15" t="str">
        <x:v>9012e30dcc670e20</x:v>
      </x:c>
    </x:row>
    <x:row r="702">
      <x:c r="A702" s="34" t="n">
        <x:v>46135.370833333334</x:v>
      </x:c>
      <x:c r="B702" s="36" t="n">
        <x:v>46135</x:v>
      </x:c>
      <x:c r="C702" s="34" t="n">
        <x:v>46135.371157407404</x:v>
      </x:c>
      <x:c r="D702" s="15" t="str">
        <x:v>Current a/c..512781</x:v>
      </x:c>
      <x:c r="E702" s="15" t="str"/>
      <x:c r="F702" s="15" t="str">
        <x:v>R7285.89 paid to Current a/c..512781 @ Retail Forex. Ref.R026t8t8r0 Booking.c. 23Apr 08:54</x:v>
      </x:c>
      <x:c r="G702" s="15" t="str">
        <x:v>R026t8t8r0 Booking.c</x:v>
      </x:c>
      <x:c r="H702" s="38" t="n">
        <x:v>7285.89</x:v>
      </x:c>
      <x:c r="I702" s="15" t="str">
        <x:v>ZAR</x:v>
      </x:c>
      <x:c r="J702" s="15" t="str">
        <x:v>Inflow</x:v>
      </x:c>
      <x:c r="K702" s="15" t="str">
        <x:v>EFT receipt</x:v>
      </x:c>
      <x:c r="L702" s="15" t="str">
        <x:v>Sales / customer receipts</x:v>
      </x:c>
      <x:c r="M702" s="38"/>
      <x:c r="N702" s="38"/>
      <x:c r="O702" s="15" t="str"/>
      <x:c r="P702" s="15" t="str">
        <x:v>eml_ALL_currentac__512781 (2).zip &gt; eml3currentac__512781.zip</x:v>
      </x:c>
      <x:c r="Q702" s="15" t="str">
        <x:v>FNB _-) R7285.89 paid to Current a_c..512781 @ Retail Forex. Ref.R026t8t8r0 Booking.c. 23Apr 08_54.eml</x:v>
      </x:c>
      <x:c r="R702" s="15" t="str">
        <x:v>High</x:v>
      </x:c>
      <x:c r="S702" s="15" t="str">
        <x:v>Category confidence Medium: Default for incoming EFT/PayShap/online receipt.</x:v>
      </x:c>
      <x:c r="T702" s="15" t="str"/>
      <x:c r="U702" s="15" t="str"/>
      <x:c r="V702" s="15" t="str">
        <x:v>R026t8t8r0 Booking.c</x:v>
      </x:c>
      <x:c r="W702" s="15" t="str">
        <x:v>Retail Forex</x:v>
      </x:c>
      <x:c r="X702" s="15" t="str">
        <x:v>FNB :-) R7285.89 paid to Current a/c..512781 @ Retail Forex. Ref.R026t8t8r0 Booking.c. 23Apr 08:54</x:v>
      </x:c>
      <x:c r="Y702" s="15" t="str">
        <x:v>2b45d6398ad01fd4</x:v>
      </x:c>
    </x:row>
    <x:row r="703">
      <x:c r="A703" s="34" t="n">
        <x:v>46135.51527777778</x:v>
      </x:c>
      <x:c r="B703" s="36" t="n">
        <x:v>46135</x:v>
      </x:c>
      <x:c r="C703" s="34" t="n">
        <x:v>46135.51556712963</x:v>
      </x:c>
      <x:c r="D703" s="15" t="str">
        <x:v>Current a/c..512781</x:v>
      </x:c>
      <x:c r="E703" s="15" t="str">
        <x:v>card..2924</x:v>
      </x:c>
      <x:c r="F703" s="15" t="str">
        <x:v>R831.04 reserved for purchase @ Shoprite Komatipoort from Current a/c..512781 using card..2924. Avail R59600. 23Apr 12:22</x:v>
      </x:c>
      <x:c r="G703" s="15" t="str">
        <x:v>Shoprite Komatipoort</x:v>
      </x:c>
      <x:c r="H703" s="38" t="n">
        <x:v>831.04</x:v>
      </x:c>
      <x:c r="I703" s="15" t="str">
        <x:v>ZAR</x:v>
      </x:c>
      <x:c r="J703" s="15" t="str">
        <x:v>Outflow</x:v>
      </x:c>
      <x:c r="K703" s="15" t="str">
        <x:v>Card purchase</x:v>
      </x:c>
      <x:c r="L703" s="15" t="str">
        <x:v>Supplier payments</x:v>
      </x:c>
      <x:c r="M703" s="38"/>
      <x:c r="N703" s="38" t="n">
        <x:v>59600</x:v>
      </x:c>
      <x:c r="O703" s="15" t="str"/>
      <x:c r="P703" s="15" t="str">
        <x:v>eml_ALL_currentac__512781 (2).zip &gt; eml3currentac__512781.zip</x:v>
      </x:c>
      <x:c r="Q703" s="15" t="str">
        <x:v>FNB _-) R831.04 reserved for purchase @ Shoprite Komatipoort from Current a_c..512781 using card..2924. 23Apr 12_22.eml</x:v>
      </x:c>
      <x:c r="R703" s="15" t="str">
        <x:v>High</x:v>
      </x:c>
      <x:c r="S703" s="15" t="str">
        <x:v>Category confidence Medium: Retail/supplier merchant keyword.</x:v>
      </x:c>
      <x:c r="T703" s="15" t="str"/>
      <x:c r="U703" s="15" t="str"/>
      <x:c r="V703" s="15" t="str"/>
      <x:c r="W703" s="15" t="str"/>
      <x:c r="X703" s="15" t="str">
        <x:v>FNB :-) R831.04 reserved for purchase @ Shoprite Komatipoort from Current a/c..512781 using card..2924. Avail R59600. 23Apr 12:22</x:v>
      </x:c>
      <x:c r="Y703" s="15" t="str">
        <x:v>4abcf4a381cec150</x:v>
      </x:c>
    </x:row>
    <x:row r="704">
      <x:c r="A704" s="34" t="n">
        <x:v>46135.51597222222</x:v>
      </x:c>
      <x:c r="B704" s="36" t="n">
        <x:v>46135</x:v>
      </x:c>
      <x:c r="C704" s="34" t="n">
        <x:v>46135.516388888886</x:v>
      </x:c>
      <x:c r="D704" s="15" t="str">
        <x:v>Current a/c..512781</x:v>
      </x:c>
      <x:c r="E704" s="15" t="str"/>
      <x:c r="F704" s="15" t="str">
        <x:v>Payment Link created from Current a/c..512781 To Gd Hoffman..999079 @ Smartapp. 23Apr 12:23 Call 087 575 9404 for help.</x:v>
      </x:c>
      <x:c r="G704" s="15" t="str">
        <x:v>Gd Hoffman..999079</x:v>
      </x:c>
      <x:c r="H704" s="38"/>
      <x:c r="I704" s="15" t="str"/>
      <x:c r="J704" s="15" t="str">
        <x:v>Neutral/Information Only</x:v>
      </x:c>
      <x:c r="K704" s="15" t="str">
        <x:v>Other</x:v>
      </x:c>
      <x:c r="L704" s="15" t="str">
        <x:v>Other</x:v>
      </x:c>
      <x:c r="M704" s="38"/>
      <x:c r="N704" s="38"/>
      <x:c r="O704" s="15" t="str"/>
      <x:c r="P704" s="15" t="str">
        <x:v>eml_ALL_currentac__512781 (2).zip &gt; eml3currentac__512781.zip</x:v>
      </x:c>
      <x:c r="Q704" s="15" t="str">
        <x:v>FNB _-) Payment Link created from Current a_c..512781 To Gd Hoffman..999079 @ Smartapp. 23Apr 12_23 Call 087 575 9404  for help..eml</x:v>
      </x:c>
      <x:c r="R704" s="15" t="str">
        <x:v>High</x:v>
      </x:c>
      <x:c r="S704" s="15" t="str">
        <x:v>Payment link creation only; no money movement indicated. Category confidence Low: Unable to map confidently.</x:v>
      </x:c>
      <x:c r="T704" s="15" t="str">
        <x:v>Current a/c..512781</x:v>
      </x:c>
      <x:c r="U704" s="15" t="str">
        <x:v>Gd Hoffman..999079</x:v>
      </x:c>
      <x:c r="V704" s="15" t="str"/>
      <x:c r="W704" s="15" t="str">
        <x:v>Smartapp</x:v>
      </x:c>
      <x:c r="X704" s="15" t="str">
        <x:v>FNB :-) Payment Link created from Current a/c..512781 To Gd Hoffman..999079 @ Smartapp. 23Apr 12:23 Call 087 575 9404 for help.</x:v>
      </x:c>
      <x:c r="Y704" s="15" t="str">
        <x:v>cdaae04bb17d8385</x:v>
      </x:c>
    </x:row>
    <x:row r="705">
      <x:c r="A705" s="34" t="n">
        <x:v>46135.51597222222</x:v>
      </x:c>
      <x:c r="B705" s="36" t="n">
        <x:v>46135</x:v>
      </x:c>
      <x:c r="C705" s="34" t="n">
        <x:v>46135.516331018516</x:v>
      </x:c>
      <x:c r="D705" s="15" t="str">
        <x:v>Current a/c..512781</x:v>
      </x:c>
      <x:c r="E705" s="15" t="str"/>
      <x:c r="F705" s="15" t="str">
        <x:v>R5000.00 paid from Current a/c..512781 @ Smartapp. Avail R54592. Ref.Car Deposit. 23Apr 12:23</x:v>
      </x:c>
      <x:c r="G705" s="15" t="str">
        <x:v>Car Deposit</x:v>
      </x:c>
      <x:c r="H705" s="38" t="n">
        <x:v>5000</x:v>
      </x:c>
      <x:c r="I705" s="15" t="str">
        <x:v>ZAR</x:v>
      </x:c>
      <x:c r="J705" s="15" t="str">
        <x:v>Outflow</x:v>
      </x:c>
      <x:c r="K705" s="15" t="str">
        <x:v>EFT payment</x:v>
      </x:c>
      <x:c r="L705" s="15" t="str">
        <x:v>Supplier payments</x:v>
      </x:c>
      <x:c r="M705" s="38"/>
      <x:c r="N705" s="38" t="n">
        <x:v>54592</x:v>
      </x:c>
      <x:c r="O705" s="15" t="str"/>
      <x:c r="P705" s="15" t="str">
        <x:v>eml_ALL_currentac__512781 (2).zip &gt; eml3currentac__512781.zip</x:v>
      </x:c>
      <x:c r="Q705" s="15" t="str">
        <x:v>FNB _-) R5000.00 paid from Current a_c..512781 @ Smartapp. Ref.Car Deposit. 23Apr 12_23.eml</x:v>
      </x:c>
      <x:c r="R705" s="15" t="str">
        <x:v>High</x:v>
      </x:c>
      <x:c r="S705" s="15" t="str">
        <x:v>Category confidence Low: Default outflow category; review counterparty/reference.</x:v>
      </x:c>
      <x:c r="T705" s="15" t="str"/>
      <x:c r="U705" s="15" t="str"/>
      <x:c r="V705" s="15" t="str">
        <x:v>Car Deposit</x:v>
      </x:c>
      <x:c r="W705" s="15" t="str">
        <x:v>Smartapp</x:v>
      </x:c>
      <x:c r="X705" s="15" t="str">
        <x:v>FNB :-) R5000.00 paid from Current a/c..512781 @ Smartapp. Avail R54592. Ref.Car Deposit. 23Apr 12:23</x:v>
      </x:c>
      <x:c r="Y705" s="15" t="str">
        <x:v>04cc8c7ae4cec883</x:v>
      </x:c>
    </x:row>
    <x:row r="706">
      <x:c r="A706" s="34" t="n">
        <x:v>46135.527083333334</x:v>
      </x:c>
      <x:c r="B706" s="36" t="n">
        <x:v>46135</x:v>
      </x:c>
      <x:c r="C706" s="34" t="n">
        <x:v>46135.52736111111</x:v>
      </x:c>
      <x:c r="D706" s="15" t="str">
        <x:v>Current a/c..512781</x:v>
      </x:c>
      <x:c r="E706" s="15" t="str">
        <x:v>card..2924</x:v>
      </x:c>
      <x:c r="F706" s="15" t="str">
        <x:v>R304.29 reserved for purchase @ Agrico Pty Ltd from Current a/c..512781 using card..2924. Avail R54288. 23Apr 12:39</x:v>
      </x:c>
      <x:c r="G706" s="15" t="str">
        <x:v>Agrico Pty Ltd</x:v>
      </x:c>
      <x:c r="H706" s="38" t="n">
        <x:v>304.29</x:v>
      </x:c>
      <x:c r="I706" s="15" t="str">
        <x:v>ZAR</x:v>
      </x:c>
      <x:c r="J706" s="15" t="str">
        <x:v>Outflow</x:v>
      </x:c>
      <x:c r="K706" s="15" t="str">
        <x:v>Card purchase</x:v>
      </x:c>
      <x:c r="L706" s="15" t="str">
        <x:v>Supplier payments</x:v>
      </x:c>
      <x:c r="M706" s="38"/>
      <x:c r="N706" s="38" t="n">
        <x:v>54288</x:v>
      </x:c>
      <x:c r="O706" s="15" t="str"/>
      <x:c r="P706" s="15" t="str">
        <x:v>eml_ALL_currentac__512781 (2).zip &gt; eml3currentac__512781.zip</x:v>
      </x:c>
      <x:c r="Q706" s="15" t="str">
        <x:v>FNB _-) R304.29 reserved for purchase @ Agrico Pty Ltd from Current a_c..512781 using card..2924. 23Apr 12_39.eml</x:v>
      </x:c>
      <x:c r="R706" s="15" t="str">
        <x:v>High</x:v>
      </x:c>
      <x:c r="S706" s="15" t="str">
        <x:v>Category confidence Medium: Retail/supplier merchant keyword.</x:v>
      </x:c>
      <x:c r="T706" s="15" t="str"/>
      <x:c r="U706" s="15" t="str"/>
      <x:c r="V706" s="15" t="str"/>
      <x:c r="W706" s="15" t="str"/>
      <x:c r="X706" s="15" t="str">
        <x:v>FNB :-) R304.29 reserved for purchase @ Agrico Pty Ltd from Current a/c..512781 using card..2924. Avail R54288. 23Apr 12:39</x:v>
      </x:c>
      <x:c r="Y706" s="15" t="str">
        <x:v>a09717fe4d44cc26</x:v>
      </x:c>
    </x:row>
    <x:row r="707">
      <x:c r="A707" s="34" t="n">
        <x:v>46135.56319444445</x:v>
      </x:c>
      <x:c r="B707" s="36" t="n">
        <x:v>46135</x:v>
      </x:c>
      <x:c r="C707" s="34" t="n">
        <x:v>46135.56387731482</x:v>
      </x:c>
      <x:c r="D707" s="15" t="str">
        <x:v>Current a/c..512781</x:v>
      </x:c>
      <x:c r="E707" s="15" t="str">
        <x:v>card..2924</x:v>
      </x:c>
      <x:c r="F707" s="15" t="str">
        <x:v>R273.99 reserved for purchase @ Tops Komatipoort from Current a/c..512781 using card..2924. Avail R53459. 23Apr 13:31</x:v>
      </x:c>
      <x:c r="G707" s="15" t="str">
        <x:v>Tops Komatipoort</x:v>
      </x:c>
      <x:c r="H707" s="38" t="n">
        <x:v>273.99</x:v>
      </x:c>
      <x:c r="I707" s="15" t="str">
        <x:v>ZAR</x:v>
      </x:c>
      <x:c r="J707" s="15" t="str">
        <x:v>Outflow</x:v>
      </x:c>
      <x:c r="K707" s="15" t="str">
        <x:v>Card purchase</x:v>
      </x:c>
      <x:c r="L707" s="15" t="str">
        <x:v>Meals / restaurants / entertainment</x:v>
      </x:c>
      <x:c r="M707" s="38"/>
      <x:c r="N707" s="38" t="n">
        <x:v>53459</x:v>
      </x:c>
      <x:c r="O707" s="15" t="str"/>
      <x:c r="P707" s="15" t="str">
        <x:v>eml_ALL_currentac__512781 (2).zip &gt; eml3currentac__512781.zip</x:v>
      </x:c>
      <x:c r="Q707" s="15" t="str">
        <x:v>FNB _-) R273.99 reserved for purchase @ Tops Komatipoort from Current a_c..512781 using card..2924. 23Apr 13_31.eml</x:v>
      </x:c>
      <x:c r="R707" s="15" t="str">
        <x:v>High</x:v>
      </x:c>
      <x:c r="S707" s="15" t="str"/>
      <x:c r="T707" s="15" t="str"/>
      <x:c r="U707" s="15" t="str"/>
      <x:c r="V707" s="15" t="str"/>
      <x:c r="W707" s="15" t="str"/>
      <x:c r="X707" s="15" t="str">
        <x:v>FNB :-) R273.99 reserved for purchase @ Tops Komatipoort from Current a/c..512781 using card..2924. Avail R53459. 23Apr 13:31</x:v>
      </x:c>
      <x:c r="Y707" s="15" t="str">
        <x:v>1afd77c2cc32ed75</x:v>
      </x:c>
    </x:row>
    <x:row r="708">
      <x:c r="A708" s="34" t="n">
        <x:v>46135.83611111111</x:v>
      </x:c>
      <x:c r="B708" s="36" t="n">
        <x:v>46135</x:v>
      </x:c>
      <x:c r="C708" s="34" t="n">
        <x:v>46135.836597222224</x:v>
      </x:c>
      <x:c r="D708" s="15" t="str">
        <x:v>Current a/c..512781</x:v>
      </x:c>
      <x:c r="E708" s="15" t="str">
        <x:v>card..2924</x:v>
      </x:c>
      <x:c r="F708" s="15" t="str">
        <x:v>R503.00 reserved for purchase @ The Tin Shack from Current a/c..512781 using card..2924. Avail R52956. 23Apr 20:04</x:v>
      </x:c>
      <x:c r="G708" s="15" t="str">
        <x:v>The Tin Shack</x:v>
      </x:c>
      <x:c r="H708" s="38" t="n">
        <x:v>503</x:v>
      </x:c>
      <x:c r="I708" s="15" t="str">
        <x:v>ZAR</x:v>
      </x:c>
      <x:c r="J708" s="15" t="str">
        <x:v>Outflow</x:v>
      </x:c>
      <x:c r="K708" s="15" t="str">
        <x:v>Card purchase</x:v>
      </x:c>
      <x:c r="L708" s="15" t="str">
        <x:v>Meals / restaurants / entertainment</x:v>
      </x:c>
      <x:c r="M708" s="38"/>
      <x:c r="N708" s="38" t="n">
        <x:v>52956</x:v>
      </x:c>
      <x:c r="O708" s="15" t="str"/>
      <x:c r="P708" s="15" t="str">
        <x:v>eml_ALL_currentac__512781 (2).zip &gt; eml3currentac__512781.zip</x:v>
      </x:c>
      <x:c r="Q708" s="15" t="str">
        <x:v>FNB _-) R503.00 reserved for purchase @ The Tin Shack from Current a_c..512781 using card..2924. 23Apr 20_04.eml</x:v>
      </x:c>
      <x:c r="R708" s="15" t="str">
        <x:v>High</x:v>
      </x:c>
      <x:c r="S708" s="15" t="str"/>
      <x:c r="T708" s="15" t="str"/>
      <x:c r="U708" s="15" t="str"/>
      <x:c r="V708" s="15" t="str"/>
      <x:c r="W708" s="15" t="str"/>
      <x:c r="X708" s="15" t="str">
        <x:v>FNB :-) R503.00 reserved for purchase @ The Tin Shack from Current a/c..512781 using card..2924. Avail R52956. 23Apr 20:04</x:v>
      </x:c>
      <x:c r="Y708" s="15" t="str">
        <x:v>b0abddc30b622d56</x:v>
      </x:c>
    </x:row>
    <x:row r="709">
      <x:c r="A709" s="34" t="n">
        <x:v>46136.62291666667</x:v>
      </x:c>
      <x:c r="B709" s="36" t="n">
        <x:v>46136</x:v>
      </x:c>
      <x:c r="C709" s="34" t="n">
        <x:v>46136.62306712963</x:v>
      </x:c>
      <x:c r="D709" s="15" t="str">
        <x:v>Current a/c..512781</x:v>
      </x:c>
      <x:c r="E709" s="15" t="str">
        <x:v>card..2924</x:v>
      </x:c>
      <x:c r="F709" s="15" t="str">
        <x:v>R269.99 reserved for purchase @ Savemor Marloth from Current a/c..512781 using card..2924. Avail R52659. 24Apr 14:57</x:v>
      </x:c>
      <x:c r="G709" s="15" t="str">
        <x:v>Savemor Marloth</x:v>
      </x:c>
      <x:c r="H709" s="38" t="n">
        <x:v>269.99</x:v>
      </x:c>
      <x:c r="I709" s="15" t="str">
        <x:v>ZAR</x:v>
      </x:c>
      <x:c r="J709" s="15" t="str">
        <x:v>Outflow</x:v>
      </x:c>
      <x:c r="K709" s="15" t="str">
        <x:v>Card purchase</x:v>
      </x:c>
      <x:c r="L709" s="15" t="str">
        <x:v>Supplier payments</x:v>
      </x:c>
      <x:c r="M709" s="38"/>
      <x:c r="N709" s="38" t="n">
        <x:v>52659</x:v>
      </x:c>
      <x:c r="O709" s="15" t="str"/>
      <x:c r="P709" s="15" t="str">
        <x:v>eml_ALL_currentac__512781 (2).zip &gt; eml3currentac__512781.zip</x:v>
      </x:c>
      <x:c r="Q709" s="15" t="str">
        <x:v>FNB _-) R269.99 reserved for purchase @ Savemor Marloth from Current a_c..512781 using card..2924. 24Apr 14_57.eml</x:v>
      </x:c>
      <x:c r="R709" s="15" t="str">
        <x:v>High</x:v>
      </x:c>
      <x:c r="S709" s="15" t="str">
        <x:v>Category confidence Medium: Retail/supplier merchant keyword.</x:v>
      </x:c>
      <x:c r="T709" s="15" t="str"/>
      <x:c r="U709" s="15" t="str"/>
      <x:c r="V709" s="15" t="str"/>
      <x:c r="W709" s="15" t="str"/>
      <x:c r="X709" s="15" t="str">
        <x:v>FNB :-) R269.99 reserved for purchase @ Savemor Marloth from Current a/c..512781 using card..2924. Avail R52659. 24Apr 14:57</x:v>
      </x:c>
      <x:c r="Y709" s="15" t="str">
        <x:v>4614f11263515561</x:v>
      </x:c>
    </x:row>
    <x:row r="710">
      <x:c r="A710" s="34" t="n">
        <x:v>46136.73055555556</x:v>
      </x:c>
      <x:c r="B710" s="36" t="n">
        <x:v>46136</x:v>
      </x:c>
      <x:c r="C710" s="34" t="n">
        <x:v>46136.73091435185</x:v>
      </x:c>
      <x:c r="D710" s="15" t="str">
        <x:v>Current a/c..512781</x:v>
      </x:c>
      <x:c r="E710" s="15" t="str"/>
      <x:c r="F710" s="15" t="str">
        <x:v>R2500.00 paid from Current a/c..512781 @ Smartapp. Avail R50151. Ref.Sakkie Wages. 24Apr 17:32</x:v>
      </x:c>
      <x:c r="G710" s="15" t="str">
        <x:v>Sakkie Wages</x:v>
      </x:c>
      <x:c r="H710" s="38" t="n">
        <x:v>2500</x:v>
      </x:c>
      <x:c r="I710" s="15" t="str">
        <x:v>ZAR</x:v>
      </x:c>
      <x:c r="J710" s="15" t="str">
        <x:v>Outflow</x:v>
      </x:c>
      <x:c r="K710" s="15" t="str">
        <x:v>EFT payment</x:v>
      </x:c>
      <x:c r="L710" s="15" t="str">
        <x:v>Salary / wages</x:v>
      </x:c>
      <x:c r="M710" s="38"/>
      <x:c r="N710" s="38" t="n">
        <x:v>50151</x:v>
      </x:c>
      <x:c r="O710" s="15" t="str"/>
      <x:c r="P710" s="15" t="str">
        <x:v>eml_ALL_currentac__512781 (2).zip &gt; eml3currentac__512781.zip</x:v>
      </x:c>
      <x:c r="Q710" s="15" t="str">
        <x:v>FNB _-) R2500.00 paid from Current a_c..512781 @ Smartapp. Ref.Sakkie Wages. 24Apr 17_32.eml</x:v>
      </x:c>
      <x:c r="R710" s="15" t="str">
        <x:v>High</x:v>
      </x:c>
      <x:c r="S710" s="15" t="str"/>
      <x:c r="T710" s="15" t="str"/>
      <x:c r="U710" s="15" t="str"/>
      <x:c r="V710" s="15" t="str">
        <x:v>Sakkie Wages</x:v>
      </x:c>
      <x:c r="W710" s="15" t="str">
        <x:v>Smartapp</x:v>
      </x:c>
      <x:c r="X710" s="15" t="str">
        <x:v>FNB :-) R2500.00 paid from Current a/c..512781 @ Smartapp. Avail R50151. Ref.Sakkie Wages. 24Apr 17:32</x:v>
      </x:c>
      <x:c r="Y710" s="15" t="str">
        <x:v>c6f5e7f4c55aa9a4</x:v>
      </x:c>
    </x:row>
    <x:row r="711">
      <x:c r="A711" s="34" t="n">
        <x:v>46137.493055555555</x:v>
      </x:c>
      <x:c r="B711" s="36" t="n">
        <x:v>46137</x:v>
      </x:c>
      <x:c r="C711" s="34" t="n">
        <x:v>46137.49318287037</x:v>
      </x:c>
      <x:c r="D711" s="15" t="str">
        <x:v>Current a/c..512781</x:v>
      </x:c>
      <x:c r="E711" s="15" t="str">
        <x:v>card..2924</x:v>
      </x:c>
      <x:c r="F711" s="15" t="str">
        <x:v>R523.48 reserved for purchase @ Shoprite Komatipoort from Current a/c..512781 using card..2924. Avail R49611. 25Apr 11:50</x:v>
      </x:c>
      <x:c r="G711" s="15" t="str">
        <x:v>Shoprite Komatipoort</x:v>
      </x:c>
      <x:c r="H711" s="38" t="n">
        <x:v>523.48</x:v>
      </x:c>
      <x:c r="I711" s="15" t="str">
        <x:v>ZAR</x:v>
      </x:c>
      <x:c r="J711" s="15" t="str">
        <x:v>Outflow</x:v>
      </x:c>
      <x:c r="K711" s="15" t="str">
        <x:v>Card purchase</x:v>
      </x:c>
      <x:c r="L711" s="15" t="str">
        <x:v>Supplier payments</x:v>
      </x:c>
      <x:c r="M711" s="38"/>
      <x:c r="N711" s="38" t="n">
        <x:v>49611</x:v>
      </x:c>
      <x:c r="O711" s="15" t="str"/>
      <x:c r="P711" s="15" t="str">
        <x:v>eml_ALL_currentac__512781 (2).zip &gt; eml3currentac__512781.zip</x:v>
      </x:c>
      <x:c r="Q711" s="15" t="str">
        <x:v>FNB _-) R523.48 reserved for purchase @ Shoprite Komatipoort from Current a_c..512781 using card..2924. 25Apr 11_50.eml</x:v>
      </x:c>
      <x:c r="R711" s="15" t="str">
        <x:v>High</x:v>
      </x:c>
      <x:c r="S711" s="15" t="str">
        <x:v>Category confidence Medium: Retail/supplier merchant keyword.</x:v>
      </x:c>
      <x:c r="T711" s="15" t="str"/>
      <x:c r="U711" s="15" t="str"/>
      <x:c r="V711" s="15" t="str"/>
      <x:c r="W711" s="15" t="str"/>
      <x:c r="X711" s="15" t="str">
        <x:v>FNB :-) R523.48 reserved for purchase @ Shoprite Komatipoort from Current a/c..512781 using card..2924. Avail R49611. 25Apr 11:50</x:v>
      </x:c>
      <x:c r="Y711" s="15" t="str">
        <x:v>eb1b64289638e6ca</x:v>
      </x:c>
    </x:row>
    <x:row r="712">
      <x:c r="A712" s="34" t="n">
        <x:v>46137.51875</x:v>
      </x:c>
      <x:c r="B712" s="36" t="n">
        <x:v>46137</x:v>
      </x:c>
      <x:c r="C712" s="34" t="n">
        <x:v>46137.51892361111</x:v>
      </x:c>
      <x:c r="D712" s="15" t="str">
        <x:v>Current a/c..512781</x:v>
      </x:c>
      <x:c r="E712" s="15" t="str">
        <x:v>card..2924</x:v>
      </x:c>
      <x:c r="F712" s="15" t="str">
        <x:v>R431.53 reserved for purchase @ Superspar Komatipoor from Current a/c..512781 using card..2924. Avail R49179. 25Apr 12:27</x:v>
      </x:c>
      <x:c r="G712" s="15" t="str">
        <x:v>Superspar Komatipoor</x:v>
      </x:c>
      <x:c r="H712" s="38" t="n">
        <x:v>431.53</x:v>
      </x:c>
      <x:c r="I712" s="15" t="str">
        <x:v>ZAR</x:v>
      </x:c>
      <x:c r="J712" s="15" t="str">
        <x:v>Outflow</x:v>
      </x:c>
      <x:c r="K712" s="15" t="str">
        <x:v>Card purchase</x:v>
      </x:c>
      <x:c r="L712" s="15" t="str">
        <x:v>Supplier payments</x:v>
      </x:c>
      <x:c r="M712" s="38"/>
      <x:c r="N712" s="38" t="n">
        <x:v>49179</x:v>
      </x:c>
      <x:c r="O712" s="15" t="str"/>
      <x:c r="P712" s="15" t="str">
        <x:v>eml_ALL_currentac__512781 (2).zip &gt; eml3currentac__512781.zip</x:v>
      </x:c>
      <x:c r="Q712" s="15" t="str">
        <x:v>FNB _-) R431.53 reserved for purchase @ Superspar Komatipoor from Current a_c..512781 using card..2924. 25Apr 12_27.eml</x:v>
      </x:c>
      <x:c r="R712" s="15" t="str">
        <x:v>High</x:v>
      </x:c>
      <x:c r="S712" s="15" t="str">
        <x:v>Category confidence Medium: Retail/supplier merchant keyword.</x:v>
      </x:c>
      <x:c r="T712" s="15" t="str"/>
      <x:c r="U712" s="15" t="str"/>
      <x:c r="V712" s="15" t="str"/>
      <x:c r="W712" s="15" t="str"/>
      <x:c r="X712" s="15" t="str">
        <x:v>FNB :-) R431.53 reserved for purchase @ Superspar Komatipoor from Current a/c..512781 using card..2924. Avail R49179. 25Apr 12:27</x:v>
      </x:c>
      <x:c r="Y712" s="15" t="str">
        <x:v>a3c1e3ea1c00f8fe</x:v>
      </x:c>
    </x:row>
    <x:row r="713">
      <x:c r="A713" s="34" t="n">
        <x:v>46137.52777777778</x:v>
      </x:c>
      <x:c r="B713" s="36" t="n">
        <x:v>46137</x:v>
      </x:c>
      <x:c r="C713" s="34" t="n">
        <x:v>46137.52806712963</x:v>
      </x:c>
      <x:c r="D713" s="15" t="str">
        <x:v>Current a/c..512781</x:v>
      </x:c>
      <x:c r="E713" s="15" t="str">
        <x:v>card..2924</x:v>
      </x:c>
      <x:c r="F713" s="15" t="str">
        <x:v>R267.86 reserved for purchase @ The Crazy Store Koma from Current a/c..512781 using card..2924. Avail R48912. 25Apr 12:40</x:v>
      </x:c>
      <x:c r="G713" s="15" t="str">
        <x:v>The Crazy Store Koma</x:v>
      </x:c>
      <x:c r="H713" s="38" t="n">
        <x:v>267.86</x:v>
      </x:c>
      <x:c r="I713" s="15" t="str">
        <x:v>ZAR</x:v>
      </x:c>
      <x:c r="J713" s="15" t="str">
        <x:v>Outflow</x:v>
      </x:c>
      <x:c r="K713" s="15" t="str">
        <x:v>Card purchase</x:v>
      </x:c>
      <x:c r="L713" s="15" t="str">
        <x:v>Card spend</x:v>
      </x:c>
      <x:c r="M713" s="38"/>
      <x:c r="N713" s="38" t="n">
        <x:v>48912</x:v>
      </x:c>
      <x:c r="O713" s="15" t="str"/>
      <x:c r="P713" s="15" t="str">
        <x:v>eml_ALL_currentac__512781 (2).zip &gt; eml3currentac__512781.zip</x:v>
      </x:c>
      <x:c r="Q713" s="15" t="str">
        <x:v>FNB _-) R267.86 reserved for purchase @ The Crazy Store Koma from Current a_c..512781 using card..2924. 25Apr 12_40.eml</x:v>
      </x:c>
      <x:c r="R713" s="15" t="str">
        <x:v>High</x:v>
      </x:c>
      <x:c r="S713" s="15" t="str">
        <x:v>Category confidence Low: Default card-spend category; merchant not confidently mapped.</x:v>
      </x:c>
      <x:c r="T713" s="15" t="str"/>
      <x:c r="U713" s="15" t="str"/>
      <x:c r="V713" s="15" t="str"/>
      <x:c r="W713" s="15" t="str"/>
      <x:c r="X713" s="15" t="str">
        <x:v>FNB :-) R267.86 reserved for purchase @ The Crazy Store Koma from Current a/c..512781 using card..2924. Avail R48912. 25Apr 12:40</x:v>
      </x:c>
      <x:c r="Y713" s="15" t="str">
        <x:v>8302b2fb5f1a6b89</x:v>
      </x:c>
    </x:row>
    <x:row r="714">
      <x:c r="A714" s="34" t="n">
        <x:v>46137.53055555555</x:v>
      </x:c>
      <x:c r="B714" s="36" t="n">
        <x:v>46137</x:v>
      </x:c>
      <x:c r="C714" s="34" t="n">
        <x:v>46137.530706018515</x:v>
      </x:c>
      <x:c r="D714" s="15" t="str">
        <x:v>Current a/c..512781</x:v>
      </x:c>
      <x:c r="E714" s="15" t="str">
        <x:v>card..2924</x:v>
      </x:c>
      <x:c r="F714" s="15" t="str">
        <x:v>R241.46 reserved for purchase @ Tops Komatipoort from Current a/c..512781 using card..2924. Avail R48670. 25Apr 12:44</x:v>
      </x:c>
      <x:c r="G714" s="15" t="str">
        <x:v>Tops Komatipoort</x:v>
      </x:c>
      <x:c r="H714" s="38" t="n">
        <x:v>241.46</x:v>
      </x:c>
      <x:c r="I714" s="15" t="str">
        <x:v>ZAR</x:v>
      </x:c>
      <x:c r="J714" s="15" t="str">
        <x:v>Outflow</x:v>
      </x:c>
      <x:c r="K714" s="15" t="str">
        <x:v>Card purchase</x:v>
      </x:c>
      <x:c r="L714" s="15" t="str">
        <x:v>Meals / restaurants / entertainment</x:v>
      </x:c>
      <x:c r="M714" s="38"/>
      <x:c r="N714" s="38" t="n">
        <x:v>48670</x:v>
      </x:c>
      <x:c r="O714" s="15" t="str"/>
      <x:c r="P714" s="15" t="str">
        <x:v>eml_ALL_currentac__512781 (2).zip &gt; eml3currentac__512781.zip</x:v>
      </x:c>
      <x:c r="Q714" s="15" t="str">
        <x:v>FNB _-) R241.46 reserved for purchase @ Tops Komatipoort from Current a_c..512781 using card..2924. 25Apr 12_44.eml</x:v>
      </x:c>
      <x:c r="R714" s="15" t="str">
        <x:v>High</x:v>
      </x:c>
      <x:c r="S714" s="15" t="str"/>
      <x:c r="T714" s="15" t="str"/>
      <x:c r="U714" s="15" t="str"/>
      <x:c r="V714" s="15" t="str"/>
      <x:c r="W714" s="15" t="str"/>
      <x:c r="X714" s="15" t="str">
        <x:v>FNB :-) R241.46 reserved for purchase @ Tops Komatipoort from Current a/c..512781 using card..2924. Avail R48670. 25Apr 12:44</x:v>
      </x:c>
      <x:c r="Y714" s="15" t="str">
        <x:v>63d03bfacba35ad9</x:v>
      </x:c>
    </x:row>
    <x:row r="715">
      <x:c r="A715" s="34" t="n">
        <x:v>46137.729166666664</x:v>
      </x:c>
      <x:c r="B715" s="36" t="n">
        <x:v>46137</x:v>
      </x:c>
      <x:c r="C715" s="34" t="n">
        <x:v>46137.72917824074</x:v>
      </x:c>
      <x:c r="D715" s="15" t="str">
        <x:v>Current a/c..512781</x:v>
      </x:c>
      <x:c r="E715" s="15" t="str">
        <x:v>card..2924</x:v>
      </x:c>
      <x:c r="F715" s="15" t="str">
        <x:v>R102.95 reserved for purchase @ Savemor Marloth from Current a/c..512781 using card..2924. Avail R48567. 25Apr 17:30</x:v>
      </x:c>
      <x:c r="G715" s="15" t="str">
        <x:v>Savemor Marloth</x:v>
      </x:c>
      <x:c r="H715" s="38" t="n">
        <x:v>102.95</x:v>
      </x:c>
      <x:c r="I715" s="15" t="str">
        <x:v>ZAR</x:v>
      </x:c>
      <x:c r="J715" s="15" t="str">
        <x:v>Outflow</x:v>
      </x:c>
      <x:c r="K715" s="15" t="str">
        <x:v>Card purchase</x:v>
      </x:c>
      <x:c r="L715" s="15" t="str">
        <x:v>Supplier payments</x:v>
      </x:c>
      <x:c r="M715" s="38"/>
      <x:c r="N715" s="38" t="n">
        <x:v>48567</x:v>
      </x:c>
      <x:c r="O715" s="15" t="str"/>
      <x:c r="P715" s="15" t="str">
        <x:v>eml_ALL_currentac__512781 (2).zip &gt; eml3currentac__512781.zip</x:v>
      </x:c>
      <x:c r="Q715" s="15" t="str">
        <x:v>FNB _-) R102.95 reserved for purchase @ Savemor Marloth from Current a_c..512781 using card..2924. 25Apr 17_30.eml</x:v>
      </x:c>
      <x:c r="R715" s="15" t="str">
        <x:v>High</x:v>
      </x:c>
      <x:c r="S715" s="15" t="str">
        <x:v>Category confidence Medium: Retail/supplier merchant keyword.</x:v>
      </x:c>
      <x:c r="T715" s="15" t="str"/>
      <x:c r="U715" s="15" t="str"/>
      <x:c r="V715" s="15" t="str"/>
      <x:c r="W715" s="15" t="str"/>
      <x:c r="X715" s="15" t="str">
        <x:v>FNB :-) R102.95 reserved for purchase @ Savemor Marloth from Current a/c..512781 using card..2924. Avail R48567. 25Apr 17:30</x:v>
      </x:c>
      <x:c r="Y715" s="15" t="str">
        <x:v>4574c40209bbb0ea</x:v>
      </x:c>
    </x:row>
    <x:row r="716">
      <x:c r="A716" s="34" t="n">
        <x:v>46138.55902777778</x:v>
      </x:c>
      <x:c r="B716" s="36" t="n">
        <x:v>46138</x:v>
      </x:c>
      <x:c r="C716" s="34" t="n">
        <x:v>46138.55917824074</x:v>
      </x:c>
      <x:c r="D716" s="15" t="str">
        <x:v>Current a/c..512781</x:v>
      </x:c>
      <x:c r="E716" s="15" t="str">
        <x:v>card..2924</x:v>
      </x:c>
      <x:c r="F716" s="15" t="str">
        <x:v>R616.97 reserved for purchase @ Savemor Marloth from Current a/c..512781 using card..2924. Avail R47881. 26Apr 13:25</x:v>
      </x:c>
      <x:c r="G716" s="15" t="str">
        <x:v>Savemor Marloth</x:v>
      </x:c>
      <x:c r="H716" s="38" t="n">
        <x:v>616.97</x:v>
      </x:c>
      <x:c r="I716" s="15" t="str">
        <x:v>ZAR</x:v>
      </x:c>
      <x:c r="J716" s="15" t="str">
        <x:v>Outflow</x:v>
      </x:c>
      <x:c r="K716" s="15" t="str">
        <x:v>Card purchase</x:v>
      </x:c>
      <x:c r="L716" s="15" t="str">
        <x:v>Supplier payments</x:v>
      </x:c>
      <x:c r="M716" s="38"/>
      <x:c r="N716" s="38" t="n">
        <x:v>47881</x:v>
      </x:c>
      <x:c r="O716" s="15" t="str"/>
      <x:c r="P716" s="15" t="str">
        <x:v>eml_ALL_currentac__512781 (2).zip &gt; eml3currentac__512781.zip</x:v>
      </x:c>
      <x:c r="Q716" s="15" t="str">
        <x:v>FNB _-) R616.97 reserved for purchase @ Savemor Marloth from Current a_c..512781 using card..2924. 26Apr 13_25.eml</x:v>
      </x:c>
      <x:c r="R716" s="15" t="str">
        <x:v>High</x:v>
      </x:c>
      <x:c r="S716" s="15" t="str">
        <x:v>Category confidence Medium: Retail/supplier merchant keyword.</x:v>
      </x:c>
      <x:c r="T716" s="15" t="str"/>
      <x:c r="U716" s="15" t="str"/>
      <x:c r="V716" s="15" t="str"/>
      <x:c r="W716" s="15" t="str"/>
      <x:c r="X716" s="15" t="str">
        <x:v>FNB :-) R616.97 reserved for purchase @ Savemor Marloth from Current a/c..512781 using card..2924. Avail R47881. 26Apr 13:25</x:v>
      </x:c>
      <x:c r="Y716" s="15" t="str">
        <x:v>971030d1f01a336e</x:v>
      </x:c>
    </x:row>
    <x:row r="717">
      <x:c r="A717" s="34" t="n">
        <x:v>46139.30347222222</x:v>
      </x:c>
      <x:c r="B717" s="36" t="n">
        <x:v>46139</x:v>
      </x:c>
      <x:c r="C717" s="34" t="n">
        <x:v>46139.30359953704</x:v>
      </x:c>
      <x:c r="D717" s="15" t="str">
        <x:v>Current a/c..512781</x:v>
      </x:c>
      <x:c r="E717" s="15" t="str">
        <x:v>card..2924</x:v>
      </x:c>
      <x:c r="F717" s="15" t="str">
        <x:v>R200.00 reserved for purchase @ Marlothi Petrol Stat from Current a/c..512781 using card..2924. Avail R47681. 27Apr 07:17</x:v>
      </x:c>
      <x:c r="G717" s="15" t="str">
        <x:v>Marlothi Petrol Stat</x:v>
      </x:c>
      <x:c r="H717" s="38" t="n">
        <x:v>200</x:v>
      </x:c>
      <x:c r="I717" s="15" t="str">
        <x:v>ZAR</x:v>
      </x:c>
      <x:c r="J717" s="15" t="str">
        <x:v>Outflow</x:v>
      </x:c>
      <x:c r="K717" s="15" t="str">
        <x:v>Card purchase</x:v>
      </x:c>
      <x:c r="L717" s="15" t="str">
        <x:v>Fuel / transport</x:v>
      </x:c>
      <x:c r="M717" s="38"/>
      <x:c r="N717" s="38" t="n">
        <x:v>47681</x:v>
      </x:c>
      <x:c r="O717" s="15" t="str"/>
      <x:c r="P717" s="15" t="str">
        <x:v>eml_ALL_currentac__512781 (2).zip &gt; eml3currentac__512781.zip</x:v>
      </x:c>
      <x:c r="Q717" s="15" t="str">
        <x:v>FNB _-) R200.00 reserved for purchase @ Marlothi Petrol Stat from Current a_c..512781 using card..2924. 27Apr 07_17.eml</x:v>
      </x:c>
      <x:c r="R717" s="15" t="str">
        <x:v>High</x:v>
      </x:c>
      <x:c r="S717" s="15" t="str"/>
      <x:c r="T717" s="15" t="str"/>
      <x:c r="U717" s="15" t="str"/>
      <x:c r="V717" s="15" t="str"/>
      <x:c r="W717" s="15" t="str"/>
      <x:c r="X717" s="15" t="str">
        <x:v>FNB :-) R200.00 reserved for purchase @ Marlothi Petrol Stat from Current a/c..512781 using card..2924. Avail R47681. 27Apr 07:17</x:v>
      </x:c>
      <x:c r="Y717" s="15" t="str">
        <x:v>bb8a74892a5936ea</x:v>
      </x:c>
    </x:row>
    <x:row r="718">
      <x:c r="A718" s="34" t="n">
        <x:v>46139.42569444444</x:v>
      </x:c>
      <x:c r="B718" s="36" t="n">
        <x:v>46139</x:v>
      </x:c>
      <x:c r="C718" s="34" t="n">
        <x:v>46139.42618055556</x:v>
      </x:c>
      <x:c r="D718" s="15" t="str">
        <x:v>Current a/c..512781</x:v>
      </x:c>
      <x:c r="E718" s="15" t="str"/>
      <x:c r="F718" s="15" t="str">
        <x:v>R24373.00 paid to Current a/c..512781 @ Online Banking. Ref.Ag1 Seaside Village. 27Apr 10:13</x:v>
      </x:c>
      <x:c r="G718" s="15" t="str">
        <x:v>Ag1 Seaside Village</x:v>
      </x:c>
      <x:c r="H718" s="38" t="n">
        <x:v>24373</x:v>
      </x:c>
      <x:c r="I718" s="15" t="str">
        <x:v>ZAR</x:v>
      </x:c>
      <x:c r="J718" s="15" t="str">
        <x:v>Inflow</x:v>
      </x:c>
      <x:c r="K718" s="15" t="str">
        <x:v>EFT receipt</x:v>
      </x:c>
      <x:c r="L718" s="15" t="str">
        <x:v>Sales / customer receipts</x:v>
      </x:c>
      <x:c r="M718" s="38"/>
      <x:c r="N718" s="38"/>
      <x:c r="O718" s="15" t="str"/>
      <x:c r="P718" s="15" t="str">
        <x:v>eml_ALL_currentac__512781 (2).zip &gt; eml3currentac__512781.zip</x:v>
      </x:c>
      <x:c r="Q718" s="15" t="str">
        <x:v>FNB _-) R24373.00 paid to Current a_c..512781 @ Online Banking. Ref.Ag1 Seaside Village. 27Apr 10_13.eml</x:v>
      </x:c>
      <x:c r="R718" s="15" t="str">
        <x:v>High</x:v>
      </x:c>
      <x:c r="S718" s="15" t="str">
        <x:v>Category confidence Medium: Default for incoming EFT/PayShap/online receipt.</x:v>
      </x:c>
      <x:c r="T718" s="15" t="str"/>
      <x:c r="U718" s="15" t="str"/>
      <x:c r="V718" s="15" t="str">
        <x:v>Ag1 Seaside Village</x:v>
      </x:c>
      <x:c r="W718" s="15" t="str">
        <x:v>Online Banking</x:v>
      </x:c>
      <x:c r="X718" s="15" t="str">
        <x:v>FNB :-) R24373.00 paid to Current a/c..512781 @ Online Banking. Ref.Ag1 Seaside Village. 27Apr 10:13</x:v>
      </x:c>
      <x:c r="Y718" s="15" t="str">
        <x:v>2d8421f4abd125cb</x:v>
      </x:c>
    </x:row>
    <x:row r="719">
      <x:c r="A719" s="34" t="n">
        <x:v>46140.563888888886</x:v>
      </x:c>
      <x:c r="B719" s="36" t="n">
        <x:v>46140</x:v>
      </x:c>
      <x:c r="C719" s="34" t="n">
        <x:v>46140.564039351855</x:v>
      </x:c>
      <x:c r="D719" s="15" t="str">
        <x:v>Current a/c..512781</x:v>
      </x:c>
      <x:c r="E719" s="15" t="str">
        <x:v>card..2924</x:v>
      </x:c>
      <x:c r="F719" s="15" t="str">
        <x:v>R567.74 reserved for purchase @ Superspar Komatipoor from Current a/c..512781 using card..2924. Avail R71454. 28Apr 13:32</x:v>
      </x:c>
      <x:c r="G719" s="15" t="str">
        <x:v>Superspar Komatipoor</x:v>
      </x:c>
      <x:c r="H719" s="38" t="n">
        <x:v>567.74</x:v>
      </x:c>
      <x:c r="I719" s="15" t="str">
        <x:v>ZAR</x:v>
      </x:c>
      <x:c r="J719" s="15" t="str">
        <x:v>Outflow</x:v>
      </x:c>
      <x:c r="K719" s="15" t="str">
        <x:v>Card purchase</x:v>
      </x:c>
      <x:c r="L719" s="15" t="str">
        <x:v>Supplier payments</x:v>
      </x:c>
      <x:c r="M719" s="38"/>
      <x:c r="N719" s="38" t="n">
        <x:v>71454</x:v>
      </x:c>
      <x:c r="O719" s="15" t="str"/>
      <x:c r="P719" s="15" t="str">
        <x:v>eml_ALL_currentac__512781 (2).zip &gt; eml3currentac__512781.zip</x:v>
      </x:c>
      <x:c r="Q719" s="15" t="str">
        <x:v>FNB _-) R567.74 reserved for purchase @ Superspar Komatipoor from Current a_c..512781 using card..2924. 28Apr 13_32.eml</x:v>
      </x:c>
      <x:c r="R719" s="15" t="str">
        <x:v>High</x:v>
      </x:c>
      <x:c r="S719" s="15" t="str">
        <x:v>Category confidence Medium: Retail/supplier merchant keyword.</x:v>
      </x:c>
      <x:c r="T719" s="15" t="str"/>
      <x:c r="U719" s="15" t="str"/>
      <x:c r="V719" s="15" t="str"/>
      <x:c r="W719" s="15" t="str"/>
      <x:c r="X719" s="15" t="str">
        <x:v>FNB :-) R567.74 reserved for purchase @ Superspar Komatipoor from Current a/c..512781 using card..2924. Avail R71454. 28Apr 13:32</x:v>
      </x:c>
      <x:c r="Y719" s="15" t="str">
        <x:v>acb2a4c511d12823</x:v>
      </x:c>
    </x:row>
    <x:row r="720">
      <x:c r="A720" s="34" t="n">
        <x:v>46140.58263888889</x:v>
      </x:c>
      <x:c r="B720" s="36" t="n">
        <x:v>46140</x:v>
      </x:c>
      <x:c r="C720" s="34" t="n">
        <x:v>46140.58289351852</x:v>
      </x:c>
      <x:c r="D720" s="15" t="str">
        <x:v>Current a/c..512781</x:v>
      </x:c>
      <x:c r="E720" s="15" t="str"/>
      <x:c r="F720" s="15" t="str">
        <x:v>R2194.44 paid to Current a/c..512781 @ Payshap. Ref.Ik Pay 487882. 28Apr 13:59</x:v>
      </x:c>
      <x:c r="G720" s="15" t="str">
        <x:v>Ik Pay 487882</x:v>
      </x:c>
      <x:c r="H720" s="38" t="n">
        <x:v>2194.44</x:v>
      </x:c>
      <x:c r="I720" s="15" t="str">
        <x:v>ZAR</x:v>
      </x:c>
      <x:c r="J720" s="15" t="str">
        <x:v>Inflow</x:v>
      </x:c>
      <x:c r="K720" s="15" t="str">
        <x:v>EFT receipt</x:v>
      </x:c>
      <x:c r="L720" s="15" t="str">
        <x:v>Sales / customer receipts</x:v>
      </x:c>
      <x:c r="M720" s="38"/>
      <x:c r="N720" s="38"/>
      <x:c r="O720" s="15" t="str"/>
      <x:c r="P720" s="15" t="str">
        <x:v>eml_ALL_currentac__512781 (2).zip &gt; eml3currentac__512781.zip</x:v>
      </x:c>
      <x:c r="Q720" s="15" t="str">
        <x:v>FNB _-) R2194.44 paid to Current a_c..512781 @ Payshap. Ref.Ik Pay 487882. 28Apr 13_59.eml</x:v>
      </x:c>
      <x:c r="R720" s="15" t="str">
        <x:v>High</x:v>
      </x:c>
      <x:c r="S720" s="15" t="str">
        <x:v>Category confidence Medium: Default for incoming EFT/PayShap/online receipt.</x:v>
      </x:c>
      <x:c r="T720" s="15" t="str"/>
      <x:c r="U720" s="15" t="str"/>
      <x:c r="V720" s="15" t="str">
        <x:v>Ik Pay 487882</x:v>
      </x:c>
      <x:c r="W720" s="15" t="str">
        <x:v>Payshap</x:v>
      </x:c>
      <x:c r="X720" s="15" t="str">
        <x:v>FNB :-) R2194.44 paid to Current a/c..512781 @ Payshap. Ref.Ik Pay 487882. 28Apr 13:59</x:v>
      </x:c>
      <x:c r="Y720" s="15" t="str">
        <x:v>63ef6f5c4fd80e13</x:v>
      </x:c>
    </x:row>
    <x:row r="721">
      <x:c r="A721" s="34" t="n">
        <x:v>46140.592361111114</x:v>
      </x:c>
      <x:c r="B721" s="36" t="n">
        <x:v>46140</x:v>
      </x:c>
      <x:c r="C721" s="34" t="n">
        <x:v>46140.5925462963</x:v>
      </x:c>
      <x:c r="D721" s="15" t="str">
        <x:v>Current a/c..512781</x:v>
      </x:c>
      <x:c r="E721" s="15" t="str">
        <x:v>card..2924</x:v>
      </x:c>
      <x:c r="F721" s="15" t="str">
        <x:v>R177.07 reserved for purchase @ Shoprite Komatipoort from Current a/c..512781 using card..2924. Avail R73472. 28Apr 14:13</x:v>
      </x:c>
      <x:c r="G721" s="15" t="str">
        <x:v>Shoprite Komatipoort</x:v>
      </x:c>
      <x:c r="H721" s="38" t="n">
        <x:v>177.07</x:v>
      </x:c>
      <x:c r="I721" s="15" t="str">
        <x:v>ZAR</x:v>
      </x:c>
      <x:c r="J721" s="15" t="str">
        <x:v>Outflow</x:v>
      </x:c>
      <x:c r="K721" s="15" t="str">
        <x:v>Card purchase</x:v>
      </x:c>
      <x:c r="L721" s="15" t="str">
        <x:v>Supplier payments</x:v>
      </x:c>
      <x:c r="M721" s="38"/>
      <x:c r="N721" s="38" t="n">
        <x:v>73472</x:v>
      </x:c>
      <x:c r="O721" s="15" t="str"/>
      <x:c r="P721" s="15" t="str">
        <x:v>eml_ALL_currentac__512781 (2).zip &gt; eml3currentac__512781.zip</x:v>
      </x:c>
      <x:c r="Q721" s="15" t="str">
        <x:v>FNB _-) R177.07 reserved for purchase @ Shoprite Komatipoort from Current a_c..512781 using card..2924. 28Apr 14_13.eml</x:v>
      </x:c>
      <x:c r="R721" s="15" t="str">
        <x:v>High</x:v>
      </x:c>
      <x:c r="S721" s="15" t="str">
        <x:v>Category confidence Medium: Retail/supplier merchant keyword.</x:v>
      </x:c>
      <x:c r="T721" s="15" t="str"/>
      <x:c r="U721" s="15" t="str"/>
      <x:c r="V721" s="15" t="str"/>
      <x:c r="W721" s="15" t="str"/>
      <x:c r="X721" s="15" t="str">
        <x:v>FNB :-) R177.07 reserved for purchase @ Shoprite Komatipoort from Current a/c..512781 using card..2924. Avail R73472. 28Apr 14:13</x:v>
      </x:c>
      <x:c r="Y721" s="15" t="str">
        <x:v>644d666f118e4fc8</x:v>
      </x:c>
    </x:row>
    <x:row r="722">
      <x:c r="A722" s="34" t="n">
        <x:v>46140.603472222225</x:v>
      </x:c>
      <x:c r="B722" s="36" t="n">
        <x:v>46140</x:v>
      </x:c>
      <x:c r="C722" s="34" t="n">
        <x:v>46140.60392361111</x:v>
      </x:c>
      <x:c r="D722" s="15" t="str">
        <x:v>Current a/c..512781</x:v>
      </x:c>
      <x:c r="E722" s="15" t="str">
        <x:v>card..2924</x:v>
      </x:c>
      <x:c r="F722" s="15" t="str">
        <x:v>R125.00 reserved for purchase @ Yoco *locksmart Pt from Current a/c..512781 using card..2924. Avail R73347. 28Apr 14:29</x:v>
      </x:c>
      <x:c r="G722" s="15" t="str">
        <x:v>Yoco *locksmart Pt</x:v>
      </x:c>
      <x:c r="H722" s="38" t="n">
        <x:v>125</x:v>
      </x:c>
      <x:c r="I722" s="15" t="str">
        <x:v>ZAR</x:v>
      </x:c>
      <x:c r="J722" s="15" t="str">
        <x:v>Outflow</x:v>
      </x:c>
      <x:c r="K722" s="15" t="str">
        <x:v>Card purchase</x:v>
      </x:c>
      <x:c r="L722" s="15" t="str">
        <x:v>Card spend</x:v>
      </x:c>
      <x:c r="M722" s="38"/>
      <x:c r="N722" s="38" t="n">
        <x:v>73347</x:v>
      </x:c>
      <x:c r="O722" s="15" t="str"/>
      <x:c r="P722" s="15" t="str">
        <x:v>eml_ALL_currentac__512781 (2).zip &gt; eml3currentac__512781.zip</x:v>
      </x:c>
      <x:c r="Q722" s="15" t="str">
        <x:v>FNB _-) R125.00 reserved for purchase @ Yoco _locksmart Pt from Current a_c..512781 using card..2924. 28Apr 14_29.eml</x:v>
      </x:c>
      <x:c r="R722" s="15" t="str">
        <x:v>High</x:v>
      </x:c>
      <x:c r="S722" s="15" t="str">
        <x:v>Category confidence Low: Default card-spend category; merchant not confidently mapped.</x:v>
      </x:c>
      <x:c r="T722" s="15" t="str"/>
      <x:c r="U722" s="15" t="str"/>
      <x:c r="V722" s="15" t="str"/>
      <x:c r="W722" s="15" t="str"/>
      <x:c r="X722" s="15" t="str">
        <x:v>FNB :-) R125.00 reserved for purchase @ Yoco *locksmart Pt from Current a/c..512781 using card..2924. Avail R73347. 28Apr 14:29</x:v>
      </x:c>
      <x:c r="Y722" s="15" t="str">
        <x:v>608a5f433ca2b83a</x:v>
      </x:c>
    </x:row>
    <x:row r="723">
      <x:c r="A723" s="34" t="n">
        <x:v>46141.419444444444</x:v>
      </x:c>
      <x:c r="B723" s="36" t="n">
        <x:v>46141</x:v>
      </x:c>
      <x:c r="C723" s="34" t="n">
        <x:v>46141.420069444444</x:v>
      </x:c>
      <x:c r="D723" s="15" t="str">
        <x:v>Current a/c..512781</x:v>
      </x:c>
      <x:c r="E723" s="15" t="str"/>
      <x:c r="F723" s="15" t="str">
        <x:v>R142.08 paid from Current a/c..512781 @ Smartapp. Avail R73172. Ref.Bon Express 008267. 29Apr 10:04</x:v>
      </x:c>
      <x:c r="G723" s="15" t="str">
        <x:v>Bon Express 008267</x:v>
      </x:c>
      <x:c r="H723" s="38" t="n">
        <x:v>142.08</x:v>
      </x:c>
      <x:c r="I723" s="15" t="str">
        <x:v>ZAR</x:v>
      </x:c>
      <x:c r="J723" s="15" t="str">
        <x:v>Outflow</x:v>
      </x:c>
      <x:c r="K723" s="15" t="str">
        <x:v>EFT payment</x:v>
      </x:c>
      <x:c r="L723" s="15" t="str">
        <x:v>Supplier payments</x:v>
      </x:c>
      <x:c r="M723" s="38"/>
      <x:c r="N723" s="38" t="n">
        <x:v>73172</x:v>
      </x:c>
      <x:c r="O723" s="15" t="str"/>
      <x:c r="P723" s="15" t="str">
        <x:v>eml_ALL_currentac__512781 (2).zip &gt; eml3currentac__512781.zip</x:v>
      </x:c>
      <x:c r="Q723" s="15" t="str">
        <x:v>FNB _-) R142.08 paid from Current a_c..512781 @ Smartapp. Ref.Bon Express 008267. 29Apr 10_04.eml</x:v>
      </x:c>
      <x:c r="R723" s="15" t="str">
        <x:v>High</x:v>
      </x:c>
      <x:c r="S723" s="15" t="str">
        <x:v>Category confidence Low: Default outflow category; review counterparty/reference.</x:v>
      </x:c>
      <x:c r="T723" s="15" t="str"/>
      <x:c r="U723" s="15" t="str"/>
      <x:c r="V723" s="15" t="str">
        <x:v>Bon Express 008267</x:v>
      </x:c>
      <x:c r="W723" s="15" t="str">
        <x:v>Smartapp</x:v>
      </x:c>
      <x:c r="X723" s="15" t="str">
        <x:v>FNB :-) R142.08 paid from Current a/c..512781 @ Smartapp. Avail R73172. Ref.Bon Express 008267. 29Apr 10:04</x:v>
      </x:c>
      <x:c r="Y723" s="15" t="str">
        <x:v>fed521492a90607e</x:v>
      </x:c>
    </x:row>
    <x:row r="724">
      <x:c r="A724" s="34" t="n">
        <x:v>46141.46319444444</x:v>
      </x:c>
      <x:c r="B724" s="36" t="n">
        <x:v>46141</x:v>
      </x:c>
      <x:c r="C724" s="34" t="n">
        <x:v>46141.46349537037</x:v>
      </x:c>
      <x:c r="D724" s="15" t="str">
        <x:v>Current a/c..512781</x:v>
      </x:c>
      <x:c r="E724" s="15" t="str"/>
      <x:c r="F724" s="15" t="str">
        <x:v>R200.00 paid from Current a/c..512781 @ Smartapp. Avail R72919. 29Apr 11:07</x:v>
      </x:c>
      <x:c r="G724" s="15" t="str">
        <x:v>Smartapp</x:v>
      </x:c>
      <x:c r="H724" s="38" t="n">
        <x:v>200</x:v>
      </x:c>
      <x:c r="I724" s="15" t="str">
        <x:v>ZAR</x:v>
      </x:c>
      <x:c r="J724" s="15" t="str">
        <x:v>Outflow</x:v>
      </x:c>
      <x:c r="K724" s="15" t="str">
        <x:v>EFT payment</x:v>
      </x:c>
      <x:c r="L724" s="15" t="str">
        <x:v>Supplier payments</x:v>
      </x:c>
      <x:c r="M724" s="38"/>
      <x:c r="N724" s="38" t="n">
        <x:v>72919</x:v>
      </x:c>
      <x:c r="O724" s="15" t="str"/>
      <x:c r="P724" s="15" t="str">
        <x:v>eml_ALL_currentac__512781 (2).zip &gt; eml3currentac__512781.zip</x:v>
      </x:c>
      <x:c r="Q724" s="15" t="str">
        <x:v>FNB _-) R200.00 paid from Current a_c..512781 @ Smartapp. 29Apr 11_07.eml</x:v>
      </x:c>
      <x:c r="R724" s="15" t="str">
        <x:v>High</x:v>
      </x:c>
      <x:c r="S724" s="15" t="str">
        <x:v>Category confidence Low: Default outflow category; review counterparty/reference.</x:v>
      </x:c>
      <x:c r="T724" s="15" t="str"/>
      <x:c r="U724" s="15" t="str"/>
      <x:c r="V724" s="15" t="str"/>
      <x:c r="W724" s="15" t="str">
        <x:v>Smartapp</x:v>
      </x:c>
      <x:c r="X724" s="15" t="str">
        <x:v>FNB :-) R200.00 paid from Current a/c..512781 @ Smartapp. Avail R72919. 29Apr 11:07</x:v>
      </x:c>
      <x:c r="Y724" s="15" t="str">
        <x:v>03b614821d0ee774</x:v>
      </x:c>
    </x:row>
    <x:row r="725">
      <x:c r="A725" s="34" t="n">
        <x:v>46141.540972222225</x:v>
      </x:c>
      <x:c r="B725" s="36" t="n">
        <x:v>46141</x:v>
      </x:c>
      <x:c r="C725" s="34" t="n">
        <x:v>46141.54150462963</x:v>
      </x:c>
      <x:c r="D725" s="15" t="str">
        <x:v>Current a/c..512781</x:v>
      </x:c>
      <x:c r="E725" s="15" t="str">
        <x:v>card..2924</x:v>
      </x:c>
      <x:c r="F725" s="15" t="str">
        <x:v>R189.98 reserved for purchase @ Toppies Hardware 66 from Current a/c..512781 using card..2924. Avail R72729. 29Apr 12:59</x:v>
      </x:c>
      <x:c r="G725" s="15" t="str">
        <x:v>Toppies Hardware 66</x:v>
      </x:c>
      <x:c r="H725" s="38" t="n">
        <x:v>189.98</x:v>
      </x:c>
      <x:c r="I725" s="15" t="str">
        <x:v>ZAR</x:v>
      </x:c>
      <x:c r="J725" s="15" t="str">
        <x:v>Outflow</x:v>
      </x:c>
      <x:c r="K725" s="15" t="str">
        <x:v>Card purchase</x:v>
      </x:c>
      <x:c r="L725" s="15" t="str">
        <x:v>Supplier payments</x:v>
      </x:c>
      <x:c r="M725" s="38"/>
      <x:c r="N725" s="38" t="n">
        <x:v>72729</x:v>
      </x:c>
      <x:c r="O725" s="15" t="str"/>
      <x:c r="P725" s="15" t="str">
        <x:v>eml_ALL_currentac__512781 (2).zip &gt; eml3currentac__512781.zip</x:v>
      </x:c>
      <x:c r="Q725" s="15" t="str">
        <x:v>FNB _-) R189.98 reserved for purchase @ Toppies Hardware 66 from Current a_c..512781 using card..2924. 29Apr 12_59.eml</x:v>
      </x:c>
      <x:c r="R725" s="15" t="str">
        <x:v>High</x:v>
      </x:c>
      <x:c r="S725" s="15" t="str">
        <x:v>Category confidence Medium: Retail/supplier merchant keyword.</x:v>
      </x:c>
      <x:c r="T725" s="15" t="str"/>
      <x:c r="U725" s="15" t="str"/>
      <x:c r="V725" s="15" t="str"/>
      <x:c r="W725" s="15" t="str"/>
      <x:c r="X725" s="15" t="str">
        <x:v>FNB :-) R189.98 reserved for purchase @ Toppies Hardware 66 from Current a/c..512781 using card..2924. Avail R72729. 29Apr 12:59</x:v>
      </x:c>
      <x:c r="Y725" s="15" t="str">
        <x:v>e4668dd6a2da5377</x:v>
      </x:c>
    </x:row>
    <x:row r="726">
      <x:c r="A726" s="34" t="n">
        <x:v>46141.575694444444</x:v>
      </x:c>
      <x:c r="B726" s="36" t="n">
        <x:v>46141</x:v>
      </x:c>
      <x:c r="C726" s="34" t="n">
        <x:v>46141.57611111111</x:v>
      </x:c>
      <x:c r="D726" s="15" t="str">
        <x:v>Current a/c..512781</x:v>
      </x:c>
      <x:c r="E726" s="15" t="str"/>
      <x:c r="F726" s="15" t="str">
        <x:v>R19032.06 paid to Current a/c..512781 @ Payshap. Ref.Ik Pay 487882. 29Apr 13:49</x:v>
      </x:c>
      <x:c r="G726" s="15" t="str">
        <x:v>Ik Pay 487882</x:v>
      </x:c>
      <x:c r="H726" s="38" t="n">
        <x:v>19032.06</x:v>
      </x:c>
      <x:c r="I726" s="15" t="str">
        <x:v>ZAR</x:v>
      </x:c>
      <x:c r="J726" s="15" t="str">
        <x:v>Inflow</x:v>
      </x:c>
      <x:c r="K726" s="15" t="str">
        <x:v>EFT receipt</x:v>
      </x:c>
      <x:c r="L726" s="15" t="str">
        <x:v>Sales / customer receipts</x:v>
      </x:c>
      <x:c r="M726" s="38"/>
      <x:c r="N726" s="38"/>
      <x:c r="O726" s="15" t="str"/>
      <x:c r="P726" s="15" t="str">
        <x:v>eml_ALL_currentac__512781 (2).zip &gt; eml3currentac__512781.zip</x:v>
      </x:c>
      <x:c r="Q726" s="15" t="str">
        <x:v>FNB _-) R19032.06 paid to Current a_c..512781 @ Payshap. Ref.Ik Pay 487882. 29Apr 13_49.eml</x:v>
      </x:c>
      <x:c r="R726" s="15" t="str">
        <x:v>High</x:v>
      </x:c>
      <x:c r="S726" s="15" t="str">
        <x:v>Category confidence Medium: Default for incoming EFT/PayShap/online receipt.</x:v>
      </x:c>
      <x:c r="T726" s="15" t="str"/>
      <x:c r="U726" s="15" t="str"/>
      <x:c r="V726" s="15" t="str">
        <x:v>Ik Pay 487882</x:v>
      </x:c>
      <x:c r="W726" s="15" t="str">
        <x:v>Payshap</x:v>
      </x:c>
      <x:c r="X726" s="15" t="str">
        <x:v>FNB :-) R19032.06 paid to Current a/c..512781 @ Payshap. Ref.Ik Pay 487882. 29Apr 13:49</x:v>
      </x:c>
      <x:c r="Y726" s="15" t="str">
        <x:v>94da8506af737603</x:v>
      </x:c>
    </x:row>
    <x:row r="727">
      <x:c r="A727" s="34" t="n">
        <x:v>46141.64513888889</x:v>
      </x:c>
      <x:c r="B727" s="36" t="n">
        <x:v>46141</x:v>
      </x:c>
      <x:c r="C727" s="34" t="n">
        <x:v>46141.64527777778</x:v>
      </x:c>
      <x:c r="D727" s="15" t="str">
        <x:v>Current a/c..512781</x:v>
      </x:c>
      <x:c r="E727" s="15" t="str">
        <x:v>card..2924</x:v>
      </x:c>
      <x:c r="F727" s="15" t="str">
        <x:v>R283.98 reserved for purchase @ Savemor Marloth from Current a/c..512781 using card..2924. Avail R91477. 29Apr 15:29</x:v>
      </x:c>
      <x:c r="G727" s="15" t="str">
        <x:v>Savemor Marloth</x:v>
      </x:c>
      <x:c r="H727" s="38" t="n">
        <x:v>283.98</x:v>
      </x:c>
      <x:c r="I727" s="15" t="str">
        <x:v>ZAR</x:v>
      </x:c>
      <x:c r="J727" s="15" t="str">
        <x:v>Outflow</x:v>
      </x:c>
      <x:c r="K727" s="15" t="str">
        <x:v>Card purchase</x:v>
      </x:c>
      <x:c r="L727" s="15" t="str">
        <x:v>Supplier payments</x:v>
      </x:c>
      <x:c r="M727" s="38"/>
      <x:c r="N727" s="38" t="n">
        <x:v>91477</x:v>
      </x:c>
      <x:c r="O727" s="15" t="str"/>
      <x:c r="P727" s="15" t="str">
        <x:v>eml_ALL_currentac__512781 (2).zip &gt; eml3currentac__512781.zip</x:v>
      </x:c>
      <x:c r="Q727" s="15" t="str">
        <x:v>FNB _-) R283.98 reserved for purchase @ Savemor Marloth from Current a_c..512781 using card..2924. 29Apr 15_29.eml</x:v>
      </x:c>
      <x:c r="R727" s="15" t="str">
        <x:v>High</x:v>
      </x:c>
      <x:c r="S727" s="15" t="str">
        <x:v>Category confidence Medium: Retail/supplier merchant keyword.</x:v>
      </x:c>
      <x:c r="T727" s="15" t="str"/>
      <x:c r="U727" s="15" t="str"/>
      <x:c r="V727" s="15" t="str"/>
      <x:c r="W727" s="15" t="str"/>
      <x:c r="X727" s="15" t="str">
        <x:v>FNB :-) R283.98 reserved for purchase @ Savemor Marloth from Current a/c..512781 using card..2924. Avail R91477. 29Apr 15:29</x:v>
      </x:c>
      <x:c r="Y727" s="15" t="str">
        <x:v>dee821116e824ddb</x:v>
      </x:c>
    </x:row>
    <x:row r="728">
      <x:c r="A728" s="34" t="n">
        <x:v>46141.67291666667</x:v>
      </x:c>
      <x:c r="B728" s="36" t="n">
        <x:v>46141</x:v>
      </x:c>
      <x:c r="C728" s="34" t="n">
        <x:v>46141.6733912037</x:v>
      </x:c>
      <x:c r="D728" s="15" t="str">
        <x:v>Current a/c..512781</x:v>
      </x:c>
      <x:c r="E728" s="15" t="str"/>
      <x:c r="F728" s="15" t="str">
        <x:v>R3454.60 paid from Current a/c..512781 @ Smartapp. Avail R88014. Ref.Kruger Safari 1696. 29Apr 16:09</x:v>
      </x:c>
      <x:c r="G728" s="15" t="str">
        <x:v>Kruger Safari 1696</x:v>
      </x:c>
      <x:c r="H728" s="38" t="n">
        <x:v>3454.6</x:v>
      </x:c>
      <x:c r="I728" s="15" t="str">
        <x:v>ZAR</x:v>
      </x:c>
      <x:c r="J728" s="15" t="str">
        <x:v>Outflow</x:v>
      </x:c>
      <x:c r="K728" s="15" t="str">
        <x:v>EFT payment</x:v>
      </x:c>
      <x:c r="L728" s="15" t="str">
        <x:v>Supplier payments</x:v>
      </x:c>
      <x:c r="M728" s="38"/>
      <x:c r="N728" s="38" t="n">
        <x:v>88014</x:v>
      </x:c>
      <x:c r="O728" s="15" t="str"/>
      <x:c r="P728" s="15" t="str">
        <x:v>eml_ALL_currentac__512781 (2).zip &gt; eml3currentac__512781.zip</x:v>
      </x:c>
      <x:c r="Q728" s="15" t="str">
        <x:v>FNB _-) R3454.60 paid from Current a_c..512781 @ Smartapp. Ref.Kruger Safari 1696. 29Apr 16_09.eml</x:v>
      </x:c>
      <x:c r="R728" s="15" t="str">
        <x:v>High</x:v>
      </x:c>
      <x:c r="S728" s="15" t="str">
        <x:v>Category confidence Low: Default outflow category; review counterparty/reference.</x:v>
      </x:c>
      <x:c r="T728" s="15" t="str"/>
      <x:c r="U728" s="15" t="str"/>
      <x:c r="V728" s="15" t="str">
        <x:v>Kruger Safari 1696</x:v>
      </x:c>
      <x:c r="W728" s="15" t="str">
        <x:v>Smartapp</x:v>
      </x:c>
      <x:c r="X728" s="15" t="str">
        <x:v>FNB :-) R3454.60 paid from Current a/c..512781 @ Smartapp. Avail R88014. Ref.Kruger Safari 1696. 29Apr 16:09</x:v>
      </x:c>
      <x:c r="Y728" s="15" t="str">
        <x:v>7088db4e75b6471c</x:v>
      </x:c>
    </x:row>
    <x:row r="729">
      <x:c r="A729" s="34" t="n">
        <x:v>46141.69861111111</x:v>
      </x:c>
      <x:c r="B729" s="36" t="n">
        <x:v>46141</x:v>
      </x:c>
      <x:c r="C729" s="34" t="n">
        <x:v>46141.69914351852</x:v>
      </x:c>
      <x:c r="D729" s="15" t="str">
        <x:v>Current a/c..512781</x:v>
      </x:c>
      <x:c r="E729" s="15" t="str"/>
      <x:c r="F729" s="15" t="str">
        <x:v>R500.00 paid from Current a/c..512781 @ Smartapp. Avail R87512. Ref.Electricity 04294887. 29Apr 16:46</x:v>
      </x:c>
      <x:c r="G729" s="15" t="str">
        <x:v>Electricity 04294887</x:v>
      </x:c>
      <x:c r="H729" s="38" t="n">
        <x:v>500</x:v>
      </x:c>
      <x:c r="I729" s="15" t="str">
        <x:v>ZAR</x:v>
      </x:c>
      <x:c r="J729" s="15" t="str">
        <x:v>Outflow</x:v>
      </x:c>
      <x:c r="K729" s="15" t="str">
        <x:v>EFT payment</x:v>
      </x:c>
      <x:c r="L729" s="15" t="str">
        <x:v>Telecom / utilities</x:v>
      </x:c>
      <x:c r="M729" s="38"/>
      <x:c r="N729" s="38" t="n">
        <x:v>87512</x:v>
      </x:c>
      <x:c r="O729" s="15" t="str"/>
      <x:c r="P729" s="15" t="str">
        <x:v>eml_ALL_currentac__512781 (2).zip &gt; eml3currentac__512781.zip</x:v>
      </x:c>
      <x:c r="Q729" s="15" t="str">
        <x:v>FNB _-) R500.00 paid from Current a_c..512781 @ Smartapp. Ref.Electricity 04294887. 29Apr 16_46.eml</x:v>
      </x:c>
      <x:c r="R729" s="15" t="str">
        <x:v>High</x:v>
      </x:c>
      <x:c r="S729" s="15" t="str"/>
      <x:c r="T729" s="15" t="str"/>
      <x:c r="U729" s="15" t="str"/>
      <x:c r="V729" s="15" t="str">
        <x:v>Electricity 04294887</x:v>
      </x:c>
      <x:c r="W729" s="15" t="str">
        <x:v>Smartapp</x:v>
      </x:c>
      <x:c r="X729" s="15" t="str">
        <x:v>FNB :-) R500.00 paid from Current a/c..512781 @ Smartapp. Avail R87512. Ref.Electricity 04294887. 29Apr 16:46</x:v>
      </x:c>
      <x:c r="Y729" s="15" t="str">
        <x:v>315e8c5521a8b8e9</x:v>
      </x:c>
    </x:row>
    <x:row r="730">
      <x:c r="A730" s="34" t="n">
        <x:v>46142.39027777778</x:v>
      </x:c>
      <x:c r="B730" s="36" t="n">
        <x:v>46142</x:v>
      </x:c>
      <x:c r="C730" s="34" t="n">
        <x:v>46142.39042824074</x:v>
      </x:c>
      <x:c r="D730" s="15" t="str">
        <x:v>Current a/c..512781</x:v>
      </x:c>
      <x:c r="E730" s="15" t="str"/>
      <x:c r="F730" s="15" t="str">
        <x:v>R15228.38 paid to Current a/c..512781 @ Retail Forex. Ref.R026snghm0 Booking.c. 30Apr 09:22</x:v>
      </x:c>
      <x:c r="G730" s="15" t="str">
        <x:v>R026snghm0 Booking.c</x:v>
      </x:c>
      <x:c r="H730" s="38" t="n">
        <x:v>15228.38</x:v>
      </x:c>
      <x:c r="I730" s="15" t="str">
        <x:v>ZAR</x:v>
      </x:c>
      <x:c r="J730" s="15" t="str">
        <x:v>Inflow</x:v>
      </x:c>
      <x:c r="K730" s="15" t="str">
        <x:v>EFT receipt</x:v>
      </x:c>
      <x:c r="L730" s="15" t="str">
        <x:v>Sales / customer receipts</x:v>
      </x:c>
      <x:c r="M730" s="38"/>
      <x:c r="N730" s="38"/>
      <x:c r="O730" s="15" t="str"/>
      <x:c r="P730" s="15" t="str">
        <x:v>eml_ALL_currentac__512781 (2).zip &gt; eml3currentac__512781.zip</x:v>
      </x:c>
      <x:c r="Q730" s="15" t="str">
        <x:v>FNB _-) R15228.38 paid to Current a_c..512781 @ Retail Forex. Ref.R026snghm0 Booking.c. 30Apr 09_22.eml</x:v>
      </x:c>
      <x:c r="R730" s="15" t="str">
        <x:v>High</x:v>
      </x:c>
      <x:c r="S730" s="15" t="str">
        <x:v>Category confidence Medium: Default for incoming EFT/PayShap/online receipt.</x:v>
      </x:c>
      <x:c r="T730" s="15" t="str"/>
      <x:c r="U730" s="15" t="str"/>
      <x:c r="V730" s="15" t="str">
        <x:v>R026snghm0 Booking.c</x:v>
      </x:c>
      <x:c r="W730" s="15" t="str">
        <x:v>Retail Forex</x:v>
      </x:c>
      <x:c r="X730" s="15" t="str">
        <x:v>FNB :-) R15228.38 paid to Current a/c..512781 @ Retail Forex. Ref.R026snghm0 Booking.c. 30Apr 09:22</x:v>
      </x:c>
      <x:c r="Y730" s="15" t="str">
        <x:v>e8626032967c2ca1</x:v>
      </x:c>
    </x:row>
    <x:row r="731">
      <x:c r="A731" s="34" t="n">
        <x:v>46142.495833333334</x:v>
      </x:c>
      <x:c r="B731" s="36" t="n">
        <x:v>46142</x:v>
      </x:c>
      <x:c r="C731" s="34" t="n">
        <x:v>46142.496412037035</x:v>
      </x:c>
      <x:c r="D731" s="15" t="str">
        <x:v>Current a/c..512781</x:v>
      </x:c>
      <x:c r="E731" s="15" t="str">
        <x:v>card..2924</x:v>
      </x:c>
      <x:c r="F731" s="15" t="str">
        <x:v>R428.98 reserved for purchase @ Pep 5668 Malelane from Current a/c..512781 using card..2924. Avail R102108. 30Apr 11:54</x:v>
      </x:c>
      <x:c r="G731" s="15" t="str">
        <x:v>Pep 5668 Malelane</x:v>
      </x:c>
      <x:c r="H731" s="38" t="n">
        <x:v>428.98</x:v>
      </x:c>
      <x:c r="I731" s="15" t="str">
        <x:v>ZAR</x:v>
      </x:c>
      <x:c r="J731" s="15" t="str">
        <x:v>Outflow</x:v>
      </x:c>
      <x:c r="K731" s="15" t="str">
        <x:v>Card purchase</x:v>
      </x:c>
      <x:c r="L731" s="15" t="str">
        <x:v>Supplier payments</x:v>
      </x:c>
      <x:c r="M731" s="38"/>
      <x:c r="N731" s="38" t="n">
        <x:v>102108</x:v>
      </x:c>
      <x:c r="O731" s="15" t="str"/>
      <x:c r="P731" s="15" t="str">
        <x:v>eml_ALL_currentac__512781 (2).zip &gt; eml3currentac__512781.zip</x:v>
      </x:c>
      <x:c r="Q731" s="15" t="str">
        <x:v>FNB _-) R428.98 reserved for purchase @ Pep 5668 Malelane from Current a_c..512781 using card..2924. 30Apr 11_54.eml</x:v>
      </x:c>
      <x:c r="R731" s="15" t="str">
        <x:v>High</x:v>
      </x:c>
      <x:c r="S731" s="15" t="str">
        <x:v>Category confidence Medium: Retail/supplier merchant keyword.</x:v>
      </x:c>
      <x:c r="T731" s="15" t="str"/>
      <x:c r="U731" s="15" t="str"/>
      <x:c r="V731" s="15" t="str"/>
      <x:c r="W731" s="15" t="str"/>
      <x:c r="X731" s="15" t="str">
        <x:v>FNB :-) R428.98 reserved for purchase @ Pep 5668 Malelane from Current a/c..512781 using card..2924. Avail R102108. 30Apr 11:54</x:v>
      </x:c>
      <x:c r="Y731" s="15" t="str">
        <x:v>f64f8278eba8215b</x:v>
      </x:c>
    </x:row>
    <x:row r="732">
      <x:c r="A732" s="34" t="n">
        <x:v>46142.49930555555</x:v>
      </x:c>
      <x:c r="B732" s="36" t="n">
        <x:v>46142</x:v>
      </x:c>
      <x:c r="C732" s="34" t="n">
        <x:v>46142.49998842592</x:v>
      </x:c>
      <x:c r="D732" s="15" t="str">
        <x:v>Current a/c..512781</x:v>
      </x:c>
      <x:c r="E732" s="15" t="str"/>
      <x:c r="F732" s="15" t="str">
        <x:v>R1541.00 paid from Current a/c..512781 @ Smartapp. Avail R100564. Ref.Dinner Box 110658. 30Apr 11:59</x:v>
      </x:c>
      <x:c r="G732" s="15" t="str">
        <x:v>Dinner Box 110658</x:v>
      </x:c>
      <x:c r="H732" s="38" t="n">
        <x:v>1541</x:v>
      </x:c>
      <x:c r="I732" s="15" t="str">
        <x:v>ZAR</x:v>
      </x:c>
      <x:c r="J732" s="15" t="str">
        <x:v>Outflow</x:v>
      </x:c>
      <x:c r="K732" s="15" t="str">
        <x:v>EFT payment</x:v>
      </x:c>
      <x:c r="L732" s="15" t="str">
        <x:v>Meals / restaurants / entertainment</x:v>
      </x:c>
      <x:c r="M732" s="38"/>
      <x:c r="N732" s="38" t="n">
        <x:v>100564</x:v>
      </x:c>
      <x:c r="O732" s="15" t="str"/>
      <x:c r="P732" s="15" t="str">
        <x:v>eml_ALL_currentac__512781 (2).zip &gt; eml3currentac__512781.zip</x:v>
      </x:c>
      <x:c r="Q732" s="15" t="str">
        <x:v>FNB _-) R1541.00 paid from Current a_c..512781 @ Smartapp. Ref.Dinner Box 110658. 30Apr 11_59.eml</x:v>
      </x:c>
      <x:c r="R732" s="15" t="str">
        <x:v>High</x:v>
      </x:c>
      <x:c r="S732" s="15" t="str"/>
      <x:c r="T732" s="15" t="str"/>
      <x:c r="U732" s="15" t="str"/>
      <x:c r="V732" s="15" t="str">
        <x:v>Dinner Box 110658</x:v>
      </x:c>
      <x:c r="W732" s="15" t="str">
        <x:v>Smartapp</x:v>
      </x:c>
      <x:c r="X732" s="15" t="str">
        <x:v>FNB :-) R1541.00 paid from Current a/c..512781 @ Smartapp. Avail R100564. Ref.Dinner Box 110658. 30Apr 11:59</x:v>
      </x:c>
      <x:c r="Y732" s="15" t="str">
        <x:v>ae959ccf13888f90</x:v>
      </x:c>
    </x:row>
    <x:row r="733">
      <x:c r="A733" s="34" t="n">
        <x:v>46142.53611111111</x:v>
      </x:c>
      <x:c r="B733" s="36" t="n">
        <x:v>46142</x:v>
      </x:c>
      <x:c r="C733" s="34" t="n">
        <x:v>46142.536574074074</x:v>
      </x:c>
      <x:c r="D733" s="15" t="str">
        <x:v>Current a/c..512781</x:v>
      </x:c>
      <x:c r="E733" s="15" t="str"/>
      <x:c r="F733" s="15" t="str">
        <x:v>R26500.00 t/fer from Current a/c..512781 to Current a/c..261544 @ Smartapp. Avail R74064. 30Apr 12:52</x:v>
      </x:c>
      <x:c r="G733" s="15" t="str">
        <x:v>Current a/c..261544</x:v>
      </x:c>
      <x:c r="H733" s="38" t="n">
        <x:v>26500</x:v>
      </x:c>
      <x:c r="I733" s="15" t="str">
        <x:v>ZAR</x:v>
      </x:c>
      <x:c r="J733" s="15" t="str">
        <x:v>Internal Transfer</x:v>
      </x:c>
      <x:c r="K733" s="15" t="str">
        <x:v>Internal transfer</x:v>
      </x:c>
      <x:c r="L733" s="15" t="str">
        <x:v>Inter-account transfer</x:v>
      </x:c>
      <x:c r="M733" s="38"/>
      <x:c r="N733" s="38" t="n">
        <x:v>74064</x:v>
      </x:c>
      <x:c r="O733" s="15" t="str"/>
      <x:c r="P733" s="15" t="str">
        <x:v>eml_ALL_currentac__512781 (2).zip &gt; eml3currentac__512781.zip</x:v>
      </x:c>
      <x:c r="Q733" s="15" t="str">
        <x:v>FNB _-) R26500.00 t_fer from Current a_c..512781 to Current a_c..261544 @ Smartapp. 30Apr 12_52.eml</x:v>
      </x:c>
      <x:c r="R733" s="15" t="str">
        <x:v>High</x:v>
      </x:c>
      <x:c r="S733" s="15" t="str">
        <x:v>Classified as internal/inter-account transfer and excluded from operating cashflow.</x:v>
      </x:c>
      <x:c r="T733" s="15" t="str">
        <x:v>Current a/c..512781</x:v>
      </x:c>
      <x:c r="U733" s="15" t="str">
        <x:v>Current a/c..261544</x:v>
      </x:c>
      <x:c r="V733" s="15" t="str"/>
      <x:c r="W733" s="15" t="str">
        <x:v>Smartapp</x:v>
      </x:c>
      <x:c r="X733" s="15" t="str">
        <x:v>FNB :-) R26500.00 t/fer from Current a/c..512781 to Current a/c..261544 @ Smartapp. Avail R74064. 30Apr 12:52</x:v>
      </x:c>
      <x:c r="Y733" s="15" t="str">
        <x:v>eb9305ee2589dc00</x:v>
      </x:c>
    </x:row>
    <x:row r="734">
      <x:c r="A734" s="34" t="n">
        <x:v>46142.54236111111</x:v>
      </x:c>
      <x:c r="B734" s="36" t="n">
        <x:v>46142</x:v>
      </x:c>
      <x:c r="C734" s="34" t="n">
        <x:v>46142.54306712963</x:v>
      </x:c>
      <x:c r="D734" s="15" t="str">
        <x:v>Current a/c..512781</x:v>
      </x:c>
      <x:c r="E734" s="15" t="str">
        <x:v>card..2924</x:v>
      </x:c>
      <x:c r="F734" s="15" t="str">
        <x:v>R668.78 reserved for purchase @ Shoprite Malelane from Current a/c..512781 using card..2924. Avail R73395. 30Apr 13:01</x:v>
      </x:c>
      <x:c r="G734" s="15" t="str">
        <x:v>Shoprite Malelane</x:v>
      </x:c>
      <x:c r="H734" s="38" t="n">
        <x:v>668.78</x:v>
      </x:c>
      <x:c r="I734" s="15" t="str">
        <x:v>ZAR</x:v>
      </x:c>
      <x:c r="J734" s="15" t="str">
        <x:v>Outflow</x:v>
      </x:c>
      <x:c r="K734" s="15" t="str">
        <x:v>Card purchase</x:v>
      </x:c>
      <x:c r="L734" s="15" t="str">
        <x:v>Supplier payments</x:v>
      </x:c>
      <x:c r="M734" s="38"/>
      <x:c r="N734" s="38" t="n">
        <x:v>73395</x:v>
      </x:c>
      <x:c r="O734" s="15" t="str"/>
      <x:c r="P734" s="15" t="str">
        <x:v>eml_ALL_currentac__512781 (2).zip &gt; eml3currentac__512781.zip</x:v>
      </x:c>
      <x:c r="Q734" s="15" t="str">
        <x:v>FNB _-) R668.78 reserved for purchase @ Shoprite Malelane from Current a_c..512781 using card..2924. 30Apr 13_01.eml</x:v>
      </x:c>
      <x:c r="R734" s="15" t="str">
        <x:v>High</x:v>
      </x:c>
      <x:c r="S734" s="15" t="str">
        <x:v>Category confidence Medium: Retail/supplier merchant keyword.</x:v>
      </x:c>
      <x:c r="T734" s="15" t="str"/>
      <x:c r="U734" s="15" t="str"/>
      <x:c r="V734" s="15" t="str"/>
      <x:c r="W734" s="15" t="str"/>
      <x:c r="X734" s="15" t="str">
        <x:v>FNB :-) R668.78 reserved for purchase @ Shoprite Malelane from Current a/c..512781 using card..2924. Avail R73395. 30Apr 13:01</x:v>
      </x:c>
      <x:c r="Y734" s="15" t="str">
        <x:v>e2150c456a9222ff</x:v>
      </x:c>
    </x:row>
    <x:row r="735">
      <x:c r="A735" s="34" t="n">
        <x:v>46142.56736111111</x:v>
      </x:c>
      <x:c r="B735" s="36" t="n">
        <x:v>46142</x:v>
      </x:c>
      <x:c r="C735" s="34" t="n">
        <x:v>46142.567407407405</x:v>
      </x:c>
      <x:c r="D735" s="15" t="str">
        <x:v>Current a/c..512781</x:v>
      </x:c>
      <x:c r="E735" s="15" t="str">
        <x:v>card..2924</x:v>
      </x:c>
      <x:c r="F735" s="15" t="str">
        <x:v>R1098.88 reserved for purchase @ Woolworths from Current a/c..512781 using card..2924. Avail R72296. 30Apr 13:37</x:v>
      </x:c>
      <x:c r="G735" s="15" t="str">
        <x:v>Woolworths</x:v>
      </x:c>
      <x:c r="H735" s="38" t="n">
        <x:v>1098.88</x:v>
      </x:c>
      <x:c r="I735" s="15" t="str">
        <x:v>ZAR</x:v>
      </x:c>
      <x:c r="J735" s="15" t="str">
        <x:v>Outflow</x:v>
      </x:c>
      <x:c r="K735" s="15" t="str">
        <x:v>Card purchase</x:v>
      </x:c>
      <x:c r="L735" s="15" t="str">
        <x:v>Supplier payments</x:v>
      </x:c>
      <x:c r="M735" s="38"/>
      <x:c r="N735" s="38" t="n">
        <x:v>72296</x:v>
      </x:c>
      <x:c r="O735" s="15" t="str"/>
      <x:c r="P735" s="15" t="str">
        <x:v>eml_ALL_currentac__512781 (2).zip &gt; eml3currentac__512781.zip</x:v>
      </x:c>
      <x:c r="Q735" s="15" t="str">
        <x:v>FNB _-) R1098.88 reserved for purchase @ Woolworths from Current a_c..512781 using card..2924. 30Apr 13_37.eml</x:v>
      </x:c>
      <x:c r="R735" s="15" t="str">
        <x:v>High</x:v>
      </x:c>
      <x:c r="S735" s="15" t="str">
        <x:v>Category confidence Medium: Retail/supplier merchant keyword.</x:v>
      </x:c>
      <x:c r="T735" s="15" t="str"/>
      <x:c r="U735" s="15" t="str"/>
      <x:c r="V735" s="15" t="str"/>
      <x:c r="W735" s="15" t="str"/>
      <x:c r="X735" s="15" t="str">
        <x:v>FNB :-) R1098.88 reserved for purchase @ Woolworths from Current a/c..512781 using card..2924. Avail R72296. 30Apr 13:37</x:v>
      </x:c>
      <x:c r="Y735" s="15" t="str">
        <x:v>5e1a1d566471cbc9</x:v>
      </x:c>
    </x:row>
    <x:row r="736">
      <x:c r="A736" s="34" t="n">
        <x:v>46142.60138888889</x:v>
      </x:c>
      <x:c r="B736" s="36" t="n">
        <x:v>46142</x:v>
      </x:c>
      <x:c r="C736" s="34" t="n">
        <x:v>46142.601539351854</x:v>
      </x:c>
      <x:c r="D736" s="15" t="str">
        <x:v>Current a/c..512781</x:v>
      </x:c>
      <x:c r="E736" s="15" t="str">
        <x:v>card..2924</x:v>
      </x:c>
      <x:c r="F736" s="15" t="str">
        <x:v>R1022.89 reserved for purchase @ Superspar Malelane from Current a/c..512781 using card..2924. Avail R71273. 30Apr 14:26</x:v>
      </x:c>
      <x:c r="G736" s="15" t="str">
        <x:v>Superspar Malelane</x:v>
      </x:c>
      <x:c r="H736" s="38" t="n">
        <x:v>1022.89</x:v>
      </x:c>
      <x:c r="I736" s="15" t="str">
        <x:v>ZAR</x:v>
      </x:c>
      <x:c r="J736" s="15" t="str">
        <x:v>Outflow</x:v>
      </x:c>
      <x:c r="K736" s="15" t="str">
        <x:v>Card purchase</x:v>
      </x:c>
      <x:c r="L736" s="15" t="str">
        <x:v>Supplier payments</x:v>
      </x:c>
      <x:c r="M736" s="38"/>
      <x:c r="N736" s="38" t="n">
        <x:v>71273</x:v>
      </x:c>
      <x:c r="O736" s="15" t="str"/>
      <x:c r="P736" s="15" t="str">
        <x:v>eml_ALL_currentac__512781 (2).zip &gt; eml3currentac__512781.zip</x:v>
      </x:c>
      <x:c r="Q736" s="15" t="str">
        <x:v>FNB _-) R1022.89 reserved for purchase @ Superspar Malelane from Current a_c..512781 using card..2924. 30Apr 14_26.eml</x:v>
      </x:c>
      <x:c r="R736" s="15" t="str">
        <x:v>High</x:v>
      </x:c>
      <x:c r="S736" s="15" t="str">
        <x:v>Category confidence Medium: Retail/supplier merchant keyword.</x:v>
      </x:c>
      <x:c r="T736" s="15" t="str"/>
      <x:c r="U736" s="15" t="str"/>
      <x:c r="V736" s="15" t="str"/>
      <x:c r="W736" s="15" t="str"/>
      <x:c r="X736" s="15" t="str">
        <x:v>FNB :-) R1022.89 reserved for purchase @ Superspar Malelane from Current a/c..512781 using card..2924. Avail R71273. 30Apr 14:26</x:v>
      </x:c>
      <x:c r="Y736" s="15" t="str">
        <x:v>9de14a5ff6789224</x:v>
      </x:c>
    </x:row>
    <x:row r="737">
      <x:c r="A737" s="34" t="n">
        <x:v>46142.618055555555</x:v>
      </x:c>
      <x:c r="B737" s="36" t="n">
        <x:v>46142</x:v>
      </x:c>
      <x:c r="C737" s="34" t="n">
        <x:v>46142.61851851852</x:v>
      </x:c>
      <x:c r="D737" s="15" t="str">
        <x:v>Current a/c..512781</x:v>
      </x:c>
      <x:c r="E737" s="15" t="str">
        <x:v>card..2924</x:v>
      </x:c>
      <x:c r="F737" s="15" t="str">
        <x:v>R721.96 reserved for purchase @ Tops Malelane from Current a/c..512781 using card..2924. Avail R70551. 30Apr 14:50</x:v>
      </x:c>
      <x:c r="G737" s="15" t="str">
        <x:v>Tops Malelane</x:v>
      </x:c>
      <x:c r="H737" s="38" t="n">
        <x:v>721.96</x:v>
      </x:c>
      <x:c r="I737" s="15" t="str">
        <x:v>ZAR</x:v>
      </x:c>
      <x:c r="J737" s="15" t="str">
        <x:v>Outflow</x:v>
      </x:c>
      <x:c r="K737" s="15" t="str">
        <x:v>Card purchase</x:v>
      </x:c>
      <x:c r="L737" s="15" t="str">
        <x:v>Meals / restaurants / entertainment</x:v>
      </x:c>
      <x:c r="M737" s="38"/>
      <x:c r="N737" s="38" t="n">
        <x:v>70551</x:v>
      </x:c>
      <x:c r="O737" s="15" t="str"/>
      <x:c r="P737" s="15" t="str">
        <x:v>eml_ALL_currentac__512781 (2).zip &gt; eml3currentac__512781.zip</x:v>
      </x:c>
      <x:c r="Q737" s="15" t="str">
        <x:v>FNB _-) R721.96 reserved for purchase @ Tops Malelane from Current a_c..512781 using card..2924. 30Apr 14_50.eml</x:v>
      </x:c>
      <x:c r="R737" s="15" t="str">
        <x:v>High</x:v>
      </x:c>
      <x:c r="S737" s="15" t="str"/>
      <x:c r="T737" s="15" t="str"/>
      <x:c r="U737" s="15" t="str"/>
      <x:c r="V737" s="15" t="str"/>
      <x:c r="W737" s="15" t="str"/>
      <x:c r="X737" s="15" t="str">
        <x:v>FNB :-) R721.96 reserved for purchase @ Tops Malelane from Current a/c..512781 using card..2924. Avail R70551. 30Apr 14:50</x:v>
      </x:c>
      <x:c r="Y737" s="15" t="str">
        <x:v>eeb0d113d8adca6f</x:v>
      </x:c>
    </x:row>
    <x:row r="738">
      <x:c r="A738" s="34" t="n">
        <x:v>46142.64861111111</x:v>
      </x:c>
      <x:c r="B738" s="36" t="n">
        <x:v>46142</x:v>
      </x:c>
      <x:c r="C738" s="34" t="n">
        <x:v>46142.649050925924</x:v>
      </x:c>
      <x:c r="D738" s="15" t="str">
        <x:v>Current a/c..512781</x:v>
      </x:c>
      <x:c r="E738" s="15" t="str">
        <x:v>card..2924</x:v>
      </x:c>
      <x:c r="F738" s="15" t="str">
        <x:v>R200.00 reserved for purchase @ Engen Hectorspruit from Current a/c..512781 using card..2924. Avail R70251. 30Apr 15:34</x:v>
      </x:c>
      <x:c r="G738" s="15" t="str">
        <x:v>Engen Hectorspruit</x:v>
      </x:c>
      <x:c r="H738" s="38" t="n">
        <x:v>200</x:v>
      </x:c>
      <x:c r="I738" s="15" t="str">
        <x:v>ZAR</x:v>
      </x:c>
      <x:c r="J738" s="15" t="str">
        <x:v>Outflow</x:v>
      </x:c>
      <x:c r="K738" s="15" t="str">
        <x:v>Card purchase</x:v>
      </x:c>
      <x:c r="L738" s="15" t="str">
        <x:v>Fuel / transport</x:v>
      </x:c>
      <x:c r="M738" s="38"/>
      <x:c r="N738" s="38" t="n">
        <x:v>70251</x:v>
      </x:c>
      <x:c r="O738" s="15" t="str"/>
      <x:c r="P738" s="15" t="str">
        <x:v>eml_ALL_currentac__512781 (2).zip &gt; eml3currentac__512781.zip</x:v>
      </x:c>
      <x:c r="Q738" s="15" t="str">
        <x:v>FNB _-) R200.00 reserved for purchase @ Engen Hectorspruit from Current a_c..512781 using card..2924. 30Apr 15_34.eml</x:v>
      </x:c>
      <x:c r="R738" s="15" t="str">
        <x:v>High</x:v>
      </x:c>
      <x:c r="S738" s="15" t="str"/>
      <x:c r="T738" s="15" t="str"/>
      <x:c r="U738" s="15" t="str"/>
      <x:c r="V738" s="15" t="str"/>
      <x:c r="W738" s="15" t="str"/>
      <x:c r="X738" s="15" t="str">
        <x:v>FNB :-) R200.00 reserved for purchase @ Engen Hectorspruit from Current a/c..512781 using card..2924. Avail R70251. 30Apr 15:34</x:v>
      </x:c>
      <x:c r="Y738" s="15" t="str">
        <x:v>e7784ae783dab595</x:v>
      </x:c>
    </x:row>
    <x:row r="739">
      <x:c r="A739" s="34" t="n">
        <x:v>46143.37777777778</x:v>
      </x:c>
      <x:c r="B739" s="36" t="n">
        <x:v>46143</x:v>
      </x:c>
      <x:c r="C739" s="34" t="n">
        <x:v>46143.37844907407</x:v>
      </x:c>
      <x:c r="D739" s="15" t="str">
        <x:v>Current a/c..512781</x:v>
      </x:c>
      <x:c r="E739" s="15" t="str"/>
      <x:c r="F739" s="15" t="str">
        <x:v>R12000.00 paid from Current a/c..512781 @ Gen Ph. Avail R46098. Ref.Staff Salary. 1May 09:04</x:v>
      </x:c>
      <x:c r="G739" s="15" t="str">
        <x:v>Staff Salary</x:v>
      </x:c>
      <x:c r="H739" s="38" t="n">
        <x:v>12000</x:v>
      </x:c>
      <x:c r="I739" s="15" t="str">
        <x:v>ZAR</x:v>
      </x:c>
      <x:c r="J739" s="15" t="str">
        <x:v>Outflow</x:v>
      </x:c>
      <x:c r="K739" s="15" t="str">
        <x:v>EFT payment</x:v>
      </x:c>
      <x:c r="L739" s="15" t="str">
        <x:v>Salary / wages</x:v>
      </x:c>
      <x:c r="M739" s="38"/>
      <x:c r="N739" s="38" t="n">
        <x:v>46098</x:v>
      </x:c>
      <x:c r="O739" s="15" t="str"/>
      <x:c r="P739" s="15" t="str">
        <x:v>eml_ALL_currentac__512781 (2).zip &gt; eml3currentac__512781.zip</x:v>
      </x:c>
      <x:c r="Q739" s="15" t="str">
        <x:v>FNB _-) R12000.00 paid from Current a_c..512781 @ Gen Ph. Ref.Staff Salary.  1May 09_04.eml</x:v>
      </x:c>
      <x:c r="R739" s="15" t="str">
        <x:v>High</x:v>
      </x:c>
      <x:c r="S739" s="15" t="str"/>
      <x:c r="T739" s="15" t="str"/>
      <x:c r="U739" s="15" t="str"/>
      <x:c r="V739" s="15" t="str">
        <x:v>Staff Salary</x:v>
      </x:c>
      <x:c r="W739" s="15" t="str">
        <x:v>Gen Ph</x:v>
      </x:c>
      <x:c r="X739" s="15" t="str">
        <x:v>FNB :-) R12000.00 paid from Current a/c..512781 @ Gen Ph. Avail R46098. Ref.Staff Salary. 1May 09:04</x:v>
      </x:c>
      <x:c r="Y739" s="15" t="str">
        <x:v>ecc1165b86ef4a34</x:v>
      </x:c>
    </x:row>
    <x:row r="740">
      <x:c r="A740" s="34" t="n">
        <x:v>46143.37777777778</x:v>
      </x:c>
      <x:c r="B740" s="36" t="n">
        <x:v>46143</x:v>
      </x:c>
      <x:c r="C740" s="34" t="n">
        <x:v>46143.37813657407</x:v>
      </x:c>
      <x:c r="D740" s="15" t="str">
        <x:v>Current a/c..512781</x:v>
      </x:c>
      <x:c r="E740" s="15" t="str"/>
      <x:c r="F740" s="15" t="str">
        <x:v>R12000.00 paid from Current a/c..512781 @ Gen Ph. Avail R58113. Ref.Staff Salary. 1May 09:04</x:v>
      </x:c>
      <x:c r="G740" s="15" t="str">
        <x:v>Staff Salary</x:v>
      </x:c>
      <x:c r="H740" s="38" t="n">
        <x:v>12000</x:v>
      </x:c>
      <x:c r="I740" s="15" t="str">
        <x:v>ZAR</x:v>
      </x:c>
      <x:c r="J740" s="15" t="str">
        <x:v>Outflow</x:v>
      </x:c>
      <x:c r="K740" s="15" t="str">
        <x:v>EFT payment</x:v>
      </x:c>
      <x:c r="L740" s="15" t="str">
        <x:v>Salary / wages</x:v>
      </x:c>
      <x:c r="M740" s="38"/>
      <x:c r="N740" s="38" t="n">
        <x:v>58113</x:v>
      </x:c>
      <x:c r="O740" s="15" t="str"/>
      <x:c r="P740" s="15" t="str">
        <x:v>eml_ALL_currentac__512781 (2).zip &gt; eml3currentac__512781.zip</x:v>
      </x:c>
      <x:c r="Q740" s="15" t="str">
        <x:v>FNB _-) R12000.00 paid from Current a_c..512781 @ Gen Ph. Ref.Staff Salary.  1May 09_04_1.eml</x:v>
      </x:c>
      <x:c r="R740" s="15" t="str">
        <x:v>High</x:v>
      </x:c>
      <x:c r="S740" s="15" t="str"/>
      <x:c r="T740" s="15" t="str"/>
      <x:c r="U740" s="15" t="str"/>
      <x:c r="V740" s="15" t="str">
        <x:v>Staff Salary</x:v>
      </x:c>
      <x:c r="W740" s="15" t="str">
        <x:v>Gen Ph</x:v>
      </x:c>
      <x:c r="X740" s="15" t="str">
        <x:v>FNB :-) R12000.00 paid from Current a/c..512781 @ Gen Ph. Avail R58113. Ref.Staff Salary. 1May 09:04</x:v>
      </x:c>
      <x:c r="Y740" s="15" t="str">
        <x:v>bd596c8d15de57ff</x:v>
      </x:c>
    </x:row>
    <x:row r="741">
      <x:c r="A741" s="34" t="n">
        <x:v>46143.37847222222</x:v>
      </x:c>
      <x:c r="B741" s="36" t="n">
        <x:v>46143</x:v>
      </x:c>
      <x:c r="C741" s="34" t="n">
        <x:v>46143.378900462965</x:v>
      </x:c>
      <x:c r="D741" s="15" t="str">
        <x:v>Current a/c..512781</x:v>
      </x:c>
      <x:c r="E741" s="15" t="str"/>
      <x:c r="F741" s="15" t="str">
        <x:v>R759.00 paid from Current a/c..512781 @ Smartapp. Avail R45339. Ref.Nb N992820. 1May 09:05</x:v>
      </x:c>
      <x:c r="G741" s="15" t="str">
        <x:v>Nb N992820</x:v>
      </x:c>
      <x:c r="H741" s="38" t="n">
        <x:v>759</x:v>
      </x:c>
      <x:c r="I741" s="15" t="str">
        <x:v>ZAR</x:v>
      </x:c>
      <x:c r="J741" s="15" t="str">
        <x:v>Outflow</x:v>
      </x:c>
      <x:c r="K741" s="15" t="str">
        <x:v>EFT payment</x:v>
      </x:c>
      <x:c r="L741" s="15" t="str">
        <x:v>Supplier payments</x:v>
      </x:c>
      <x:c r="M741" s="38"/>
      <x:c r="N741" s="38" t="n">
        <x:v>45339</x:v>
      </x:c>
      <x:c r="O741" s="15" t="str"/>
      <x:c r="P741" s="15" t="str">
        <x:v>eml_ALL_currentac__512781 (2).zip &gt; eml3currentac__512781.zip</x:v>
      </x:c>
      <x:c r="Q741" s="15" t="str">
        <x:v>FNB _-) R759.00 paid from Current a_c..512781 @ Smartapp. Ref.Nb N992820.  1May 09_05.eml</x:v>
      </x:c>
      <x:c r="R741" s="15" t="str">
        <x:v>High</x:v>
      </x:c>
      <x:c r="S741" s="15" t="str">
        <x:v>Category confidence Low: Default outflow category; review counterparty/reference.</x:v>
      </x:c>
      <x:c r="T741" s="15" t="str"/>
      <x:c r="U741" s="15" t="str"/>
      <x:c r="V741" s="15" t="str">
        <x:v>Nb N992820</x:v>
      </x:c>
      <x:c r="W741" s="15" t="str">
        <x:v>Smartapp</x:v>
      </x:c>
      <x:c r="X741" s="15" t="str">
        <x:v>FNB :-) R759.00 paid from Current a/c..512781 @ Smartapp. Avail R45339. Ref.Nb N992820. 1May 09:05</x:v>
      </x:c>
      <x:c r="Y741" s="15" t="str">
        <x:v>b1a28476d467a2b0</x:v>
      </x:c>
    </x:row>
    <x:row r="742">
      <x:c r="A742" s="34" t="n">
        <x:v>46143.379166666666</x:v>
      </x:c>
      <x:c r="B742" s="36" t="n">
        <x:v>46143</x:v>
      </x:c>
      <x:c r="C742" s="34" t="n">
        <x:v>46143.379224537035</x:v>
      </x:c>
      <x:c r="D742" s="15" t="str">
        <x:v>Current a/c..512781</x:v>
      </x:c>
      <x:c r="E742" s="15" t="str"/>
      <x:c r="F742" s="15" t="str">
        <x:v>R500.00 paid from Current a/c..512781 @ Smartapp. Avail R44839. Ref.Kpci - C1736. 1May 09:06</x:v>
      </x:c>
      <x:c r="G742" s="15" t="str">
        <x:v>Kpci - C1736</x:v>
      </x:c>
      <x:c r="H742" s="38" t="n">
        <x:v>500</x:v>
      </x:c>
      <x:c r="I742" s="15" t="str">
        <x:v>ZAR</x:v>
      </x:c>
      <x:c r="J742" s="15" t="str">
        <x:v>Outflow</x:v>
      </x:c>
      <x:c r="K742" s="15" t="str">
        <x:v>EFT payment</x:v>
      </x:c>
      <x:c r="L742" s="15" t="str">
        <x:v>Supplier payments</x:v>
      </x:c>
      <x:c r="M742" s="38"/>
      <x:c r="N742" s="38" t="n">
        <x:v>44839</x:v>
      </x:c>
      <x:c r="O742" s="15" t="str"/>
      <x:c r="P742" s="15" t="str">
        <x:v>eml_ALL_currentac__512781 (2).zip &gt; eml3currentac__512781.zip</x:v>
      </x:c>
      <x:c r="Q742" s="15" t="str">
        <x:v>FNB _-) R500.00 paid from Current a_c..512781 @ Smartapp. Ref.Kpci - C1736.  1May 09_06.eml</x:v>
      </x:c>
      <x:c r="R742" s="15" t="str">
        <x:v>High</x:v>
      </x:c>
      <x:c r="S742" s="15" t="str">
        <x:v>Category confidence Low: Default outflow category; review counterparty/reference.</x:v>
      </x:c>
      <x:c r="T742" s="15" t="str"/>
      <x:c r="U742" s="15" t="str"/>
      <x:c r="V742" s="15" t="str">
        <x:v>Kpci - C1736</x:v>
      </x:c>
      <x:c r="W742" s="15" t="str">
        <x:v>Smartapp</x:v>
      </x:c>
      <x:c r="X742" s="15" t="str">
        <x:v>FNB :-) R500.00 paid from Current a/c..512781 @ Smartapp. Avail R44839. Ref.Kpci - C1736. 1May 09:06</x:v>
      </x:c>
      <x:c r="Y742" s="15" t="str">
        <x:v>810ce9fa85434812</x:v>
      </x:c>
    </x:row>
    <x:row r="743">
      <x:c r="A743" s="34" t="n">
        <x:v>46143.55069444444</x:v>
      </x:c>
      <x:c r="B743" s="36" t="n">
        <x:v>46143</x:v>
      </x:c>
      <x:c r="C743" s="34" t="n">
        <x:v>46143.550729166665</x:v>
      </x:c>
      <x:c r="D743" s="15" t="str">
        <x:v>Current a/c..512781</x:v>
      </x:c>
      <x:c r="E743" s="15" t="str">
        <x:v>card..2924</x:v>
      </x:c>
      <x:c r="F743" s="15" t="str">
        <x:v>R112.77 reserved for purchase @ Savemor Marloth from Current a/c..512781 using card..2924. Avail R44727. 1May 13:13</x:v>
      </x:c>
      <x:c r="G743" s="15" t="str">
        <x:v>Savemor Marloth</x:v>
      </x:c>
      <x:c r="H743" s="38" t="n">
        <x:v>112.77</x:v>
      </x:c>
      <x:c r="I743" s="15" t="str">
        <x:v>ZAR</x:v>
      </x:c>
      <x:c r="J743" s="15" t="str">
        <x:v>Outflow</x:v>
      </x:c>
      <x:c r="K743" s="15" t="str">
        <x:v>Card purchase</x:v>
      </x:c>
      <x:c r="L743" s="15" t="str">
        <x:v>Supplier payments</x:v>
      </x:c>
      <x:c r="M743" s="38"/>
      <x:c r="N743" s="38" t="n">
        <x:v>44727</x:v>
      </x:c>
      <x:c r="O743" s="15" t="str"/>
      <x:c r="P743" s="15" t="str">
        <x:v>eml_ALL_currentac__512781 (2).zip &gt; eml3currentac__512781.zip</x:v>
      </x:c>
      <x:c r="Q743" s="15" t="str">
        <x:v>FNB _-) R112.77 reserved for purchase @ Savemor Marloth from Current a_c..512781 using card..2924.  1May 13_13.eml</x:v>
      </x:c>
      <x:c r="R743" s="15" t="str">
        <x:v>High</x:v>
      </x:c>
      <x:c r="S743" s="15" t="str">
        <x:v>Category confidence Medium: Retail/supplier merchant keyword.</x:v>
      </x:c>
      <x:c r="T743" s="15" t="str"/>
      <x:c r="U743" s="15" t="str"/>
      <x:c r="V743" s="15" t="str"/>
      <x:c r="W743" s="15" t="str"/>
      <x:c r="X743" s="15" t="str">
        <x:v>FNB :-) R112.77 reserved for purchase @ Savemor Marloth from Current a/c..512781 using card..2924. Avail R44727. 1May 13:13</x:v>
      </x:c>
      <x:c r="Y743" s="15" t="str">
        <x:v>e94b86b411a6d474</x:v>
      </x:c>
    </x:row>
    <x:row r="744">
      <x:c r="A744" s="34" t="n">
        <x:v>46144.51944444444</x:v>
      </x:c>
      <x:c r="B744" s="36" t="n">
        <x:v>46144</x:v>
      </x:c>
      <x:c r="C744" s="34" t="n">
        <x:v>46144.52005787037</x:v>
      </x:c>
      <x:c r="D744" s="15" t="str">
        <x:v>Current a/c..512781</x:v>
      </x:c>
      <x:c r="E744" s="15" t="str">
        <x:v>card..2924</x:v>
      </x:c>
      <x:c r="F744" s="15" t="str">
        <x:v>R267.50 reserved for purchase @ Komati Pharmacy from Current a/c..512781 using card..2924. Avail R44459. 2May 12:28</x:v>
      </x:c>
      <x:c r="G744" s="15" t="str">
        <x:v>Komati Pharmacy</x:v>
      </x:c>
      <x:c r="H744" s="38" t="n">
        <x:v>267.5</x:v>
      </x:c>
      <x:c r="I744" s="15" t="str">
        <x:v>ZAR</x:v>
      </x:c>
      <x:c r="J744" s="15" t="str">
        <x:v>Outflow</x:v>
      </x:c>
      <x:c r="K744" s="15" t="str">
        <x:v>Card purchase</x:v>
      </x:c>
      <x:c r="L744" s="15" t="str">
        <x:v>Supplier payments</x:v>
      </x:c>
      <x:c r="M744" s="38"/>
      <x:c r="N744" s="38" t="n">
        <x:v>44459</x:v>
      </x:c>
      <x:c r="O744" s="15" t="str"/>
      <x:c r="P744" s="15" t="str">
        <x:v>eml_ALL_currentac__512781 (2).zip &gt; eml3currentac__512781.zip</x:v>
      </x:c>
      <x:c r="Q744" s="15" t="str">
        <x:v>FNB _-) R267.50 reserved for purchase @ Komati Pharmacy from Current a_c..512781 using card..2924.  2May 12_28.eml</x:v>
      </x:c>
      <x:c r="R744" s="15" t="str">
        <x:v>High</x:v>
      </x:c>
      <x:c r="S744" s="15" t="str">
        <x:v>Category confidence Medium: Retail/supplier merchant keyword.</x:v>
      </x:c>
      <x:c r="T744" s="15" t="str"/>
      <x:c r="U744" s="15" t="str"/>
      <x:c r="V744" s="15" t="str"/>
      <x:c r="W744" s="15" t="str"/>
      <x:c r="X744" s="15" t="str">
        <x:v>FNB :-) R267.50 reserved for purchase @ Komati Pharmacy from Current a/c..512781 using card..2924. Avail R44459. 2May 12:28</x:v>
      </x:c>
      <x:c r="Y744" s="15" t="str">
        <x:v>fae060090133078d</x:v>
      </x:c>
    </x:row>
    <x:row r="745">
      <x:c r="A745" s="34" t="n">
        <x:v>46144.54722222222</x:v>
      </x:c>
      <x:c r="B745" s="36" t="n">
        <x:v>46144</x:v>
      </x:c>
      <x:c r="C745" s="34" t="n">
        <x:v>46144.54769675926</x:v>
      </x:c>
      <x:c r="D745" s="15" t="str">
        <x:v>Current a/c..512781</x:v>
      </x:c>
      <x:c r="E745" s="15" t="str">
        <x:v>card..2924</x:v>
      </x:c>
      <x:c r="F745" s="15" t="str">
        <x:v>R856.06 reserved for purchase @ Superspar Komatipoor from Current a/c..512781 using card..2924. Avail R43603. 2May 13:08</x:v>
      </x:c>
      <x:c r="G745" s="15" t="str">
        <x:v>Superspar Komatipoor</x:v>
      </x:c>
      <x:c r="H745" s="38" t="n">
        <x:v>856.06</x:v>
      </x:c>
      <x:c r="I745" s="15" t="str">
        <x:v>ZAR</x:v>
      </x:c>
      <x:c r="J745" s="15" t="str">
        <x:v>Outflow</x:v>
      </x:c>
      <x:c r="K745" s="15" t="str">
        <x:v>Card purchase</x:v>
      </x:c>
      <x:c r="L745" s="15" t="str">
        <x:v>Supplier payments</x:v>
      </x:c>
      <x:c r="M745" s="38"/>
      <x:c r="N745" s="38" t="n">
        <x:v>43603</x:v>
      </x:c>
      <x:c r="O745" s="15" t="str"/>
      <x:c r="P745" s="15" t="str">
        <x:v>eml_ALL_currentac__512781 (2).zip &gt; eml3currentac__512781.zip</x:v>
      </x:c>
      <x:c r="Q745" s="15" t="str">
        <x:v>FNB _-) R856.06 reserved for purchase @ Superspar Komatipoor from Current a_c..512781 using card..2924.  2May 13_08.eml</x:v>
      </x:c>
      <x:c r="R745" s="15" t="str">
        <x:v>High</x:v>
      </x:c>
      <x:c r="S745" s="15" t="str">
        <x:v>Category confidence Medium: Retail/supplier merchant keyword.</x:v>
      </x:c>
      <x:c r="T745" s="15" t="str"/>
      <x:c r="U745" s="15" t="str"/>
      <x:c r="V745" s="15" t="str"/>
      <x:c r="W745" s="15" t="str"/>
      <x:c r="X745" s="15" t="str">
        <x:v>FNB :-) R856.06 reserved for purchase @ Superspar Komatipoor from Current a/c..512781 using card..2924. Avail R43603. 2May 13:08</x:v>
      </x:c>
      <x:c r="Y745" s="15" t="str">
        <x:v>dc668e9ae138026b</x:v>
      </x:c>
    </x:row>
    <x:row r="746">
      <x:c r="A746" s="34" t="n">
        <x:v>46144.55138888889</x:v>
      </x:c>
      <x:c r="B746" s="36" t="n">
        <x:v>46144</x:v>
      </x:c>
      <x:c r="C746" s="34" t="n">
        <x:v>46144.551724537036</x:v>
      </x:c>
      <x:c r="D746" s="15" t="str">
        <x:v>Current a/c..512781</x:v>
      </x:c>
      <x:c r="E746" s="15" t="str">
        <x:v>card..2924</x:v>
      </x:c>
      <x:c r="F746" s="15" t="str">
        <x:v>R269.99 reserved for purchase @ Tops Komatipoort from Current a/c..512781 using card..2924. Avail R43333. 2May 13:14</x:v>
      </x:c>
      <x:c r="G746" s="15" t="str">
        <x:v>Tops Komatipoort</x:v>
      </x:c>
      <x:c r="H746" s="38" t="n">
        <x:v>269.99</x:v>
      </x:c>
      <x:c r="I746" s="15" t="str">
        <x:v>ZAR</x:v>
      </x:c>
      <x:c r="J746" s="15" t="str">
        <x:v>Outflow</x:v>
      </x:c>
      <x:c r="K746" s="15" t="str">
        <x:v>Card purchase</x:v>
      </x:c>
      <x:c r="L746" s="15" t="str">
        <x:v>Meals / restaurants / entertainment</x:v>
      </x:c>
      <x:c r="M746" s="38"/>
      <x:c r="N746" s="38" t="n">
        <x:v>43333</x:v>
      </x:c>
      <x:c r="O746" s="15" t="str"/>
      <x:c r="P746" s="15" t="str">
        <x:v>eml_ALL_currentac__512781 (2).zip &gt; eml3currentac__512781.zip</x:v>
      </x:c>
      <x:c r="Q746" s="15" t="str">
        <x:v>FNB _-) R269.99 reserved for purchase @ Tops Komatipoort from Current a_c..512781 using card..2924.  2May 13_14.eml</x:v>
      </x:c>
      <x:c r="R746" s="15" t="str">
        <x:v>High</x:v>
      </x:c>
      <x:c r="S746" s="15" t="str"/>
      <x:c r="T746" s="15" t="str"/>
      <x:c r="U746" s="15" t="str"/>
      <x:c r="V746" s="15" t="str"/>
      <x:c r="W746" s="15" t="str"/>
      <x:c r="X746" s="15" t="str">
        <x:v>FNB :-) R269.99 reserved for purchase @ Tops Komatipoort from Current a/c..512781 using card..2924. Avail R43333. 2May 13:14</x:v>
      </x:c>
      <x:c r="Y746" s="15" t="str">
        <x:v>b570bb55a86dd751</x:v>
      </x:c>
    </x:row>
    <x:row r="747">
      <x:c r="A747" s="34" t="n">
        <x:v>46144.566666666666</x:v>
      </x:c>
      <x:c r="B747" s="36" t="n">
        <x:v>46144</x:v>
      </x:c>
      <x:c r="C747" s="34" t="n">
        <x:v>46144.56686342593</x:v>
      </x:c>
      <x:c r="D747" s="15" t="str">
        <x:v>Current a/c..512781</x:v>
      </x:c>
      <x:c r="E747" s="15" t="str">
        <x:v>card..2924</x:v>
      </x:c>
      <x:c r="F747" s="15" t="str">
        <x:v>R211.94 reserved for purchase @ Pep Home 5771 Komati from Current a/c..512781 using card..2924. Avail R43121. 2May 13:36</x:v>
      </x:c>
      <x:c r="G747" s="15" t="str">
        <x:v>Pep Home 5771 Komati</x:v>
      </x:c>
      <x:c r="H747" s="38" t="n">
        <x:v>211.94</x:v>
      </x:c>
      <x:c r="I747" s="15" t="str">
        <x:v>ZAR</x:v>
      </x:c>
      <x:c r="J747" s="15" t="str">
        <x:v>Outflow</x:v>
      </x:c>
      <x:c r="K747" s="15" t="str">
        <x:v>Card purchase</x:v>
      </x:c>
      <x:c r="L747" s="15" t="str">
        <x:v>Supplier payments</x:v>
      </x:c>
      <x:c r="M747" s="38"/>
      <x:c r="N747" s="38" t="n">
        <x:v>43121</x:v>
      </x:c>
      <x:c r="O747" s="15" t="str"/>
      <x:c r="P747" s="15" t="str">
        <x:v>eml_ALL_currentac__512781 (2).zip &gt; eml3currentac__512781.zip</x:v>
      </x:c>
      <x:c r="Q747" s="15" t="str">
        <x:v>FNB _-) R211.94 reserved for purchase @ Pep Home 5771 Komati from Current a_c..512781 using card..2924.  2May 13_36.eml</x:v>
      </x:c>
      <x:c r="R747" s="15" t="str">
        <x:v>High</x:v>
      </x:c>
      <x:c r="S747" s="15" t="str">
        <x:v>Category confidence Medium: Retail/supplier merchant keyword.</x:v>
      </x:c>
      <x:c r="T747" s="15" t="str"/>
      <x:c r="U747" s="15" t="str"/>
      <x:c r="V747" s="15" t="str"/>
      <x:c r="W747" s="15" t="str"/>
      <x:c r="X747" s="15" t="str">
        <x:v>FNB :-) R211.94 reserved for purchase @ Pep Home 5771 Komati from Current a/c..512781 using card..2924. Avail R43121. 2May 13:36</x:v>
      </x:c>
      <x:c r="Y747" s="15" t="str">
        <x:v>10df16a33b5cda69</x:v>
      </x:c>
    </x:row>
    <x:row r="748">
      <x:c r="A748" s="34" t="n">
        <x:v>46144.67222222222</x:v>
      </x:c>
      <x:c r="B748" s="36" t="n">
        <x:v>46144</x:v>
      </x:c>
      <x:c r="C748" s="34" t="n">
        <x:v>46144.672326388885</x:v>
      </x:c>
      <x:c r="D748" s="15" t="str">
        <x:v>Current a/c..512781</x:v>
      </x:c>
      <x:c r="E748" s="15" t="str"/>
      <x:c r="F748" s="15" t="str">
        <x:v>R1805.86 paid from Current a/c..512781 @ Smartapp. Avail R41315. Ref.Ac De Jager Vleis. 2May 16:08</x:v>
      </x:c>
      <x:c r="G748" s="15" t="str">
        <x:v>Ac De Jager Vleis</x:v>
      </x:c>
      <x:c r="H748" s="38" t="n">
        <x:v>1805.86</x:v>
      </x:c>
      <x:c r="I748" s="15" t="str">
        <x:v>ZAR</x:v>
      </x:c>
      <x:c r="J748" s="15" t="str">
        <x:v>Outflow</x:v>
      </x:c>
      <x:c r="K748" s="15" t="str">
        <x:v>EFT payment</x:v>
      </x:c>
      <x:c r="L748" s="15" t="str">
        <x:v>Supplier payments</x:v>
      </x:c>
      <x:c r="M748" s="38"/>
      <x:c r="N748" s="38" t="n">
        <x:v>41315</x:v>
      </x:c>
      <x:c r="O748" s="15" t="str"/>
      <x:c r="P748" s="15" t="str">
        <x:v>eml_ALL_currentac__512781 (2).zip &gt; eml3currentac__512781.zip</x:v>
      </x:c>
      <x:c r="Q748" s="15" t="str">
        <x:v>FNB _-) R1805.86 paid from Current a_c..512781 @ Smartapp. Ref.Ac De Jager Vleis.  2May 16_08.eml</x:v>
      </x:c>
      <x:c r="R748" s="15" t="str">
        <x:v>High</x:v>
      </x:c>
      <x:c r="S748" s="15" t="str">
        <x:v>Category confidence Low: Default outflow category; review counterparty/reference.</x:v>
      </x:c>
      <x:c r="T748" s="15" t="str"/>
      <x:c r="U748" s="15" t="str"/>
      <x:c r="V748" s="15" t="str">
        <x:v>Ac De Jager Vleis</x:v>
      </x:c>
      <x:c r="W748" s="15" t="str">
        <x:v>Smartapp</x:v>
      </x:c>
      <x:c r="X748" s="15" t="str">
        <x:v>FNB :-) R1805.86 paid from Current a/c..512781 @ Smartapp. Avail R41315. Ref.Ac De Jager Vleis. 2May 16:08</x:v>
      </x:c>
      <x:c r="Y748" s="15" t="str">
        <x:v>7c5751b40f324e63</x:v>
      </x:c>
    </x:row>
    <x:row r="749">
      <x:c r="A749" s="34" t="n">
        <x:v>46144.77847222222</x:v>
      </x:c>
      <x:c r="B749" s="36" t="n">
        <x:v>46144</x:v>
      </x:c>
      <x:c r="C749" s="34" t="n">
        <x:v>46144.778645833336</x:v>
      </x:c>
      <x:c r="D749" s="15" t="str">
        <x:v>Current a/c..512781</x:v>
      </x:c>
      <x:c r="E749" s="15" t="str">
        <x:v>card..2924</x:v>
      </x:c>
      <x:c r="F749" s="15" t="str">
        <x:v>R320.00 reserved for purchase @ Yoco *k2025744041 from Current a/c..512781 using card..2924. Avail R40995. 2May 18:41</x:v>
      </x:c>
      <x:c r="G749" s="15" t="str">
        <x:v>Yoco *k2025744041</x:v>
      </x:c>
      <x:c r="H749" s="38" t="n">
        <x:v>320</x:v>
      </x:c>
      <x:c r="I749" s="15" t="str">
        <x:v>ZAR</x:v>
      </x:c>
      <x:c r="J749" s="15" t="str">
        <x:v>Outflow</x:v>
      </x:c>
      <x:c r="K749" s="15" t="str">
        <x:v>Card purchase</x:v>
      </x:c>
      <x:c r="L749" s="15" t="str">
        <x:v>Card spend</x:v>
      </x:c>
      <x:c r="M749" s="38"/>
      <x:c r="N749" s="38" t="n">
        <x:v>40995</x:v>
      </x:c>
      <x:c r="O749" s="15" t="str"/>
      <x:c r="P749" s="15" t="str">
        <x:v>eml_ALL_currentac__512781 (2).zip &gt; eml3currentac__512781.zip</x:v>
      </x:c>
      <x:c r="Q749" s="15" t="str">
        <x:v>FNB _-) R320.00 reserved for purchase @ Yoco _k2025744041 from Current a_c..512781 using card..2924.  2May 18_41.eml</x:v>
      </x:c>
      <x:c r="R749" s="15" t="str">
        <x:v>High</x:v>
      </x:c>
      <x:c r="S749" s="15" t="str">
        <x:v>Category confidence Low: Default card-spend category; merchant not confidently mapped.</x:v>
      </x:c>
      <x:c r="T749" s="15" t="str"/>
      <x:c r="U749" s="15" t="str"/>
      <x:c r="V749" s="15" t="str"/>
      <x:c r="W749" s="15" t="str"/>
      <x:c r="X749" s="15" t="str">
        <x:v>FNB :-) R320.00 reserved for purchase @ Yoco *k2025744041 from Current a/c..512781 using card..2924. Avail R40995. 2May 18:41</x:v>
      </x:c>
      <x:c r="Y749" s="15" t="str">
        <x:v>0b01844a41b79a29</x:v>
      </x:c>
    </x:row>
    <x:row r="750">
      <x:c r="A750" s="34" t="n">
        <x:v>46146.31319444445</x:v>
      </x:c>
      <x:c r="B750" s="36" t="n">
        <x:v>46146</x:v>
      </x:c>
      <x:c r="C750" s="34" t="n">
        <x:v>46146.3134375</x:v>
      </x:c>
      <x:c r="D750" s="15" t="str">
        <x:v>Current a/c..512781</x:v>
      </x:c>
      <x:c r="E750" s="15" t="str"/>
      <x:c r="F750" s="15" t="str">
        <x:v>R150.00 paid from Current a/c..512781 @ Smartapp. Avail R40771. Ref.Electricity 14503572. 4May 07:31</x:v>
      </x:c>
      <x:c r="G750" s="15" t="str">
        <x:v>Electricity 14503572</x:v>
      </x:c>
      <x:c r="H750" s="38" t="n">
        <x:v>150</x:v>
      </x:c>
      <x:c r="I750" s="15" t="str">
        <x:v>ZAR</x:v>
      </x:c>
      <x:c r="J750" s="15" t="str">
        <x:v>Outflow</x:v>
      </x:c>
      <x:c r="K750" s="15" t="str">
        <x:v>EFT payment</x:v>
      </x:c>
      <x:c r="L750" s="15" t="str">
        <x:v>Telecom / utilities</x:v>
      </x:c>
      <x:c r="M750" s="38"/>
      <x:c r="N750" s="38" t="n">
        <x:v>40771</x:v>
      </x:c>
      <x:c r="O750" s="15" t="str"/>
      <x:c r="P750" s="15" t="str">
        <x:v>eml_ALL_currentac__512781 (2).zip &gt; eml3currentac__512781.zip</x:v>
      </x:c>
      <x:c r="Q750" s="15" t="str">
        <x:v>FNB _-) R150.00 paid from Current a_c..512781 @ Smartapp. Ref.Electricity 14503572.  4May 07_31.eml</x:v>
      </x:c>
      <x:c r="R750" s="15" t="str">
        <x:v>High</x:v>
      </x:c>
      <x:c r="S750" s="15" t="str"/>
      <x:c r="T750" s="15" t="str"/>
      <x:c r="U750" s="15" t="str"/>
      <x:c r="V750" s="15" t="str">
        <x:v>Electricity 14503572</x:v>
      </x:c>
      <x:c r="W750" s="15" t="str">
        <x:v>Smartapp</x:v>
      </x:c>
      <x:c r="X750" s="15" t="str">
        <x:v>FNB :-) R150.00 paid from Current a/c..512781 @ Smartapp. Avail R40771. Ref.Electricity 14503572. 4May 07:31</x:v>
      </x:c>
      <x:c r="Y750" s="15" t="str">
        <x:v>c9c77a9b2e73269e</x:v>
      </x:c>
    </x:row>
    <x:row r="751">
      <x:c r="A751" s="34" t="n">
        <x:v>46146.575694444444</x:v>
      </x:c>
      <x:c r="B751" s="36" t="n">
        <x:v>46146</x:v>
      </x:c>
      <x:c r="C751" s="34" t="n">
        <x:v>46146.576145833336</x:v>
      </x:c>
      <x:c r="D751" s="15" t="str">
        <x:v>Current a/c..512781</x:v>
      </x:c>
      <x:c r="E751" s="15" t="str"/>
      <x:c r="F751" s="15" t="str">
        <x:v>R31641.63 paid to Current a/c..512781 @ Payshap. Ref.Ik Pay 487882. 4May 13:49</x:v>
      </x:c>
      <x:c r="G751" s="15" t="str">
        <x:v>Ik Pay 487882</x:v>
      </x:c>
      <x:c r="H751" s="38" t="n">
        <x:v>31641.63</x:v>
      </x:c>
      <x:c r="I751" s="15" t="str">
        <x:v>ZAR</x:v>
      </x:c>
      <x:c r="J751" s="15" t="str">
        <x:v>Inflow</x:v>
      </x:c>
      <x:c r="K751" s="15" t="str">
        <x:v>EFT receipt</x:v>
      </x:c>
      <x:c r="L751" s="15" t="str">
        <x:v>Sales / customer receipts</x:v>
      </x:c>
      <x:c r="M751" s="38"/>
      <x:c r="N751" s="38"/>
      <x:c r="O751" s="15" t="str"/>
      <x:c r="P751" s="15" t="str">
        <x:v>eml_ALL_currentac__512781 (2).zip &gt; eml3currentac__512781.zip</x:v>
      </x:c>
      <x:c r="Q751" s="15" t="str">
        <x:v>FNB _-) R31641.63 paid to Current a_c..512781 @ Payshap. Ref.Ik Pay 487882.  4May 13_49.eml</x:v>
      </x:c>
      <x:c r="R751" s="15" t="str">
        <x:v>High</x:v>
      </x:c>
      <x:c r="S751" s="15" t="str">
        <x:v>Category confidence Medium: Default for incoming EFT/PayShap/online receipt.</x:v>
      </x:c>
      <x:c r="T751" s="15" t="str"/>
      <x:c r="U751" s="15" t="str"/>
      <x:c r="V751" s="15" t="str">
        <x:v>Ik Pay 487882</x:v>
      </x:c>
      <x:c r="W751" s="15" t="str">
        <x:v>Payshap</x:v>
      </x:c>
      <x:c r="X751" s="15" t="str">
        <x:v>FNB :-) R31641.63 paid to Current a/c..512781 @ Payshap. Ref.Ik Pay 487882. 4May 13:49</x:v>
      </x:c>
      <x:c r="Y751" s="15" t="str">
        <x:v>76744aef32a7584a</x:v>
      </x:c>
    </x:row>
    <x:row r="752">
      <x:c r="A752" s="34" t="n">
        <x:v>46146.62847222222</x:v>
      </x:c>
      <x:c r="B752" s="36" t="n">
        <x:v>46146</x:v>
      </x:c>
      <x:c r="C752" s="34" t="n">
        <x:v>46146.628854166665</x:v>
      </x:c>
      <x:c r="D752" s="15" t="str">
        <x:v>Current a/c..512781</x:v>
      </x:c>
      <x:c r="E752" s="15" t="str">
        <x:v>card..2924</x:v>
      </x:c>
      <x:c r="F752" s="15" t="str">
        <x:v>R400.00 reserved for purchase @ Marlothi Petrol Stat from Current a/c..512781 using card..2924. Avail R72013. 4May 15:05</x:v>
      </x:c>
      <x:c r="G752" s="15" t="str">
        <x:v>Marlothi Petrol Stat</x:v>
      </x:c>
      <x:c r="H752" s="38" t="n">
        <x:v>400</x:v>
      </x:c>
      <x:c r="I752" s="15" t="str">
        <x:v>ZAR</x:v>
      </x:c>
      <x:c r="J752" s="15" t="str">
        <x:v>Outflow</x:v>
      </x:c>
      <x:c r="K752" s="15" t="str">
        <x:v>Card purchase</x:v>
      </x:c>
      <x:c r="L752" s="15" t="str">
        <x:v>Fuel / transport</x:v>
      </x:c>
      <x:c r="M752" s="38"/>
      <x:c r="N752" s="38" t="n">
        <x:v>72013</x:v>
      </x:c>
      <x:c r="O752" s="15" t="str"/>
      <x:c r="P752" s="15" t="str">
        <x:v>eml_ALL_currentac__512781 (2).zip &gt; eml3currentac__512781.zip</x:v>
      </x:c>
      <x:c r="Q752" s="15" t="str">
        <x:v>FNB _-) R400.00 reserved for purchase @ Marlothi Petrol Stat from Current a_c..512781 using card..2924.  4May 15_05.eml</x:v>
      </x:c>
      <x:c r="R752" s="15" t="str">
        <x:v>High</x:v>
      </x:c>
      <x:c r="S752" s="15" t="str"/>
      <x:c r="T752" s="15" t="str"/>
      <x:c r="U752" s="15" t="str"/>
      <x:c r="V752" s="15" t="str"/>
      <x:c r="W752" s="15" t="str"/>
      <x:c r="X752" s="15" t="str">
        <x:v>FNB :-) R400.00 reserved for purchase @ Marlothi Petrol Stat from Current a/c..512781 using card..2924. Avail R72013. 4May 15:05</x:v>
      </x:c>
      <x:c r="Y752" s="15" t="str">
        <x:v>2253d3ac508bc482</x:v>
      </x:c>
    </x:row>
    <x:row r="753">
      <x:c r="A753" s="34" t="n">
        <x:v>46146.65277777778</x:v>
      </x:c>
      <x:c r="B753" s="36" t="n">
        <x:v>46146</x:v>
      </x:c>
      <x:c r="C753" s="34" t="n">
        <x:v>46146.65335648148</x:v>
      </x:c>
      <x:c r="D753" s="15" t="str">
        <x:v>Current a/c..512781</x:v>
      </x:c>
      <x:c r="E753" s="15" t="str"/>
      <x:c r="F753" s="15" t="str">
        <x:v>R6000.00 paid from Current a/c..512781 @ Smartapp. Avail R66010. Ref.Salary. 4May 15:40</x:v>
      </x:c>
      <x:c r="G753" s="15" t="str">
        <x:v>Salary</x:v>
      </x:c>
      <x:c r="H753" s="38" t="n">
        <x:v>6000</x:v>
      </x:c>
      <x:c r="I753" s="15" t="str">
        <x:v>ZAR</x:v>
      </x:c>
      <x:c r="J753" s="15" t="str">
        <x:v>Outflow</x:v>
      </x:c>
      <x:c r="K753" s="15" t="str">
        <x:v>EFT payment</x:v>
      </x:c>
      <x:c r="L753" s="15" t="str">
        <x:v>Salary / wages</x:v>
      </x:c>
      <x:c r="M753" s="38"/>
      <x:c r="N753" s="38" t="n">
        <x:v>66010</x:v>
      </x:c>
      <x:c r="O753" s="15" t="str"/>
      <x:c r="P753" s="15" t="str">
        <x:v>eml_ALL_currentac__512781 (2).zip &gt; eml3currentac__512781.zip</x:v>
      </x:c>
      <x:c r="Q753" s="15" t="str">
        <x:v>FNB _-) R6000.00 paid from Current a_c..512781 @ Smartapp. Ref.Salary.  4May 15_40.eml</x:v>
      </x:c>
      <x:c r="R753" s="15" t="str">
        <x:v>High</x:v>
      </x:c>
      <x:c r="S753" s="15" t="str"/>
      <x:c r="T753" s="15" t="str"/>
      <x:c r="U753" s="15" t="str"/>
      <x:c r="V753" s="15" t="str">
        <x:v>Salary</x:v>
      </x:c>
      <x:c r="W753" s="15" t="str">
        <x:v>Smartapp</x:v>
      </x:c>
      <x:c r="X753" s="15" t="str">
        <x:v>FNB :-) R6000.00 paid from Current a/c..512781 @ Smartapp. Avail R66010. Ref.Salary. 4May 15:40</x:v>
      </x:c>
      <x:c r="Y753" s="15" t="str">
        <x:v>4e7523b03c6c6e45</x:v>
      </x:c>
    </x:row>
    <x:row r="754">
      <x:c r="A754" s="34" t="n">
        <x:v>46147.379166666666</x:v>
      </x:c>
      <x:c r="B754" s="36" t="n">
        <x:v>46147</x:v>
      </x:c>
      <x:c r="C754" s="34" t="n">
        <x:v>46147.37967592593</x:v>
      </x:c>
      <x:c r="D754" s="15" t="str">
        <x:v>Current a/c..512781</x:v>
      </x:c>
      <x:c r="E754" s="15" t="str"/>
      <x:c r="F754" s="15" t="str">
        <x:v>R150.00 paid from Current a/c..512781 @ Smartapp. Avail R65858. Ref.Electricity 14503572. 5May 09:06</x:v>
      </x:c>
      <x:c r="G754" s="15" t="str">
        <x:v>Electricity 14503572</x:v>
      </x:c>
      <x:c r="H754" s="38" t="n">
        <x:v>150</x:v>
      </x:c>
      <x:c r="I754" s="15" t="str">
        <x:v>ZAR</x:v>
      </x:c>
      <x:c r="J754" s="15" t="str">
        <x:v>Outflow</x:v>
      </x:c>
      <x:c r="K754" s="15" t="str">
        <x:v>EFT payment</x:v>
      </x:c>
      <x:c r="L754" s="15" t="str">
        <x:v>Telecom / utilities</x:v>
      </x:c>
      <x:c r="M754" s="38"/>
      <x:c r="N754" s="38" t="n">
        <x:v>65858</x:v>
      </x:c>
      <x:c r="O754" s="15" t="str"/>
      <x:c r="P754" s="15" t="str">
        <x:v>eml_ALL_currentac__512781 (2).zip &gt; eml3currentac__512781.zip</x:v>
      </x:c>
      <x:c r="Q754" s="15" t="str">
        <x:v>FNB _-) R150.00 paid from Current a_c..512781 @ Smartapp. Ref.Electricity 14503572.  5May 09_06.eml</x:v>
      </x:c>
      <x:c r="R754" s="15" t="str">
        <x:v>High</x:v>
      </x:c>
      <x:c r="S754" s="15" t="str"/>
      <x:c r="T754" s="15" t="str"/>
      <x:c r="U754" s="15" t="str"/>
      <x:c r="V754" s="15" t="str">
        <x:v>Electricity 14503572</x:v>
      </x:c>
      <x:c r="W754" s="15" t="str">
        <x:v>Smartapp</x:v>
      </x:c>
      <x:c r="X754" s="15" t="str">
        <x:v>FNB :-) R150.00 paid from Current a/c..512781 @ Smartapp. Avail R65858. Ref.Electricity 14503572. 5May 09:06</x:v>
      </x:c>
      <x:c r="Y754" s="15" t="str">
        <x:v>2170bbff9927dc51</x:v>
      </x:c>
    </x:row>
    <x:row r="755">
      <x:c r="A755" s="34" t="n">
        <x:v>46147.45138888889</x:v>
      </x:c>
      <x:c r="B755" s="36" t="n">
        <x:v>46147</x:v>
      </x:c>
      <x:c r="C755" s="34" t="n">
        <x:v>46147.452002314814</x:v>
      </x:c>
      <x:c r="D755" s="15" t="str">
        <x:v>Current a/c..512781</x:v>
      </x:c>
      <x:c r="E755" s="15" t="str"/>
      <x:c r="F755" s="15" t="str">
        <x:v>R13128.00 paid from Current a/c..512781 @ Smartapp. Avail R52722. Ref.Kruger Safari 1697. 5May 10:50</x:v>
      </x:c>
      <x:c r="G755" s="15" t="str">
        <x:v>Kruger Safari 1697</x:v>
      </x:c>
      <x:c r="H755" s="38" t="n">
        <x:v>13128</x:v>
      </x:c>
      <x:c r="I755" s="15" t="str">
        <x:v>ZAR</x:v>
      </x:c>
      <x:c r="J755" s="15" t="str">
        <x:v>Outflow</x:v>
      </x:c>
      <x:c r="K755" s="15" t="str">
        <x:v>EFT payment</x:v>
      </x:c>
      <x:c r="L755" s="15" t="str">
        <x:v>Supplier payments</x:v>
      </x:c>
      <x:c r="M755" s="38"/>
      <x:c r="N755" s="38" t="n">
        <x:v>52722</x:v>
      </x:c>
      <x:c r="O755" s="15" t="str"/>
      <x:c r="P755" s="15" t="str">
        <x:v>eml_ALL_currentac__512781 (2).zip &gt; eml3currentac__512781.zip</x:v>
      </x:c>
      <x:c r="Q755" s="15" t="str">
        <x:v>FNB _-) R13128.00 paid from Current a_c..512781 @ Smartapp. Ref.Kruger Safari 1697.  5May 10_50.eml</x:v>
      </x:c>
      <x:c r="R755" s="15" t="str">
        <x:v>High</x:v>
      </x:c>
      <x:c r="S755" s="15" t="str">
        <x:v>Category confidence Low: Default outflow category; review counterparty/reference.</x:v>
      </x:c>
      <x:c r="T755" s="15" t="str"/>
      <x:c r="U755" s="15" t="str"/>
      <x:c r="V755" s="15" t="str">
        <x:v>Kruger Safari 1697</x:v>
      </x:c>
      <x:c r="W755" s="15" t="str">
        <x:v>Smartapp</x:v>
      </x:c>
      <x:c r="X755" s="15" t="str">
        <x:v>FNB :-) R13128.00 paid from Current a/c..512781 @ Smartapp. Avail R52722. Ref.Kruger Safari 1697. 5May 10:50</x:v>
      </x:c>
      <x:c r="Y755" s="15" t="str">
        <x:v>3fd93e5c10e2fcd6</x:v>
      </x:c>
    </x:row>
    <x:row r="756">
      <x:c r="A756" s="34" t="n">
        <x:v>46147.45208333333</x:v>
      </x:c>
      <x:c r="B756" s="36" t="n">
        <x:v>46147</x:v>
      </x:c>
      <x:c r="C756" s="34" t="n">
        <x:v>46147.452511574076</x:v>
      </x:c>
      <x:c r="D756" s="15" t="str">
        <x:v>Current a/c..512781</x:v>
      </x:c>
      <x:c r="E756" s="15" t="str"/>
      <x:c r="F756" s="15" t="str">
        <x:v>R8480.00 paid from Current a/c..512781 @ Smartapp. Avail R44234. Ref.Royal Bush 3945. 5May 10:51</x:v>
      </x:c>
      <x:c r="G756" s="15" t="str">
        <x:v>Royal Bush 3945</x:v>
      </x:c>
      <x:c r="H756" s="38" t="n">
        <x:v>8480</x:v>
      </x:c>
      <x:c r="I756" s="15" t="str">
        <x:v>ZAR</x:v>
      </x:c>
      <x:c r="J756" s="15" t="str">
        <x:v>Outflow</x:v>
      </x:c>
      <x:c r="K756" s="15" t="str">
        <x:v>EFT payment</x:v>
      </x:c>
      <x:c r="L756" s="15" t="str">
        <x:v>Supplier payments</x:v>
      </x:c>
      <x:c r="M756" s="38"/>
      <x:c r="N756" s="38" t="n">
        <x:v>44234</x:v>
      </x:c>
      <x:c r="O756" s="15" t="str"/>
      <x:c r="P756" s="15" t="str">
        <x:v>eml_ALL_currentac__512781 (2).zip &gt; eml3currentac__512781.zip</x:v>
      </x:c>
      <x:c r="Q756" s="15" t="str">
        <x:v>FNB _-) R8480.00 paid from Current a_c..512781 @ Smartapp. Ref.Royal Bush 3945.  5May 10_51.eml</x:v>
      </x:c>
      <x:c r="R756" s="15" t="str">
        <x:v>High</x:v>
      </x:c>
      <x:c r="S756" s="15" t="str">
        <x:v>Category confidence Low: Default outflow category; review counterparty/reference.</x:v>
      </x:c>
      <x:c r="T756" s="15" t="str"/>
      <x:c r="U756" s="15" t="str"/>
      <x:c r="V756" s="15" t="str">
        <x:v>Royal Bush 3945</x:v>
      </x:c>
      <x:c r="W756" s="15" t="str">
        <x:v>Smartapp</x:v>
      </x:c>
      <x:c r="X756" s="15" t="str">
        <x:v>FNB :-) R8480.00 paid from Current a/c..512781 @ Smartapp. Avail R44234. Ref.Royal Bush 3945. 5May 10:51</x:v>
      </x:c>
      <x:c r="Y756" s="15" t="str">
        <x:v>4ba01bbadc3774bd</x:v>
      </x:c>
    </x:row>
    <x:row r="757">
      <x:c r="A757" s="34" t="n">
        <x:v>46147.55625</x:v>
      </x:c>
      <x:c r="B757" s="36" t="n">
        <x:v>46147</x:v>
      </x:c>
      <x:c r="C757" s="34" t="n">
        <x:v>46147.55668981482</x:v>
      </x:c>
      <x:c r="D757" s="15" t="str">
        <x:v>Current a/c..512781</x:v>
      </x:c>
      <x:c r="E757" s="15" t="str">
        <x:v>card..2924</x:v>
      </x:c>
      <x:c r="F757" s="15" t="str">
        <x:v>R131.99 reserved for purchase @ Ingwe Supermarket146 from Current a/c..512781 using card..2924. Avail R44102. 5May 13:21</x:v>
      </x:c>
      <x:c r="G757" s="15" t="str">
        <x:v>Ingwe Supermarket146</x:v>
      </x:c>
      <x:c r="H757" s="38" t="n">
        <x:v>131.99</x:v>
      </x:c>
      <x:c r="I757" s="15" t="str">
        <x:v>ZAR</x:v>
      </x:c>
      <x:c r="J757" s="15" t="str">
        <x:v>Outflow</x:v>
      </x:c>
      <x:c r="K757" s="15" t="str">
        <x:v>Card purchase</x:v>
      </x:c>
      <x:c r="L757" s="15" t="str">
        <x:v>Card spend</x:v>
      </x:c>
      <x:c r="M757" s="38"/>
      <x:c r="N757" s="38" t="n">
        <x:v>44102</x:v>
      </x:c>
      <x:c r="O757" s="15" t="str"/>
      <x:c r="P757" s="15" t="str">
        <x:v>eml_ALL_currentac__512781 (2).zip &gt; eml3currentac__512781.zip</x:v>
      </x:c>
      <x:c r="Q757" s="15" t="str">
        <x:v>FNB _-) R131.99 reserved for purchase @ Ingwe Supermarket146 from Current a_c..512781 using card..2924.  5May 13_21.eml</x:v>
      </x:c>
      <x:c r="R757" s="15" t="str">
        <x:v>High</x:v>
      </x:c>
      <x:c r="S757" s="15" t="str">
        <x:v>Category confidence Low: Default card-spend category; merchant not confidently mapped.</x:v>
      </x:c>
      <x:c r="T757" s="15" t="str"/>
      <x:c r="U757" s="15" t="str"/>
      <x:c r="V757" s="15" t="str"/>
      <x:c r="W757" s="15" t="str"/>
      <x:c r="X757" s="15" t="str">
        <x:v>FNB :-) R131.99 reserved for purchase @ Ingwe Supermarket146 from Current a/c..512781 using card..2924. Avail R44102. 5May 13:21</x:v>
      </x:c>
      <x:c r="Y757" s="15" t="str">
        <x:v>862cc49cffd9affc</x:v>
      </x:c>
    </x:row>
    <x:row r="758">
      <x:c r="A758" s="34" t="n">
        <x:v>46147.635416666664</x:v>
      </x:c>
      <x:c r="B758" s="36" t="n">
        <x:v>46147</x:v>
      </x:c>
      <x:c r="C758" s="34" t="n">
        <x:v>46147.63559027778</x:v>
      </x:c>
      <x:c r="D758" s="15" t="str">
        <x:v>Current a/c..512781</x:v>
      </x:c>
      <x:c r="E758" s="15" t="str">
        <x:v>card..2924</x:v>
      </x:c>
      <x:c r="F758" s="15" t="str">
        <x:v>R475.72 reserved for purchase @ Marlothi Petrol Stat from Current a/c..512781 using card..2924. Avail R43626. 5May 15:15</x:v>
      </x:c>
      <x:c r="G758" s="15" t="str">
        <x:v>Marlothi Petrol Stat</x:v>
      </x:c>
      <x:c r="H758" s="38" t="n">
        <x:v>475.72</x:v>
      </x:c>
      <x:c r="I758" s="15" t="str">
        <x:v>ZAR</x:v>
      </x:c>
      <x:c r="J758" s="15" t="str">
        <x:v>Outflow</x:v>
      </x:c>
      <x:c r="K758" s="15" t="str">
        <x:v>Card purchase</x:v>
      </x:c>
      <x:c r="L758" s="15" t="str">
        <x:v>Fuel / transport</x:v>
      </x:c>
      <x:c r="M758" s="38"/>
      <x:c r="N758" s="38" t="n">
        <x:v>43626</x:v>
      </x:c>
      <x:c r="O758" s="15" t="str"/>
      <x:c r="P758" s="15" t="str">
        <x:v>eml_ALL_currentac__512781 (2).zip &gt; eml2currentac__512781.zip</x:v>
      </x:c>
      <x:c r="Q758" s="15" t="str">
        <x:v>FNB _-) R475.72 reserved for purchase @ Marlothi Petrol Stat from Current a_c..512781 using card..2924.  5May 15_15.eml</x:v>
      </x:c>
      <x:c r="R758" s="15" t="str">
        <x:v>High</x:v>
      </x:c>
      <x:c r="S758" s="15" t="str"/>
      <x:c r="T758" s="15" t="str"/>
      <x:c r="U758" s="15" t="str"/>
      <x:c r="V758" s="15" t="str"/>
      <x:c r="W758" s="15" t="str"/>
      <x:c r="X758" s="15" t="str">
        <x:v>FNB :-) R475.72 reserved for purchase @ Marlothi Petrol Stat from Current a/c..512781 using card..2924. Avail R43626. 5May 15:15</x:v>
      </x:c>
      <x:c r="Y758" s="15" t="str">
        <x:v>6f587c57cbbe072e</x:v>
      </x:c>
    </x:row>
    <x:row r="759">
      <x:c r="A759" s="34" t="n">
        <x:v>46148.64166666667</x:v>
      </x:c>
      <x:c r="B759" s="36" t="n">
        <x:v>46148</x:v>
      </x:c>
      <x:c r="C759" s="34" t="n">
        <x:v>46148.6418287037</x:v>
      </x:c>
      <x:c r="D759" s="15" t="str">
        <x:v>Current a/c..512781</x:v>
      </x:c>
      <x:c r="E759" s="15" t="str">
        <x:v>card..2924</x:v>
      </x:c>
      <x:c r="F759" s="15" t="str">
        <x:v>R239.03 reserved for purchase @ Savemor Marloth from Current a/c..512781 using card..2924. Avail R43315. 6May 15:24</x:v>
      </x:c>
      <x:c r="G759" s="15" t="str">
        <x:v>Savemor Marloth</x:v>
      </x:c>
      <x:c r="H759" s="38" t="n">
        <x:v>239.03</x:v>
      </x:c>
      <x:c r="I759" s="15" t="str">
        <x:v>ZAR</x:v>
      </x:c>
      <x:c r="J759" s="15" t="str">
        <x:v>Outflow</x:v>
      </x:c>
      <x:c r="K759" s="15" t="str">
        <x:v>Card purchase</x:v>
      </x:c>
      <x:c r="L759" s="15" t="str">
        <x:v>Supplier payments</x:v>
      </x:c>
      <x:c r="M759" s="38"/>
      <x:c r="N759" s="38" t="n">
        <x:v>43315</x:v>
      </x:c>
      <x:c r="O759" s="15" t="str"/>
      <x:c r="P759" s="15" t="str">
        <x:v>eml_ALL_currentac__512781 (2).zip &gt; eml2currentac__512781.zip</x:v>
      </x:c>
      <x:c r="Q759" s="15" t="str">
        <x:v>FNB _-) R239.03 reserved for purchase @ Savemor Marloth from Current a_c..512781 using card..2924.  6May 15_24.eml</x:v>
      </x:c>
      <x:c r="R759" s="15" t="str">
        <x:v>High</x:v>
      </x:c>
      <x:c r="S759" s="15" t="str">
        <x:v>Category confidence Medium: Retail/supplier merchant keyword.</x:v>
      </x:c>
      <x:c r="T759" s="15" t="str"/>
      <x:c r="U759" s="15" t="str"/>
      <x:c r="V759" s="15" t="str"/>
      <x:c r="W759" s="15" t="str"/>
      <x:c r="X759" s="15" t="str">
        <x:v>FNB :-) R239.03 reserved for purchase @ Savemor Marloth from Current a/c..512781 using card..2924. Avail R43315. 6May 15:24</x:v>
      </x:c>
      <x:c r="Y759" s="15" t="str">
        <x:v>bea9beebb9e6f2b1</x:v>
      </x:c>
    </x:row>
    <x:row r="760">
      <x:c r="A760" s="34" t="n">
        <x:v>46149.35</x:v>
      </x:c>
      <x:c r="B760" s="36" t="n">
        <x:v>46149</x:v>
      </x:c>
      <x:c r="C760" s="34" t="n">
        <x:v>46149.35054398148</x:v>
      </x:c>
      <x:c r="D760" s="15" t="str">
        <x:v>Current a/c..512781</x:v>
      </x:c>
      <x:c r="E760" s="15" t="str"/>
      <x:c r="F760" s="15" t="str">
        <x:v>R17426.63 paid to Current a/c..512781 @ Retail Forex. Ref.R026sb0230 Booking.c. 7May 08:24</x:v>
      </x:c>
      <x:c r="G760" s="15" t="str">
        <x:v>R026sb0230 Booking.c</x:v>
      </x:c>
      <x:c r="H760" s="38" t="n">
        <x:v>17426.63</x:v>
      </x:c>
      <x:c r="I760" s="15" t="str">
        <x:v>ZAR</x:v>
      </x:c>
      <x:c r="J760" s="15" t="str">
        <x:v>Inflow</x:v>
      </x:c>
      <x:c r="K760" s="15" t="str">
        <x:v>EFT receipt</x:v>
      </x:c>
      <x:c r="L760" s="15" t="str">
        <x:v>Sales / customer receipts</x:v>
      </x:c>
      <x:c r="M760" s="38"/>
      <x:c r="N760" s="38"/>
      <x:c r="O760" s="15" t="str"/>
      <x:c r="P760" s="15" t="str">
        <x:v>eml_ALL_currentac__512781 (2).zip &gt; eml2currentac__512781.zip</x:v>
      </x:c>
      <x:c r="Q760" s="15" t="str">
        <x:v>FNB _-) R17426.63 paid to Current a_c..512781 @ Retail Forex. Ref.R026sb0230 Booking.c.  7May 08_24.eml</x:v>
      </x:c>
      <x:c r="R760" s="15" t="str">
        <x:v>High</x:v>
      </x:c>
      <x:c r="S760" s="15" t="str">
        <x:v>Category confidence Medium: Default for incoming EFT/PayShap/online receipt.</x:v>
      </x:c>
      <x:c r="T760" s="15" t="str"/>
      <x:c r="U760" s="15" t="str"/>
      <x:c r="V760" s="15" t="str">
        <x:v>R026sb0230 Booking.c</x:v>
      </x:c>
      <x:c r="W760" s="15" t="str">
        <x:v>Retail Forex</x:v>
      </x:c>
      <x:c r="X760" s="15" t="str">
        <x:v>FNB :-) R17426.63 paid to Current a/c..512781 @ Retail Forex. Ref.R026sb0230 Booking.c. 7May 08:24</x:v>
      </x:c>
      <x:c r="Y760" s="15" t="str">
        <x:v>c59ae53599961d45</x:v>
      </x:c>
    </x:row>
    <x:row r="761">
      <x:c r="A761" s="34" t="n">
        <x:v>46149.49375</x:v>
      </x:c>
      <x:c r="B761" s="36" t="n">
        <x:v>46149</x:v>
      </x:c>
      <x:c r="C761" s="34" t="n">
        <x:v>46149.494039351855</x:v>
      </x:c>
      <x:c r="D761" s="15" t="str">
        <x:v>Current a/c..512781</x:v>
      </x:c>
      <x:c r="E761" s="15" t="str"/>
      <x:c r="F761" s="15" t="str">
        <x:v>Payment Link created from Current a/c..512781 To Southern Kruger Tran..698317 @ Smartapp. 7May 11:51 Call 087 575 9404 for help.</x:v>
      </x:c>
      <x:c r="G761" s="15" t="str">
        <x:v>Southern Kruger Tran..698317</x:v>
      </x:c>
      <x:c r="H761" s="38"/>
      <x:c r="I761" s="15" t="str"/>
      <x:c r="J761" s="15" t="str">
        <x:v>Neutral/Information Only</x:v>
      </x:c>
      <x:c r="K761" s="15" t="str">
        <x:v>Other</x:v>
      </x:c>
      <x:c r="L761" s="15" t="str">
        <x:v>Other</x:v>
      </x:c>
      <x:c r="M761" s="38"/>
      <x:c r="N761" s="38"/>
      <x:c r="O761" s="15" t="str"/>
      <x:c r="P761" s="15" t="str">
        <x:v>eml_ALL_currentac__512781 (2).zip &gt; eml2currentac__512781.zip</x:v>
      </x:c>
      <x:c r="Q761" s="15" t="str">
        <x:v>FNB _-) Payment Link created from Current a_c..512781 To Southern Kruger Tran..698317 @ Smartapp.  7May 11_51 Call 087 575 9404  for help..eml</x:v>
      </x:c>
      <x:c r="R761" s="15" t="str">
        <x:v>High</x:v>
      </x:c>
      <x:c r="S761" s="15" t="str">
        <x:v>Payment link creation only; no money movement indicated. Category confidence Low: Unable to map confidently.</x:v>
      </x:c>
      <x:c r="T761" s="15" t="str">
        <x:v>Current a/c..512781</x:v>
      </x:c>
      <x:c r="U761" s="15" t="str">
        <x:v>Southern Kruger Tran..698317</x:v>
      </x:c>
      <x:c r="V761" s="15" t="str"/>
      <x:c r="W761" s="15" t="str">
        <x:v>Smartapp</x:v>
      </x:c>
      <x:c r="X761" s="15" t="str">
        <x:v>FNB :-) Payment Link created from Current a/c..512781 To Southern Kruger Tran..698317 @ Smartapp. 7May 11:51 Call 087 575 9404 for help.</x:v>
      </x:c>
      <x:c r="Y761" s="15" t="str">
        <x:v>9e423c76e618be88</x:v>
      </x:c>
    </x:row>
    <x:row r="762">
      <x:c r="A762" s="34" t="n">
        <x:v>46149.49375</x:v>
      </x:c>
      <x:c r="B762" s="36" t="n">
        <x:v>46149</x:v>
      </x:c>
      <x:c r="C762" s="34" t="n">
        <x:v>46149.494305555556</x:v>
      </x:c>
      <x:c r="D762" s="15" t="str">
        <x:v>Current a/c..512781</x:v>
      </x:c>
      <x:c r="E762" s="15" t="str"/>
      <x:c r="F762" s="15" t="str">
        <x:v>R2200.00 paid from Current a/c..512781 @ Smartapp. Avail R58530. Ref.Sk Transfer 0194. 7May 11:51</x:v>
      </x:c>
      <x:c r="G762" s="15" t="str">
        <x:v>Sk Transfer 0194</x:v>
      </x:c>
      <x:c r="H762" s="38" t="n">
        <x:v>2200</x:v>
      </x:c>
      <x:c r="I762" s="15" t="str">
        <x:v>ZAR</x:v>
      </x:c>
      <x:c r="J762" s="15" t="str">
        <x:v>Outflow</x:v>
      </x:c>
      <x:c r="K762" s="15" t="str">
        <x:v>EFT payment</x:v>
      </x:c>
      <x:c r="L762" s="15" t="str">
        <x:v>Supplier payments</x:v>
      </x:c>
      <x:c r="M762" s="38"/>
      <x:c r="N762" s="38" t="n">
        <x:v>58530</x:v>
      </x:c>
      <x:c r="O762" s="15" t="str"/>
      <x:c r="P762" s="15" t="str">
        <x:v>eml_ALL_currentac__512781 (2).zip &gt; eml2currentac__512781.zip</x:v>
      </x:c>
      <x:c r="Q762" s="15" t="str">
        <x:v>FNB _-) R2200.00 paid from Current a_c..512781 @ Smartapp. Ref.Sk Transfer 0194.  7May 11_51.eml</x:v>
      </x:c>
      <x:c r="R762" s="15" t="str">
        <x:v>High</x:v>
      </x:c>
      <x:c r="S762" s="15" t="str">
        <x:v>Category confidence Low: Default outflow category; review counterparty/reference.</x:v>
      </x:c>
      <x:c r="T762" s="15" t="str"/>
      <x:c r="U762" s="15" t="str"/>
      <x:c r="V762" s="15" t="str">
        <x:v>Sk Transfer 0194</x:v>
      </x:c>
      <x:c r="W762" s="15" t="str">
        <x:v>Smartapp</x:v>
      </x:c>
      <x:c r="X762" s="15" t="str">
        <x:v>FNB :-) R2200.00 paid from Current a/c..512781 @ Smartapp. Avail R58530. Ref.Sk Transfer 0194. 7May 11:51</x:v>
      </x:c>
      <x:c r="Y762" s="15" t="str">
        <x:v>eae19597c1f07402</x:v>
      </x:c>
    </x:row>
    <x:row r="763">
      <x:c r="A763" s="34" t="n">
        <x:v>46149.55</x:v>
      </x:c>
      <x:c r="B763" s="36" t="n">
        <x:v>46149</x:v>
      </x:c>
      <x:c r="C763" s="34" t="n">
        <x:v>46149.55049768519</x:v>
      </x:c>
      <x:c r="D763" s="15" t="str">
        <x:v>Current a/c..512781</x:v>
      </x:c>
      <x:c r="E763" s="15" t="str">
        <x:v>card..2924</x:v>
      </x:c>
      <x:c r="F763" s="15" t="str">
        <x:v>R834.37 reserved for purchase @ Shoprite Komatipoort from Current a/c..512781 using card..2924. Avail R57695. 7May 13:12</x:v>
      </x:c>
      <x:c r="G763" s="15" t="str">
        <x:v>Shoprite Komatipoort</x:v>
      </x:c>
      <x:c r="H763" s="38" t="n">
        <x:v>834.37</x:v>
      </x:c>
      <x:c r="I763" s="15" t="str">
        <x:v>ZAR</x:v>
      </x:c>
      <x:c r="J763" s="15" t="str">
        <x:v>Outflow</x:v>
      </x:c>
      <x:c r="K763" s="15" t="str">
        <x:v>Card purchase</x:v>
      </x:c>
      <x:c r="L763" s="15" t="str">
        <x:v>Supplier payments</x:v>
      </x:c>
      <x:c r="M763" s="38"/>
      <x:c r="N763" s="38" t="n">
        <x:v>57695</x:v>
      </x:c>
      <x:c r="O763" s="15" t="str"/>
      <x:c r="P763" s="15" t="str">
        <x:v>eml_ALL_currentac__512781 (2).zip &gt; eml2currentac__512781.zip</x:v>
      </x:c>
      <x:c r="Q763" s="15" t="str">
        <x:v>FNB _-) R834.37 reserved for purchase @ Shoprite Komatipoort from Current a_c..512781 using card..2924.  7May 13_12.eml</x:v>
      </x:c>
      <x:c r="R763" s="15" t="str">
        <x:v>High</x:v>
      </x:c>
      <x:c r="S763" s="15" t="str">
        <x:v>Category confidence Medium: Retail/supplier merchant keyword.</x:v>
      </x:c>
      <x:c r="T763" s="15" t="str"/>
      <x:c r="U763" s="15" t="str"/>
      <x:c r="V763" s="15" t="str"/>
      <x:c r="W763" s="15" t="str"/>
      <x:c r="X763" s="15" t="str">
        <x:v>FNB :-) R834.37 reserved for purchase @ Shoprite Komatipoort from Current a/c..512781 using card..2924. Avail R57695. 7May 13:12</x:v>
      </x:c>
      <x:c r="Y763" s="15" t="str">
        <x:v>586213e2f9e911ae</x:v>
      </x:c>
    </x:row>
    <x:row r="764">
      <x:c r="A764" s="34" t="n">
        <x:v>46149.57986111111</x:v>
      </x:c>
      <x:c r="B764" s="36" t="n">
        <x:v>46149</x:v>
      </x:c>
      <x:c r="C764" s="34" t="n">
        <x:v>46149.58015046296</x:v>
      </x:c>
      <x:c r="D764" s="15" t="str">
        <x:v>Current a/c..512781</x:v>
      </x:c>
      <x:c r="E764" s="15" t="str">
        <x:v>card..2924</x:v>
      </x:c>
      <x:c r="F764" s="15" t="str">
        <x:v>R570.86 reserved for purchase @ Pep Home 5771 Komati from Current a/c..512781 using card..2924. Avail R57124. 7May 13:55</x:v>
      </x:c>
      <x:c r="G764" s="15" t="str">
        <x:v>Pep Home 5771 Komati</x:v>
      </x:c>
      <x:c r="H764" s="38" t="n">
        <x:v>570.86</x:v>
      </x:c>
      <x:c r="I764" s="15" t="str">
        <x:v>ZAR</x:v>
      </x:c>
      <x:c r="J764" s="15" t="str">
        <x:v>Outflow</x:v>
      </x:c>
      <x:c r="K764" s="15" t="str">
        <x:v>Card purchase</x:v>
      </x:c>
      <x:c r="L764" s="15" t="str">
        <x:v>Supplier payments</x:v>
      </x:c>
      <x:c r="M764" s="38"/>
      <x:c r="N764" s="38" t="n">
        <x:v>57124</x:v>
      </x:c>
      <x:c r="O764" s="15" t="str"/>
      <x:c r="P764" s="15" t="str">
        <x:v>eml_ALL_currentac__512781 (2).zip &gt; eml2currentac__512781.zip</x:v>
      </x:c>
      <x:c r="Q764" s="15" t="str">
        <x:v>FNB _-) R570.86 reserved for purchase @ Pep Home 5771 Komati from Current a_c..512781 using card..2924.  7May 13_55.eml</x:v>
      </x:c>
      <x:c r="R764" s="15" t="str">
        <x:v>High</x:v>
      </x:c>
      <x:c r="S764" s="15" t="str">
        <x:v>Category confidence Medium: Retail/supplier merchant keyword.</x:v>
      </x:c>
      <x:c r="T764" s="15" t="str"/>
      <x:c r="U764" s="15" t="str"/>
      <x:c r="V764" s="15" t="str"/>
      <x:c r="W764" s="15" t="str"/>
      <x:c r="X764" s="15" t="str">
        <x:v>FNB :-) R570.86 reserved for purchase @ Pep Home 5771 Komati from Current a/c..512781 using card..2924. Avail R57124. 7May 13:55</x:v>
      </x:c>
      <x:c r="Y764" s="15" t="str">
        <x:v>edce29c85c31ccf5</x:v>
      </x:c>
    </x:row>
    <x:row r="765">
      <x:c r="A765" s="34" t="n">
        <x:v>46149.62847222222</x:v>
      </x:c>
      <x:c r="B765" s="36" t="n">
        <x:v>46149</x:v>
      </x:c>
      <x:c r="C765" s="34" t="n">
        <x:v>46149.62908564815</x:v>
      </x:c>
      <x:c r="D765" s="15" t="str">
        <x:v>Current a/c..512781</x:v>
      </x:c>
      <x:c r="E765" s="15" t="str">
        <x:v>card..2924</x:v>
      </x:c>
      <x:c r="F765" s="15" t="str">
        <x:v>R969.81 reserved for purchase @ Superspar Komatipoor from Current a/c..512781 using card..2924. Avail R56154. 7May 15:05</x:v>
      </x:c>
      <x:c r="G765" s="15" t="str">
        <x:v>Superspar Komatipoor</x:v>
      </x:c>
      <x:c r="H765" s="38" t="n">
        <x:v>969.81</x:v>
      </x:c>
      <x:c r="I765" s="15" t="str">
        <x:v>ZAR</x:v>
      </x:c>
      <x:c r="J765" s="15" t="str">
        <x:v>Outflow</x:v>
      </x:c>
      <x:c r="K765" s="15" t="str">
        <x:v>Card purchase</x:v>
      </x:c>
      <x:c r="L765" s="15" t="str">
        <x:v>Supplier payments</x:v>
      </x:c>
      <x:c r="M765" s="38"/>
      <x:c r="N765" s="38" t="n">
        <x:v>56154</x:v>
      </x:c>
      <x:c r="O765" s="15" t="str"/>
      <x:c r="P765" s="15" t="str">
        <x:v>eml_ALL_currentac__512781 (2).zip &gt; eml2currentac__512781.zip</x:v>
      </x:c>
      <x:c r="Q765" s="15" t="str">
        <x:v>FNB _-) R969.81 reserved for purchase @ Superspar Komatipoor from Current a_c..512781 using card..2924.  7May 15_05.eml</x:v>
      </x:c>
      <x:c r="R765" s="15" t="str">
        <x:v>High</x:v>
      </x:c>
      <x:c r="S765" s="15" t="str">
        <x:v>Category confidence Medium: Retail/supplier merchant keyword.</x:v>
      </x:c>
      <x:c r="T765" s="15" t="str"/>
      <x:c r="U765" s="15" t="str"/>
      <x:c r="V765" s="15" t="str"/>
      <x:c r="W765" s="15" t="str"/>
      <x:c r="X765" s="15" t="str">
        <x:v>FNB :-) R969.81 reserved for purchase @ Superspar Komatipoor from Current a/c..512781 using card..2924. Avail R56154. 7May 15:05</x:v>
      </x:c>
      <x:c r="Y765" s="15" t="str">
        <x:v>0fca4cdf06c57b44</x:v>
      </x:c>
    </x:row>
    <x:row r="766">
      <x:c r="A766" s="34" t="n">
        <x:v>46149.78402777778</x:v>
      </x:c>
      <x:c r="B766" s="36" t="n">
        <x:v>46149</x:v>
      </x:c>
      <x:c r="C766" s="34" t="n">
        <x:v>46149.784224537034</x:v>
      </x:c>
      <x:c r="D766" s="15" t="str">
        <x:v>Current a/c..512781</x:v>
      </x:c>
      <x:c r="E766" s="15" t="str"/>
      <x:c r="F766" s="15" t="str">
        <x:v>R500.00 paid from Current a/c..512781 @ Smartapp. Avail R55652. Ref.Electricity 04294887. 7May 18:49</x:v>
      </x:c>
      <x:c r="G766" s="15" t="str">
        <x:v>Electricity 04294887</x:v>
      </x:c>
      <x:c r="H766" s="38" t="n">
        <x:v>500</x:v>
      </x:c>
      <x:c r="I766" s="15" t="str">
        <x:v>ZAR</x:v>
      </x:c>
      <x:c r="J766" s="15" t="str">
        <x:v>Outflow</x:v>
      </x:c>
      <x:c r="K766" s="15" t="str">
        <x:v>EFT payment</x:v>
      </x:c>
      <x:c r="L766" s="15" t="str">
        <x:v>Telecom / utilities</x:v>
      </x:c>
      <x:c r="M766" s="38"/>
      <x:c r="N766" s="38" t="n">
        <x:v>55652</x:v>
      </x:c>
      <x:c r="O766" s="15" t="str"/>
      <x:c r="P766" s="15" t="str">
        <x:v>eml_ALL_currentac__512781 (2).zip &gt; eml2currentac__512781.zip</x:v>
      </x:c>
      <x:c r="Q766" s="15" t="str">
        <x:v>FNB _-) R500.00 paid from Current a_c..512781 @ Smartapp. Ref.Electricity 04294887.  7May 18_49.eml</x:v>
      </x:c>
      <x:c r="R766" s="15" t="str">
        <x:v>High</x:v>
      </x:c>
      <x:c r="S766" s="15" t="str"/>
      <x:c r="T766" s="15" t="str"/>
      <x:c r="U766" s="15" t="str"/>
      <x:c r="V766" s="15" t="str">
        <x:v>Electricity 04294887</x:v>
      </x:c>
      <x:c r="W766" s="15" t="str">
        <x:v>Smartapp</x:v>
      </x:c>
      <x:c r="X766" s="15" t="str">
        <x:v>FNB :-) R500.00 paid from Current a/c..512781 @ Smartapp. Avail R55652. Ref.Electricity 04294887. 7May 18:49</x:v>
      </x:c>
      <x:c r="Y766" s="15" t="str">
        <x:v>a0d277baa51aa05e</x:v>
      </x:c>
    </x:row>
    <x:row r="767">
      <x:c r="A767" s="34" t="n">
        <x:v>46150.30347222222</x:v>
      </x:c>
      <x:c r="B767" s="36" t="n">
        <x:v>46150</x:v>
      </x:c>
      <x:c r="C767" s="34" t="n">
        <x:v>46150.30394675926</x:v>
      </x:c>
      <x:c r="D767" s="15" t="str">
        <x:v>Current a/c..512781</x:v>
      </x:c>
      <x:c r="E767" s="15" t="str"/>
      <x:c r="F767" s="15" t="str">
        <x:v>R150.00 paid from Current a/c..512781 @ Smartapp. Avail R55493. Ref.Electricity 14503572. 8May 07:17</x:v>
      </x:c>
      <x:c r="G767" s="15" t="str">
        <x:v>Electricity 14503572</x:v>
      </x:c>
      <x:c r="H767" s="38" t="n">
        <x:v>150</x:v>
      </x:c>
      <x:c r="I767" s="15" t="str">
        <x:v>ZAR</x:v>
      </x:c>
      <x:c r="J767" s="15" t="str">
        <x:v>Outflow</x:v>
      </x:c>
      <x:c r="K767" s="15" t="str">
        <x:v>EFT payment</x:v>
      </x:c>
      <x:c r="L767" s="15" t="str">
        <x:v>Telecom / utilities</x:v>
      </x:c>
      <x:c r="M767" s="38"/>
      <x:c r="N767" s="38" t="n">
        <x:v>55493</x:v>
      </x:c>
      <x:c r="O767" s="15" t="str"/>
      <x:c r="P767" s="15" t="str">
        <x:v>eml_ALL_currentac__512781 (2).zip &gt; eml2currentac__512781.zip</x:v>
      </x:c>
      <x:c r="Q767" s="15" t="str">
        <x:v>FNB _-) R150.00 paid from Current a_c..512781 @ Smartapp. Ref.Electricity 14503572.  8May 07_17.eml</x:v>
      </x:c>
      <x:c r="R767" s="15" t="str">
        <x:v>High</x:v>
      </x:c>
      <x:c r="S767" s="15" t="str"/>
      <x:c r="T767" s="15" t="str"/>
      <x:c r="U767" s="15" t="str"/>
      <x:c r="V767" s="15" t="str">
        <x:v>Electricity 14503572</x:v>
      </x:c>
      <x:c r="W767" s="15" t="str">
        <x:v>Smartapp</x:v>
      </x:c>
      <x:c r="X767" s="15" t="str">
        <x:v>FNB :-) R150.00 paid from Current a/c..512781 @ Smartapp. Avail R55493. Ref.Electricity 14503572. 8May 07:17</x:v>
      </x:c>
      <x:c r="Y767" s="15" t="str">
        <x:v>be9cc8fa101d0c35</x:v>
      </x:c>
    </x:row>
    <x:row r="768">
      <x:c r="A768" s="34" t="n">
        <x:v>46150.50625</x:v>
      </x:c>
      <x:c r="B768" s="36" t="n">
        <x:v>46150</x:v>
      </x:c>
      <x:c r="C768" s="34" t="n">
        <x:v>46150.50685185185</x:v>
      </x:c>
      <x:c r="D768" s="15" t="str">
        <x:v>Current a/c..512781</x:v>
      </x:c>
      <x:c r="E768" s="15" t="str"/>
      <x:c r="F768" s="15" t="str">
        <x:v>R800.00 paid from Current a/c..512781 @ Smartapp. Avail R54670. Ref.Send Peter Carpentor. 8May 12:09</x:v>
      </x:c>
      <x:c r="G768" s="15" t="str">
        <x:v>Send Peter Carpentor</x:v>
      </x:c>
      <x:c r="H768" s="38" t="n">
        <x:v>800</x:v>
      </x:c>
      <x:c r="I768" s="15" t="str">
        <x:v>ZAR</x:v>
      </x:c>
      <x:c r="J768" s="15" t="str">
        <x:v>Outflow</x:v>
      </x:c>
      <x:c r="K768" s="15" t="str">
        <x:v>EFT payment</x:v>
      </x:c>
      <x:c r="L768" s="15" t="str">
        <x:v>Supplier payments</x:v>
      </x:c>
      <x:c r="M768" s="38"/>
      <x:c r="N768" s="38" t="n">
        <x:v>54670</x:v>
      </x:c>
      <x:c r="O768" s="15" t="str"/>
      <x:c r="P768" s="15" t="str">
        <x:v>eml_ALL_currentac__512781 (2).zip &gt; eml2currentac__512781.zip</x:v>
      </x:c>
      <x:c r="Q768" s="15" t="str">
        <x:v>FNB _-) R800.00 paid from Current a_c..512781 @ Smartapp. Ref.Send Peter Carpentor.  8May 12_09.eml</x:v>
      </x:c>
      <x:c r="R768" s="15" t="str">
        <x:v>High</x:v>
      </x:c>
      <x:c r="S768" s="15" t="str">
        <x:v>Category confidence Low: Default outflow category; review counterparty/reference.</x:v>
      </x:c>
      <x:c r="T768" s="15" t="str"/>
      <x:c r="U768" s="15" t="str"/>
      <x:c r="V768" s="15" t="str">
        <x:v>Send Peter Carpentor</x:v>
      </x:c>
      <x:c r="W768" s="15" t="str">
        <x:v>Smartapp</x:v>
      </x:c>
      <x:c r="X768" s="15" t="str">
        <x:v>FNB :-) R800.00 paid from Current a/c..512781 @ Smartapp. Avail R54670. Ref.Send Peter Carpentor. 8May 12:09</x:v>
      </x:c>
      <x:c r="Y768" s="15" t="str">
        <x:v>be97ea2470ed6018</x:v>
      </x:c>
    </x:row>
    <x:row r="769">
      <x:c r="A769" s="34" t="n">
        <x:v>46150.73402777778</x:v>
      </x:c>
      <x:c r="B769" s="36" t="n">
        <x:v>46150</x:v>
      </x:c>
      <x:c r="C769" s="34" t="n">
        <x:v>46150.734189814815</x:v>
      </x:c>
      <x:c r="D769" s="15" t="str">
        <x:v>Current a/c..512781</x:v>
      </x:c>
      <x:c r="E769" s="15" t="str"/>
      <x:c r="F769" s="15" t="str">
        <x:v>R2500.00 paid from Current a/c..512781 @ Smartapp. Avail R52162. Ref.Sakkie Wages. 8May 17:37</x:v>
      </x:c>
      <x:c r="G769" s="15" t="str">
        <x:v>Sakkie Wages</x:v>
      </x:c>
      <x:c r="H769" s="38" t="n">
        <x:v>2500</x:v>
      </x:c>
      <x:c r="I769" s="15" t="str">
        <x:v>ZAR</x:v>
      </x:c>
      <x:c r="J769" s="15" t="str">
        <x:v>Outflow</x:v>
      </x:c>
      <x:c r="K769" s="15" t="str">
        <x:v>EFT payment</x:v>
      </x:c>
      <x:c r="L769" s="15" t="str">
        <x:v>Salary / wages</x:v>
      </x:c>
      <x:c r="M769" s="38"/>
      <x:c r="N769" s="38" t="n">
        <x:v>52162</x:v>
      </x:c>
      <x:c r="O769" s="15" t="str"/>
      <x:c r="P769" s="15" t="str">
        <x:v>eml_ALL_currentac__512781 (2).zip &gt; eml2currentac__512781.zip</x:v>
      </x:c>
      <x:c r="Q769" s="15" t="str">
        <x:v>FNB _-) R2500.00 paid from Current a_c..512781 @ Smartapp. Ref.Sakkie Wages.  8May 17_37.eml</x:v>
      </x:c>
      <x:c r="R769" s="15" t="str">
        <x:v>High</x:v>
      </x:c>
      <x:c r="S769" s="15" t="str"/>
      <x:c r="T769" s="15" t="str"/>
      <x:c r="U769" s="15" t="str"/>
      <x:c r="V769" s="15" t="str">
        <x:v>Sakkie Wages</x:v>
      </x:c>
      <x:c r="W769" s="15" t="str">
        <x:v>Smartapp</x:v>
      </x:c>
      <x:c r="X769" s="15" t="str">
        <x:v>FNB :-) R2500.00 paid from Current a/c..512781 @ Smartapp. Avail R52162. Ref.Sakkie Wages. 8May 17:37</x:v>
      </x:c>
      <x:c r="Y769" s="15" t="str">
        <x:v>289fc04038f7e44a</x:v>
      </x:c>
    </x:row>
    <x:row r="770">
      <x:c r="A770" s="34" t="n">
        <x:v>46151.438888888886</x:v>
      </x:c>
      <x:c r="B770" s="36" t="n">
        <x:v>46151</x:v>
      </x:c>
      <x:c r="C770" s="34" t="n">
        <x:v>46151.4393287037</x:v>
      </x:c>
      <x:c r="D770" s="15" t="str">
        <x:v>Current a/c..512781</x:v>
      </x:c>
      <x:c r="E770" s="15" t="str"/>
      <x:c r="F770" s="15" t="str">
        <x:v>R1729.10 paid to Current a/c..512781 @ Payshap. Ref.Ik Pay 487882. 9May 10:32</x:v>
      </x:c>
      <x:c r="G770" s="15" t="str">
        <x:v>Ik Pay 487882</x:v>
      </x:c>
      <x:c r="H770" s="38" t="n">
        <x:v>1729.1</x:v>
      </x:c>
      <x:c r="I770" s="15" t="str">
        <x:v>ZAR</x:v>
      </x:c>
      <x:c r="J770" s="15" t="str">
        <x:v>Inflow</x:v>
      </x:c>
      <x:c r="K770" s="15" t="str">
        <x:v>EFT receipt</x:v>
      </x:c>
      <x:c r="L770" s="15" t="str">
        <x:v>Sales / customer receipts</x:v>
      </x:c>
      <x:c r="M770" s="38"/>
      <x:c r="N770" s="38"/>
      <x:c r="O770" s="15" t="str"/>
      <x:c r="P770" s="15" t="str">
        <x:v>eml_ALL_currentac__512781 (2).zip &gt; eml2currentac__512781.zip</x:v>
      </x:c>
      <x:c r="Q770" s="15" t="str">
        <x:v>FNB _-) R1729.10 paid to Current a_c..512781 @ Payshap. Ref.Ik Pay 487882.  9May 10_32.eml</x:v>
      </x:c>
      <x:c r="R770" s="15" t="str">
        <x:v>High</x:v>
      </x:c>
      <x:c r="S770" s="15" t="str">
        <x:v>Category confidence Medium: Default for incoming EFT/PayShap/online receipt.</x:v>
      </x:c>
      <x:c r="T770" s="15" t="str"/>
      <x:c r="U770" s="15" t="str"/>
      <x:c r="V770" s="15" t="str">
        <x:v>Ik Pay 487882</x:v>
      </x:c>
      <x:c r="W770" s="15" t="str">
        <x:v>Payshap</x:v>
      </x:c>
      <x:c r="X770" s="15" t="str">
        <x:v>FNB :-) R1729.10 paid to Current a/c..512781 @ Payshap. Ref.Ik Pay 487882. 9May 10:32</x:v>
      </x:c>
      <x:c r="Y770" s="15" t="str">
        <x:v>0d61e3351b0961ba</x:v>
      </x:c>
    </x:row>
    <x:row r="771">
      <x:c r="A771" s="34" t="n">
        <x:v>46151.61111111111</x:v>
      </x:c>
      <x:c r="B771" s="36" t="n">
        <x:v>46151</x:v>
      </x:c>
      <x:c r="C771" s="34" t="n">
        <x:v>46151.611493055556</x:v>
      </x:c>
      <x:c r="D771" s="15" t="str">
        <x:v>Current a/c..512781</x:v>
      </x:c>
      <x:c r="E771" s="15" t="str">
        <x:v>card..2924</x:v>
      </x:c>
      <x:c r="F771" s="15" t="str">
        <x:v>R1601.05 reserved for purchase @ Superspar Komatipoor from Current a/c..512781 using card..2924. Avail R52198. 9May 14:40</x:v>
      </x:c>
      <x:c r="G771" s="15" t="str">
        <x:v>Superspar Komatipoor</x:v>
      </x:c>
      <x:c r="H771" s="38" t="n">
        <x:v>1601.05</x:v>
      </x:c>
      <x:c r="I771" s="15" t="str">
        <x:v>ZAR</x:v>
      </x:c>
      <x:c r="J771" s="15" t="str">
        <x:v>Outflow</x:v>
      </x:c>
      <x:c r="K771" s="15" t="str">
        <x:v>Card purchase</x:v>
      </x:c>
      <x:c r="L771" s="15" t="str">
        <x:v>Supplier payments</x:v>
      </x:c>
      <x:c r="M771" s="38"/>
      <x:c r="N771" s="38" t="n">
        <x:v>52198</x:v>
      </x:c>
      <x:c r="O771" s="15" t="str"/>
      <x:c r="P771" s="15" t="str">
        <x:v>eml_ALL_currentac__512781 (2).zip &gt; eml2currentac__512781.zip</x:v>
      </x:c>
      <x:c r="Q771" s="15" t="str">
        <x:v>FNB _-) R1601.05 reserved for purchase @ Superspar Komatipoor from Current a_c..512781 using card..2924.  9May 14_40.eml</x:v>
      </x:c>
      <x:c r="R771" s="15" t="str">
        <x:v>High</x:v>
      </x:c>
      <x:c r="S771" s="15" t="str">
        <x:v>Category confidence Medium: Retail/supplier merchant keyword.</x:v>
      </x:c>
      <x:c r="T771" s="15" t="str"/>
      <x:c r="U771" s="15" t="str"/>
      <x:c r="V771" s="15" t="str"/>
      <x:c r="W771" s="15" t="str"/>
      <x:c r="X771" s="15" t="str">
        <x:v>FNB :-) R1601.05 reserved for purchase @ Superspar Komatipoor from Current a/c..512781 using card..2924. Avail R52198. 9May 14:40</x:v>
      </x:c>
      <x:c r="Y771" s="15" t="str">
        <x:v>8cbd7f7baff66633</x:v>
      </x:c>
    </x:row>
    <x:row r="772">
      <x:c r="A772" s="34" t="n">
        <x:v>46153.40347222222</x:v>
      </x:c>
      <x:c r="B772" s="36" t="n">
        <x:v>46153</x:v>
      </x:c>
      <x:c r="C772" s="34" t="n">
        <x:v>46153.403495370374</x:v>
      </x:c>
      <x:c r="D772" s="15" t="str">
        <x:v>Current a/c..512781</x:v>
      </x:c>
      <x:c r="E772" s="15" t="str"/>
      <x:c r="F772" s="15" t="str">
        <x:v>R345.40 paid from Current a/c..512781 @ Smartapp. Avail R51797. Ref.Bon Express 008340. 11May 09:41</x:v>
      </x:c>
      <x:c r="G772" s="15" t="str">
        <x:v>Bon Express 008340</x:v>
      </x:c>
      <x:c r="H772" s="38" t="n">
        <x:v>345.4</x:v>
      </x:c>
      <x:c r="I772" s="15" t="str">
        <x:v>ZAR</x:v>
      </x:c>
      <x:c r="J772" s="15" t="str">
        <x:v>Outflow</x:v>
      </x:c>
      <x:c r="K772" s="15" t="str">
        <x:v>EFT payment</x:v>
      </x:c>
      <x:c r="L772" s="15" t="str">
        <x:v>Supplier payments</x:v>
      </x:c>
      <x:c r="M772" s="38"/>
      <x:c r="N772" s="38" t="n">
        <x:v>51797</x:v>
      </x:c>
      <x:c r="O772" s="15" t="str"/>
      <x:c r="P772" s="15" t="str">
        <x:v>eml_ALL_currentac__512781 (2).zip &gt; eml2currentac__512781.zip</x:v>
      </x:c>
      <x:c r="Q772" s="15" t="str">
        <x:v>FNB _-) R345.40 paid from Current a_c..512781 @ Smartapp. Ref.Bon Express 008340. 11May 09_41.eml</x:v>
      </x:c>
      <x:c r="R772" s="15" t="str">
        <x:v>High</x:v>
      </x:c>
      <x:c r="S772" s="15" t="str">
        <x:v>Category confidence Low: Default outflow category; review counterparty/reference.</x:v>
      </x:c>
      <x:c r="T772" s="15" t="str"/>
      <x:c r="U772" s="15" t="str"/>
      <x:c r="V772" s="15" t="str">
        <x:v>Bon Express 008340</x:v>
      </x:c>
      <x:c r="W772" s="15" t="str">
        <x:v>Smartapp</x:v>
      </x:c>
      <x:c r="X772" s="15" t="str">
        <x:v>FNB :-) R345.40 paid from Current a/c..512781 @ Smartapp. Avail R51797. Ref.Bon Express 008340. 11May 09:41</x:v>
      </x:c>
      <x:c r="Y772" s="15" t="str">
        <x:v>3f470acc9a6589c7</x:v>
      </x:c>
    </x:row>
    <x:row r="773">
      <x:c r="A773" s="34" t="n">
        <x:v>46153.44652777778</x:v>
      </x:c>
      <x:c r="B773" s="36" t="n">
        <x:v>46153</x:v>
      </x:c>
      <x:c r="C773" s="34" t="n">
        <x:v>46153.447118055556</x:v>
      </x:c>
      <x:c r="D773" s="15" t="str">
        <x:v>Current a/c..512781</x:v>
      </x:c>
      <x:c r="E773" s="15" t="str"/>
      <x:c r="F773" s="15" t="str">
        <x:v>R2000.00 t/fer from Current a/c..512781 to Private Cheq Acc..566332 @ Smartapp. Avail R49797. 11May 10:43</x:v>
      </x:c>
      <x:c r="G773" s="15" t="str">
        <x:v>Private Cheq Acc..566332</x:v>
      </x:c>
      <x:c r="H773" s="38" t="n">
        <x:v>2000</x:v>
      </x:c>
      <x:c r="I773" s="15" t="str">
        <x:v>ZAR</x:v>
      </x:c>
      <x:c r="J773" s="15" t="str">
        <x:v>Internal Transfer</x:v>
      </x:c>
      <x:c r="K773" s="15" t="str">
        <x:v>Internal transfer</x:v>
      </x:c>
      <x:c r="L773" s="15" t="str">
        <x:v>Inter-account transfer</x:v>
      </x:c>
      <x:c r="M773" s="38"/>
      <x:c r="N773" s="38" t="n">
        <x:v>49797</x:v>
      </x:c>
      <x:c r="O773" s="15" t="str"/>
      <x:c r="P773" s="15" t="str">
        <x:v>eml_ALL_currentac__512781 (2).zip &gt; eml2currentac__512781.zip</x:v>
      </x:c>
      <x:c r="Q773" s="15" t="str">
        <x:v>FNB _-) R2000.00 t_fer from Current a_c..512781 to Private Cheq Acc..566332 @ Smartapp. 11May 10_43.eml</x:v>
      </x:c>
      <x:c r="R773" s="15" t="str">
        <x:v>High</x:v>
      </x:c>
      <x:c r="S773" s="15" t="str">
        <x:v>Classified as internal/inter-account transfer and excluded from operating cashflow.</x:v>
      </x:c>
      <x:c r="T773" s="15" t="str">
        <x:v>Current a/c..512781</x:v>
      </x:c>
      <x:c r="U773" s="15" t="str">
        <x:v>Private Cheq Acc..566332</x:v>
      </x:c>
      <x:c r="V773" s="15" t="str"/>
      <x:c r="W773" s="15" t="str">
        <x:v>Smartapp</x:v>
      </x:c>
      <x:c r="X773" s="15" t="str">
        <x:v>FNB :-) R2000.00 t/fer from Current a/c..512781 to Private Cheq Acc..566332 @ Smartapp. Avail R49797. 11May 10:43</x:v>
      </x:c>
      <x:c r="Y773" s="15" t="str">
        <x:v>5a682e839fa3cb0a</x:v>
      </x:c>
    </x:row>
    <x:row r="774">
      <x:c r="A774" s="34" t="n">
        <x:v>46153.544444444444</x:v>
      </x:c>
      <x:c r="B774" s="36" t="n">
        <x:v>46153</x:v>
      </x:c>
      <x:c r="C774" s="34" t="n">
        <x:v>46153.544953703706</x:v>
      </x:c>
      <x:c r="D774" s="15" t="str">
        <x:v>Current a/c..512781</x:v>
      </x:c>
      <x:c r="E774" s="15" t="str"/>
      <x:c r="F774" s="15" t="str">
        <x:v>R4000.00 paid from Current a/c..512781 @ Smartapp. Avail R45794. Ref.Salary. 11May 13:04</x:v>
      </x:c>
      <x:c r="G774" s="15" t="str">
        <x:v>Salary</x:v>
      </x:c>
      <x:c r="H774" s="38" t="n">
        <x:v>4000</x:v>
      </x:c>
      <x:c r="I774" s="15" t="str">
        <x:v>ZAR</x:v>
      </x:c>
      <x:c r="J774" s="15" t="str">
        <x:v>Outflow</x:v>
      </x:c>
      <x:c r="K774" s="15" t="str">
        <x:v>EFT payment</x:v>
      </x:c>
      <x:c r="L774" s="15" t="str">
        <x:v>Salary / wages</x:v>
      </x:c>
      <x:c r="M774" s="38"/>
      <x:c r="N774" s="38" t="n">
        <x:v>45794</x:v>
      </x:c>
      <x:c r="O774" s="15" t="str"/>
      <x:c r="P774" s="15" t="str">
        <x:v>eml_ALL_currentac__512781 (2).zip &gt; eml2currentac__512781.zip</x:v>
      </x:c>
      <x:c r="Q774" s="15" t="str">
        <x:v>FNB _-) R4000.00 paid from Current a_c..512781 @ Smartapp. Ref.Salary. 11May 13_04.eml</x:v>
      </x:c>
      <x:c r="R774" s="15" t="str">
        <x:v>High</x:v>
      </x:c>
      <x:c r="S774" s="15" t="str"/>
      <x:c r="T774" s="15" t="str"/>
      <x:c r="U774" s="15" t="str"/>
      <x:c r="V774" s="15" t="str">
        <x:v>Salary</x:v>
      </x:c>
      <x:c r="W774" s="15" t="str">
        <x:v>Smartapp</x:v>
      </x:c>
      <x:c r="X774" s="15" t="str">
        <x:v>FNB :-) R4000.00 paid from Current a/c..512781 @ Smartapp. Avail R45794. Ref.Salary. 11May 13:04</x:v>
      </x:c>
      <x:c r="Y774" s="15" t="str">
        <x:v>5a50a2491ba5df7e</x:v>
      </x:c>
    </x:row>
    <x:row r="775">
      <x:c r="A775" s="34" t="n">
        <x:v>46153.55</x:v>
      </x:c>
      <x:c r="B775" s="36" t="n">
        <x:v>46153</x:v>
      </x:c>
      <x:c r="C775" s="34" t="n">
        <x:v>46153.55037037037</x:v>
      </x:c>
      <x:c r="D775" s="15" t="str">
        <x:v>Current a/c..512781</x:v>
      </x:c>
      <x:c r="E775" s="15" t="str"/>
      <x:c r="F775" s="15" t="str">
        <x:v>R1000.00 t/fer from Current a/c..512781 to Private Cheq Acc..566332 @ Smartapp. Avail R44794. 11May 13:12</x:v>
      </x:c>
      <x:c r="G775" s="15" t="str">
        <x:v>Private Cheq Acc..566332</x:v>
      </x:c>
      <x:c r="H775" s="38" t="n">
        <x:v>1000</x:v>
      </x:c>
      <x:c r="I775" s="15" t="str">
        <x:v>ZAR</x:v>
      </x:c>
      <x:c r="J775" s="15" t="str">
        <x:v>Internal Transfer</x:v>
      </x:c>
      <x:c r="K775" s="15" t="str">
        <x:v>Internal transfer</x:v>
      </x:c>
      <x:c r="L775" s="15" t="str">
        <x:v>Inter-account transfer</x:v>
      </x:c>
      <x:c r="M775" s="38"/>
      <x:c r="N775" s="38" t="n">
        <x:v>44794</x:v>
      </x:c>
      <x:c r="O775" s="15" t="str"/>
      <x:c r="P775" s="15" t="str">
        <x:v>eml_ALL_currentac__512781 (2).zip &gt; eml2currentac__512781.zip</x:v>
      </x:c>
      <x:c r="Q775" s="15" t="str">
        <x:v>FNB _-) R1000.00 t_fer from Current a_c..512781 to Private Cheq Acc..566332 @ Smartapp. 11May 13_12.eml</x:v>
      </x:c>
      <x:c r="R775" s="15" t="str">
        <x:v>High</x:v>
      </x:c>
      <x:c r="S775" s="15" t="str">
        <x:v>Classified as internal/inter-account transfer and excluded from operating cashflow.</x:v>
      </x:c>
      <x:c r="T775" s="15" t="str">
        <x:v>Current a/c..512781</x:v>
      </x:c>
      <x:c r="U775" s="15" t="str">
        <x:v>Private Cheq Acc..566332</x:v>
      </x:c>
      <x:c r="V775" s="15" t="str"/>
      <x:c r="W775" s="15" t="str">
        <x:v>Smartapp</x:v>
      </x:c>
      <x:c r="X775" s="15" t="str">
        <x:v>FNB :-) R1000.00 t/fer from Current a/c..512781 to Private Cheq Acc..566332 @ Smartapp. Avail R44794. 11May 13:12</x:v>
      </x:c>
      <x:c r="Y775" s="15" t="str">
        <x:v>7ecf57eb9a803534</x:v>
      </x:c>
    </x:row>
    <x:row r="776">
      <x:c r="A776" s="34" t="n">
        <x:v>46153.615277777775</x:v>
      </x:c>
      <x:c r="B776" s="36" t="n">
        <x:v>46153</x:v>
      </x:c>
      <x:c r="C776" s="34" t="n">
        <x:v>46153.61584490741</x:v>
      </x:c>
      <x:c r="D776" s="15" t="str">
        <x:v>Current a/c..512781</x:v>
      </x:c>
      <x:c r="E776" s="15" t="str"/>
      <x:c r="F776" s="15" t="str">
        <x:v>R1500.00 paid from Current a/c..512781 @ Smartapp. Avail R43253. Ref.Send Donald Bus. 11May 14:46</x:v>
      </x:c>
      <x:c r="G776" s="15" t="str">
        <x:v>Send Donald Bus</x:v>
      </x:c>
      <x:c r="H776" s="38" t="n">
        <x:v>1500</x:v>
      </x:c>
      <x:c r="I776" s="15" t="str">
        <x:v>ZAR</x:v>
      </x:c>
      <x:c r="J776" s="15" t="str">
        <x:v>Outflow</x:v>
      </x:c>
      <x:c r="K776" s="15" t="str">
        <x:v>EFT payment</x:v>
      </x:c>
      <x:c r="L776" s="15" t="str">
        <x:v>Supplier payments</x:v>
      </x:c>
      <x:c r="M776" s="38"/>
      <x:c r="N776" s="38" t="n">
        <x:v>43253</x:v>
      </x:c>
      <x:c r="O776" s="15" t="str"/>
      <x:c r="P776" s="15" t="str">
        <x:v>eml_ALL_currentac__512781 (2).zip &gt; eml2currentac__512781.zip</x:v>
      </x:c>
      <x:c r="Q776" s="15" t="str">
        <x:v>FNB _-) R1500.00 paid from Current a_c..512781 @ Smartapp. Ref.Send Donald Bus. 11May 14_46.eml</x:v>
      </x:c>
      <x:c r="R776" s="15" t="str">
        <x:v>High</x:v>
      </x:c>
      <x:c r="S776" s="15" t="str">
        <x:v>Category confidence Low: Default outflow category; review counterparty/reference.</x:v>
      </x:c>
      <x:c r="T776" s="15" t="str"/>
      <x:c r="U776" s="15" t="str"/>
      <x:c r="V776" s="15" t="str">
        <x:v>Send Donald Bus</x:v>
      </x:c>
      <x:c r="W776" s="15" t="str">
        <x:v>Smartapp</x:v>
      </x:c>
      <x:c r="X776" s="15" t="str">
        <x:v>FNB :-) R1500.00 paid from Current a/c..512781 @ Smartapp. Avail R43253. Ref.Send Donald Bus. 11May 14:46</x:v>
      </x:c>
      <x:c r="Y776" s="15" t="str">
        <x:v>1d6b0cd249eafa4e</x:v>
      </x:c>
    </x:row>
    <x:row r="777">
      <x:c r="A777" s="34" t="n">
        <x:v>46153.65625</x:v>
      </x:c>
      <x:c r="B777" s="36" t="n">
        <x:v>46153</x:v>
      </x:c>
      <x:c r="C777" s="34" t="n">
        <x:v>46153.656539351854</x:v>
      </x:c>
      <x:c r="D777" s="15" t="str">
        <x:v>Current a/c..512781</x:v>
      </x:c>
      <x:c r="E777" s="15" t="str"/>
      <x:c r="F777" s="15" t="str">
        <x:v>R1500.00 paid to Current a/c..512781 @ Smartapp. Ref.Send Rev. 11May 15:45</x:v>
      </x:c>
      <x:c r="G777" s="15" t="str">
        <x:v>Send Rev</x:v>
      </x:c>
      <x:c r="H777" s="38" t="n">
        <x:v>1500</x:v>
      </x:c>
      <x:c r="I777" s="15" t="str">
        <x:v>ZAR</x:v>
      </x:c>
      <x:c r="J777" s="15" t="str">
        <x:v>Inflow</x:v>
      </x:c>
      <x:c r="K777" s="15" t="str">
        <x:v>EFT receipt</x:v>
      </x:c>
      <x:c r="L777" s="15" t="str">
        <x:v>Sales / customer receipts</x:v>
      </x:c>
      <x:c r="M777" s="38"/>
      <x:c r="N777" s="38"/>
      <x:c r="O777" s="15" t="str"/>
      <x:c r="P777" s="15" t="str">
        <x:v>eml_ALL_currentac__512781 (2).zip &gt; eml2currentac__512781.zip</x:v>
      </x:c>
      <x:c r="Q777" s="15" t="str">
        <x:v>FNB _-) R1500.00 paid to Current a_c..512781 @ Smartapp. Ref.Send Rev. 11May 15_45.eml</x:v>
      </x:c>
      <x:c r="R777" s="15" t="str">
        <x:v>High</x:v>
      </x:c>
      <x:c r="S777" s="15" t="str">
        <x:v>Category confidence Medium: Default for incoming EFT/PayShap/online receipt.</x:v>
      </x:c>
      <x:c r="T777" s="15" t="str"/>
      <x:c r="U777" s="15" t="str"/>
      <x:c r="V777" s="15" t="str">
        <x:v>Send Rev</x:v>
      </x:c>
      <x:c r="W777" s="15" t="str">
        <x:v>Smartapp</x:v>
      </x:c>
      <x:c r="X777" s="15" t="str">
        <x:v>FNB :-) R1500.00 paid to Current a/c..512781 @ Smartapp. Ref.Send Rev. 11May 15:45</x:v>
      </x:c>
      <x:c r="Y777" s="15" t="str">
        <x:v>36613045c9e43e34</x:v>
      </x:c>
    </x:row>
    <x:row r="778">
      <x:c r="A778" s="34" t="n">
        <x:v>46153.65902777778</x:v>
      </x:c>
      <x:c r="B778" s="36" t="n">
        <x:v>46153</x:v>
      </x:c>
      <x:c r="C778" s="34" t="n">
        <x:v>46153.65965277778</x:v>
      </x:c>
      <x:c r="D778" s="15" t="str">
        <x:v>Current a/c..512781</x:v>
      </x:c>
      <x:c r="E778" s="15" t="str"/>
      <x:c r="F778" s="15" t="str">
        <x:v>R1500.00 paid from Current a/c..512781 @ Smartapp. Avail R43193. Ref.Send Donald Bus. 11May 15:49</x:v>
      </x:c>
      <x:c r="G778" s="15" t="str">
        <x:v>Send Donald Bus</x:v>
      </x:c>
      <x:c r="H778" s="38" t="n">
        <x:v>1500</x:v>
      </x:c>
      <x:c r="I778" s="15" t="str">
        <x:v>ZAR</x:v>
      </x:c>
      <x:c r="J778" s="15" t="str">
        <x:v>Outflow</x:v>
      </x:c>
      <x:c r="K778" s="15" t="str">
        <x:v>EFT payment</x:v>
      </x:c>
      <x:c r="L778" s="15" t="str">
        <x:v>Supplier payments</x:v>
      </x:c>
      <x:c r="M778" s="38"/>
      <x:c r="N778" s="38" t="n">
        <x:v>43193</x:v>
      </x:c>
      <x:c r="O778" s="15" t="str"/>
      <x:c r="P778" s="15" t="str">
        <x:v>eml_ALL_currentac__512781 (2).zip &gt; eml2currentac__512781.zip</x:v>
      </x:c>
      <x:c r="Q778" s="15" t="str">
        <x:v>FNB _-) R1500.00 paid from Current a_c..512781 @ Smartapp. Ref.Send Donald Bus. 11May 15_49.eml</x:v>
      </x:c>
      <x:c r="R778" s="15" t="str">
        <x:v>High</x:v>
      </x:c>
      <x:c r="S778" s="15" t="str">
        <x:v>Category confidence Low: Default outflow category; review counterparty/reference.</x:v>
      </x:c>
      <x:c r="T778" s="15" t="str"/>
      <x:c r="U778" s="15" t="str"/>
      <x:c r="V778" s="15" t="str">
        <x:v>Send Donald Bus</x:v>
      </x:c>
      <x:c r="W778" s="15" t="str">
        <x:v>Smartapp</x:v>
      </x:c>
      <x:c r="X778" s="15" t="str">
        <x:v>FNB :-) R1500.00 paid from Current a/c..512781 @ Smartapp. Avail R43193. Ref.Send Donald Bus. 11May 15:49</x:v>
      </x:c>
      <x:c r="Y778" s="15" t="str">
        <x:v>47a45eebade4e781</x:v>
      </x:c>
    </x:row>
    <x:row r="779">
      <x:c r="A779" s="34" t="n">
        <x:v>46154.52638888889</x:v>
      </x:c>
      <x:c r="B779" s="36" t="n">
        <x:v>46154</x:v>
      </x:c>
      <x:c r="C779" s="34" t="n">
        <x:v>46154.52673611111</x:v>
      </x:c>
      <x:c r="D779" s="15" t="str">
        <x:v>Current a/c..512781</x:v>
      </x:c>
      <x:c r="E779" s="15" t="str"/>
      <x:c r="F779" s="15" t="str">
        <x:v>R200.00 paid from Current a/c..512781 @ Smartapp. Avail R42990. 12May 12:38</x:v>
      </x:c>
      <x:c r="G779" s="15" t="str">
        <x:v>Smartapp</x:v>
      </x:c>
      <x:c r="H779" s="38" t="n">
        <x:v>200</x:v>
      </x:c>
      <x:c r="I779" s="15" t="str">
        <x:v>ZAR</x:v>
      </x:c>
      <x:c r="J779" s="15" t="str">
        <x:v>Outflow</x:v>
      </x:c>
      <x:c r="K779" s="15" t="str">
        <x:v>EFT payment</x:v>
      </x:c>
      <x:c r="L779" s="15" t="str">
        <x:v>Supplier payments</x:v>
      </x:c>
      <x:c r="M779" s="38"/>
      <x:c r="N779" s="38" t="n">
        <x:v>42990</x:v>
      </x:c>
      <x:c r="O779" s="15" t="str"/>
      <x:c r="P779" s="15" t="str">
        <x:v>eml_ALL_currentac__512781 (2).zip &gt; eml2currentac__512781.zip</x:v>
      </x:c>
      <x:c r="Q779" s="15" t="str">
        <x:v>FNB _-) R200.00 paid from Current a_c..512781 @ Smartapp. 12May 12_38.eml</x:v>
      </x:c>
      <x:c r="R779" s="15" t="str">
        <x:v>High</x:v>
      </x:c>
      <x:c r="S779" s="15" t="str">
        <x:v>Category confidence Low: Default outflow category; review counterparty/reference.</x:v>
      </x:c>
      <x:c r="T779" s="15" t="str"/>
      <x:c r="U779" s="15" t="str"/>
      <x:c r="V779" s="15" t="str"/>
      <x:c r="W779" s="15" t="str">
        <x:v>Smartapp</x:v>
      </x:c>
      <x:c r="X779" s="15" t="str">
        <x:v>FNB :-) R200.00 paid from Current a/c..512781 @ Smartapp. Avail R42990. 12May 12:38</x:v>
      </x:c>
      <x:c r="Y779" s="15" t="str">
        <x:v>b247e1950c8cea64</x:v>
      </x:c>
    </x:row>
    <x:row r="780">
      <x:c r="A780" s="34" t="n">
        <x:v>46155.39097222222</x:v>
      </x:c>
      <x:c r="B780" s="36" t="n">
        <x:v>46155</x:v>
      </x:c>
      <x:c r="C780" s="34" t="n">
        <x:v>46155.391597222224</x:v>
      </x:c>
      <x:c r="D780" s="15" t="str">
        <x:v>Current a/c..512781</x:v>
      </x:c>
      <x:c r="E780" s="15" t="str"/>
      <x:c r="F780" s="15" t="str">
        <x:v>R2200.00 paid from Current a/c..512781 @ Smartapp. Avail R40775. Ref.Sk Transfer 0202. 13May 09:23</x:v>
      </x:c>
      <x:c r="G780" s="15" t="str">
        <x:v>Sk Transfer 0202</x:v>
      </x:c>
      <x:c r="H780" s="38" t="n">
        <x:v>2200</x:v>
      </x:c>
      <x:c r="I780" s="15" t="str">
        <x:v>ZAR</x:v>
      </x:c>
      <x:c r="J780" s="15" t="str">
        <x:v>Outflow</x:v>
      </x:c>
      <x:c r="K780" s="15" t="str">
        <x:v>EFT payment</x:v>
      </x:c>
      <x:c r="L780" s="15" t="str">
        <x:v>Supplier payments</x:v>
      </x:c>
      <x:c r="M780" s="38"/>
      <x:c r="N780" s="38" t="n">
        <x:v>40775</x:v>
      </x:c>
      <x:c r="O780" s="15" t="str"/>
      <x:c r="P780" s="15" t="str">
        <x:v>eml_ALL_currentac__512781 (2).zip &gt; eml2currentac__512781.zip</x:v>
      </x:c>
      <x:c r="Q780" s="15" t="str">
        <x:v>FNB _-) R2200.00 paid from Current a_c..512781 @ Smartapp. Ref.Sk Transfer 0202. 13May 09_23.eml</x:v>
      </x:c>
      <x:c r="R780" s="15" t="str">
        <x:v>High</x:v>
      </x:c>
      <x:c r="S780" s="15" t="str">
        <x:v>Category confidence Low: Default outflow category; review counterparty/reference.</x:v>
      </x:c>
      <x:c r="T780" s="15" t="str"/>
      <x:c r="U780" s="15" t="str"/>
      <x:c r="V780" s="15" t="str">
        <x:v>Sk Transfer 0202</x:v>
      </x:c>
      <x:c r="W780" s="15" t="str">
        <x:v>Smartapp</x:v>
      </x:c>
      <x:c r="X780" s="15" t="str">
        <x:v>FNB :-) R2200.00 paid from Current a/c..512781 @ Smartapp. Avail R40775. Ref.Sk Transfer 0202. 13May 09:23</x:v>
      </x:c>
      <x:c r="Y780" s="15" t="str">
        <x:v>b6bab38fad5ff8f5</x:v>
      </x:c>
    </x:row>
    <x:row r="781">
      <x:c r="A781" s="34" t="n">
        <x:v>46155.40277777778</x:v>
      </x:c>
      <x:c r="B781" s="36" t="n">
        <x:v>46155</x:v>
      </x:c>
      <x:c r="C781" s="34" t="n">
        <x:v>46155.4028125</x:v>
      </x:c>
      <x:c r="D781" s="15" t="str">
        <x:v>Current a/c..512781</x:v>
      </x:c>
      <x:c r="E781" s="15" t="str"/>
      <x:c r="F781" s="15" t="str">
        <x:v>R150.00 paid from Current a/c..512781 @ Smartapp. Avail R40624. Ref.Electricity 14503572. 13May 09:40</x:v>
      </x:c>
      <x:c r="G781" s="15" t="str">
        <x:v>Electricity 14503572</x:v>
      </x:c>
      <x:c r="H781" s="38" t="n">
        <x:v>150</x:v>
      </x:c>
      <x:c r="I781" s="15" t="str">
        <x:v>ZAR</x:v>
      </x:c>
      <x:c r="J781" s="15" t="str">
        <x:v>Outflow</x:v>
      </x:c>
      <x:c r="K781" s="15" t="str">
        <x:v>EFT payment</x:v>
      </x:c>
      <x:c r="L781" s="15" t="str">
        <x:v>Telecom / utilities</x:v>
      </x:c>
      <x:c r="M781" s="38"/>
      <x:c r="N781" s="38" t="n">
        <x:v>40624</x:v>
      </x:c>
      <x:c r="O781" s="15" t="str"/>
      <x:c r="P781" s="15" t="str">
        <x:v>eml_ALL_currentac__512781 (2).zip &gt; eml2currentac__512781.zip</x:v>
      </x:c>
      <x:c r="Q781" s="15" t="str">
        <x:v>FNB _-) R150.00 paid from Current a_c..512781 @ Smartapp. Ref.Electricity 14503572. 13May 09_40.eml</x:v>
      </x:c>
      <x:c r="R781" s="15" t="str">
        <x:v>High</x:v>
      </x:c>
      <x:c r="S781" s="15" t="str"/>
      <x:c r="T781" s="15" t="str"/>
      <x:c r="U781" s="15" t="str"/>
      <x:c r="V781" s="15" t="str">
        <x:v>Electricity 14503572</x:v>
      </x:c>
      <x:c r="W781" s="15" t="str">
        <x:v>Smartapp</x:v>
      </x:c>
      <x:c r="X781" s="15" t="str">
        <x:v>FNB :-) R150.00 paid from Current a/c..512781 @ Smartapp. Avail R40624. Ref.Electricity 14503572. 13May 09:40</x:v>
      </x:c>
      <x:c r="Y781" s="15" t="str">
        <x:v>3acde1dff2ee204e</x:v>
      </x:c>
    </x:row>
    <x:row r="782">
      <x:c r="A782" s="34" t="n">
        <x:v>46155.404861111114</x:v>
      </x:c>
      <x:c r="B782" s="36" t="n">
        <x:v>46155</x:v>
      </x:c>
      <x:c r="C782" s="34" t="n">
        <x:v>46155.40493055555</x:v>
      </x:c>
      <x:c r="D782" s="15" t="str">
        <x:v>Current a/c..512781</x:v>
      </x:c>
      <x:c r="E782" s="15" t="str"/>
      <x:c r="F782" s="15" t="str">
        <x:v>R1000.00 paid from Current a/c..512781 @ Smartapp. Avail R39595. Ref.Send Tyron Bos. 13May 09:43</x:v>
      </x:c>
      <x:c r="G782" s="15" t="str">
        <x:v>Send Tyron Bos</x:v>
      </x:c>
      <x:c r="H782" s="38" t="n">
        <x:v>1000</x:v>
      </x:c>
      <x:c r="I782" s="15" t="str">
        <x:v>ZAR</x:v>
      </x:c>
      <x:c r="J782" s="15" t="str">
        <x:v>Outflow</x:v>
      </x:c>
      <x:c r="K782" s="15" t="str">
        <x:v>EFT payment</x:v>
      </x:c>
      <x:c r="L782" s="15" t="str">
        <x:v>Supplier payments</x:v>
      </x:c>
      <x:c r="M782" s="38"/>
      <x:c r="N782" s="38" t="n">
        <x:v>39595</x:v>
      </x:c>
      <x:c r="O782" s="15" t="str"/>
      <x:c r="P782" s="15" t="str">
        <x:v>eml_ALL_currentac__512781 (2).zip &gt; eml2currentac__512781.zip</x:v>
      </x:c>
      <x:c r="Q782" s="15" t="str">
        <x:v>FNB _-) R1000.00 paid from Current a_c..512781 @ Smartapp. Ref.Send Tyron Bos. 13May 09_43.eml</x:v>
      </x:c>
      <x:c r="R782" s="15" t="str">
        <x:v>High</x:v>
      </x:c>
      <x:c r="S782" s="15" t="str">
        <x:v>Category confidence Low: Default outflow category; review counterparty/reference.</x:v>
      </x:c>
      <x:c r="T782" s="15" t="str"/>
      <x:c r="U782" s="15" t="str"/>
      <x:c r="V782" s="15" t="str">
        <x:v>Send Tyron Bos</x:v>
      </x:c>
      <x:c r="W782" s="15" t="str">
        <x:v>Smartapp</x:v>
      </x:c>
      <x:c r="X782" s="15" t="str">
        <x:v>FNB :-) R1000.00 paid from Current a/c..512781 @ Smartapp. Avail R39595. Ref.Send Tyron Bos. 13May 09:43</x:v>
      </x:c>
      <x:c r="Y782" s="15" t="str">
        <x:v>59d0e2aff9a0e991</x:v>
      </x:c>
    </x:row>
    <x:row r="783">
      <x:c r="A783" s="34" t="n">
        <x:v>46155.493055555555</x:v>
      </x:c>
      <x:c r="B783" s="36" t="n">
        <x:v>46155</x:v>
      </x:c>
      <x:c r="C783" s="34" t="n">
        <x:v>46155.49364583333</x:v>
      </x:c>
      <x:c r="D783" s="15" t="str">
        <x:v>Current a/c..512781</x:v>
      </x:c>
      <x:c r="E783" s="15" t="str">
        <x:v>card..2924</x:v>
      </x:c>
      <x:c r="F783" s="15" t="str">
        <x:v>R687.78 reserved for purchase @ Shoprite Malelane from Current a/c..512781 using card..2924. Avail R38908. 13May 11:50</x:v>
      </x:c>
      <x:c r="G783" s="15" t="str">
        <x:v>Shoprite Malelane</x:v>
      </x:c>
      <x:c r="H783" s="38" t="n">
        <x:v>687.78</x:v>
      </x:c>
      <x:c r="I783" s="15" t="str">
        <x:v>ZAR</x:v>
      </x:c>
      <x:c r="J783" s="15" t="str">
        <x:v>Outflow</x:v>
      </x:c>
      <x:c r="K783" s="15" t="str">
        <x:v>Card purchase</x:v>
      </x:c>
      <x:c r="L783" s="15" t="str">
        <x:v>Supplier payments</x:v>
      </x:c>
      <x:c r="M783" s="38"/>
      <x:c r="N783" s="38" t="n">
        <x:v>38908</x:v>
      </x:c>
      <x:c r="O783" s="15" t="str"/>
      <x:c r="P783" s="15" t="str">
        <x:v>eml_ALL_currentac__512781 (2).zip &gt; eml2currentac__512781.zip</x:v>
      </x:c>
      <x:c r="Q783" s="15" t="str">
        <x:v>FNB _-) R687.78 reserved for purchase @ Shoprite Malelane from Current a_c..512781 using card..2924. 13May 11_50.eml</x:v>
      </x:c>
      <x:c r="R783" s="15" t="str">
        <x:v>High</x:v>
      </x:c>
      <x:c r="S783" s="15" t="str">
        <x:v>Category confidence Medium: Retail/supplier merchant keyword.</x:v>
      </x:c>
      <x:c r="T783" s="15" t="str"/>
      <x:c r="U783" s="15" t="str"/>
      <x:c r="V783" s="15" t="str"/>
      <x:c r="W783" s="15" t="str"/>
      <x:c r="X783" s="15" t="str">
        <x:v>FNB :-) R687.78 reserved for purchase @ Shoprite Malelane from Current a/c..512781 using card..2924. Avail R38908. 13May 11:50</x:v>
      </x:c>
      <x:c r="Y783" s="15" t="str">
        <x:v>ccbdac22ae051bc3</x:v>
      </x:c>
    </x:row>
    <x:row r="784">
      <x:c r="A784" s="34" t="n">
        <x:v>46155.572222222225</x:v>
      </x:c>
      <x:c r="B784" s="36" t="n">
        <x:v>46155</x:v>
      </x:c>
      <x:c r="C784" s="34" t="n">
        <x:v>46155.5725</x:v>
      </x:c>
      <x:c r="D784" s="15" t="str">
        <x:v>Current a/c..512781</x:v>
      </x:c>
      <x:c r="E784" s="15" t="str">
        <x:v>card..2924</x:v>
      </x:c>
      <x:c r="F784" s="15" t="str">
        <x:v>R534.02 reserved for purchase @ Superspar Malelane from Current a/c..512781 using card..2924. Avail R38374. 13May 13:44</x:v>
      </x:c>
      <x:c r="G784" s="15" t="str">
        <x:v>Superspar Malelane</x:v>
      </x:c>
      <x:c r="H784" s="38" t="n">
        <x:v>534.02</x:v>
      </x:c>
      <x:c r="I784" s="15" t="str">
        <x:v>ZAR</x:v>
      </x:c>
      <x:c r="J784" s="15" t="str">
        <x:v>Outflow</x:v>
      </x:c>
      <x:c r="K784" s="15" t="str">
        <x:v>Card purchase</x:v>
      </x:c>
      <x:c r="L784" s="15" t="str">
        <x:v>Supplier payments</x:v>
      </x:c>
      <x:c r="M784" s="38"/>
      <x:c r="N784" s="38" t="n">
        <x:v>38374</x:v>
      </x:c>
      <x:c r="O784" s="15" t="str"/>
      <x:c r="P784" s="15" t="str">
        <x:v>eml_ALL_currentac__512781 (2).zip &gt; eml2currentac__512781.zip</x:v>
      </x:c>
      <x:c r="Q784" s="15" t="str">
        <x:v>FNB _-) R534.02 reserved for purchase @ Superspar Malelane from Current a_c..512781 using card..2924. 13May 13_44.eml</x:v>
      </x:c>
      <x:c r="R784" s="15" t="str">
        <x:v>High</x:v>
      </x:c>
      <x:c r="S784" s="15" t="str">
        <x:v>Category confidence Medium: Retail/supplier merchant keyword.</x:v>
      </x:c>
      <x:c r="T784" s="15" t="str"/>
      <x:c r="U784" s="15" t="str"/>
      <x:c r="V784" s="15" t="str"/>
      <x:c r="W784" s="15" t="str"/>
      <x:c r="X784" s="15" t="str">
        <x:v>FNB :-) R534.02 reserved for purchase @ Superspar Malelane from Current a/c..512781 using card..2924. Avail R38374. 13May 13:44</x:v>
      </x:c>
      <x:c r="Y784" s="15" t="str">
        <x:v>3e0c37b607e39b03</x:v>
      </x:c>
    </x:row>
    <x:row r="785">
      <x:c r="A785" s="34" t="n">
        <x:v>46155.58125</x:v>
      </x:c>
      <x:c r="B785" s="36" t="n">
        <x:v>46155</x:v>
      </x:c>
      <x:c r="C785" s="34" t="n">
        <x:v>46155.58125</x:v>
      </x:c>
      <x:c r="D785" s="15" t="str">
        <x:v>Current a/c..512781</x:v>
      </x:c>
      <x:c r="E785" s="15" t="str">
        <x:v>card..2924</x:v>
      </x:c>
      <x:c r="F785" s="15" t="str">
        <x:v>R259.20 reserved for purchase @ Oasis Water Malelane from Current a/c..512781 using card..2924. Avail R38114. 13May 13:57</x:v>
      </x:c>
      <x:c r="G785" s="15" t="str">
        <x:v>Oasis Water Malelane</x:v>
      </x:c>
      <x:c r="H785" s="38" t="n">
        <x:v>259.2</x:v>
      </x:c>
      <x:c r="I785" s="15" t="str">
        <x:v>ZAR</x:v>
      </x:c>
      <x:c r="J785" s="15" t="str">
        <x:v>Outflow</x:v>
      </x:c>
      <x:c r="K785" s="15" t="str">
        <x:v>Card purchase</x:v>
      </x:c>
      <x:c r="L785" s="15" t="str">
        <x:v>Supplier payments</x:v>
      </x:c>
      <x:c r="M785" s="38"/>
      <x:c r="N785" s="38" t="n">
        <x:v>38114</x:v>
      </x:c>
      <x:c r="O785" s="15" t="str"/>
      <x:c r="P785" s="15" t="str">
        <x:v>eml_ALL_currentac__512781 (2).zip &gt; eml2currentac__512781.zip</x:v>
      </x:c>
      <x:c r="Q785" s="15" t="str">
        <x:v>FNB _-) R259.20 reserved for purchase @ Oasis Water Malelane from Current a_c..512781 using card..2924. 13May 13_57.eml</x:v>
      </x:c>
      <x:c r="R785" s="15" t="str">
        <x:v>High</x:v>
      </x:c>
      <x:c r="S785" s="15" t="str">
        <x:v>Category confidence Medium: Retail/supplier merchant keyword.</x:v>
      </x:c>
      <x:c r="T785" s="15" t="str"/>
      <x:c r="U785" s="15" t="str"/>
      <x:c r="V785" s="15" t="str"/>
      <x:c r="W785" s="15" t="str"/>
      <x:c r="X785" s="15" t="str">
        <x:v>FNB :-) R259.20 reserved for purchase @ Oasis Water Malelane from Current a/c..512781 using card..2924. Avail R38114. 13May 13:57</x:v>
      </x:c>
      <x:c r="Y785" s="15" t="str">
        <x:v>ac6822952b97affe</x:v>
      </x:c>
    </x:row>
    <x:row r="786">
      <x:c r="A786" s="34" t="n">
        <x:v>46155.675</x:v>
      </x:c>
      <x:c r="B786" s="36" t="n">
        <x:v>46155</x:v>
      </x:c>
      <x:c r="C786" s="34" t="n">
        <x:v>46155.67545138889</x:v>
      </x:c>
      <x:c r="D786" s="15" t="str">
        <x:v>Current a/c..512781</x:v>
      </x:c>
      <x:c r="E786" s="15" t="str"/>
      <x:c r="F786" s="15" t="str">
        <x:v>R21600.00 t/fer from Current a/c..512781 to home loan a/c..057026 @ Smartapp. Avail R16425. 13May 16:12</x:v>
      </x:c>
      <x:c r="G786" s="15" t="str">
        <x:v>home loan a/c..057026</x:v>
      </x:c>
      <x:c r="H786" s="38" t="n">
        <x:v>21600</x:v>
      </x:c>
      <x:c r="I786" s="15" t="str">
        <x:v>ZAR</x:v>
      </x:c>
      <x:c r="J786" s="15" t="str">
        <x:v>Internal Transfer</x:v>
      </x:c>
      <x:c r="K786" s="15" t="str">
        <x:v>Internal transfer</x:v>
      </x:c>
      <x:c r="L786" s="15" t="str">
        <x:v>Inter-account transfer</x:v>
      </x:c>
      <x:c r="M786" s="38"/>
      <x:c r="N786" s="38" t="n">
        <x:v>16425</x:v>
      </x:c>
      <x:c r="O786" s="15" t="str"/>
      <x:c r="P786" s="15" t="str">
        <x:v>eml_ALL_currentac__512781 (2).zip &gt; eml2currentac__512781.zip</x:v>
      </x:c>
      <x:c r="Q786" s="15" t="str">
        <x:v>FNB _-) R21600.00 t_fer from Current a_c..512781 to home loan a_c..057026 @ Smartapp. 13May 16_12.eml</x:v>
      </x:c>
      <x:c r="R786" s="15" t="str">
        <x:v>High</x:v>
      </x:c>
      <x:c r="S786" s="15" t="str">
        <x:v>Classified as internal/inter-account transfer and excluded from operating cashflow.</x:v>
      </x:c>
      <x:c r="T786" s="15" t="str">
        <x:v>Current a/c..512781</x:v>
      </x:c>
      <x:c r="U786" s="15" t="str">
        <x:v>home loan a/c..057026</x:v>
      </x:c>
      <x:c r="V786" s="15" t="str"/>
      <x:c r="W786" s="15" t="str">
        <x:v>Smartapp</x:v>
      </x:c>
      <x:c r="X786" s="15" t="str">
        <x:v>FNB :-) R21600.00 t/fer from Current a/c..512781 to home loan a/c..057026 @ Smartapp. Avail R16425. 13May 16:12</x:v>
      </x:c>
      <x:c r="Y786" s="15" t="str">
        <x:v>42bb005a77ac507b</x:v>
      </x:c>
    </x:row>
    <x:row r="787">
      <x:c r="A787" s="34" t="n">
        <x:v>46155.88958333333</x:v>
      </x:c>
      <x:c r="B787" s="36" t="n">
        <x:v>46155</x:v>
      </x:c>
      <x:c r="C787" s="34" t="n">
        <x:v>46155.88974537037</x:v>
      </x:c>
      <x:c r="D787" s="15" t="str">
        <x:v>Current a/c..512781</x:v>
      </x:c>
      <x:c r="E787" s="15" t="str">
        <x:v>card..0104</x:v>
      </x:c>
      <x:c r="F787" s="15" t="str">
        <x:v>R676.45 reserved for purchase @ Moment_*dstv Joh from Current a/c..512781 using card..0104. Avail R15749. 13May 21:21</x:v>
      </x:c>
      <x:c r="G787" s="15" t="str">
        <x:v>Moment_*dstv Joh</x:v>
      </x:c>
      <x:c r="H787" s="38" t="n">
        <x:v>676.45</x:v>
      </x:c>
      <x:c r="I787" s="15" t="str">
        <x:v>ZAR</x:v>
      </x:c>
      <x:c r="J787" s="15" t="str">
        <x:v>Outflow</x:v>
      </x:c>
      <x:c r="K787" s="15" t="str">
        <x:v>Card purchase</x:v>
      </x:c>
      <x:c r="L787" s="15" t="str">
        <x:v>Card spend</x:v>
      </x:c>
      <x:c r="M787" s="38"/>
      <x:c r="N787" s="38" t="n">
        <x:v>15749</x:v>
      </x:c>
      <x:c r="O787" s="15" t="str"/>
      <x:c r="P787" s="15" t="str">
        <x:v>eml_ALL_currentac__512781 (2).zip &gt; eml2currentac__512781.zip</x:v>
      </x:c>
      <x:c r="Q787" s="15" t="str">
        <x:v>FNB _-) R676.45 reserved for purchase @ Moment__dstv Joh from Current a_c..512781 using card..0104. 13May 21_21.eml</x:v>
      </x:c>
      <x:c r="R787" s="15" t="str">
        <x:v>High</x:v>
      </x:c>
      <x:c r="S787" s="15" t="str">
        <x:v>Category confidence Low: Default card-spend category; merchant not confidently mapped.</x:v>
      </x:c>
      <x:c r="T787" s="15" t="str"/>
      <x:c r="U787" s="15" t="str"/>
      <x:c r="V787" s="15" t="str"/>
      <x:c r="W787" s="15" t="str"/>
      <x:c r="X787" s="15" t="str">
        <x:v>FNB :-) R676.45 reserved for purchase @ Moment_*dstv Joh from Current a/c..512781 using card..0104. Avail R15749. 13May 21:21</x:v>
      </x:c>
      <x:c r="Y787" s="15" t="str">
        <x:v>aabd4dfd6f9fb63b</x:v>
      </x:c>
    </x:row>
    <x:row r="788">
      <x:c r="A788" s="34" t="n">
        <x:v>46156.48402777778</x:v>
      </x:c>
      <x:c r="B788" s="36" t="n">
        <x:v>46156</x:v>
      </x:c>
      <x:c r="C788" s="34" t="n">
        <x:v>46156.484502314815</x:v>
      </x:c>
      <x:c r="D788" s="15" t="str">
        <x:v>Current a/c..512781</x:v>
      </x:c>
      <x:c r="E788" s="15" t="str"/>
      <x:c r="F788" s="15" t="str">
        <x:v>R1000.00 t/fer from Current a/c..512781 to Private Cheq Acc..566332 @ Smartapp. Avail R14749. 14May 11:37</x:v>
      </x:c>
      <x:c r="G788" s="15" t="str">
        <x:v>Private Cheq Acc..566332</x:v>
      </x:c>
      <x:c r="H788" s="38" t="n">
        <x:v>1000</x:v>
      </x:c>
      <x:c r="I788" s="15" t="str">
        <x:v>ZAR</x:v>
      </x:c>
      <x:c r="J788" s="15" t="str">
        <x:v>Internal Transfer</x:v>
      </x:c>
      <x:c r="K788" s="15" t="str">
        <x:v>Internal transfer</x:v>
      </x:c>
      <x:c r="L788" s="15" t="str">
        <x:v>Inter-account transfer</x:v>
      </x:c>
      <x:c r="M788" s="38"/>
      <x:c r="N788" s="38" t="n">
        <x:v>14749</x:v>
      </x:c>
      <x:c r="O788" s="15" t="str"/>
      <x:c r="P788" s="15" t="str">
        <x:v>eml_ALL_currentac__512781 (2).zip &gt; eml2currentac__512781.zip</x:v>
      </x:c>
      <x:c r="Q788" s="15" t="str">
        <x:v>FNB _-) R1000.00 t_fer from Current a_c..512781 to Private Cheq Acc..566332 @ Smartapp. 14May 11_37.eml</x:v>
      </x:c>
      <x:c r="R788" s="15" t="str">
        <x:v>High</x:v>
      </x:c>
      <x:c r="S788" s="15" t="str">
        <x:v>Classified as internal/inter-account transfer and excluded from operating cashflow.</x:v>
      </x:c>
      <x:c r="T788" s="15" t="str">
        <x:v>Current a/c..512781</x:v>
      </x:c>
      <x:c r="U788" s="15" t="str">
        <x:v>Private Cheq Acc..566332</x:v>
      </x:c>
      <x:c r="V788" s="15" t="str"/>
      <x:c r="W788" s="15" t="str">
        <x:v>Smartapp</x:v>
      </x:c>
      <x:c r="X788" s="15" t="str">
        <x:v>FNB :-) R1000.00 t/fer from Current a/c..512781 to Private Cheq Acc..566332 @ Smartapp. Avail R14749. 14May 11:37</x:v>
      </x:c>
      <x:c r="Y788" s="15" t="str">
        <x:v>1e9b10ae6cc9e6bd</x:v>
      </x:c>
    </x:row>
    <x:row r="789">
      <x:c r="A789" s="34" t="n">
        <x:v>46156.489583333336</x:v>
      </x:c>
      <x:c r="B789" s="36" t="n">
        <x:v>46156</x:v>
      </x:c>
      <x:c r="C789" s="34" t="n">
        <x:v>46156.48986111111</x:v>
      </x:c>
      <x:c r="D789" s="15" t="str">
        <x:v>Current a/c..512781</x:v>
      </x:c>
      <x:c r="E789" s="15" t="str"/>
      <x:c r="F789" s="15" t="str">
        <x:v>R400.00 t/fer from Current a/c..512781 to Private Cheq Acc..566332 @ Smartapp. Avail R14349. 14May 11:45</x:v>
      </x:c>
      <x:c r="G789" s="15" t="str">
        <x:v>Private Cheq Acc..566332</x:v>
      </x:c>
      <x:c r="H789" s="38" t="n">
        <x:v>400</x:v>
      </x:c>
      <x:c r="I789" s="15" t="str">
        <x:v>ZAR</x:v>
      </x:c>
      <x:c r="J789" s="15" t="str">
        <x:v>Internal Transfer</x:v>
      </x:c>
      <x:c r="K789" s="15" t="str">
        <x:v>Internal transfer</x:v>
      </x:c>
      <x:c r="L789" s="15" t="str">
        <x:v>Inter-account transfer</x:v>
      </x:c>
      <x:c r="M789" s="38"/>
      <x:c r="N789" s="38" t="n">
        <x:v>14349</x:v>
      </x:c>
      <x:c r="O789" s="15" t="str"/>
      <x:c r="P789" s="15" t="str">
        <x:v>eml_ALL_currentac__512781 (2).zip &gt; eml2currentac__512781.zip</x:v>
      </x:c>
      <x:c r="Q789" s="15" t="str">
        <x:v>FNB _-) R400.00 t_fer from Current a_c..512781 to Private Cheq Acc..566332 @ Smartapp. 14May 11_45.eml</x:v>
      </x:c>
      <x:c r="R789" s="15" t="str">
        <x:v>High</x:v>
      </x:c>
      <x:c r="S789" s="15" t="str">
        <x:v>Classified as internal/inter-account transfer and excluded from operating cashflow.</x:v>
      </x:c>
      <x:c r="T789" s="15" t="str">
        <x:v>Current a/c..512781</x:v>
      </x:c>
      <x:c r="U789" s="15" t="str">
        <x:v>Private Cheq Acc..566332</x:v>
      </x:c>
      <x:c r="V789" s="15" t="str"/>
      <x:c r="W789" s="15" t="str">
        <x:v>Smartapp</x:v>
      </x:c>
      <x:c r="X789" s="15" t="str">
        <x:v>FNB :-) R400.00 t/fer from Current a/c..512781 to Private Cheq Acc..566332 @ Smartapp. Avail R14349. 14May 11:45</x:v>
      </x:c>
      <x:c r="Y789" s="15" t="str">
        <x:v>357295fabdce0179</x:v>
      </x:c>
    </x:row>
    <x:row r="790">
      <x:c r="A790" s="34" t="n">
        <x:v>46156.524305555555</x:v>
      </x:c>
      <x:c r="B790" s="36" t="n">
        <x:v>46156</x:v>
      </x:c>
      <x:c r="C790" s="34" t="n">
        <x:v>46156.52434027778</x:v>
      </x:c>
      <x:c r="D790" s="15" t="str">
        <x:v>Current a/c..512781</x:v>
      </x:c>
      <x:c r="E790" s="15" t="str">
        <x:v>card..2924</x:v>
      </x:c>
      <x:c r="F790" s="15" t="str">
        <x:v>R634.15 reserved for purchase @ Sqsp* Websit from Current a/c..512781 using card..2924. Avail R13715. 14May 12:35</x:v>
      </x:c>
      <x:c r="G790" s="15" t="str">
        <x:v>Sqsp* Websit</x:v>
      </x:c>
      <x:c r="H790" s="38" t="n">
        <x:v>634.15</x:v>
      </x:c>
      <x:c r="I790" s="15" t="str">
        <x:v>ZAR</x:v>
      </x:c>
      <x:c r="J790" s="15" t="str">
        <x:v>Outflow</x:v>
      </x:c>
      <x:c r="K790" s="15" t="str">
        <x:v>Card purchase</x:v>
      </x:c>
      <x:c r="L790" s="15" t="str">
        <x:v>Software / subscriptions</x:v>
      </x:c>
      <x:c r="M790" s="38"/>
      <x:c r="N790" s="38" t="n">
        <x:v>13715</x:v>
      </x:c>
      <x:c r="O790" s="15" t="str"/>
      <x:c r="P790" s="15" t="str">
        <x:v>eml_ALL_currentac__512781 (2).zip &gt; eml2currentac__512781.zip</x:v>
      </x:c>
      <x:c r="Q790" s="15" t="str">
        <x:v>FNB _-) R634.15 reserved for purchase @ Sqsp_ Websit from Current a_c..512781 using card..2924. 14May 12_35.eml</x:v>
      </x:c>
      <x:c r="R790" s="15" t="str">
        <x:v>High</x:v>
      </x:c>
      <x:c r="S790" s="15" t="str"/>
      <x:c r="T790" s="15" t="str"/>
      <x:c r="U790" s="15" t="str"/>
      <x:c r="V790" s="15" t="str"/>
      <x:c r="W790" s="15" t="str"/>
      <x:c r="X790" s="15" t="str">
        <x:v>FNB :-) R634.15 reserved for purchase @ Sqsp* Websit from Current a/c..512781 using card..2924. Avail R13715. 14May 12:35</x:v>
      </x:c>
      <x:c r="Y790" s="15" t="str">
        <x:v>00c789c1a1321637</x:v>
      </x:c>
    </x:row>
    <x:row r="791">
      <x:c r="A791" s="34" t="n">
        <x:v>46156.62847222222</x:v>
      </x:c>
      <x:c r="B791" s="36" t="n">
        <x:v>46156</x:v>
      </x:c>
      <x:c r="C791" s="34" t="n">
        <x:v>46156.628657407404</x:v>
      </x:c>
      <x:c r="D791" s="15" t="str">
        <x:v>Current a/c..512781</x:v>
      </x:c>
      <x:c r="E791" s="15" t="str">
        <x:v>card..2924</x:v>
      </x:c>
      <x:c r="F791" s="15" t="str">
        <x:v>R180.75 reserved for purchase @ Savemor Marloth from Current a/c..512781 using card..2924. Avail R13534. 14May 15:05</x:v>
      </x:c>
      <x:c r="G791" s="15" t="str">
        <x:v>Savemor Marloth</x:v>
      </x:c>
      <x:c r="H791" s="38" t="n">
        <x:v>180.75</x:v>
      </x:c>
      <x:c r="I791" s="15" t="str">
        <x:v>ZAR</x:v>
      </x:c>
      <x:c r="J791" s="15" t="str">
        <x:v>Outflow</x:v>
      </x:c>
      <x:c r="K791" s="15" t="str">
        <x:v>Card purchase</x:v>
      </x:c>
      <x:c r="L791" s="15" t="str">
        <x:v>Supplier payments</x:v>
      </x:c>
      <x:c r="M791" s="38"/>
      <x:c r="N791" s="38" t="n">
        <x:v>13534</x:v>
      </x:c>
      <x:c r="O791" s="15" t="str"/>
      <x:c r="P791" s="15" t="str">
        <x:v>eml_ALL_currentac__512781 (2).zip &gt; eml2currentac__512781.zip</x:v>
      </x:c>
      <x:c r="Q791" s="15" t="str">
        <x:v>FNB _-) R180.75 reserved for purchase @ Savemor Marloth from Current a_c..512781 using card..2924. 14May 15_05.eml</x:v>
      </x:c>
      <x:c r="R791" s="15" t="str">
        <x:v>High</x:v>
      </x:c>
      <x:c r="S791" s="15" t="str">
        <x:v>Category confidence Medium: Retail/supplier merchant keyword.</x:v>
      </x:c>
      <x:c r="T791" s="15" t="str"/>
      <x:c r="U791" s="15" t="str"/>
      <x:c r="V791" s="15" t="str"/>
      <x:c r="W791" s="15" t="str"/>
      <x:c r="X791" s="15" t="str">
        <x:v>FNB :-) R180.75 reserved for purchase @ Savemor Marloth from Current a/c..512781 using card..2924. Avail R13534. 14May 15:05</x:v>
      </x:c>
      <x:c r="Y791" s="15" t="str">
        <x:v>8e11c5d3850d5f4d</x:v>
      </x:c>
    </x:row>
    <x:row r="792">
      <x:c r="A792" s="34" t="n">
        <x:v>46156.677777777775</x:v>
      </x:c>
      <x:c r="B792" s="36" t="n">
        <x:v>46156</x:v>
      </x:c>
      <x:c r="C792" s="34" t="n">
        <x:v>46156.67820601852</x:v>
      </x:c>
      <x:c r="D792" s="15" t="str">
        <x:v>Current a/c..512781</x:v>
      </x:c>
      <x:c r="E792" s="15" t="str"/>
      <x:c r="F792" s="15" t="str">
        <x:v>R1500.00 paid from Current a/c..512781 @ Smartapp. Avail R12026. Ref.Cm Coetzee Wage. 14May 16:16</x:v>
      </x:c>
      <x:c r="G792" s="15" t="str">
        <x:v>Cm Coetzee Wage</x:v>
      </x:c>
      <x:c r="H792" s="38" t="n">
        <x:v>1500</x:v>
      </x:c>
      <x:c r="I792" s="15" t="str">
        <x:v>ZAR</x:v>
      </x:c>
      <x:c r="J792" s="15" t="str">
        <x:v>Outflow</x:v>
      </x:c>
      <x:c r="K792" s="15" t="str">
        <x:v>EFT payment</x:v>
      </x:c>
      <x:c r="L792" s="15" t="str">
        <x:v>Salary / wages</x:v>
      </x:c>
      <x:c r="M792" s="38"/>
      <x:c r="N792" s="38" t="n">
        <x:v>12026</x:v>
      </x:c>
      <x:c r="O792" s="15" t="str"/>
      <x:c r="P792" s="15" t="str">
        <x:v>eml_ALL_currentac__512781 (2).zip &gt; eml2currentac__512781.zip</x:v>
      </x:c>
      <x:c r="Q792" s="15" t="str">
        <x:v>FNB _-) R1500.00 paid from Current a_c..512781 @ Smartapp. Ref.Cm Coetzee Wage. 14May 16_16.eml</x:v>
      </x:c>
      <x:c r="R792" s="15" t="str">
        <x:v>High</x:v>
      </x:c>
      <x:c r="S792" s="15" t="str"/>
      <x:c r="T792" s="15" t="str"/>
      <x:c r="U792" s="15" t="str"/>
      <x:c r="V792" s="15" t="str">
        <x:v>Cm Coetzee Wage</x:v>
      </x:c>
      <x:c r="W792" s="15" t="str">
        <x:v>Smartapp</x:v>
      </x:c>
      <x:c r="X792" s="15" t="str">
        <x:v>FNB :-) R1500.00 paid from Current a/c..512781 @ Smartapp. Avail R12026. Ref.Cm Coetzee Wage. 14May 16:16</x:v>
      </x:c>
      <x:c r="Y792" s="15" t="str">
        <x:v>4adaad695cbba3c8</x:v>
      </x:c>
    </x:row>
    <x:row r="793">
      <x:c r="A793" s="34" t="n">
        <x:v>46157.345138888886</x:v>
      </x:c>
      <x:c r="B793" s="36" t="n">
        <x:v>46157</x:v>
      </x:c>
      <x:c r="C793" s="34" t="n">
        <x:v>46157.34579861111</x:v>
      </x:c>
      <x:c r="D793" s="15" t="str">
        <x:v>Current a/c..512781</x:v>
      </x:c>
      <x:c r="E793" s="15" t="str"/>
      <x:c r="F793" s="15" t="str">
        <x:v>R150.00 paid from Current a/c..512781 @ Smartapp. Avail R11874. Ref.Electricity 14503572. 15May 08:17</x:v>
      </x:c>
      <x:c r="G793" s="15" t="str">
        <x:v>Electricity 14503572</x:v>
      </x:c>
      <x:c r="H793" s="38" t="n">
        <x:v>150</x:v>
      </x:c>
      <x:c r="I793" s="15" t="str">
        <x:v>ZAR</x:v>
      </x:c>
      <x:c r="J793" s="15" t="str">
        <x:v>Outflow</x:v>
      </x:c>
      <x:c r="K793" s="15" t="str">
        <x:v>EFT payment</x:v>
      </x:c>
      <x:c r="L793" s="15" t="str">
        <x:v>Telecom / utilities</x:v>
      </x:c>
      <x:c r="M793" s="38"/>
      <x:c r="N793" s="38" t="n">
        <x:v>11874</x:v>
      </x:c>
      <x:c r="O793" s="15" t="str"/>
      <x:c r="P793" s="15" t="str">
        <x:v>eml_ALL_currentac__512781 (2).zip &gt; eml2currentac__512781.zip</x:v>
      </x:c>
      <x:c r="Q793" s="15" t="str">
        <x:v>FNB _-) R150.00 paid from Current a_c..512781 @ Smartapp. Ref.Electricity 14503572. 15May 08_17.eml</x:v>
      </x:c>
      <x:c r="R793" s="15" t="str">
        <x:v>High</x:v>
      </x:c>
      <x:c r="S793" s="15" t="str"/>
      <x:c r="T793" s="15" t="str"/>
      <x:c r="U793" s="15" t="str"/>
      <x:c r="V793" s="15" t="str">
        <x:v>Electricity 14503572</x:v>
      </x:c>
      <x:c r="W793" s="15" t="str">
        <x:v>Smartapp</x:v>
      </x:c>
      <x:c r="X793" s="15" t="str">
        <x:v>FNB :-) R150.00 paid from Current a/c..512781 @ Smartapp. Avail R11874. Ref.Electricity 14503572. 15May 08:17</x:v>
      </x:c>
      <x:c r="Y793" s="15" t="str">
        <x:v>e8852efcf5842e54</x:v>
      </x:c>
    </x:row>
    <x:row r="794">
      <x:c r="A794" s="34" t="n">
        <x:v>46157.34861111111</x:v>
      </x:c>
      <x:c r="B794" s="36" t="n">
        <x:v>46157</x:v>
      </x:c>
      <x:c r="C794" s="34" t="n">
        <x:v>46157.34924768518</x:v>
      </x:c>
      <x:c r="D794" s="15" t="str">
        <x:v>Current a/c..512781</x:v>
      </x:c>
      <x:c r="E794" s="15" t="str"/>
      <x:c r="F794" s="15" t="str">
        <x:v>R13502.81 paid to Current a/c..512781 @ Retail Forex. Ref.R026rzc0k0 Booking.c. 15May 08:22</x:v>
      </x:c>
      <x:c r="G794" s="15" t="str">
        <x:v>R026rzc0k0 Booking.c</x:v>
      </x:c>
      <x:c r="H794" s="38" t="n">
        <x:v>13502.81</x:v>
      </x:c>
      <x:c r="I794" s="15" t="str">
        <x:v>ZAR</x:v>
      </x:c>
      <x:c r="J794" s="15" t="str">
        <x:v>Inflow</x:v>
      </x:c>
      <x:c r="K794" s="15" t="str">
        <x:v>EFT receipt</x:v>
      </x:c>
      <x:c r="L794" s="15" t="str">
        <x:v>Sales / customer receipts</x:v>
      </x:c>
      <x:c r="M794" s="38"/>
      <x:c r="N794" s="38"/>
      <x:c r="O794" s="15" t="str"/>
      <x:c r="P794" s="15" t="str">
        <x:v>eml_ALL_currentac__512781 (2).zip &gt; eml2currentac__512781.zip</x:v>
      </x:c>
      <x:c r="Q794" s="15" t="str">
        <x:v>FNB _-) R13502.81 paid to Current a_c..512781 @ Retail Forex. Ref.R026rzc0k0 Booking.c. 15May 08_22.eml</x:v>
      </x:c>
      <x:c r="R794" s="15" t="str">
        <x:v>High</x:v>
      </x:c>
      <x:c r="S794" s="15" t="str">
        <x:v>Category confidence Medium: Default for incoming EFT/PayShap/online receipt.</x:v>
      </x:c>
      <x:c r="T794" s="15" t="str"/>
      <x:c r="U794" s="15" t="str"/>
      <x:c r="V794" s="15" t="str">
        <x:v>R026rzc0k0 Booking.c</x:v>
      </x:c>
      <x:c r="W794" s="15" t="str">
        <x:v>Retail Forex</x:v>
      </x:c>
      <x:c r="X794" s="15" t="str">
        <x:v>FNB :-) R13502.81 paid to Current a/c..512781 @ Retail Forex. Ref.R026rzc0k0 Booking.c. 15May 08:22</x:v>
      </x:c>
      <x:c r="Y794" s="15" t="str">
        <x:v>476e6b50c4d52de6</x:v>
      </x:c>
    </x:row>
    <x:row r="795">
      <x:c r="A795" s="34" t="n">
        <x:v>46157.34930555556</x:v>
      </x:c>
      <x:c r="B795" s="36" t="n">
        <x:v>46157</x:v>
      </x:c>
      <x:c r="C795" s="34" t="n">
        <x:v>46157.34945601852</x:v>
      </x:c>
      <x:c r="D795" s="15" t="str">
        <x:v>Current a/c..512781</x:v>
      </x:c>
      <x:c r="E795" s="15" t="str"/>
      <x:c r="F795" s="15" t="str">
        <x:v>R2000.00 paid from Current a/c..512781 @ Smartapp. Avail R23374. Ref.Salary. 15May 08:23</x:v>
      </x:c>
      <x:c r="G795" s="15" t="str">
        <x:v>Salary</x:v>
      </x:c>
      <x:c r="H795" s="38" t="n">
        <x:v>2000</x:v>
      </x:c>
      <x:c r="I795" s="15" t="str">
        <x:v>ZAR</x:v>
      </x:c>
      <x:c r="J795" s="15" t="str">
        <x:v>Outflow</x:v>
      </x:c>
      <x:c r="K795" s="15" t="str">
        <x:v>EFT payment</x:v>
      </x:c>
      <x:c r="L795" s="15" t="str">
        <x:v>Salary / wages</x:v>
      </x:c>
      <x:c r="M795" s="38"/>
      <x:c r="N795" s="38" t="n">
        <x:v>23374</x:v>
      </x:c>
      <x:c r="O795" s="15" t="str"/>
      <x:c r="P795" s="15" t="str">
        <x:v>eml_ALL_currentac__512781 (2).zip &gt; eml2currentac__512781.zip</x:v>
      </x:c>
      <x:c r="Q795" s="15" t="str">
        <x:v>FNB _-) R2000.00 paid from Current a_c..512781 @ Smartapp. Ref.Salary. 15May 08_23.eml</x:v>
      </x:c>
      <x:c r="R795" s="15" t="str">
        <x:v>High</x:v>
      </x:c>
      <x:c r="S795" s="15" t="str"/>
      <x:c r="T795" s="15" t="str"/>
      <x:c r="U795" s="15" t="str"/>
      <x:c r="V795" s="15" t="str">
        <x:v>Salary</x:v>
      </x:c>
      <x:c r="W795" s="15" t="str">
        <x:v>Smartapp</x:v>
      </x:c>
      <x:c r="X795" s="15" t="str">
        <x:v>FNB :-) R2000.00 paid from Current a/c..512781 @ Smartapp. Avail R23374. Ref.Salary. 15May 08:23</x:v>
      </x:c>
      <x:c r="Y795" s="15" t="str">
        <x:v>52f7df6309138c13</x:v>
      </x:c>
    </x:row>
    <x:row r="796">
      <x:c r="A796" s="34" t="n">
        <x:v>46158.44305555556</x:v>
      </x:c>
      <x:c r="B796" s="36" t="n">
        <x:v>46158</x:v>
      </x:c>
      <x:c r="C796" s="34" t="n">
        <x:v>46158.443761574075</x:v>
      </x:c>
      <x:c r="D796" s="15" t="str">
        <x:v>Current a/c..512781</x:v>
      </x:c>
      <x:c r="E796" s="15" t="str"/>
      <x:c r="F796" s="15" t="str">
        <x:v>R371.00 paid to Current a/c..512781 @ Payshap. Ref.Ik Pay 487882. 16May 10:38</x:v>
      </x:c>
      <x:c r="G796" s="15" t="str">
        <x:v>Ik Pay 487882</x:v>
      </x:c>
      <x:c r="H796" s="38" t="n">
        <x:v>371</x:v>
      </x:c>
      <x:c r="I796" s="15" t="str">
        <x:v>ZAR</x:v>
      </x:c>
      <x:c r="J796" s="15" t="str">
        <x:v>Inflow</x:v>
      </x:c>
      <x:c r="K796" s="15" t="str">
        <x:v>EFT receipt</x:v>
      </x:c>
      <x:c r="L796" s="15" t="str">
        <x:v>Sales / customer receipts</x:v>
      </x:c>
      <x:c r="M796" s="38"/>
      <x:c r="N796" s="38"/>
      <x:c r="O796" s="15" t="str"/>
      <x:c r="P796" s="15" t="str">
        <x:v>eml_ALL_currentac__512781 (2).zip &gt; eml2currentac__512781.zip</x:v>
      </x:c>
      <x:c r="Q796" s="15" t="str">
        <x:v>FNB _-) R371.00 paid to Current a_c..512781 @ Payshap. Ref.Ik Pay 487882. 16May 10_38.eml</x:v>
      </x:c>
      <x:c r="R796" s="15" t="str">
        <x:v>High</x:v>
      </x:c>
      <x:c r="S796" s="15" t="str">
        <x:v>Category confidence Medium: Default for incoming EFT/PayShap/online receipt.</x:v>
      </x:c>
      <x:c r="T796" s="15" t="str"/>
      <x:c r="U796" s="15" t="str"/>
      <x:c r="V796" s="15" t="str">
        <x:v>Ik Pay 487882</x:v>
      </x:c>
      <x:c r="W796" s="15" t="str">
        <x:v>Payshap</x:v>
      </x:c>
      <x:c r="X796" s="15" t="str">
        <x:v>FNB :-) R371.00 paid to Current a/c..512781 @ Payshap. Ref.Ik Pay 487882. 16May 10:38</x:v>
      </x:c>
      <x:c r="Y796" s="15" t="str">
        <x:v>689894bebec5f9c2</x:v>
      </x:c>
    </x:row>
    <x:row r="797">
      <x:c r="A797" s="34" t="n">
        <x:v>46158.458333333336</x:v>
      </x:c>
      <x:c r="B797" s="36" t="n">
        <x:v>46158</x:v>
      </x:c>
      <x:c r="C797" s="34" t="n">
        <x:v>46158.45857638889</x:v>
      </x:c>
      <x:c r="D797" s="15" t="str">
        <x:v>Current a/c..512781</x:v>
      </x:c>
      <x:c r="E797" s="15" t="str">
        <x:v>card..2924</x:v>
      </x:c>
      <x:c r="F797" s="15" t="str">
        <x:v>R1084.09 reserved for purchase @ Superspar Komatipoor from Current a/c..512781 using card..2924. Avail R22646. 16May 11:00</x:v>
      </x:c>
      <x:c r="G797" s="15" t="str">
        <x:v>Superspar Komatipoor</x:v>
      </x:c>
      <x:c r="H797" s="38" t="n">
        <x:v>1084.09</x:v>
      </x:c>
      <x:c r="I797" s="15" t="str">
        <x:v>ZAR</x:v>
      </x:c>
      <x:c r="J797" s="15" t="str">
        <x:v>Outflow</x:v>
      </x:c>
      <x:c r="K797" s="15" t="str">
        <x:v>Card purchase</x:v>
      </x:c>
      <x:c r="L797" s="15" t="str">
        <x:v>Supplier payments</x:v>
      </x:c>
      <x:c r="M797" s="38"/>
      <x:c r="N797" s="38" t="n">
        <x:v>22646</x:v>
      </x:c>
      <x:c r="O797" s="15" t="str"/>
      <x:c r="P797" s="15" t="str">
        <x:v>eml_ALL_currentac__512781 (2).zip &gt; eml2currentac__512781.zip</x:v>
      </x:c>
      <x:c r="Q797" s="15" t="str">
        <x:v>FNB _-) R1084.09 reserved for purchase @ Superspar Komatipoor from Current a_c..512781 using card..2924. 16May 11_00.eml</x:v>
      </x:c>
      <x:c r="R797" s="15" t="str">
        <x:v>High</x:v>
      </x:c>
      <x:c r="S797" s="15" t="str">
        <x:v>Category confidence Medium: Retail/supplier merchant keyword.</x:v>
      </x:c>
      <x:c r="T797" s="15" t="str"/>
      <x:c r="U797" s="15" t="str"/>
      <x:c r="V797" s="15" t="str"/>
      <x:c r="W797" s="15" t="str"/>
      <x:c r="X797" s="15" t="str">
        <x:v>FNB :-) R1084.09 reserved for purchase @ Superspar Komatipoor from Current a/c..512781 using card..2924. Avail R22646. 16May 11:00</x:v>
      </x:c>
      <x:c r="Y797" s="15" t="str">
        <x:v>efd8c3322c0a7313</x:v>
      </x:c>
    </x:row>
    <x:row r="798">
      <x:c r="A798" s="34" t="n">
        <x:v>46158.61111111111</x:v>
      </x:c>
      <x:c r="B798" s="36" t="n">
        <x:v>46158</x:v>
      </x:c>
      <x:c r="C798" s="34" t="n">
        <x:v>46158.61168981482</x:v>
      </x:c>
      <x:c r="D798" s="15" t="str">
        <x:v>Current a/c..512781</x:v>
      </x:c>
      <x:c r="E798" s="15" t="str"/>
      <x:c r="F798" s="15" t="str">
        <x:v>R1000.00 paid from Current a/c..512781 @ Smartapp. Avail R21618. Ref.Send Tyron Bos. 16May 14:40</x:v>
      </x:c>
      <x:c r="G798" s="15" t="str">
        <x:v>Send Tyron Bos</x:v>
      </x:c>
      <x:c r="H798" s="38" t="n">
        <x:v>1000</x:v>
      </x:c>
      <x:c r="I798" s="15" t="str">
        <x:v>ZAR</x:v>
      </x:c>
      <x:c r="J798" s="15" t="str">
        <x:v>Outflow</x:v>
      </x:c>
      <x:c r="K798" s="15" t="str">
        <x:v>EFT payment</x:v>
      </x:c>
      <x:c r="L798" s="15" t="str">
        <x:v>Supplier payments</x:v>
      </x:c>
      <x:c r="M798" s="38"/>
      <x:c r="N798" s="38" t="n">
        <x:v>21618</x:v>
      </x:c>
      <x:c r="O798" s="15" t="str"/>
      <x:c r="P798" s="15" t="str">
        <x:v>eml_ALL_currentac__512781 (2).zip &gt; eml2currentac__512781.zip</x:v>
      </x:c>
      <x:c r="Q798" s="15" t="str">
        <x:v>FNB _-) R1000.00 paid from Current a_c..512781 @ Smartapp. Ref.Send Tyron Bos. 16May 14_40.eml</x:v>
      </x:c>
      <x:c r="R798" s="15" t="str">
        <x:v>High</x:v>
      </x:c>
      <x:c r="S798" s="15" t="str">
        <x:v>Category confidence Low: Default outflow category; review counterparty/reference.</x:v>
      </x:c>
      <x:c r="T798" s="15" t="str"/>
      <x:c r="U798" s="15" t="str"/>
      <x:c r="V798" s="15" t="str">
        <x:v>Send Tyron Bos</x:v>
      </x:c>
      <x:c r="W798" s="15" t="str">
        <x:v>Smartapp</x:v>
      </x:c>
      <x:c r="X798" s="15" t="str">
        <x:v>FNB :-) R1000.00 paid from Current a/c..512781 @ Smartapp. Avail R21618. Ref.Send Tyron Bos. 16May 14:40</x:v>
      </x:c>
      <x:c r="Y798" s="15" t="str">
        <x:v>904d7981d6aa190d</x:v>
      </x:c>
    </x:row>
    <x:row r="799">
      <x:c r="A799" s="34" t="n">
        <x:v>46158.77916666667</x:v>
      </x:c>
      <x:c r="B799" s="36" t="n">
        <x:v>46158</x:v>
      </x:c>
      <x:c r="C799" s="34" t="n">
        <x:v>46158.77953703704</x:v>
      </x:c>
      <x:c r="D799" s="15" t="str">
        <x:v>Current a/c..512781</x:v>
      </x:c>
      <x:c r="E799" s="15" t="str"/>
      <x:c r="F799" s="15" t="str">
        <x:v>R150.00 paid from Current a/c..512781 @ Smartapp. Avail R21467. Ref.Electricity 14503572. 16May 18:42</x:v>
      </x:c>
      <x:c r="G799" s="15" t="str">
        <x:v>Electricity 14503572</x:v>
      </x:c>
      <x:c r="H799" s="38" t="n">
        <x:v>150</x:v>
      </x:c>
      <x:c r="I799" s="15" t="str">
        <x:v>ZAR</x:v>
      </x:c>
      <x:c r="J799" s="15" t="str">
        <x:v>Outflow</x:v>
      </x:c>
      <x:c r="K799" s="15" t="str">
        <x:v>EFT payment</x:v>
      </x:c>
      <x:c r="L799" s="15" t="str">
        <x:v>Telecom / utilities</x:v>
      </x:c>
      <x:c r="M799" s="38"/>
      <x:c r="N799" s="38" t="n">
        <x:v>21467</x:v>
      </x:c>
      <x:c r="O799" s="15" t="str"/>
      <x:c r="P799" s="15" t="str">
        <x:v>eml_ALL_currentac__512781 (2).zip &gt; eml2currentac__512781.zip</x:v>
      </x:c>
      <x:c r="Q799" s="15" t="str">
        <x:v>FNB _-) R150.00 paid from Current a_c..512781 @ Smartapp. Ref.Electricity 14503572. 16May 18_42.eml</x:v>
      </x:c>
      <x:c r="R799" s="15" t="str">
        <x:v>High</x:v>
      </x:c>
      <x:c r="S799" s="15" t="str"/>
      <x:c r="T799" s="15" t="str"/>
      <x:c r="U799" s="15" t="str"/>
      <x:c r="V799" s="15" t="str">
        <x:v>Electricity 14503572</x:v>
      </x:c>
      <x:c r="W799" s="15" t="str">
        <x:v>Smartapp</x:v>
      </x:c>
      <x:c r="X799" s="15" t="str">
        <x:v>FNB :-) R150.00 paid from Current a/c..512781 @ Smartapp. Avail R21467. Ref.Electricity 14503572. 16May 18:42</x:v>
      </x:c>
      <x:c r="Y799" s="15" t="str">
        <x:v>f0fc38eda2545902</x:v>
      </x:c>
    </x:row>
    <x:row r="800">
      <x:c r="A800" s="34" t="n">
        <x:v>46159.43472222222</x:v>
      </x:c>
      <x:c r="B800" s="36" t="n">
        <x:v>46159</x:v>
      </x:c>
      <x:c r="C800" s="34" t="n">
        <x:v>46159.43537037037</x:v>
      </x:c>
      <x:c r="D800" s="15" t="str">
        <x:v>Current a/c..512781</x:v>
      </x:c>
      <x:c r="E800" s="15" t="str">
        <x:v>card..2924</x:v>
      </x:c>
      <x:c r="F800" s="15" t="str">
        <x:v>R228.85 reserved for purchase @ Paystack *zoho Co from Current a/c..512781 using card..2924. Avail R21238. 17May 10:26</x:v>
      </x:c>
      <x:c r="G800" s="15" t="str">
        <x:v>Paystack *zoho Co</x:v>
      </x:c>
      <x:c r="H800" s="38" t="n">
        <x:v>228.85</x:v>
      </x:c>
      <x:c r="I800" s="15" t="str">
        <x:v>ZAR</x:v>
      </x:c>
      <x:c r="J800" s="15" t="str">
        <x:v>Outflow</x:v>
      </x:c>
      <x:c r="K800" s="15" t="str">
        <x:v>Card purchase</x:v>
      </x:c>
      <x:c r="L800" s="15" t="str">
        <x:v>Software / subscriptions</x:v>
      </x:c>
      <x:c r="M800" s="38"/>
      <x:c r="N800" s="38" t="n">
        <x:v>21238</x:v>
      </x:c>
      <x:c r="O800" s="15" t="str"/>
      <x:c r="P800" s="15" t="str">
        <x:v>eml_ALL_currentac__512781 (2).zip &gt; eml2currentac__512781.zip</x:v>
      </x:c>
      <x:c r="Q800" s="15" t="str">
        <x:v>FNB _-) R228.85 reserved for purchase @ Paystack _zoho Co from Current a_c..512781 using card..2924. 17May 10_26.eml</x:v>
      </x:c>
      <x:c r="R800" s="15" t="str">
        <x:v>High</x:v>
      </x:c>
      <x:c r="S800" s="15" t="str"/>
      <x:c r="T800" s="15" t="str"/>
      <x:c r="U800" s="15" t="str"/>
      <x:c r="V800" s="15" t="str"/>
      <x:c r="W800" s="15" t="str"/>
      <x:c r="X800" s="15" t="str">
        <x:v>FNB :-) R228.85 reserved for purchase @ Paystack *zoho Co from Current a/c..512781 using card..2924. Avail R21238. 17May 10:26</x:v>
      </x:c>
      <x:c r="Y800" s="15" t="str">
        <x:v>d3aaad88b445d125</x:v>
      </x:c>
    </x:row>
    <x:row r="801">
      <x:c r="A801" s="34" t="n">
        <x:v>46159.529861111114</x:v>
      </x:c>
      <x:c r="B801" s="36" t="n">
        <x:v>46159</x:v>
      </x:c>
      <x:c r="C801" s="34" t="n">
        <x:v>46159.53021990741</x:v>
      </x:c>
      <x:c r="D801" s="15" t="str">
        <x:v>Current a/c..512781</x:v>
      </x:c>
      <x:c r="E801" s="15" t="str"/>
      <x:c r="F801" s="15" t="str">
        <x:v>R1000.00 paid from Current a/c..512781 @ Smartapp. Avail R20238. Ref.Staff. 17May 12:43</x:v>
      </x:c>
      <x:c r="G801" s="15" t="str">
        <x:v>Staff</x:v>
      </x:c>
      <x:c r="H801" s="38" t="n">
        <x:v>1000</x:v>
      </x:c>
      <x:c r="I801" s="15" t="str">
        <x:v>ZAR</x:v>
      </x:c>
      <x:c r="J801" s="15" t="str">
        <x:v>Outflow</x:v>
      </x:c>
      <x:c r="K801" s="15" t="str">
        <x:v>EFT payment</x:v>
      </x:c>
      <x:c r="L801" s="15" t="str">
        <x:v>Salary / wages</x:v>
      </x:c>
      <x:c r="M801" s="38"/>
      <x:c r="N801" s="38" t="n">
        <x:v>20238</x:v>
      </x:c>
      <x:c r="O801" s="15" t="str"/>
      <x:c r="P801" s="15" t="str">
        <x:v>eml_ALL_currentac__512781 (2).zip &gt; eml2currentac__512781.zip</x:v>
      </x:c>
      <x:c r="Q801" s="15" t="str">
        <x:v>FNB _-) R1000.00 paid from Current a_c..512781 @ Smartapp. Ref.Staff. 17May 12_43.eml</x:v>
      </x:c>
      <x:c r="R801" s="15" t="str">
        <x:v>High</x:v>
      </x:c>
      <x:c r="S801" s="15" t="str"/>
      <x:c r="T801" s="15" t="str"/>
      <x:c r="U801" s="15" t="str"/>
      <x:c r="V801" s="15" t="str">
        <x:v>Staff</x:v>
      </x:c>
      <x:c r="W801" s="15" t="str">
        <x:v>Smartapp</x:v>
      </x:c>
      <x:c r="X801" s="15" t="str">
        <x:v>FNB :-) R1000.00 paid from Current a/c..512781 @ Smartapp. Avail R20238. Ref.Staff. 17May 12:43</x:v>
      </x:c>
      <x:c r="Y801" s="15" t="str">
        <x:v>883d09813aa1a540</x:v>
      </x:c>
    </x:row>
    <x:row r="802">
      <x:c r="A802" s="34" t="n">
        <x:v>46159.64166666667</x:v>
      </x:c>
      <x:c r="B802" s="36" t="n">
        <x:v>46159</x:v>
      </x:c>
      <x:c r="C802" s="34" t="n">
        <x:v>46159.64208333333</x:v>
      </x:c>
      <x:c r="D802" s="15" t="str">
        <x:v>Current a/c..512781</x:v>
      </x:c>
      <x:c r="E802" s="15" t="str">
        <x:v>card..2924</x:v>
      </x:c>
      <x:c r="F802" s="15" t="str">
        <x:v>R600.00 reserved for purchase @ Giraffe Pub And Gril from Current a/c..512781 using card..2924. Avail R19589. 17May 15:24</x:v>
      </x:c>
      <x:c r="G802" s="15" t="str">
        <x:v>Giraffe Pub And Gril</x:v>
      </x:c>
      <x:c r="H802" s="38" t="n">
        <x:v>600</x:v>
      </x:c>
      <x:c r="I802" s="15" t="str">
        <x:v>ZAR</x:v>
      </x:c>
      <x:c r="J802" s="15" t="str">
        <x:v>Outflow</x:v>
      </x:c>
      <x:c r="K802" s="15" t="str">
        <x:v>Card purchase</x:v>
      </x:c>
      <x:c r="L802" s="15" t="str">
        <x:v>Meals / restaurants / entertainment</x:v>
      </x:c>
      <x:c r="M802" s="38"/>
      <x:c r="N802" s="38" t="n">
        <x:v>19589</x:v>
      </x:c>
      <x:c r="O802" s="15" t="str"/>
      <x:c r="P802" s="15" t="str">
        <x:v>eml_ALL_currentac__512781 (2).zip &gt; eml2currentac__512781.zip</x:v>
      </x:c>
      <x:c r="Q802" s="15" t="str">
        <x:v>FNB _-) R600.00 reserved for purchase @ Giraffe Pub And Gril from Current a_c..512781 using card..2924. 17May 15_24.eml</x:v>
      </x:c>
      <x:c r="R802" s="15" t="str">
        <x:v>High</x:v>
      </x:c>
      <x:c r="S802" s="15" t="str"/>
      <x:c r="T802" s="15" t="str"/>
      <x:c r="U802" s="15" t="str"/>
      <x:c r="V802" s="15" t="str"/>
      <x:c r="W802" s="15" t="str"/>
      <x:c r="X802" s="15" t="str">
        <x:v>FNB :-) R600.00 reserved for purchase @ Giraffe Pub And Gril from Current a/c..512781 using card..2924. Avail R19589. 17May 15:24</x:v>
      </x:c>
      <x:c r="Y802" s="15" t="str">
        <x:v>94843f8e7957f36d</x:v>
      </x:c>
    </x:row>
    <x:row r="803">
      <x:c r="A803" s="34" t="n">
        <x:v>46159.97638888889</x:v>
      </x:c>
      <x:c r="B803" s="36" t="n">
        <x:v>46159</x:v>
      </x:c>
      <x:c r="C803" s="34" t="n">
        <x:v>46159.97675925926</x:v>
      </x:c>
      <x:c r="D803" s="15" t="str">
        <x:v>Current a/c..512781</x:v>
      </x:c>
      <x:c r="E803" s="15" t="str">
        <x:v>card..0104</x:v>
      </x:c>
      <x:c r="F803" s="15" t="str">
        <x:v>R149.00 reserved for purchase @ Openai *chatgpt Subscr+14 from Current a/c..512781 using card..0104. Avail R19440. 17May 23:26</x:v>
      </x:c>
      <x:c r="G803" s="15" t="str">
        <x:v>Openai *chatgpt Subscr+14</x:v>
      </x:c>
      <x:c r="H803" s="38" t="n">
        <x:v>149</x:v>
      </x:c>
      <x:c r="I803" s="15" t="str">
        <x:v>ZAR</x:v>
      </x:c>
      <x:c r="J803" s="15" t="str">
        <x:v>Outflow</x:v>
      </x:c>
      <x:c r="K803" s="15" t="str">
        <x:v>Card purchase</x:v>
      </x:c>
      <x:c r="L803" s="15" t="str">
        <x:v>Software / subscriptions</x:v>
      </x:c>
      <x:c r="M803" s="38"/>
      <x:c r="N803" s="38" t="n">
        <x:v>19440</x:v>
      </x:c>
      <x:c r="O803" s="15" t="str"/>
      <x:c r="P803" s="15" t="str">
        <x:v>eml_ALL_currentac__512781 (2).zip &gt; eml2currentac__512781.zip</x:v>
      </x:c>
      <x:c r="Q803" s="15" t="str">
        <x:v>FNB _-) R149.00 reserved for purchase @ Openai _chatgpt Subscr+14 from Current a_c..512781 using card..0104. 17May 23_26.eml</x:v>
      </x:c>
      <x:c r="R803" s="15" t="str">
        <x:v>High</x:v>
      </x:c>
      <x:c r="S803" s="15" t="str"/>
      <x:c r="T803" s="15" t="str"/>
      <x:c r="U803" s="15" t="str"/>
      <x:c r="V803" s="15" t="str"/>
      <x:c r="W803" s="15" t="str"/>
      <x:c r="X803" s="15" t="str">
        <x:v>FNB :-) R149.00 reserved for purchase @ Openai *chatgpt Subscr+14 from Current a/c..512781 using card..0104. Avail R19440. 17May 23:26</x:v>
      </x:c>
      <x:c r="Y803" s="15" t="str">
        <x:v>bf1e750dc7b685d3</x:v>
      </x:c>
    </x:row>
    <x:row r="804">
      <x:c r="A804" s="34" t="n">
        <x:v>46160.46597222222</x:v>
      </x:c>
      <x:c r="B804" s="36" t="n">
        <x:v>46160</x:v>
      </x:c>
      <x:c r="C804" s="34" t="n">
        <x:v>46160.466516203705</x:v>
      </x:c>
      <x:c r="D804" s="15" t="str">
        <x:v>Current a/c..512781</x:v>
      </x:c>
      <x:c r="E804" s="15" t="str"/>
      <x:c r="F804" s="15" t="str">
        <x:v>R5000.00 paid from Current a/c..512781 @ Smartapp. Avail R14432. Ref.Car. 18May 11:11</x:v>
      </x:c>
      <x:c r="G804" s="15" t="str">
        <x:v>Car</x:v>
      </x:c>
      <x:c r="H804" s="38" t="n">
        <x:v>5000</x:v>
      </x:c>
      <x:c r="I804" s="15" t="str">
        <x:v>ZAR</x:v>
      </x:c>
      <x:c r="J804" s="15" t="str">
        <x:v>Outflow</x:v>
      </x:c>
      <x:c r="K804" s="15" t="str">
        <x:v>EFT payment</x:v>
      </x:c>
      <x:c r="L804" s="15" t="str">
        <x:v>Supplier payments</x:v>
      </x:c>
      <x:c r="M804" s="38"/>
      <x:c r="N804" s="38" t="n">
        <x:v>14432</x:v>
      </x:c>
      <x:c r="O804" s="15" t="str"/>
      <x:c r="P804" s="15" t="str">
        <x:v>eml_ALL_currentac__512781 (2).zip &gt; eml2currentac__512781.zip</x:v>
      </x:c>
      <x:c r="Q804" s="15" t="str">
        <x:v>FNB _-) R5000.00 paid from Current a_c..512781 @ Smartapp. Ref.Car. 18May 11_11.eml</x:v>
      </x:c>
      <x:c r="R804" s="15" t="str">
        <x:v>High</x:v>
      </x:c>
      <x:c r="S804" s="15" t="str">
        <x:v>Category confidence Low: Default outflow category; review counterparty/reference.</x:v>
      </x:c>
      <x:c r="T804" s="15" t="str"/>
      <x:c r="U804" s="15" t="str"/>
      <x:c r="V804" s="15" t="str">
        <x:v>Car</x:v>
      </x:c>
      <x:c r="W804" s="15" t="str">
        <x:v>Smartapp</x:v>
      </x:c>
      <x:c r="X804" s="15" t="str">
        <x:v>FNB :-) R5000.00 paid from Current a/c..512781 @ Smartapp. Avail R14432. Ref.Car. 18May 11:11</x:v>
      </x:c>
      <x:c r="Y804" s="15" t="str">
        <x:v>d83df3761cda2fb8</x:v>
      </x:c>
    </x:row>
    <x:row r="805">
      <x:c r="A805" s="34" t="n">
        <x:v>46160.5625</x:v>
      </x:c>
      <x:c r="B805" s="36" t="n">
        <x:v>46160</x:v>
      </x:c>
      <x:c r="C805" s="34" t="n">
        <x:v>46160.563101851854</x:v>
      </x:c>
      <x:c r="D805" s="15" t="str">
        <x:v>Current a/c..512781</x:v>
      </x:c>
      <x:c r="E805" s="15" t="str">
        <x:v>card..2924</x:v>
      </x:c>
      <x:c r="F805" s="15" t="str">
        <x:v>R1017.17 reserved for purchase @ Superspar Komatipoor from Current a/c..512781 using card..2924. Avail R13414. 18May 13:30</x:v>
      </x:c>
      <x:c r="G805" s="15" t="str">
        <x:v>Superspar Komatipoor</x:v>
      </x:c>
      <x:c r="H805" s="38" t="n">
        <x:v>1017.17</x:v>
      </x:c>
      <x:c r="I805" s="15" t="str">
        <x:v>ZAR</x:v>
      </x:c>
      <x:c r="J805" s="15" t="str">
        <x:v>Outflow</x:v>
      </x:c>
      <x:c r="K805" s="15" t="str">
        <x:v>Card purchase</x:v>
      </x:c>
      <x:c r="L805" s="15" t="str">
        <x:v>Supplier payments</x:v>
      </x:c>
      <x:c r="M805" s="38"/>
      <x:c r="N805" s="38" t="n">
        <x:v>13414</x:v>
      </x:c>
      <x:c r="O805" s="15" t="str"/>
      <x:c r="P805" s="15" t="str">
        <x:v>eml_ALL_currentac__512781 (2).zip &gt; eml2currentac__512781.zip</x:v>
      </x:c>
      <x:c r="Q805" s="15" t="str">
        <x:v>FNB _-) R1017.17 reserved for purchase @ Superspar Komatipoor from Current a_c..512781 using card..2924. 18May 13_30.eml</x:v>
      </x:c>
      <x:c r="R805" s="15" t="str">
        <x:v>High</x:v>
      </x:c>
      <x:c r="S805" s="15" t="str">
        <x:v>Category confidence Medium: Retail/supplier merchant keyword.</x:v>
      </x:c>
      <x:c r="T805" s="15" t="str"/>
      <x:c r="U805" s="15" t="str"/>
      <x:c r="V805" s="15" t="str"/>
      <x:c r="W805" s="15" t="str"/>
      <x:c r="X805" s="15" t="str">
        <x:v>FNB :-) R1017.17 reserved for purchase @ Superspar Komatipoor from Current a/c..512781 using card..2924. Avail R13414. 18May 13:30</x:v>
      </x:c>
      <x:c r="Y805" s="15" t="str">
        <x:v>a0f3fbeecf2c06cd</x:v>
      </x:c>
    </x:row>
    <x:row r="806">
      <x:c r="A806" s="34" t="n">
        <x:v>46160.572916666664</x:v>
      </x:c>
      <x:c r="B806" s="36" t="n">
        <x:v>46160</x:v>
      </x:c>
      <x:c r="C806" s="34" t="n">
        <x:v>46160.573171296295</x:v>
      </x:c>
      <x:c r="D806" s="15" t="str">
        <x:v>Current a/c..512781</x:v>
      </x:c>
      <x:c r="E806" s="15" t="str"/>
      <x:c r="F806" s="15" t="str">
        <x:v>R335.25 paid to Current a/c..512781 @ Payshap. Ref.Ik Pay 487882. 18May 13:45</x:v>
      </x:c>
      <x:c r="G806" s="15" t="str">
        <x:v>Ik Pay 487882</x:v>
      </x:c>
      <x:c r="H806" s="38" t="n">
        <x:v>335.25</x:v>
      </x:c>
      <x:c r="I806" s="15" t="str">
        <x:v>ZAR</x:v>
      </x:c>
      <x:c r="J806" s="15" t="str">
        <x:v>Inflow</x:v>
      </x:c>
      <x:c r="K806" s="15" t="str">
        <x:v>EFT receipt</x:v>
      </x:c>
      <x:c r="L806" s="15" t="str">
        <x:v>Sales / customer receipts</x:v>
      </x:c>
      <x:c r="M806" s="38"/>
      <x:c r="N806" s="38"/>
      <x:c r="O806" s="15" t="str"/>
      <x:c r="P806" s="15" t="str">
        <x:v>eml_ALL_currentac__512781 (2).zip &gt; eml2currentac__512781.zip</x:v>
      </x:c>
      <x:c r="Q806" s="15" t="str">
        <x:v>FNB _-) R335.25 paid to Current a_c..512781 @ Payshap. Ref.Ik Pay 487882. 18May 13_45.eml</x:v>
      </x:c>
      <x:c r="R806" s="15" t="str">
        <x:v>High</x:v>
      </x:c>
      <x:c r="S806" s="15" t="str">
        <x:v>Category confidence Medium: Default for incoming EFT/PayShap/online receipt.</x:v>
      </x:c>
      <x:c r="T806" s="15" t="str"/>
      <x:c r="U806" s="15" t="str"/>
      <x:c r="V806" s="15" t="str">
        <x:v>Ik Pay 487882</x:v>
      </x:c>
      <x:c r="W806" s="15" t="str">
        <x:v>Payshap</x:v>
      </x:c>
      <x:c r="X806" s="15" t="str">
        <x:v>FNB :-) R335.25 paid to Current a/c..512781 @ Payshap. Ref.Ik Pay 487882. 18May 13:45</x:v>
      </x:c>
      <x:c r="Y806" s="15" t="str">
        <x:v>b3d19edd7360155a</x:v>
      </x:c>
    </x:row>
    <x:row r="807">
      <x:c r="A807" s="34" t="n">
        <x:v>46160.73333333333</x:v>
      </x:c>
      <x:c r="B807" s="36" t="n">
        <x:v>46160</x:v>
      </x:c>
      <x:c r="C807" s="34" t="n">
        <x:v>46160.733981481484</x:v>
      </x:c>
      <x:c r="D807" s="15" t="str">
        <x:v>Current a/c..512781</x:v>
      </x:c>
      <x:c r="E807" s="15" t="str"/>
      <x:c r="F807" s="15" t="str">
        <x:v>R150.00 paid from Current a/c..512781 @ Smartapp. Avail R13511. Ref.Electricity 14503572. 18May 17:36</x:v>
      </x:c>
      <x:c r="G807" s="15" t="str">
        <x:v>Electricity 14503572</x:v>
      </x:c>
      <x:c r="H807" s="38" t="n">
        <x:v>150</x:v>
      </x:c>
      <x:c r="I807" s="15" t="str">
        <x:v>ZAR</x:v>
      </x:c>
      <x:c r="J807" s="15" t="str">
        <x:v>Outflow</x:v>
      </x:c>
      <x:c r="K807" s="15" t="str">
        <x:v>EFT payment</x:v>
      </x:c>
      <x:c r="L807" s="15" t="str">
        <x:v>Telecom / utilities</x:v>
      </x:c>
      <x:c r="M807" s="38"/>
      <x:c r="N807" s="38" t="n">
        <x:v>13511</x:v>
      </x:c>
      <x:c r="O807" s="15" t="str"/>
      <x:c r="P807" s="15" t="str">
        <x:v>eml_ALL_currentac__512781 (2).zip &gt; eml2currentac__512781.zip</x:v>
      </x:c>
      <x:c r="Q807" s="15" t="str">
        <x:v>FNB _-) R150.00 paid from Current a_c..512781 @ Smartapp. Ref.Electricity 14503572. 18May 17_36.eml</x:v>
      </x:c>
      <x:c r="R807" s="15" t="str">
        <x:v>High</x:v>
      </x:c>
      <x:c r="S807" s="15" t="str"/>
      <x:c r="T807" s="15" t="str"/>
      <x:c r="U807" s="15" t="str"/>
      <x:c r="V807" s="15" t="str">
        <x:v>Electricity 14503572</x:v>
      </x:c>
      <x:c r="W807" s="15" t="str">
        <x:v>Smartapp</x:v>
      </x:c>
      <x:c r="X807" s="15" t="str">
        <x:v>FNB :-) R150.00 paid from Current a/c..512781 @ Smartapp. Avail R13511. Ref.Electricity 14503572. 18May 17:36</x:v>
      </x:c>
      <x:c r="Y807" s="15" t="str">
        <x:v>2a1aa923a7bff59e</x:v>
      </x:c>
    </x:row>
    <x:row r="808">
      <x:c r="A808" s="34" t="n">
        <x:v>46161.46319444444</x:v>
      </x:c>
      <x:c r="B808" s="36" t="n">
        <x:v>46161</x:v>
      </x:c>
      <x:c r="C808" s="34" t="n">
        <x:v>46161.46383101852</x:v>
      </x:c>
      <x:c r="D808" s="15" t="str">
        <x:v>Current a/c..512781</x:v>
      </x:c>
      <x:c r="E808" s="15" t="str">
        <x:v>card..2924</x:v>
      </x:c>
      <x:c r="F808" s="15" t="str">
        <x:v>R200.00 reserved for purchase @ Marlothi Petrol Stat from Current a/c..512781 using card..2924. Avail R13308. 19May 11:07</x:v>
      </x:c>
      <x:c r="G808" s="15" t="str">
        <x:v>Marlothi Petrol Stat</x:v>
      </x:c>
      <x:c r="H808" s="38" t="n">
        <x:v>200</x:v>
      </x:c>
      <x:c r="I808" s="15" t="str">
        <x:v>ZAR</x:v>
      </x:c>
      <x:c r="J808" s="15" t="str">
        <x:v>Outflow</x:v>
      </x:c>
      <x:c r="K808" s="15" t="str">
        <x:v>Card purchase</x:v>
      </x:c>
      <x:c r="L808" s="15" t="str">
        <x:v>Fuel / transport</x:v>
      </x:c>
      <x:c r="M808" s="38"/>
      <x:c r="N808" s="38" t="n">
        <x:v>13308</x:v>
      </x:c>
      <x:c r="O808" s="15" t="str"/>
      <x:c r="P808" s="15" t="str">
        <x:v>eml_ALL_currentac__512781 (2).zip &gt; eml2currentac__512781.zip</x:v>
      </x:c>
      <x:c r="Q808" s="15" t="str">
        <x:v>FNB _-) R200.00 reserved for purchase @ Marlothi Petrol Stat from Current a_c..512781 using card..2924. 19May 11_07.eml</x:v>
      </x:c>
      <x:c r="R808" s="15" t="str">
        <x:v>High</x:v>
      </x:c>
      <x:c r="S808" s="15" t="str"/>
      <x:c r="T808" s="15" t="str"/>
      <x:c r="U808" s="15" t="str"/>
      <x:c r="V808" s="15" t="str"/>
      <x:c r="W808" s="15" t="str"/>
      <x:c r="X808" s="15" t="str">
        <x:v>FNB :-) R200.00 reserved for purchase @ Marlothi Petrol Stat from Current a/c..512781 using card..2924. Avail R13308. 19May 11:07</x:v>
      </x:c>
      <x:c r="Y808" s="15" t="str">
        <x:v>f51efac0506ba3b2</x:v>
      </x:c>
    </x:row>
    <x:row r="809">
      <x:c r="A809" s="34" t="n">
        <x:v>46161.638194444444</x:v>
      </x:c>
      <x:c r="B809" s="36" t="n">
        <x:v>46161</x:v>
      </x:c>
      <x:c r="C809" s="34" t="n">
        <x:v>46161.638819444444</x:v>
      </x:c>
      <x:c r="D809" s="15" t="str">
        <x:v>Current a/c..512781</x:v>
      </x:c>
      <x:c r="E809" s="15" t="str"/>
      <x:c r="F809" s="15" t="str">
        <x:v>R1000.00 paid from Current a/c..512781 @ Smartapp. Avail R12305. Ref.Salary. 19May 15:19</x:v>
      </x:c>
      <x:c r="G809" s="15" t="str">
        <x:v>Salary</x:v>
      </x:c>
      <x:c r="H809" s="38" t="n">
        <x:v>1000</x:v>
      </x:c>
      <x:c r="I809" s="15" t="str">
        <x:v>ZAR</x:v>
      </x:c>
      <x:c r="J809" s="15" t="str">
        <x:v>Outflow</x:v>
      </x:c>
      <x:c r="K809" s="15" t="str">
        <x:v>EFT payment</x:v>
      </x:c>
      <x:c r="L809" s="15" t="str">
        <x:v>Salary / wages</x:v>
      </x:c>
      <x:c r="M809" s="38"/>
      <x:c r="N809" s="38" t="n">
        <x:v>12305</x:v>
      </x:c>
      <x:c r="O809" s="15" t="str"/>
      <x:c r="P809" s="15" t="str">
        <x:v>eml_ALL_currentac__512781 (2).zip &gt; eml2currentac__512781.zip</x:v>
      </x:c>
      <x:c r="Q809" s="15" t="str">
        <x:v>FNB _-) R1000.00 paid from Current a_c..512781 @ Smartapp. Ref.Salary. 19May 15_19.eml</x:v>
      </x:c>
      <x:c r="R809" s="15" t="str">
        <x:v>High</x:v>
      </x:c>
      <x:c r="S809" s="15" t="str"/>
      <x:c r="T809" s="15" t="str"/>
      <x:c r="U809" s="15" t="str"/>
      <x:c r="V809" s="15" t="str">
        <x:v>Salary</x:v>
      </x:c>
      <x:c r="W809" s="15" t="str">
        <x:v>Smartapp</x:v>
      </x:c>
      <x:c r="X809" s="15" t="str">
        <x:v>FNB :-) R1000.00 paid from Current a/c..512781 @ Smartapp. Avail R12305. Ref.Salary. 19May 15:19</x:v>
      </x:c>
      <x:c r="Y809" s="15" t="str">
        <x:v>56859d25d2f28a31</x:v>
      </x:c>
    </x:row>
    <x:row r="810">
      <x:c r="A810" s="34" t="n">
        <x:v>46161.675</x:v>
      </x:c>
      <x:c r="B810" s="36" t="n">
        <x:v>46161</x:v>
      </x:c>
      <x:c r="C810" s="34" t="n">
        <x:v>46161.67527777778</x:v>
      </x:c>
      <x:c r="D810" s="15" t="str">
        <x:v>Current a/c..512781</x:v>
      </x:c>
      <x:c r="E810" s="15" t="str"/>
      <x:c r="F810" s="15" t="str">
        <x:v>R500.00 paid from Current a/c..512781 @ Smartapp. Avail R11712. Ref.Electricity 04294887. 19May 16:12</x:v>
      </x:c>
      <x:c r="G810" s="15" t="str">
        <x:v>Electricity 04294887</x:v>
      </x:c>
      <x:c r="H810" s="38" t="n">
        <x:v>500</x:v>
      </x:c>
      <x:c r="I810" s="15" t="str">
        <x:v>ZAR</x:v>
      </x:c>
      <x:c r="J810" s="15" t="str">
        <x:v>Outflow</x:v>
      </x:c>
      <x:c r="K810" s="15" t="str">
        <x:v>EFT payment</x:v>
      </x:c>
      <x:c r="L810" s="15" t="str">
        <x:v>Telecom / utilities</x:v>
      </x:c>
      <x:c r="M810" s="38"/>
      <x:c r="N810" s="38" t="n">
        <x:v>11712</x:v>
      </x:c>
      <x:c r="O810" s="15" t="str"/>
      <x:c r="P810" s="15" t="str">
        <x:v>eml_ALL_currentac__512781 (2).zip &gt; eml2currentac__512781.zip</x:v>
      </x:c>
      <x:c r="Q810" s="15" t="str">
        <x:v>FNB _-) R500.00 paid from Current a_c..512781 @ Smartapp. Ref.Electricity 04294887. 19May 16_12.eml</x:v>
      </x:c>
      <x:c r="R810" s="15" t="str">
        <x:v>High</x:v>
      </x:c>
      <x:c r="S810" s="15" t="str"/>
      <x:c r="T810" s="15" t="str"/>
      <x:c r="U810" s="15" t="str"/>
      <x:c r="V810" s="15" t="str">
        <x:v>Electricity 04294887</x:v>
      </x:c>
      <x:c r="W810" s="15" t="str">
        <x:v>Smartapp</x:v>
      </x:c>
      <x:c r="X810" s="15" t="str">
        <x:v>FNB :-) R500.00 paid from Current a/c..512781 @ Smartapp. Avail R11712. Ref.Electricity 04294887. 19May 16:12</x:v>
      </x:c>
      <x:c r="Y810" s="15" t="str">
        <x:v>fa4f3f61aff8be22</x:v>
      </x:c>
    </x:row>
    <x:row r="811">
      <x:c r="A811" s="34" t="n">
        <x:v>46161.69097222222</x:v>
      </x:c>
      <x:c r="B811" s="36" t="n">
        <x:v>46161</x:v>
      </x:c>
      <x:c r="C811" s="34" t="n">
        <x:v>46161.69099537037</x:v>
      </x:c>
      <x:c r="D811" s="15" t="str">
        <x:v>Current a/c..512781</x:v>
      </x:c>
      <x:c r="E811" s="15" t="str">
        <x:v>card..2924</x:v>
      </x:c>
      <x:c r="F811" s="15" t="str">
        <x:v>R285.95 reserved for purchase @ Savemor Marloth from Current a/c..512781 using card..2924. Avail R11426. 19May 16:35</x:v>
      </x:c>
      <x:c r="G811" s="15" t="str">
        <x:v>Savemor Marloth</x:v>
      </x:c>
      <x:c r="H811" s="38" t="n">
        <x:v>285.95</x:v>
      </x:c>
      <x:c r="I811" s="15" t="str">
        <x:v>ZAR</x:v>
      </x:c>
      <x:c r="J811" s="15" t="str">
        <x:v>Outflow</x:v>
      </x:c>
      <x:c r="K811" s="15" t="str">
        <x:v>Card purchase</x:v>
      </x:c>
      <x:c r="L811" s="15" t="str">
        <x:v>Supplier payments</x:v>
      </x:c>
      <x:c r="M811" s="38"/>
      <x:c r="N811" s="38" t="n">
        <x:v>11426</x:v>
      </x:c>
      <x:c r="O811" s="15" t="str"/>
      <x:c r="P811" s="15" t="str">
        <x:v>eml_ALL_currentac__512781 (2).zip &gt; eml2currentac__512781.zip</x:v>
      </x:c>
      <x:c r="Q811" s="15" t="str">
        <x:v>FNB _-) R285.95 reserved for purchase @ Savemor Marloth from Current a_c..512781 using card..2924. 19May 16_35.eml</x:v>
      </x:c>
      <x:c r="R811" s="15" t="str">
        <x:v>High</x:v>
      </x:c>
      <x:c r="S811" s="15" t="str">
        <x:v>Category confidence Medium: Retail/supplier merchant keyword.</x:v>
      </x:c>
      <x:c r="T811" s="15" t="str"/>
      <x:c r="U811" s="15" t="str"/>
      <x:c r="V811" s="15" t="str"/>
      <x:c r="W811" s="15" t="str"/>
      <x:c r="X811" s="15" t="str">
        <x:v>FNB :-) R285.95 reserved for purchase @ Savemor Marloth from Current a/c..512781 using card..2924. Avail R11426. 19May 16:35</x:v>
      </x:c>
      <x:c r="Y811" s="15" t="str">
        <x:v>3d82ad767915173f</x:v>
      </x:c>
    </x:row>
    <x:row r="812">
      <x:c r="A812" s="34" t="n">
        <x:v>46161.694444444445</x:v>
      </x:c>
      <x:c r="B812" s="36" t="n">
        <x:v>46161</x:v>
      </x:c>
      <x:c r="C812" s="34" t="n">
        <x:v>46161.69510416667</x:v>
      </x:c>
      <x:c r="D812" s="15" t="str">
        <x:v>Current a/c..512781</x:v>
      </x:c>
      <x:c r="E812" s="15" t="str">
        <x:v>card..2924</x:v>
      </x:c>
      <x:c r="F812" s="15" t="str">
        <x:v>R269.97 reserved for purchase @ Savemor Marloth Liqu from Current a/c..512781 using card..2924. Avail R11156. 19May 16:40</x:v>
      </x:c>
      <x:c r="G812" s="15" t="str">
        <x:v>Savemor Marloth Liqu</x:v>
      </x:c>
      <x:c r="H812" s="38" t="n">
        <x:v>269.97</x:v>
      </x:c>
      <x:c r="I812" s="15" t="str">
        <x:v>ZAR</x:v>
      </x:c>
      <x:c r="J812" s="15" t="str">
        <x:v>Outflow</x:v>
      </x:c>
      <x:c r="K812" s="15" t="str">
        <x:v>Card purchase</x:v>
      </x:c>
      <x:c r="L812" s="15" t="str">
        <x:v>Meals / restaurants / entertainment</x:v>
      </x:c>
      <x:c r="M812" s="38"/>
      <x:c r="N812" s="38" t="n">
        <x:v>11156</x:v>
      </x:c>
      <x:c r="O812" s="15" t="str"/>
      <x:c r="P812" s="15" t="str">
        <x:v>eml_ALL_currentac__512781 (2).zip &gt; eml2currentac__512781.zip</x:v>
      </x:c>
      <x:c r="Q812" s="15" t="str">
        <x:v>FNB _-) R269.97 reserved for purchase @ Savemor Marloth Liqu from Current a_c..512781 using card..2924. 19May 16_40.eml</x:v>
      </x:c>
      <x:c r="R812" s="15" t="str">
        <x:v>High</x:v>
      </x:c>
      <x:c r="S812" s="15" t="str"/>
      <x:c r="T812" s="15" t="str"/>
      <x:c r="U812" s="15" t="str"/>
      <x:c r="V812" s="15" t="str"/>
      <x:c r="W812" s="15" t="str"/>
      <x:c r="X812" s="15" t="str">
        <x:v>FNB :-) R269.97 reserved for purchase @ Savemor Marloth Liqu from Current a/c..512781 using card..2924. Avail R11156. 19May 16:40</x:v>
      </x:c>
      <x:c r="Y812" s="15" t="str">
        <x:v>f54f1fffdcf8ec82</x:v>
      </x:c>
    </x:row>
    <x:row r="813">
      <x:c r="A813" s="34" t="n">
        <x:v>46162.45694444444</x:v>
      </x:c>
      <x:c r="B813" s="36" t="n">
        <x:v>46162</x:v>
      </x:c>
      <x:c r="C813" s="34" t="n">
        <x:v>46162.45725694444</x:v>
      </x:c>
      <x:c r="D813" s="15" t="str">
        <x:v>Current a/c..512781</x:v>
      </x:c>
      <x:c r="E813" s="15" t="str">
        <x:v>card..0104</x:v>
      </x:c>
      <x:c r="F813" s="15" t="str">
        <x:v>R395.68 reserved for purchase @ Claude.ai Subscription+14 from Current a/c..512781 using card..0104. Avail R10743. 20May 10:58</x:v>
      </x:c>
      <x:c r="G813" s="15" t="str">
        <x:v>Claude.ai Subscription+14</x:v>
      </x:c>
      <x:c r="H813" s="38" t="n">
        <x:v>395.68</x:v>
      </x:c>
      <x:c r="I813" s="15" t="str">
        <x:v>ZAR</x:v>
      </x:c>
      <x:c r="J813" s="15" t="str">
        <x:v>Outflow</x:v>
      </x:c>
      <x:c r="K813" s="15" t="str">
        <x:v>Card purchase</x:v>
      </x:c>
      <x:c r="L813" s="15" t="str">
        <x:v>Software / subscriptions</x:v>
      </x:c>
      <x:c r="M813" s="38"/>
      <x:c r="N813" s="38" t="n">
        <x:v>10743</x:v>
      </x:c>
      <x:c r="O813" s="15" t="str"/>
      <x:c r="P813" s="15" t="str">
        <x:v>eml_ALL_currentac__512781 (2).zip &gt; eml2currentac__512781.zip</x:v>
      </x:c>
      <x:c r="Q813" s="15" t="str">
        <x:v>FNB _-) R395.68 reserved for purchase @ Claude.ai Subscription+14 from Current a_c..512781 using card..0104. 20May 10_58.eml</x:v>
      </x:c>
      <x:c r="R813" s="15" t="str">
        <x:v>High</x:v>
      </x:c>
      <x:c r="S813" s="15" t="str"/>
      <x:c r="T813" s="15" t="str"/>
      <x:c r="U813" s="15" t="str"/>
      <x:c r="V813" s="15" t="str"/>
      <x:c r="W813" s="15" t="str"/>
      <x:c r="X813" s="15" t="str">
        <x:v>FNB :-) R395.68 reserved for purchase @ Claude.ai Subscription+14 from Current a/c..512781 using card..0104. Avail R10743. 20May 10:58</x:v>
      </x:c>
      <x:c r="Y813" s="15" t="str">
        <x:v>29991485da36e762</x:v>
      </x:c>
    </x:row>
    <x:row r="814">
      <x:c r="A814" s="34" t="n">
        <x:v>46162.48055555556</x:v>
      </x:c>
      <x:c r="B814" s="36" t="n">
        <x:v>46162</x:v>
      </x:c>
      <x:c r="C814" s="34" t="n">
        <x:v>46162.480717592596</x:v>
      </x:c>
      <x:c r="D814" s="15" t="str">
        <x:v>Current a/c..512781</x:v>
      </x:c>
      <x:c r="E814" s="15" t="str">
        <x:v>card..2924</x:v>
      </x:c>
      <x:c r="F814" s="15" t="str">
        <x:v>R172.96 reserved for purchase @ Pep 5668 Malelane from Current a/c..512781 using card..2924. Avail R10570. 20May 11:32</x:v>
      </x:c>
      <x:c r="G814" s="15" t="str">
        <x:v>Pep 5668 Malelane</x:v>
      </x:c>
      <x:c r="H814" s="38" t="n">
        <x:v>172.96</x:v>
      </x:c>
      <x:c r="I814" s="15" t="str">
        <x:v>ZAR</x:v>
      </x:c>
      <x:c r="J814" s="15" t="str">
        <x:v>Outflow</x:v>
      </x:c>
      <x:c r="K814" s="15" t="str">
        <x:v>Card purchase</x:v>
      </x:c>
      <x:c r="L814" s="15" t="str">
        <x:v>Supplier payments</x:v>
      </x:c>
      <x:c r="M814" s="38"/>
      <x:c r="N814" s="38" t="n">
        <x:v>10570</x:v>
      </x:c>
      <x:c r="O814" s="15" t="str"/>
      <x:c r="P814" s="15" t="str">
        <x:v>eml_ALL_currentac__512781 (2).zip &gt; eml2currentac__512781.zip</x:v>
      </x:c>
      <x:c r="Q814" s="15" t="str">
        <x:v>FNB _-) R172.96 reserved for purchase @ Pep 5668 Malelane from Current a_c..512781 using card..2924. 20May 11_32.eml</x:v>
      </x:c>
      <x:c r="R814" s="15" t="str">
        <x:v>High</x:v>
      </x:c>
      <x:c r="S814" s="15" t="str">
        <x:v>Category confidence Medium: Retail/supplier merchant keyword.</x:v>
      </x:c>
      <x:c r="T814" s="15" t="str"/>
      <x:c r="U814" s="15" t="str"/>
      <x:c r="V814" s="15" t="str"/>
      <x:c r="W814" s="15" t="str"/>
      <x:c r="X814" s="15" t="str">
        <x:v>FNB :-) R172.96 reserved for purchase @ Pep 5668 Malelane from Current a/c..512781 using card..2924. Avail R10570. 20May 11:32</x:v>
      </x:c>
      <x:c r="Y814" s="15" t="str">
        <x:v>fab16c8f1cf497f1</x:v>
      </x:c>
    </x:row>
    <x:row r="815">
      <x:c r="A815" s="34" t="n">
        <x:v>46162.5</x:v>
      </x:c>
      <x:c r="B815" s="36" t="n">
        <x:v>46162</x:v>
      </x:c>
      <x:c r="C815" s="34" t="n">
        <x:v>46162.500243055554</x:v>
      </x:c>
      <x:c r="D815" s="15" t="str">
        <x:v>Current a/c..512781</x:v>
      </x:c>
      <x:c r="E815" s="15" t="str">
        <x:v>card..2924</x:v>
      </x:c>
      <x:c r="F815" s="15" t="str">
        <x:v>R410.49 reserved for purchase @ Shoprite Malelane from Current a/c..512781 using card..2924. Avail R10160. 20May 12:00</x:v>
      </x:c>
      <x:c r="G815" s="15" t="str">
        <x:v>Shoprite Malelane</x:v>
      </x:c>
      <x:c r="H815" s="38" t="n">
        <x:v>410.49</x:v>
      </x:c>
      <x:c r="I815" s="15" t="str">
        <x:v>ZAR</x:v>
      </x:c>
      <x:c r="J815" s="15" t="str">
        <x:v>Outflow</x:v>
      </x:c>
      <x:c r="K815" s="15" t="str">
        <x:v>Card purchase</x:v>
      </x:c>
      <x:c r="L815" s="15" t="str">
        <x:v>Supplier payments</x:v>
      </x:c>
      <x:c r="M815" s="38"/>
      <x:c r="N815" s="38" t="n">
        <x:v>10160</x:v>
      </x:c>
      <x:c r="O815" s="15" t="str"/>
      <x:c r="P815" s="15" t="str">
        <x:v>eml_ALL_currentac__512781 (2).zip &gt; eml2currentac__512781.zip</x:v>
      </x:c>
      <x:c r="Q815" s="15" t="str">
        <x:v>FNB _-) R410.49 reserved for purchase @ Shoprite Malelane from Current a_c..512781 using card..2924. 20May 12_00.eml</x:v>
      </x:c>
      <x:c r="R815" s="15" t="str">
        <x:v>High</x:v>
      </x:c>
      <x:c r="S815" s="15" t="str">
        <x:v>Category confidence Medium: Retail/supplier merchant keyword.</x:v>
      </x:c>
      <x:c r="T815" s="15" t="str"/>
      <x:c r="U815" s="15" t="str"/>
      <x:c r="V815" s="15" t="str"/>
      <x:c r="W815" s="15" t="str"/>
      <x:c r="X815" s="15" t="str">
        <x:v>FNB :-) R410.49 reserved for purchase @ Shoprite Malelane from Current a/c..512781 using card..2924. Avail R10160. 20May 12:00</x:v>
      </x:c>
      <x:c r="Y815" s="15" t="str">
        <x:v>dda17765d0a8508f</x:v>
      </x:c>
    </x:row>
    <x:row r="816">
      <x:c r="A816" s="34" t="n">
        <x:v>46162.518055555556</x:v>
      </x:c>
      <x:c r="B816" s="36" t="n">
        <x:v>46162</x:v>
      </x:c>
      <x:c r="C816" s="34" t="n">
        <x:v>46162.51813657407</x:v>
      </x:c>
      <x:c r="D816" s="15" t="str">
        <x:v>Current a/c..512781</x:v>
      </x:c>
      <x:c r="E816" s="15" t="str">
        <x:v>card..2924</x:v>
      </x:c>
      <x:c r="F816" s="15" t="str">
        <x:v>R178.45 reserved for purchase @ Woolworths from Current a/c..512781 using card..2924. Avail R9981. 20May 12:26</x:v>
      </x:c>
      <x:c r="G816" s="15" t="str">
        <x:v>Woolworths</x:v>
      </x:c>
      <x:c r="H816" s="38" t="n">
        <x:v>178.45</x:v>
      </x:c>
      <x:c r="I816" s="15" t="str">
        <x:v>ZAR</x:v>
      </x:c>
      <x:c r="J816" s="15" t="str">
        <x:v>Outflow</x:v>
      </x:c>
      <x:c r="K816" s="15" t="str">
        <x:v>Card purchase</x:v>
      </x:c>
      <x:c r="L816" s="15" t="str">
        <x:v>Supplier payments</x:v>
      </x:c>
      <x:c r="M816" s="38"/>
      <x:c r="N816" s="38" t="n">
        <x:v>9981</x:v>
      </x:c>
      <x:c r="O816" s="15" t="str"/>
      <x:c r="P816" s="15" t="str">
        <x:v>eml_ALL_currentac__512781 (2).zip &gt; eml2currentac__512781.zip</x:v>
      </x:c>
      <x:c r="Q816" s="15" t="str">
        <x:v>FNB _-) R178.45 reserved for purchase @ Woolworths from Current a_c..512781 using card..2924. 20May 12_26.eml</x:v>
      </x:c>
      <x:c r="R816" s="15" t="str">
        <x:v>High</x:v>
      </x:c>
      <x:c r="S816" s="15" t="str">
        <x:v>Category confidence Medium: Retail/supplier merchant keyword.</x:v>
      </x:c>
      <x:c r="T816" s="15" t="str"/>
      <x:c r="U816" s="15" t="str"/>
      <x:c r="V816" s="15" t="str"/>
      <x:c r="W816" s="15" t="str"/>
      <x:c r="X816" s="15" t="str">
        <x:v>FNB :-) R178.45 reserved for purchase @ Woolworths from Current a/c..512781 using card..2924. Avail R9981. 20May 12:26</x:v>
      </x:c>
      <x:c r="Y816" s="15" t="str">
        <x:v>4eb01d3e2d92de1f</x:v>
      </x:c>
    </x:row>
    <x:row r="817">
      <x:c r="A817" s="34" t="n">
        <x:v>46162.54305555556</x:v>
      </x:c>
      <x:c r="B817" s="36" t="n">
        <x:v>46162</x:v>
      </x:c>
      <x:c r="C817" s="34" t="n">
        <x:v>46162.54324074074</x:v>
      </x:c>
      <x:c r="D817" s="15" t="str">
        <x:v>Current a/c..512781</x:v>
      </x:c>
      <x:c r="E817" s="15" t="str">
        <x:v>card..0104</x:v>
      </x:c>
      <x:c r="F817" s="15" t="str">
        <x:v>R3562.33 reserved for purchase @ Claude.ai Subscription+14 from Current a/c..512781 using card..0104. Avail R6419. 20May 13:02</x:v>
      </x:c>
      <x:c r="G817" s="15" t="str">
        <x:v>Claude.ai Subscription+14</x:v>
      </x:c>
      <x:c r="H817" s="38" t="n">
        <x:v>3562.33</x:v>
      </x:c>
      <x:c r="I817" s="15" t="str">
        <x:v>ZAR</x:v>
      </x:c>
      <x:c r="J817" s="15" t="str">
        <x:v>Outflow</x:v>
      </x:c>
      <x:c r="K817" s="15" t="str">
        <x:v>Card purchase</x:v>
      </x:c>
      <x:c r="L817" s="15" t="str">
        <x:v>Software / subscriptions</x:v>
      </x:c>
      <x:c r="M817" s="38"/>
      <x:c r="N817" s="38" t="n">
        <x:v>6419</x:v>
      </x:c>
      <x:c r="O817" s="15" t="str"/>
      <x:c r="P817" s="15" t="str">
        <x:v>eml_ALL_currentac__512781 (2).zip &gt; eml2currentac__512781.zip</x:v>
      </x:c>
      <x:c r="Q817" s="15" t="str">
        <x:v>FNB _-) R3562.33 reserved for purchase @ Claude.ai Subscription+14 from Current a_c..512781 using card..0104. 20May 13_02.eml</x:v>
      </x:c>
      <x:c r="R817" s="15" t="str">
        <x:v>High</x:v>
      </x:c>
      <x:c r="S817" s="15" t="str"/>
      <x:c r="T817" s="15" t="str"/>
      <x:c r="U817" s="15" t="str"/>
      <x:c r="V817" s="15" t="str"/>
      <x:c r="W817" s="15" t="str"/>
      <x:c r="X817" s="15" t="str">
        <x:v>FNB :-) R3562.33 reserved for purchase @ Claude.ai Subscription+14 from Current a/c..512781 using card..0104. Avail R6419. 20May 13:02</x:v>
      </x:c>
      <x:c r="Y817" s="15" t="str">
        <x:v>fbb0607ec7d946c5</x:v>
      </x:c>
    </x:row>
    <x:row r="818">
      <x:c r="A818" s="34" t="n">
        <x:v>46162.561111111114</x:v>
      </x:c>
      <x:c r="B818" s="36" t="n">
        <x:v>46162</x:v>
      </x:c>
      <x:c r="C818" s="34" t="n">
        <x:v>46162.561585648145</x:v>
      </x:c>
      <x:c r="D818" s="15" t="str">
        <x:v>Current a/c..512781</x:v>
      </x:c>
      <x:c r="E818" s="15" t="str">
        <x:v>card..2924</x:v>
      </x:c>
      <x:c r="F818" s="15" t="str">
        <x:v>R956.42 reserved for purchase @ Superspar Malelane from Current a/c..512781 using card..2924. Avail R5463. 20May 13:28</x:v>
      </x:c>
      <x:c r="G818" s="15" t="str">
        <x:v>Superspar Malelane</x:v>
      </x:c>
      <x:c r="H818" s="38" t="n">
        <x:v>956.42</x:v>
      </x:c>
      <x:c r="I818" s="15" t="str">
        <x:v>ZAR</x:v>
      </x:c>
      <x:c r="J818" s="15" t="str">
        <x:v>Outflow</x:v>
      </x:c>
      <x:c r="K818" s="15" t="str">
        <x:v>Card purchase</x:v>
      </x:c>
      <x:c r="L818" s="15" t="str">
        <x:v>Supplier payments</x:v>
      </x:c>
      <x:c r="M818" s="38"/>
      <x:c r="N818" s="38" t="n">
        <x:v>5463</x:v>
      </x:c>
      <x:c r="O818" s="15" t="str"/>
      <x:c r="P818" s="15" t="str">
        <x:v>eml_ALL_currentac__512781 (2).zip &gt; eml2currentac__512781.zip</x:v>
      </x:c>
      <x:c r="Q818" s="15" t="str">
        <x:v>FNB _-) R956.42 reserved for purchase @ Superspar Malelane from Current a_c..512781 using card..2924. 20May 13_28.eml</x:v>
      </x:c>
      <x:c r="R818" s="15" t="str">
        <x:v>High</x:v>
      </x:c>
      <x:c r="S818" s="15" t="str">
        <x:v>Category confidence Medium: Retail/supplier merchant keyword.</x:v>
      </x:c>
      <x:c r="T818" s="15" t="str"/>
      <x:c r="U818" s="15" t="str"/>
      <x:c r="V818" s="15" t="str"/>
      <x:c r="W818" s="15" t="str"/>
      <x:c r="X818" s="15" t="str">
        <x:v>FNB :-) R956.42 reserved for purchase @ Superspar Malelane from Current a/c..512781 using card..2924. Avail R5463. 20May 13:28</x:v>
      </x:c>
      <x:c r="Y818" s="15" t="str">
        <x:v>eb5840676312c22c</x:v>
      </x:c>
    </x:row>
    <x:row r="819">
      <x:c r="A819" s="34" t="n">
        <x:v>46162.58125</x:v>
      </x:c>
      <x:c r="B819" s="36" t="n">
        <x:v>46162</x:v>
      </x:c>
      <x:c r="C819" s="34" t="n">
        <x:v>46162.58138888889</x:v>
      </x:c>
      <x:c r="D819" s="15" t="str">
        <x:v>Current a/c..512781</x:v>
      </x:c>
      <x:c r="E819" s="15" t="str"/>
      <x:c r="F819" s="15" t="str">
        <x:v>R3197.67 paid to Current a/c..512781 @ Payshap. Ref.Ik Pay 487882. 20May 13:57</x:v>
      </x:c>
      <x:c r="G819" s="15" t="str">
        <x:v>Ik Pay 487882</x:v>
      </x:c>
      <x:c r="H819" s="38" t="n">
        <x:v>3197.67</x:v>
      </x:c>
      <x:c r="I819" s="15" t="str">
        <x:v>ZAR</x:v>
      </x:c>
      <x:c r="J819" s="15" t="str">
        <x:v>Inflow</x:v>
      </x:c>
      <x:c r="K819" s="15" t="str">
        <x:v>EFT receipt</x:v>
      </x:c>
      <x:c r="L819" s="15" t="str">
        <x:v>Sales / customer receipts</x:v>
      </x:c>
      <x:c r="M819" s="38"/>
      <x:c r="N819" s="38"/>
      <x:c r="O819" s="15" t="str"/>
      <x:c r="P819" s="15" t="str">
        <x:v>eml_ALL_currentac__512781 (2).zip &gt; eml2currentac__512781.zip</x:v>
      </x:c>
      <x:c r="Q819" s="15" t="str">
        <x:v>FNB _-) R3197.67 paid to Current a_c..512781 @ Payshap. Ref.Ik Pay 487882. 20May 13_57.eml</x:v>
      </x:c>
      <x:c r="R819" s="15" t="str">
        <x:v>High</x:v>
      </x:c>
      <x:c r="S819" s="15" t="str">
        <x:v>Category confidence Medium: Default for incoming EFT/PayShap/online receipt.</x:v>
      </x:c>
      <x:c r="T819" s="15" t="str"/>
      <x:c r="U819" s="15" t="str"/>
      <x:c r="V819" s="15" t="str">
        <x:v>Ik Pay 487882</x:v>
      </x:c>
      <x:c r="W819" s="15" t="str">
        <x:v>Payshap</x:v>
      </x:c>
      <x:c r="X819" s="15" t="str">
        <x:v>FNB :-) R3197.67 paid to Current a/c..512781 @ Payshap. Ref.Ik Pay 487882. 20May 13:57</x:v>
      </x:c>
      <x:c r="Y819" s="15" t="str">
        <x:v>afda044bbfb68396</x:v>
      </x:c>
    </x:row>
    <x:row r="820">
      <x:c r="A820" s="34" t="n">
        <x:v>46162.68194444444</x:v>
      </x:c>
      <x:c r="B820" s="36" t="n">
        <x:v>46162</x:v>
      </x:c>
      <x:c r="C820" s="34" t="n">
        <x:v>46162.68262731482</x:v>
      </x:c>
      <x:c r="D820" s="15" t="str">
        <x:v>Current a/c..512781</x:v>
      </x:c>
      <x:c r="E820" s="15" t="str"/>
      <x:c r="F820" s="15" t="str">
        <x:v>R1000.00 paid from Current a/c..512781 @ Smartapp. Avail R7657. Ref.Staff Loan. 20May 16:22</x:v>
      </x:c>
      <x:c r="G820" s="15" t="str">
        <x:v>Staff Loan</x:v>
      </x:c>
      <x:c r="H820" s="38" t="n">
        <x:v>1000</x:v>
      </x:c>
      <x:c r="I820" s="15" t="str">
        <x:v>ZAR</x:v>
      </x:c>
      <x:c r="J820" s="15" t="str">
        <x:v>Outflow</x:v>
      </x:c>
      <x:c r="K820" s="15" t="str">
        <x:v>EFT payment</x:v>
      </x:c>
      <x:c r="L820" s="15" t="str">
        <x:v>Salary / wages</x:v>
      </x:c>
      <x:c r="M820" s="38"/>
      <x:c r="N820" s="38" t="n">
        <x:v>7657</x:v>
      </x:c>
      <x:c r="O820" s="15" t="str"/>
      <x:c r="P820" s="15" t="str">
        <x:v>eml_ALL_currentac__512781 (2).zip &gt; eml2currentac__512781.zip</x:v>
      </x:c>
      <x:c r="Q820" s="15" t="str">
        <x:v>FNB _-) R1000.00 paid from Current a_c..512781 @ Smartapp. Ref.Staff Loan. 20May 16_22.eml</x:v>
      </x:c>
      <x:c r="R820" s="15" t="str">
        <x:v>High</x:v>
      </x:c>
      <x:c r="S820" s="15" t="str"/>
      <x:c r="T820" s="15" t="str"/>
      <x:c r="U820" s="15" t="str"/>
      <x:c r="V820" s="15" t="str">
        <x:v>Staff Loan</x:v>
      </x:c>
      <x:c r="W820" s="15" t="str">
        <x:v>Smartapp</x:v>
      </x:c>
      <x:c r="X820" s="15" t="str">
        <x:v>FNB :-) R1000.00 paid from Current a/c..512781 @ Smartapp. Avail R7657. Ref.Staff Loan. 20May 16:22</x:v>
      </x:c>
      <x:c r="Y820" s="15" t="str">
        <x:v>b93281e05bfa3130</x:v>
      </x:c>
    </x:row>
    <x:row r="821">
      <x:c r="A821" s="34" t="n">
        <x:v>46163.34375</x:v>
      </x:c>
      <x:c r="B821" s="36" t="n">
        <x:v>46163</x:v>
      </x:c>
      <x:c r="C821" s="34" t="n">
        <x:v>46163.3440625</x:v>
      </x:c>
      <x:c r="D821" s="15" t="str">
        <x:v>Current a/c..512781</x:v>
      </x:c>
      <x:c r="E821" s="15" t="str"/>
      <x:c r="F821" s="15" t="str">
        <x:v>R28594.43 paid to Current a/c..512781 @ Retail Forex. Ref.R026rpg4x0 Booking.c. 21May 08:15</x:v>
      </x:c>
      <x:c r="G821" s="15" t="str">
        <x:v>R026rpg4x0 Booking.c</x:v>
      </x:c>
      <x:c r="H821" s="38" t="n">
        <x:v>28594.43</x:v>
      </x:c>
      <x:c r="I821" s="15" t="str">
        <x:v>ZAR</x:v>
      </x:c>
      <x:c r="J821" s="15" t="str">
        <x:v>Inflow</x:v>
      </x:c>
      <x:c r="K821" s="15" t="str">
        <x:v>EFT receipt</x:v>
      </x:c>
      <x:c r="L821" s="15" t="str">
        <x:v>Sales / customer receipts</x:v>
      </x:c>
      <x:c r="M821" s="38"/>
      <x:c r="N821" s="38"/>
      <x:c r="O821" s="15" t="str"/>
      <x:c r="P821" s="15" t="str">
        <x:v>eml_ALL_currentac__512781 (2).zip &gt; eml2currentac__512781.zip</x:v>
      </x:c>
      <x:c r="Q821" s="15" t="str">
        <x:v>FNB _-) R28594.43 paid to Current a_c..512781 @ Retail Forex. Ref.R026rpg4x0 Booking.c. 21May 08_15.eml</x:v>
      </x:c>
      <x:c r="R821" s="15" t="str">
        <x:v>High</x:v>
      </x:c>
      <x:c r="S821" s="15" t="str">
        <x:v>Category confidence Medium: Default for incoming EFT/PayShap/online receipt.</x:v>
      </x:c>
      <x:c r="T821" s="15" t="str"/>
      <x:c r="U821" s="15" t="str"/>
      <x:c r="V821" s="15" t="str">
        <x:v>R026rpg4x0 Booking.c</x:v>
      </x:c>
      <x:c r="W821" s="15" t="str">
        <x:v>Retail Forex</x:v>
      </x:c>
      <x:c r="X821" s="15" t="str">
        <x:v>FNB :-) R28594.43 paid to Current a/c..512781 @ Retail Forex. Ref.R026rpg4x0 Booking.c. 21May 08:15</x:v>
      </x:c>
      <x:c r="Y821" s="15" t="str">
        <x:v>6d05b33d1b91a97f</x:v>
      </x:c>
    </x:row>
    <x:row r="822">
      <x:c r="A822" s="34" t="n">
        <x:v>46163.49722222222</x:v>
      </x:c>
      <x:c r="B822" s="36" t="n">
        <x:v>46163</x:v>
      </x:c>
      <x:c r="C822" s="34" t="n">
        <x:v>46163.49758101852</x:v>
      </x:c>
      <x:c r="D822" s="15" t="str">
        <x:v>Current a/c..512781</x:v>
      </x:c>
      <x:c r="E822" s="15" t="str"/>
      <x:c r="F822" s="15" t="str">
        <x:v>R300.00 t/fer from Current a/c..512781 to Private Cheq Acc..566332 @ Smartapp. Avail R35937. 21May 11:56</x:v>
      </x:c>
      <x:c r="G822" s="15" t="str">
        <x:v>Private Cheq Acc..566332</x:v>
      </x:c>
      <x:c r="H822" s="38" t="n">
        <x:v>300</x:v>
      </x:c>
      <x:c r="I822" s="15" t="str">
        <x:v>ZAR</x:v>
      </x:c>
      <x:c r="J822" s="15" t="str">
        <x:v>Internal Transfer</x:v>
      </x:c>
      <x:c r="K822" s="15" t="str">
        <x:v>Internal transfer</x:v>
      </x:c>
      <x:c r="L822" s="15" t="str">
        <x:v>Inter-account transfer</x:v>
      </x:c>
      <x:c r="M822" s="38"/>
      <x:c r="N822" s="38" t="n">
        <x:v>35937</x:v>
      </x:c>
      <x:c r="O822" s="15" t="str"/>
      <x:c r="P822" s="15" t="str">
        <x:v>eml_ALL_currentac__512781 (2).zip &gt; eml2currentac__512781.zip</x:v>
      </x:c>
      <x:c r="Q822" s="15" t="str">
        <x:v>FNB _-) R300.00 t_fer from Current a_c..512781 to Private Cheq Acc..566332 @ Smartapp. 21May 11_56.eml</x:v>
      </x:c>
      <x:c r="R822" s="15" t="str">
        <x:v>High</x:v>
      </x:c>
      <x:c r="S822" s="15" t="str">
        <x:v>Classified as internal/inter-account transfer and excluded from operating cashflow.</x:v>
      </x:c>
      <x:c r="T822" s="15" t="str">
        <x:v>Current a/c..512781</x:v>
      </x:c>
      <x:c r="U822" s="15" t="str">
        <x:v>Private Cheq Acc..566332</x:v>
      </x:c>
      <x:c r="V822" s="15" t="str"/>
      <x:c r="W822" s="15" t="str">
        <x:v>Smartapp</x:v>
      </x:c>
      <x:c r="X822" s="15" t="str">
        <x:v>FNB :-) R300.00 t/fer from Current a/c..512781 to Private Cheq Acc..566332 @ Smartapp. Avail R35937. 21May 11:56</x:v>
      </x:c>
      <x:c r="Y822" s="15" t="str">
        <x:v>583d3c63e3467ffe</x:v>
      </x:c>
    </x:row>
    <x:row r="823">
      <x:c r="A823" s="34" t="n">
        <x:v>46163.64444444444</x:v>
      </x:c>
      <x:c r="B823" s="36" t="n">
        <x:v>46163</x:v>
      </x:c>
      <x:c r="C823" s="34" t="n">
        <x:v>46163.6446875</x:v>
      </x:c>
      <x:c r="D823" s="15" t="str">
        <x:v>Current a/c..512781</x:v>
      </x:c>
      <x:c r="E823" s="15" t="str">
        <x:v>card..2924</x:v>
      </x:c>
      <x:c r="F823" s="15" t="str">
        <x:v>R276.38 reserved for purchase @ Savemor Marloth from Current a/c..512781 using card..2924. Avail R35661. 21May 15:28</x:v>
      </x:c>
      <x:c r="G823" s="15" t="str">
        <x:v>Savemor Marloth</x:v>
      </x:c>
      <x:c r="H823" s="38" t="n">
        <x:v>276.38</x:v>
      </x:c>
      <x:c r="I823" s="15" t="str">
        <x:v>ZAR</x:v>
      </x:c>
      <x:c r="J823" s="15" t="str">
        <x:v>Outflow</x:v>
      </x:c>
      <x:c r="K823" s="15" t="str">
        <x:v>Card purchase</x:v>
      </x:c>
      <x:c r="L823" s="15" t="str">
        <x:v>Supplier payments</x:v>
      </x:c>
      <x:c r="M823" s="38"/>
      <x:c r="N823" s="38" t="n">
        <x:v>35661</x:v>
      </x:c>
      <x:c r="O823" s="15" t="str"/>
      <x:c r="P823" s="15" t="str">
        <x:v>eml_ALL_currentac__512781 (2).zip &gt; eml2currentac__512781.zip</x:v>
      </x:c>
      <x:c r="Q823" s="15" t="str">
        <x:v>FNB _-) R276.38 reserved for purchase @ Savemor Marloth from Current a_c..512781 using card..2924. 21May 15_28.eml</x:v>
      </x:c>
      <x:c r="R823" s="15" t="str">
        <x:v>High</x:v>
      </x:c>
      <x:c r="S823" s="15" t="str">
        <x:v>Category confidence Medium: Retail/supplier merchant keyword.</x:v>
      </x:c>
      <x:c r="T823" s="15" t="str"/>
      <x:c r="U823" s="15" t="str"/>
      <x:c r="V823" s="15" t="str"/>
      <x:c r="W823" s="15" t="str"/>
      <x:c r="X823" s="15" t="str">
        <x:v>FNB :-) R276.38 reserved for purchase @ Savemor Marloth from Current a/c..512781 using card..2924. Avail R35661. 21May 15:28</x:v>
      </x:c>
      <x:c r="Y823" s="15" t="str">
        <x:v>12d3de9f46d9d9f5</x:v>
      </x:c>
    </x:row>
    <x:row r="824">
      <x:c r="A824" s="34" t="n">
        <x:v>46163.64722222222</x:v>
      </x:c>
      <x:c r="B824" s="36" t="n">
        <x:v>46163</x:v>
      </x:c>
      <x:c r="C824" s="34" t="n">
        <x:v>46163.64790509259</x:v>
      </x:c>
      <x:c r="D824" s="15" t="str">
        <x:v>Current a/c..512781</x:v>
      </x:c>
      <x:c r="E824" s="15" t="str">
        <x:v>card..2924</x:v>
      </x:c>
      <x:c r="F824" s="15" t="str">
        <x:v>R200.00 reserved for purchase @ Marlothi Petrol Stat from Current a/c..512781 using card..2924. Avail R35461. 21May 15:32</x:v>
      </x:c>
      <x:c r="G824" s="15" t="str">
        <x:v>Marlothi Petrol Stat</x:v>
      </x:c>
      <x:c r="H824" s="38" t="n">
        <x:v>200</x:v>
      </x:c>
      <x:c r="I824" s="15" t="str">
        <x:v>ZAR</x:v>
      </x:c>
      <x:c r="J824" s="15" t="str">
        <x:v>Outflow</x:v>
      </x:c>
      <x:c r="K824" s="15" t="str">
        <x:v>Card purchase</x:v>
      </x:c>
      <x:c r="L824" s="15" t="str">
        <x:v>Fuel / transport</x:v>
      </x:c>
      <x:c r="M824" s="38"/>
      <x:c r="N824" s="38" t="n">
        <x:v>35461</x:v>
      </x:c>
      <x:c r="O824" s="15" t="str"/>
      <x:c r="P824" s="15" t="str">
        <x:v>eml_ALL_currentac__512781 (2).zip &gt; eml2currentac__512781.zip</x:v>
      </x:c>
      <x:c r="Q824" s="15" t="str">
        <x:v>FNB _-) R200.00 reserved for purchase @ Marlothi Petrol Stat from Current a_c..512781 using card..2924. 21May 15_32.eml</x:v>
      </x:c>
      <x:c r="R824" s="15" t="str">
        <x:v>High</x:v>
      </x:c>
      <x:c r="S824" s="15" t="str"/>
      <x:c r="T824" s="15" t="str"/>
      <x:c r="U824" s="15" t="str"/>
      <x:c r="V824" s="15" t="str"/>
      <x:c r="W824" s="15" t="str"/>
      <x:c r="X824" s="15" t="str">
        <x:v>FNB :-) R200.00 reserved for purchase @ Marlothi Petrol Stat from Current a/c..512781 using card..2924. Avail R35461. 21May 15:32</x:v>
      </x:c>
      <x:c r="Y824" s="15" t="str">
        <x:v>613a66d59cb7625f</x:v>
      </x:c>
    </x:row>
    <x:row r="825">
      <x:c r="A825" s="34" t="n">
        <x:v>46164.254166666666</x:v>
      </x:c>
      <x:c r="B825" s="36" t="n">
        <x:v>46164</x:v>
      </x:c>
      <x:c r="C825" s="34" t="n">
        <x:v>46164.254537037035</x:v>
      </x:c>
      <x:c r="D825" s="15" t="str">
        <x:v>Current a/c..512781</x:v>
      </x:c>
      <x:c r="E825" s="15" t="str"/>
      <x:c r="F825" s="15" t="str">
        <x:v>R1000.00 paid from Current a/c..512781 @ Smartapp. Avail R34430. Ref.Electricity 04279376. 22May 06:06</x:v>
      </x:c>
      <x:c r="G825" s="15" t="str">
        <x:v>Electricity 04279376</x:v>
      </x:c>
      <x:c r="H825" s="38" t="n">
        <x:v>1000</x:v>
      </x:c>
      <x:c r="I825" s="15" t="str">
        <x:v>ZAR</x:v>
      </x:c>
      <x:c r="J825" s="15" t="str">
        <x:v>Outflow</x:v>
      </x:c>
      <x:c r="K825" s="15" t="str">
        <x:v>EFT payment</x:v>
      </x:c>
      <x:c r="L825" s="15" t="str">
        <x:v>Telecom / utilities</x:v>
      </x:c>
      <x:c r="M825" s="38"/>
      <x:c r="N825" s="38" t="n">
        <x:v>34430</x:v>
      </x:c>
      <x:c r="O825" s="15" t="str"/>
      <x:c r="P825" s="15" t="str">
        <x:v>eml_ALL_currentac__512781 (2).zip &gt; eml2currentac__512781.zip</x:v>
      </x:c>
      <x:c r="Q825" s="15" t="str">
        <x:v>FNB _-) R1000.00 paid from Current a_c..512781 @ Smartapp. Ref.Electricity 04279376. 22May 06_06.eml</x:v>
      </x:c>
      <x:c r="R825" s="15" t="str">
        <x:v>High</x:v>
      </x:c>
      <x:c r="S825" s="15" t="str"/>
      <x:c r="T825" s="15" t="str"/>
      <x:c r="U825" s="15" t="str"/>
      <x:c r="V825" s="15" t="str">
        <x:v>Electricity 04279376</x:v>
      </x:c>
      <x:c r="W825" s="15" t="str">
        <x:v>Smartapp</x:v>
      </x:c>
      <x:c r="X825" s="15" t="str">
        <x:v>FNB :-) R1000.00 paid from Current a/c..512781 @ Smartapp. Avail R34430. Ref.Electricity 04279376. 22May 06:06</x:v>
      </x:c>
      <x:c r="Y825" s="15" t="str">
        <x:v>7d1b6b59ae414038</x:v>
      </x:c>
    </x:row>
    <x:row r="826">
      <x:c r="A826" s="34" t="n">
        <x:v>46164.57430555556</x:v>
      </x:c>
      <x:c r="B826" s="36" t="n">
        <x:v>46164</x:v>
      </x:c>
      <x:c r="C826" s="34" t="n">
        <x:v>46164.57482638889</x:v>
      </x:c>
      <x:c r="D826" s="15" t="str">
        <x:v>Current a/c..512781</x:v>
      </x:c>
      <x:c r="E826" s="15" t="str">
        <x:v>card..2924</x:v>
      </x:c>
      <x:c r="F826" s="15" t="str">
        <x:v>R552.88 reserved for purchase @ Shoprite Komatipoort from Current a/c..512781 using card..2924. Avail R33877. 22May 13:47</x:v>
      </x:c>
      <x:c r="G826" s="15" t="str">
        <x:v>Shoprite Komatipoort</x:v>
      </x:c>
      <x:c r="H826" s="38" t="n">
        <x:v>552.88</x:v>
      </x:c>
      <x:c r="I826" s="15" t="str">
        <x:v>ZAR</x:v>
      </x:c>
      <x:c r="J826" s="15" t="str">
        <x:v>Outflow</x:v>
      </x:c>
      <x:c r="K826" s="15" t="str">
        <x:v>Card purchase</x:v>
      </x:c>
      <x:c r="L826" s="15" t="str">
        <x:v>Supplier payments</x:v>
      </x:c>
      <x:c r="M826" s="38"/>
      <x:c r="N826" s="38" t="n">
        <x:v>33877</x:v>
      </x:c>
      <x:c r="O826" s="15" t="str"/>
      <x:c r="P826" s="15" t="str">
        <x:v>eml_ALL_currentac__512781 (2).zip &gt; eml2currentac__512781.zip</x:v>
      </x:c>
      <x:c r="Q826" s="15" t="str">
        <x:v>FNB _-) R552.88 reserved for purchase @ Shoprite Komatipoort from Current a_c..512781 using card..2924. 22May 13_47.eml</x:v>
      </x:c>
      <x:c r="R826" s="15" t="str">
        <x:v>High</x:v>
      </x:c>
      <x:c r="S826" s="15" t="str">
        <x:v>Category confidence Medium: Retail/supplier merchant keyword.</x:v>
      </x:c>
      <x:c r="T826" s="15" t="str"/>
      <x:c r="U826" s="15" t="str"/>
      <x:c r="V826" s="15" t="str"/>
      <x:c r="W826" s="15" t="str"/>
      <x:c r="X826" s="15" t="str">
        <x:v>FNB :-) R552.88 reserved for purchase @ Shoprite Komatipoort from Current a/c..512781 using card..2924. Avail R33877. 22May 13:47</x:v>
      </x:c>
      <x:c r="Y826" s="15" t="str">
        <x:v>bbcbbdce7b809168</x:v>
      </x:c>
    </x:row>
    <x:row r="827">
      <x:c r="A827" s="34" t="n">
        <x:v>46164.595138888886</x:v>
      </x:c>
      <x:c r="B827" s="36" t="n">
        <x:v>46164</x:v>
      </x:c>
      <x:c r="C827" s="34" t="n">
        <x:v>46164.59570601852</x:v>
      </x:c>
      <x:c r="D827" s="15" t="str">
        <x:v>Current a/c..512781</x:v>
      </x:c>
      <x:c r="E827" s="15" t="str"/>
      <x:c r="F827" s="15" t="str">
        <x:v>R1000.00 paid from Current a/c..512781 @ Smartapp. Avail R32874. Ref.Fuel. 22May 14:17</x:v>
      </x:c>
      <x:c r="G827" s="15" t="str">
        <x:v>Fuel</x:v>
      </x:c>
      <x:c r="H827" s="38" t="n">
        <x:v>1000</x:v>
      </x:c>
      <x:c r="I827" s="15" t="str">
        <x:v>ZAR</x:v>
      </x:c>
      <x:c r="J827" s="15" t="str">
        <x:v>Outflow</x:v>
      </x:c>
      <x:c r="K827" s="15" t="str">
        <x:v>EFT payment</x:v>
      </x:c>
      <x:c r="L827" s="15" t="str">
        <x:v>Fuel / transport</x:v>
      </x:c>
      <x:c r="M827" s="38"/>
      <x:c r="N827" s="38" t="n">
        <x:v>32874</x:v>
      </x:c>
      <x:c r="O827" s="15" t="str"/>
      <x:c r="P827" s="15" t="str">
        <x:v>eml_ALL_currentac__512781 (2).zip &gt; eml2currentac__512781.zip</x:v>
      </x:c>
      <x:c r="Q827" s="15" t="str">
        <x:v>FNB _-) R1000.00 paid from Current a_c..512781 @ Smartapp. Ref.Fuel. 22May 14_17.eml</x:v>
      </x:c>
      <x:c r="R827" s="15" t="str">
        <x:v>High</x:v>
      </x:c>
      <x:c r="S827" s="15" t="str"/>
      <x:c r="T827" s="15" t="str"/>
      <x:c r="U827" s="15" t="str"/>
      <x:c r="V827" s="15" t="str">
        <x:v>Fuel</x:v>
      </x:c>
      <x:c r="W827" s="15" t="str">
        <x:v>Smartapp</x:v>
      </x:c>
      <x:c r="X827" s="15" t="str">
        <x:v>FNB :-) R1000.00 paid from Current a/c..512781 @ Smartapp. Avail R32874. Ref.Fuel. 22May 14:17</x:v>
      </x:c>
      <x:c r="Y827" s="15" t="str">
        <x:v>01ecdd3e567e0b39</x:v>
      </x:c>
    </x:row>
    <x:row r="828">
      <x:c r="A828" s="34" t="n">
        <x:v>46164.597916666666</x:v>
      </x:c>
      <x:c r="B828" s="36" t="n">
        <x:v>46164</x:v>
      </x:c>
      <x:c r="C828" s="34" t="n">
        <x:v>46164.598333333335</x:v>
      </x:c>
      <x:c r="D828" s="15" t="str">
        <x:v>Current a/c..512781</x:v>
      </x:c>
      <x:c r="E828" s="15" t="str">
        <x:v>card..2924</x:v>
      </x:c>
      <x:c r="F828" s="15" t="str">
        <x:v>R239.99 reserved for purchase @ Liquorshop Komatipoo from Current a/c..512781 using card..2924. Avail R32634. 22May 14:21</x:v>
      </x:c>
      <x:c r="G828" s="15" t="str">
        <x:v>Liquorshop Komatipoo</x:v>
      </x:c>
      <x:c r="H828" s="38" t="n">
        <x:v>239.99</x:v>
      </x:c>
      <x:c r="I828" s="15" t="str">
        <x:v>ZAR</x:v>
      </x:c>
      <x:c r="J828" s="15" t="str">
        <x:v>Outflow</x:v>
      </x:c>
      <x:c r="K828" s="15" t="str">
        <x:v>Card purchase</x:v>
      </x:c>
      <x:c r="L828" s="15" t="str">
        <x:v>Meals / restaurants / entertainment</x:v>
      </x:c>
      <x:c r="M828" s="38"/>
      <x:c r="N828" s="38" t="n">
        <x:v>32634</x:v>
      </x:c>
      <x:c r="O828" s="15" t="str"/>
      <x:c r="P828" s="15" t="str">
        <x:v>eml_ALL_currentac__512781 (2).zip &gt; eml2currentac__512781.zip</x:v>
      </x:c>
      <x:c r="Q828" s="15" t="str">
        <x:v>FNB _-) R239.99 reserved for purchase @ Liquorshop Komatipoo from Current a_c..512781 using card..2924. 22May 14_21.eml</x:v>
      </x:c>
      <x:c r="R828" s="15" t="str">
        <x:v>High</x:v>
      </x:c>
      <x:c r="S828" s="15" t="str"/>
      <x:c r="T828" s="15" t="str"/>
      <x:c r="U828" s="15" t="str"/>
      <x:c r="V828" s="15" t="str"/>
      <x:c r="W828" s="15" t="str"/>
      <x:c r="X828" s="15" t="str">
        <x:v>FNB :-) R239.99 reserved for purchase @ Liquorshop Komatipoo from Current a/c..512781 using card..2924. Avail R32634. 22May 14:21</x:v>
      </x:c>
      <x:c r="Y828" s="15" t="str">
        <x:v>50aee2bfad015132</x:v>
      </x:c>
    </x:row>
    <x:row r="829">
      <x:c r="A829" s="34" t="n">
        <x:v>46164.63680555556</x:v>
      </x:c>
      <x:c r="B829" s="36" t="n">
        <x:v>46164</x:v>
      </x:c>
      <x:c r="C829" s="34" t="n">
        <x:v>46164.63716435185</x:v>
      </x:c>
      <x:c r="D829" s="15" t="str">
        <x:v>Current a/c..512781</x:v>
      </x:c>
      <x:c r="E829" s="15" t="str">
        <x:v>card..2924</x:v>
      </x:c>
      <x:c r="F829" s="15" t="str">
        <x:v>R756.39 reserved for purchase @ Superspar Komatipoor from Current a/c..512781 using card..2924. Avail R31877. 22May 15:17</x:v>
      </x:c>
      <x:c r="G829" s="15" t="str">
        <x:v>Superspar Komatipoor</x:v>
      </x:c>
      <x:c r="H829" s="38" t="n">
        <x:v>756.39</x:v>
      </x:c>
      <x:c r="I829" s="15" t="str">
        <x:v>ZAR</x:v>
      </x:c>
      <x:c r="J829" s="15" t="str">
        <x:v>Outflow</x:v>
      </x:c>
      <x:c r="K829" s="15" t="str">
        <x:v>Card purchase</x:v>
      </x:c>
      <x:c r="L829" s="15" t="str">
        <x:v>Supplier payments</x:v>
      </x:c>
      <x:c r="M829" s="38"/>
      <x:c r="N829" s="38" t="n">
        <x:v>31877</x:v>
      </x:c>
      <x:c r="O829" s="15" t="str"/>
      <x:c r="P829" s="15" t="str">
        <x:v>eml_ALL_currentac__512781 (2).zip &gt; eml2currentac__512781.zip</x:v>
      </x:c>
      <x:c r="Q829" s="15" t="str">
        <x:v>FNB _-) R756.39 reserved for purchase @ Superspar Komatipoor from Current a_c..512781 using card..2924. 22May 15_17.eml</x:v>
      </x:c>
      <x:c r="R829" s="15" t="str">
        <x:v>High</x:v>
      </x:c>
      <x:c r="S829" s="15" t="str">
        <x:v>Category confidence Medium: Retail/supplier merchant keyword.</x:v>
      </x:c>
      <x:c r="T829" s="15" t="str"/>
      <x:c r="U829" s="15" t="str"/>
      <x:c r="V829" s="15" t="str"/>
      <x:c r="W829" s="15" t="str"/>
      <x:c r="X829" s="15" t="str">
        <x:v>FNB :-) R756.39 reserved for purchase @ Superspar Komatipoor from Current a/c..512781 using card..2924. Avail R31877. 22May 15:17</x:v>
      </x:c>
      <x:c r="Y829" s="15" t="str">
        <x:v>8ce141d979154c0c</x:v>
      </x:c>
    </x:row>
    <x:row r="830">
      <x:c r="A830" s="34" t="n">
        <x:v>46164.646527777775</x:v>
      </x:c>
      <x:c r="B830" s="36" t="n">
        <x:v>46164</x:v>
      </x:c>
      <x:c r="C830" s="34" t="n">
        <x:v>46164.64659722222</x:v>
      </x:c>
      <x:c r="D830" s="15" t="str">
        <x:v>Current a/c..512781</x:v>
      </x:c>
      <x:c r="E830" s="15" t="str"/>
      <x:c r="F830" s="15" t="str">
        <x:v>R1000.00 t/fer from Current a/c..512781 to Private Cheq Acc..566332 @ Smartapp. Avail R30877. 22May 15:31</x:v>
      </x:c>
      <x:c r="G830" s="15" t="str">
        <x:v>Private Cheq Acc..566332</x:v>
      </x:c>
      <x:c r="H830" s="38" t="n">
        <x:v>1000</x:v>
      </x:c>
      <x:c r="I830" s="15" t="str">
        <x:v>ZAR</x:v>
      </x:c>
      <x:c r="J830" s="15" t="str">
        <x:v>Internal Transfer</x:v>
      </x:c>
      <x:c r="K830" s="15" t="str">
        <x:v>Internal transfer</x:v>
      </x:c>
      <x:c r="L830" s="15" t="str">
        <x:v>Inter-account transfer</x:v>
      </x:c>
      <x:c r="M830" s="38"/>
      <x:c r="N830" s="38" t="n">
        <x:v>30877</x:v>
      </x:c>
      <x:c r="O830" s="15" t="str"/>
      <x:c r="P830" s="15" t="str">
        <x:v>eml_ALL_currentac__512781 (2).zip &gt; eml2currentac__512781.zip</x:v>
      </x:c>
      <x:c r="Q830" s="15" t="str">
        <x:v>FNB _-) R1000.00 t_fer from Current a_c..512781 to Private Cheq Acc..566332 @ Smartapp. 22May 15_31.eml</x:v>
      </x:c>
      <x:c r="R830" s="15" t="str">
        <x:v>High</x:v>
      </x:c>
      <x:c r="S830" s="15" t="str">
        <x:v>Classified as internal/inter-account transfer and excluded from operating cashflow.</x:v>
      </x:c>
      <x:c r="T830" s="15" t="str">
        <x:v>Current a/c..512781</x:v>
      </x:c>
      <x:c r="U830" s="15" t="str">
        <x:v>Private Cheq Acc..566332</x:v>
      </x:c>
      <x:c r="V830" s="15" t="str"/>
      <x:c r="W830" s="15" t="str">
        <x:v>Smartapp</x:v>
      </x:c>
      <x:c r="X830" s="15" t="str">
        <x:v>FNB :-) R1000.00 t/fer from Current a/c..512781 to Private Cheq Acc..566332 @ Smartapp. Avail R30877. 22May 15:31</x:v>
      </x:c>
      <x:c r="Y830" s="15" t="str">
        <x:v>6f24eb211e9dc5e3</x:v>
      </x:c>
    </x:row>
    <x:row r="831">
      <x:c r="A831" s="34" t="n">
        <x:v>46164.65347222222</x:v>
      </x:c>
      <x:c r="B831" s="36" t="n">
        <x:v>46164</x:v>
      </x:c>
      <x:c r="C831" s="34" t="n">
        <x:v>46164.65355324074</x:v>
      </x:c>
      <x:c r="D831" s="15" t="str">
        <x:v>Current a/c..512781</x:v>
      </x:c>
      <x:c r="E831" s="15" t="str">
        <x:v>card..2924</x:v>
      </x:c>
      <x:c r="F831" s="15" t="str">
        <x:v>R259.20 reserved for purchase @ Oasis Water Komatipo from Current a/c..512781 using card..2924. Avail R30618. 22May 15:41</x:v>
      </x:c>
      <x:c r="G831" s="15" t="str">
        <x:v>Oasis Water Komatipo</x:v>
      </x:c>
      <x:c r="H831" s="38" t="n">
        <x:v>259.2</x:v>
      </x:c>
      <x:c r="I831" s="15" t="str">
        <x:v>ZAR</x:v>
      </x:c>
      <x:c r="J831" s="15" t="str">
        <x:v>Outflow</x:v>
      </x:c>
      <x:c r="K831" s="15" t="str">
        <x:v>Card purchase</x:v>
      </x:c>
      <x:c r="L831" s="15" t="str">
        <x:v>Supplier payments</x:v>
      </x:c>
      <x:c r="M831" s="38"/>
      <x:c r="N831" s="38" t="n">
        <x:v>30618</x:v>
      </x:c>
      <x:c r="O831" s="15" t="str"/>
      <x:c r="P831" s="15" t="str">
        <x:v>eml_ALL_currentac__512781 (2).zip &gt; eml2currentac__512781.zip</x:v>
      </x:c>
      <x:c r="Q831" s="15" t="str">
        <x:v>FNB _-) R259.20 reserved for purchase @ Oasis Water Komatipo from Current a_c..512781 using card..2924. 22May 15_41.eml</x:v>
      </x:c>
      <x:c r="R831" s="15" t="str">
        <x:v>High</x:v>
      </x:c>
      <x:c r="S831" s="15" t="str">
        <x:v>Category confidence Medium: Retail/supplier merchant keyword.</x:v>
      </x:c>
      <x:c r="T831" s="15" t="str"/>
      <x:c r="U831" s="15" t="str"/>
      <x:c r="V831" s="15" t="str"/>
      <x:c r="W831" s="15" t="str"/>
      <x:c r="X831" s="15" t="str">
        <x:v>FNB :-) R259.20 reserved for purchase @ Oasis Water Komatipo from Current a/c..512781 using card..2924. Avail R30618. 22May 15:41</x:v>
      </x:c>
      <x:c r="Y831" s="15" t="str">
        <x:v>b93c15ac4ffecf97</x:v>
      </x:c>
    </x:row>
    <x:row r="832">
      <x:c r="A832" s="34" t="n">
        <x:v>46164.75625</x:v>
      </x:c>
      <x:c r="B832" s="36" t="n">
        <x:v>46164</x:v>
      </x:c>
      <x:c r="C832" s="34" t="n">
        <x:v>46164.75628472222</x:v>
      </x:c>
      <x:c r="D832" s="15" t="str">
        <x:v>Current a/c..512781</x:v>
      </x:c>
      <x:c r="E832" s="15" t="str"/>
      <x:c r="F832" s="15" t="str">
        <x:v>R2500.00 paid from Current a/c..512781 @ Smartapp. Avail R28110. Ref.Sakkie Wages. 22May 18:09</x:v>
      </x:c>
      <x:c r="G832" s="15" t="str">
        <x:v>Sakkie Wages</x:v>
      </x:c>
      <x:c r="H832" s="38" t="n">
        <x:v>2500</x:v>
      </x:c>
      <x:c r="I832" s="15" t="str">
        <x:v>ZAR</x:v>
      </x:c>
      <x:c r="J832" s="15" t="str">
        <x:v>Outflow</x:v>
      </x:c>
      <x:c r="K832" s="15" t="str">
        <x:v>EFT payment</x:v>
      </x:c>
      <x:c r="L832" s="15" t="str">
        <x:v>Salary / wages</x:v>
      </x:c>
      <x:c r="M832" s="38"/>
      <x:c r="N832" s="38" t="n">
        <x:v>28110</x:v>
      </x:c>
      <x:c r="O832" s="15" t="str"/>
      <x:c r="P832" s="15" t="str">
        <x:v>eml_ALL_currentac__512781 (2).zip &gt; eml2currentac__512781.zip</x:v>
      </x:c>
      <x:c r="Q832" s="15" t="str">
        <x:v>FNB _-) R2500.00 paid from Current a_c..512781 @ Smartapp. Ref.Sakkie Wages. 22May 18_09.eml</x:v>
      </x:c>
      <x:c r="R832" s="15" t="str">
        <x:v>High</x:v>
      </x:c>
      <x:c r="S832" s="15" t="str"/>
      <x:c r="T832" s="15" t="str"/>
      <x:c r="U832" s="15" t="str"/>
      <x:c r="V832" s="15" t="str">
        <x:v>Sakkie Wages</x:v>
      </x:c>
      <x:c r="W832" s="15" t="str">
        <x:v>Smartapp</x:v>
      </x:c>
      <x:c r="X832" s="15" t="str">
        <x:v>FNB :-) R2500.00 paid from Current a/c..512781 @ Smartapp. Avail R28110. Ref.Sakkie Wages. 22May 18:09</x:v>
      </x:c>
      <x:c r="Y832" s="15" t="str">
        <x:v>f42d8f58f1f9df1b</x:v>
      </x:c>
    </x:row>
    <x:row r="833">
      <x:c r="A833" s="34" t="n">
        <x:v>46165.42083333333</x:v>
      </x:c>
      <x:c r="B833" s="36" t="n">
        <x:v>46165</x:v>
      </x:c>
      <x:c r="C833" s="34" t="n">
        <x:v>46165.42122685185</x:v>
      </x:c>
      <x:c r="D833" s="15" t="str">
        <x:v>Current a/c..512781</x:v>
      </x:c>
      <x:c r="E833" s="15" t="str"/>
      <x:c r="F833" s="15" t="str">
        <x:v>R150.00 paid from Current a/c..512781 @ Smartapp. Avail R27936. Ref.Electricity 14503572. 23May 10:06</x:v>
      </x:c>
      <x:c r="G833" s="15" t="str">
        <x:v>Electricity 14503572</x:v>
      </x:c>
      <x:c r="H833" s="38" t="n">
        <x:v>150</x:v>
      </x:c>
      <x:c r="I833" s="15" t="str">
        <x:v>ZAR</x:v>
      </x:c>
      <x:c r="J833" s="15" t="str">
        <x:v>Outflow</x:v>
      </x:c>
      <x:c r="K833" s="15" t="str">
        <x:v>EFT payment</x:v>
      </x:c>
      <x:c r="L833" s="15" t="str">
        <x:v>Telecom / utilities</x:v>
      </x:c>
      <x:c r="M833" s="38"/>
      <x:c r="N833" s="38" t="n">
        <x:v>27936</x:v>
      </x:c>
      <x:c r="O833" s="15" t="str"/>
      <x:c r="P833" s="15" t="str">
        <x:v>eml_ALL_currentac__512781 (2).zip &gt; eml2currentac__512781.zip</x:v>
      </x:c>
      <x:c r="Q833" s="15" t="str">
        <x:v>FNB _-) R150.00 paid from Current a_c..512781 @ Smartapp. Ref.Electricity 14503572. 23May 10_06.eml</x:v>
      </x:c>
      <x:c r="R833" s="15" t="str">
        <x:v>High</x:v>
      </x:c>
      <x:c r="S833" s="15" t="str"/>
      <x:c r="T833" s="15" t="str"/>
      <x:c r="U833" s="15" t="str"/>
      <x:c r="V833" s="15" t="str">
        <x:v>Electricity 14503572</x:v>
      </x:c>
      <x:c r="W833" s="15" t="str">
        <x:v>Smartapp</x:v>
      </x:c>
      <x:c r="X833" s="15" t="str">
        <x:v>FNB :-) R150.00 paid from Current a/c..512781 @ Smartapp. Avail R27936. Ref.Electricity 14503572. 23May 10:06</x:v>
      </x:c>
      <x:c r="Y833" s="15" t="str">
        <x:v>a28bc952a7a71c80</x:v>
      </x:c>
    </x:row>
    <x:row r="834">
      <x:c r="A834" s="34" t="n">
        <x:v>46166.54027777778</x:v>
      </x:c>
      <x:c r="B834" s="36" t="n">
        <x:v>46166</x:v>
      </x:c>
      <x:c r="C834" s="34" t="n">
        <x:v>46166.54072916666</x:v>
      </x:c>
      <x:c r="D834" s="15" t="str">
        <x:v>Current a/c..512781</x:v>
      </x:c>
      <x:c r="E834" s="15" t="str">
        <x:v>card..2924</x:v>
      </x:c>
      <x:c r="F834" s="15" t="str">
        <x:v>R266.99 reserved for purchase @ Savemor Marloth from Current a/c..512781 using card..2924. Avail R27620. 24May 12:58</x:v>
      </x:c>
      <x:c r="G834" s="15" t="str">
        <x:v>Savemor Marloth</x:v>
      </x:c>
      <x:c r="H834" s="38" t="n">
        <x:v>266.99</x:v>
      </x:c>
      <x:c r="I834" s="15" t="str">
        <x:v>ZAR</x:v>
      </x:c>
      <x:c r="J834" s="15" t="str">
        <x:v>Outflow</x:v>
      </x:c>
      <x:c r="K834" s="15" t="str">
        <x:v>Card purchase</x:v>
      </x:c>
      <x:c r="L834" s="15" t="str">
        <x:v>Supplier payments</x:v>
      </x:c>
      <x:c r="M834" s="38"/>
      <x:c r="N834" s="38" t="n">
        <x:v>27620</x:v>
      </x:c>
      <x:c r="O834" s="15" t="str"/>
      <x:c r="P834" s="15" t="str">
        <x:v>eml_ALL_currentac__512781 (2).zip &gt; eml2currentac__512781.zip</x:v>
      </x:c>
      <x:c r="Q834" s="15" t="str">
        <x:v>FNB _-) R266.99 reserved for purchase @ Savemor Marloth from Current a_c..512781 using card..2924. 24May 12_58.eml</x:v>
      </x:c>
      <x:c r="R834" s="15" t="str">
        <x:v>High</x:v>
      </x:c>
      <x:c r="S834" s="15" t="str">
        <x:v>Category confidence Medium: Retail/supplier merchant keyword.</x:v>
      </x:c>
      <x:c r="T834" s="15" t="str"/>
      <x:c r="U834" s="15" t="str"/>
      <x:c r="V834" s="15" t="str"/>
      <x:c r="W834" s="15" t="str"/>
      <x:c r="X834" s="15" t="str">
        <x:v>FNB :-) R266.99 reserved for purchase @ Savemor Marloth from Current a/c..512781 using card..2924. Avail R27620. 24May 12:58</x:v>
      </x:c>
      <x:c r="Y834" s="15" t="str">
        <x:v>fe03bd36aa68d058</x:v>
      </x:c>
    </x:row>
    <x:row r="835">
      <x:c r="A835" s="34" t="n">
        <x:v>46166.54861111111</x:v>
      </x:c>
      <x:c r="B835" s="36" t="n">
        <x:v>46166</x:v>
      </x:c>
      <x:c r="C835" s="34" t="n">
        <x:v>46166.549212962964</x:v>
      </x:c>
      <x:c r="D835" s="15" t="str">
        <x:v>Current a/c..512781</x:v>
      </x:c>
      <x:c r="E835" s="15" t="str">
        <x:v>card..2924</x:v>
      </x:c>
      <x:c r="F835" s="15" t="str">
        <x:v>R149.98 reserved for purchase @ Savemor Marloth Liqu from Current a/c..512781 using card..2924. Avail R27378. 24May 13:10</x:v>
      </x:c>
      <x:c r="G835" s="15" t="str">
        <x:v>Savemor Marloth Liqu</x:v>
      </x:c>
      <x:c r="H835" s="38" t="n">
        <x:v>149.98</x:v>
      </x:c>
      <x:c r="I835" s="15" t="str">
        <x:v>ZAR</x:v>
      </x:c>
      <x:c r="J835" s="15" t="str">
        <x:v>Outflow</x:v>
      </x:c>
      <x:c r="K835" s="15" t="str">
        <x:v>Card purchase</x:v>
      </x:c>
      <x:c r="L835" s="15" t="str">
        <x:v>Meals / restaurants / entertainment</x:v>
      </x:c>
      <x:c r="M835" s="38"/>
      <x:c r="N835" s="38" t="n">
        <x:v>27378</x:v>
      </x:c>
      <x:c r="O835" s="15" t="str"/>
      <x:c r="P835" s="15" t="str">
        <x:v>eml_ALL_currentac__512781 (2).zip &gt; eml2currentac__512781.zip</x:v>
      </x:c>
      <x:c r="Q835" s="15" t="str">
        <x:v>FNB _-) R149.98 reserved for purchase @ Savemor Marloth Liqu from Current a_c..512781 using card..2924. 24May 13_10.eml</x:v>
      </x:c>
      <x:c r="R835" s="15" t="str">
        <x:v>High</x:v>
      </x:c>
      <x:c r="S835" s="15" t="str"/>
      <x:c r="T835" s="15" t="str"/>
      <x:c r="U835" s="15" t="str"/>
      <x:c r="V835" s="15" t="str"/>
      <x:c r="W835" s="15" t="str"/>
      <x:c r="X835" s="15" t="str">
        <x:v>FNB :-) R149.98 reserved for purchase @ Savemor Marloth Liqu from Current a/c..512781 using card..2924. Avail R27378. 24May 13:10</x:v>
      </x:c>
      <x:c r="Y835" s="15" t="str">
        <x:v>dec265b44e9d9968</x:v>
      </x:c>
    </x:row>
    <x:row r="836">
      <x:c r="A836" s="34" t="n">
        <x:v>46166.614583333336</x:v>
      </x:c>
      <x:c r="B836" s="36" t="n">
        <x:v>46166</x:v>
      </x:c>
      <x:c r="C836" s="34" t="n">
        <x:v>46166.61462962963</x:v>
      </x:c>
      <x:c r="D836" s="15" t="str">
        <x:v>Current a/c..512781</x:v>
      </x:c>
      <x:c r="E836" s="15" t="str">
        <x:v>card..2924</x:v>
      </x:c>
      <x:c r="F836" s="15" t="str">
        <x:v>R750.00 reserved for purchase @ Giraffe Pub And Gril from Current a/c..512781 using card..2924. Avail R26628. 24May 14:45</x:v>
      </x:c>
      <x:c r="G836" s="15" t="str">
        <x:v>Giraffe Pub And Gril</x:v>
      </x:c>
      <x:c r="H836" s="38" t="n">
        <x:v>750</x:v>
      </x:c>
      <x:c r="I836" s="15" t="str">
        <x:v>ZAR</x:v>
      </x:c>
      <x:c r="J836" s="15" t="str">
        <x:v>Outflow</x:v>
      </x:c>
      <x:c r="K836" s="15" t="str">
        <x:v>Card purchase</x:v>
      </x:c>
      <x:c r="L836" s="15" t="str">
        <x:v>Meals / restaurants / entertainment</x:v>
      </x:c>
      <x:c r="M836" s="38"/>
      <x:c r="N836" s="38" t="n">
        <x:v>26628</x:v>
      </x:c>
      <x:c r="O836" s="15" t="str"/>
      <x:c r="P836" s="15" t="str">
        <x:v>eml_ALL_currentac__512781 (2).zip &gt; eml2currentac__512781.zip</x:v>
      </x:c>
      <x:c r="Q836" s="15" t="str">
        <x:v>FNB _-) R750.00 reserved for purchase @ Giraffe Pub And Gril from Current a_c..512781 using card..2924. 24May 14_45.eml</x:v>
      </x:c>
      <x:c r="R836" s="15" t="str">
        <x:v>High</x:v>
      </x:c>
      <x:c r="S836" s="15" t="str"/>
      <x:c r="T836" s="15" t="str"/>
      <x:c r="U836" s="15" t="str"/>
      <x:c r="V836" s="15" t="str"/>
      <x:c r="W836" s="15" t="str"/>
      <x:c r="X836" s="15" t="str">
        <x:v>FNB :-) R750.00 reserved for purchase @ Giraffe Pub And Gril from Current a/c..512781 using card..2924. Avail R26628. 24May 14:45</x:v>
      </x:c>
      <x:c r="Y836" s="15" t="str">
        <x:v>a1633f678c28b921</x:v>
      </x:c>
    </x:row>
    <x:row r="837">
      <x:c r="A837" s="34" t="n">
        <x:v>46166.77361111111</x:v>
      </x:c>
      <x:c r="B837" s="36" t="n">
        <x:v>46166</x:v>
      </x:c>
      <x:c r="C837" s="34" t="n">
        <x:v>46166.77416666667</x:v>
      </x:c>
      <x:c r="D837" s="15" t="str">
        <x:v>Current a/c..512781</x:v>
      </x:c>
      <x:c r="E837" s="15" t="str"/>
      <x:c r="F837" s="15" t="str">
        <x:v>R500.00 t/fer from Current a/c..512781 to Private Cheq Acc..566332 @ Smartapp. Avail R26128. 24May 18:34</x:v>
      </x:c>
      <x:c r="G837" s="15" t="str">
        <x:v>Private Cheq Acc..566332</x:v>
      </x:c>
      <x:c r="H837" s="38" t="n">
        <x:v>500</x:v>
      </x:c>
      <x:c r="I837" s="15" t="str">
        <x:v>ZAR</x:v>
      </x:c>
      <x:c r="J837" s="15" t="str">
        <x:v>Internal Transfer</x:v>
      </x:c>
      <x:c r="K837" s="15" t="str">
        <x:v>Internal transfer</x:v>
      </x:c>
      <x:c r="L837" s="15" t="str">
        <x:v>Inter-account transfer</x:v>
      </x:c>
      <x:c r="M837" s="38"/>
      <x:c r="N837" s="38" t="n">
        <x:v>26128</x:v>
      </x:c>
      <x:c r="O837" s="15" t="str"/>
      <x:c r="P837" s="15" t="str">
        <x:v>eml_ALL_currentac__512781 (2).zip &gt; eml2currentac__512781.zip</x:v>
      </x:c>
      <x:c r="Q837" s="15" t="str">
        <x:v>FNB _-) R500.00 t_fer from Current a_c..512781 to Private Cheq Acc..566332 @ Smartapp. 24May 18_34.eml</x:v>
      </x:c>
      <x:c r="R837" s="15" t="str">
        <x:v>High</x:v>
      </x:c>
      <x:c r="S837" s="15" t="str">
        <x:v>Classified as internal/inter-account transfer and excluded from operating cashflow.</x:v>
      </x:c>
      <x:c r="T837" s="15" t="str">
        <x:v>Current a/c..512781</x:v>
      </x:c>
      <x:c r="U837" s="15" t="str">
        <x:v>Private Cheq Acc..566332</x:v>
      </x:c>
      <x:c r="V837" s="15" t="str"/>
      <x:c r="W837" s="15" t="str">
        <x:v>Smartapp</x:v>
      </x:c>
      <x:c r="X837" s="15" t="str">
        <x:v>FNB :-) R500.00 t/fer from Current a/c..512781 to Private Cheq Acc..566332 @ Smartapp. Avail R26128. 24May 18:34</x:v>
      </x:c>
      <x:c r="Y837" s="15" t="str">
        <x:v>494fa38a5049dc21</x:v>
      </x:c>
    </x:row>
    <x:row r="838">
      <x:c r="A838" s="34" t="n">
        <x:v>46166.774305555555</x:v>
      </x:c>
      <x:c r="B838" s="36" t="n">
        <x:v>46166</x:v>
      </x:c>
      <x:c r="C838" s="34" t="n">
        <x:v>46166.77460648148</x:v>
      </x:c>
      <x:c r="D838" s="15" t="str">
        <x:v>Current a/c..512781</x:v>
      </x:c>
      <x:c r="E838" s="15" t="str"/>
      <x:c r="F838" s="15" t="str">
        <x:v>R200.00 t/fer from Current a/c..512781 to Private Cheq Acc..566332 @ Smartapp. Avail R25928. 24May 18:35</x:v>
      </x:c>
      <x:c r="G838" s="15" t="str">
        <x:v>Private Cheq Acc..566332</x:v>
      </x:c>
      <x:c r="H838" s="38" t="n">
        <x:v>200</x:v>
      </x:c>
      <x:c r="I838" s="15" t="str">
        <x:v>ZAR</x:v>
      </x:c>
      <x:c r="J838" s="15" t="str">
        <x:v>Internal Transfer</x:v>
      </x:c>
      <x:c r="K838" s="15" t="str">
        <x:v>Internal transfer</x:v>
      </x:c>
      <x:c r="L838" s="15" t="str">
        <x:v>Inter-account transfer</x:v>
      </x:c>
      <x:c r="M838" s="38"/>
      <x:c r="N838" s="38" t="n">
        <x:v>25928</x:v>
      </x:c>
      <x:c r="O838" s="15" t="str"/>
      <x:c r="P838" s="15" t="str">
        <x:v>eml_ALL_currentac__512781 (2).zip &gt; eml2currentac__512781.zip</x:v>
      </x:c>
      <x:c r="Q838" s="15" t="str">
        <x:v>FNB _-) R200.00 t_fer from Current a_c..512781 to Private Cheq Acc..566332 @ Smartapp. 24May 18_35.eml</x:v>
      </x:c>
      <x:c r="R838" s="15" t="str">
        <x:v>High</x:v>
      </x:c>
      <x:c r="S838" s="15" t="str">
        <x:v>Classified as internal/inter-account transfer and excluded from operating cashflow.</x:v>
      </x:c>
      <x:c r="T838" s="15" t="str">
        <x:v>Current a/c..512781</x:v>
      </x:c>
      <x:c r="U838" s="15" t="str">
        <x:v>Private Cheq Acc..566332</x:v>
      </x:c>
      <x:c r="V838" s="15" t="str"/>
      <x:c r="W838" s="15" t="str">
        <x:v>Smartapp</x:v>
      </x:c>
      <x:c r="X838" s="15" t="str">
        <x:v>FNB :-) R200.00 t/fer from Current a/c..512781 to Private Cheq Acc..566332 @ Smartapp. Avail R25928. 24May 18:35</x:v>
      </x:c>
      <x:c r="Y838" s="15" t="str">
        <x:v>b8653fb0e9803d44</x:v>
      </x:c>
    </x:row>
    <x:row r="839">
      <x:c r="A839" s="34" t="n">
        <x:v>46166.94305555556</x:v>
      </x:c>
      <x:c r="B839" s="36" t="n">
        <x:v>46166</x:v>
      </x:c>
      <x:c r="C839" s="34" t="n">
        <x:v>46166.94332175926</x:v>
      </x:c>
      <x:c r="D839" s="15" t="str">
        <x:v>Current a/c..512781</x:v>
      </x:c>
      <x:c r="E839" s="15" t="str"/>
      <x:c r="F839" s="15" t="str">
        <x:v>R200.00 t/fer from Current a/c..512781 to Private Cheq Acc..566332 @ Smartapp. Avail R25728. 24May 22:38</x:v>
      </x:c>
      <x:c r="G839" s="15" t="str">
        <x:v>Private Cheq Acc..566332</x:v>
      </x:c>
      <x:c r="H839" s="38" t="n">
        <x:v>200</x:v>
      </x:c>
      <x:c r="I839" s="15" t="str">
        <x:v>ZAR</x:v>
      </x:c>
      <x:c r="J839" s="15" t="str">
        <x:v>Internal Transfer</x:v>
      </x:c>
      <x:c r="K839" s="15" t="str">
        <x:v>Internal transfer</x:v>
      </x:c>
      <x:c r="L839" s="15" t="str">
        <x:v>Inter-account transfer</x:v>
      </x:c>
      <x:c r="M839" s="38"/>
      <x:c r="N839" s="38" t="n">
        <x:v>25728</x:v>
      </x:c>
      <x:c r="O839" s="15" t="str"/>
      <x:c r="P839" s="15" t="str">
        <x:v>eml_ALL_currentac__512781 (2).zip &gt; eml2currentac__512781.zip</x:v>
      </x:c>
      <x:c r="Q839" s="15" t="str">
        <x:v>FNB _-) R200.00 t_fer from Current a_c..512781 to Private Cheq Acc..566332 @ Smartapp. 24May 22_38.eml</x:v>
      </x:c>
      <x:c r="R839" s="15" t="str">
        <x:v>High</x:v>
      </x:c>
      <x:c r="S839" s="15" t="str">
        <x:v>Classified as internal/inter-account transfer and excluded from operating cashflow.</x:v>
      </x:c>
      <x:c r="T839" s="15" t="str">
        <x:v>Current a/c..512781</x:v>
      </x:c>
      <x:c r="U839" s="15" t="str">
        <x:v>Private Cheq Acc..566332</x:v>
      </x:c>
      <x:c r="V839" s="15" t="str"/>
      <x:c r="W839" s="15" t="str">
        <x:v>Smartapp</x:v>
      </x:c>
      <x:c r="X839" s="15" t="str">
        <x:v>FNB :-) R200.00 t/fer from Current a/c..512781 to Private Cheq Acc..566332 @ Smartapp. Avail R25728. 24May 22:38</x:v>
      </x:c>
      <x:c r="Y839" s="15" t="str">
        <x:v>1fbe740cfa268e6f</x:v>
      </x:c>
    </x:row>
    <x:row r="840">
      <x:c r="A840" s="34" t="n">
        <x:v>46167.48541666667</x:v>
      </x:c>
      <x:c r="B840" s="36" t="n">
        <x:v>46167</x:v>
      </x:c>
      <x:c r="C840" s="34" t="n">
        <x:v>46167.48584490741</x:v>
      </x:c>
      <x:c r="D840" s="15" t="str">
        <x:v>Current a/c..512781</x:v>
      </x:c>
      <x:c r="E840" s="15" t="str">
        <x:v>card..2924</x:v>
      </x:c>
      <x:c r="F840" s="15" t="str">
        <x:v>R200.00 reserved for purchase @ Marlothi Petrol Stat from Current a/c..512781 using card..2924. Avail R25528. 25May 11:39</x:v>
      </x:c>
      <x:c r="G840" s="15" t="str">
        <x:v>Marlothi Petrol Stat</x:v>
      </x:c>
      <x:c r="H840" s="38" t="n">
        <x:v>200</x:v>
      </x:c>
      <x:c r="I840" s="15" t="str">
        <x:v>ZAR</x:v>
      </x:c>
      <x:c r="J840" s="15" t="str">
        <x:v>Outflow</x:v>
      </x:c>
      <x:c r="K840" s="15" t="str">
        <x:v>Card purchase</x:v>
      </x:c>
      <x:c r="L840" s="15" t="str">
        <x:v>Fuel / transport</x:v>
      </x:c>
      <x:c r="M840" s="38"/>
      <x:c r="N840" s="38" t="n">
        <x:v>25528</x:v>
      </x:c>
      <x:c r="O840" s="15" t="str"/>
      <x:c r="P840" s="15" t="str">
        <x:v>eml_ALL_currentac__512781 (2).zip &gt; eml2currentac__512781.zip</x:v>
      </x:c>
      <x:c r="Q840" s="15" t="str">
        <x:v>FNB _-) R200.00 reserved for purchase @ Marlothi Petrol Stat from Current a_c..512781 using card..2924. 25May 11_39.eml</x:v>
      </x:c>
      <x:c r="R840" s="15" t="str">
        <x:v>High</x:v>
      </x:c>
      <x:c r="S840" s="15" t="str"/>
      <x:c r="T840" s="15" t="str"/>
      <x:c r="U840" s="15" t="str"/>
      <x:c r="V840" s="15" t="str"/>
      <x:c r="W840" s="15" t="str"/>
      <x:c r="X840" s="15" t="str">
        <x:v>FNB :-) R200.00 reserved for purchase @ Marlothi Petrol Stat from Current a/c..512781 using card..2924. Avail R25528. 25May 11:39</x:v>
      </x:c>
      <x:c r="Y840" s="15" t="str">
        <x:v>b25d3984ed654a68</x:v>
      </x:c>
    </x:row>
    <x:row r="841">
      <x:c r="A841" s="34" t="n">
        <x:v>46167.489583333336</x:v>
      </x:c>
      <x:c r="B841" s="36" t="n">
        <x:v>46167</x:v>
      </x:c>
      <x:c r="C841" s="34" t="n">
        <x:v>46167.49023148148</x:v>
      </x:c>
      <x:c r="D841" s="15" t="str">
        <x:v>Current a/c..512781</x:v>
      </x:c>
      <x:c r="E841" s="15" t="str"/>
      <x:c r="F841" s="15" t="str">
        <x:v>R3454.50 paid from Current a/c..512781 @ Smartapp. Avail R22071. Ref.Kruger Sa 1698 50%. 25May 11:45</x:v>
      </x:c>
      <x:c r="G841" s="15" t="str">
        <x:v>Kruger Sa 1698 50%</x:v>
      </x:c>
      <x:c r="H841" s="38" t="n">
        <x:v>3454.5</x:v>
      </x:c>
      <x:c r="I841" s="15" t="str">
        <x:v>ZAR</x:v>
      </x:c>
      <x:c r="J841" s="15" t="str">
        <x:v>Outflow</x:v>
      </x:c>
      <x:c r="K841" s="15" t="str">
        <x:v>EFT payment</x:v>
      </x:c>
      <x:c r="L841" s="15" t="str">
        <x:v>Supplier payments</x:v>
      </x:c>
      <x:c r="M841" s="38"/>
      <x:c r="N841" s="38" t="n">
        <x:v>22071</x:v>
      </x:c>
      <x:c r="O841" s="15" t="str"/>
      <x:c r="P841" s="15" t="str">
        <x:v>eml_ALL_currentac__512781 (2).zip &gt; eml2currentac__512781.zip</x:v>
      </x:c>
      <x:c r="Q841" s="15" t="str">
        <x:v>FNB _-) R3454.50 paid from Current a_c..512781 @ Smartapp. Ref.Kruger Sa 1698 50%. 25May 11_45.eml</x:v>
      </x:c>
      <x:c r="R841" s="15" t="str">
        <x:v>High</x:v>
      </x:c>
      <x:c r="S841" s="15" t="str">
        <x:v>Category confidence Low: Default outflow category; review counterparty/reference.</x:v>
      </x:c>
      <x:c r="T841" s="15" t="str"/>
      <x:c r="U841" s="15" t="str"/>
      <x:c r="V841" s="15" t="str">
        <x:v>Kruger Sa 1698 50%</x:v>
      </x:c>
      <x:c r="W841" s="15" t="str">
        <x:v>Smartapp</x:v>
      </x:c>
      <x:c r="X841" s="15" t="str">
        <x:v>FNB :-) R3454.50 paid from Current a/c..512781 @ Smartapp. Avail R22071. Ref.Kruger Sa 1698 50%. 25May 11:45</x:v>
      </x:c>
      <x:c r="Y841" s="15" t="str">
        <x:v>0757ddff2f80e8a4</x:v>
      </x:c>
    </x:row>
    <x:row r="842">
      <x:c r="A842" s="34" t="n">
        <x:v>46167.490277777775</x:v>
      </x:c>
      <x:c r="B842" s="36" t="n">
        <x:v>46167</x:v>
      </x:c>
      <x:c r="C842" s="34" t="n">
        <x:v>46167.49037037037</x:v>
      </x:c>
      <x:c r="D842" s="15" t="str">
        <x:v>Current a/c..512781</x:v>
      </x:c>
      <x:c r="E842" s="15" t="str"/>
      <x:c r="F842" s="15" t="str">
        <x:v>REVERSAL of R3454.50 paid from Current a/c..512781 Ref.Kruger Sa 1698 50%. 25May 11:46</x:v>
      </x:c>
      <x:c r="G842" s="15" t="str">
        <x:v>Kruger Sa 1698 50%</x:v>
      </x:c>
      <x:c r="H842" s="38" t="n">
        <x:v>3454.5</x:v>
      </x:c>
      <x:c r="I842" s="15" t="str">
        <x:v>ZAR</x:v>
      </x:c>
      <x:c r="J842" s="15" t="str">
        <x:v>Inflow</x:v>
      </x:c>
      <x:c r="K842" s="15" t="str">
        <x:v>Reversal</x:v>
      </x:c>
      <x:c r="L842" s="15" t="str">
        <x:v>Refunds / reversals</x:v>
      </x:c>
      <x:c r="M842" s="38"/>
      <x:c r="N842" s="38"/>
      <x:c r="O842" s="15" t="str"/>
      <x:c r="P842" s="15" t="str">
        <x:v>eml_ALL_currentac__512781 (2).zip &gt; eml2currentac__512781.zip</x:v>
      </x:c>
      <x:c r="Q842" s="15" t="str">
        <x:v>FNB _-) REVERSAL of R3454.50 paid from Current a_c..512781 Ref.Kruger Sa 1698 50%. 25May 11_46.eml</x:v>
      </x:c>
      <x:c r="R842" s="15" t="str">
        <x:v>High</x:v>
      </x:c>
      <x:c r="S842" s="15" t="str">
        <x:v>Reversal/refund cashflow separated from regular income.</x:v>
      </x:c>
      <x:c r="T842" s="15" t="str"/>
      <x:c r="U842" s="15" t="str"/>
      <x:c r="V842" s="15" t="str">
        <x:v>Kruger Sa 1698 50%</x:v>
      </x:c>
      <x:c r="W842" s="15" t="str"/>
      <x:c r="X842" s="15" t="str">
        <x:v>FNB :-) REVERSAL of R3454.50 paid from Current a/c..512781 Ref.Kruger Sa 1698 50%. 25May 11:46</x:v>
      </x:c>
      <x:c r="Y842" s="15" t="str">
        <x:v>3f9ed3671d2c9634</x:v>
      </x:c>
    </x:row>
    <x:row r="843">
      <x:c r="A843" s="34" t="n">
        <x:v>46167.49166666667</x:v>
      </x:c>
      <x:c r="B843" s="36" t="n">
        <x:v>46167</x:v>
      </x:c>
      <x:c r="C843" s="34" t="n">
        <x:v>46167.49180555555</x:v>
      </x:c>
      <x:c r="D843" s="15" t="str">
        <x:v>Current a/c..512781</x:v>
      </x:c>
      <x:c r="E843" s="15" t="str"/>
      <x:c r="F843" s="15" t="str">
        <x:v>R4240.00 paid from Current a/c..512781 @ Smartapp. Avail R21280. Ref.Royal Bush 3979. 25May 11:48</x:v>
      </x:c>
      <x:c r="G843" s="15" t="str">
        <x:v>Royal Bush 3979</x:v>
      </x:c>
      <x:c r="H843" s="38" t="n">
        <x:v>4240</x:v>
      </x:c>
      <x:c r="I843" s="15" t="str">
        <x:v>ZAR</x:v>
      </x:c>
      <x:c r="J843" s="15" t="str">
        <x:v>Outflow</x:v>
      </x:c>
      <x:c r="K843" s="15" t="str">
        <x:v>EFT payment</x:v>
      </x:c>
      <x:c r="L843" s="15" t="str">
        <x:v>Supplier payments</x:v>
      </x:c>
      <x:c r="M843" s="38"/>
      <x:c r="N843" s="38" t="n">
        <x:v>21280</x:v>
      </x:c>
      <x:c r="O843" s="15" t="str"/>
      <x:c r="P843" s="15" t="str">
        <x:v>eml_ALL_currentac__512781 (2).zip &gt; eml2currentac__512781.zip</x:v>
      </x:c>
      <x:c r="Q843" s="15" t="str">
        <x:v>FNB _-) R4240.00 paid from Current a_c..512781 @ Smartapp. Ref.Royal Bush 3979. 25May 11_48.eml</x:v>
      </x:c>
      <x:c r="R843" s="15" t="str">
        <x:v>High</x:v>
      </x:c>
      <x:c r="S843" s="15" t="str">
        <x:v>Category confidence Low: Default outflow category; review counterparty/reference.</x:v>
      </x:c>
      <x:c r="T843" s="15" t="str"/>
      <x:c r="U843" s="15" t="str"/>
      <x:c r="V843" s="15" t="str">
        <x:v>Royal Bush 3979</x:v>
      </x:c>
      <x:c r="W843" s="15" t="str">
        <x:v>Smartapp</x:v>
      </x:c>
      <x:c r="X843" s="15" t="str">
        <x:v>FNB :-) R4240.00 paid from Current a/c..512781 @ Smartapp. Avail R21280. Ref.Royal Bush 3979. 25May 11:48</x:v>
      </x:c>
      <x:c r="Y843" s="15" t="str">
        <x:v>743f5d4696045c07</x:v>
      </x:c>
    </x:row>
    <x:row r="844">
      <x:c r="A844" s="34" t="n">
        <x:v>46167.50069444445</x:v>
      </x:c>
      <x:c r="B844" s="36" t="n">
        <x:v>46167</x:v>
      </x:c>
      <x:c r="C844" s="34" t="n">
        <x:v>46167.501238425924</x:v>
      </x:c>
      <x:c r="D844" s="15" t="str">
        <x:v>Current a/c..512781</x:v>
      </x:c>
      <x:c r="E844" s="15" t="str"/>
      <x:c r="F844" s="15" t="str">
        <x:v>R5000.00 t/fer from Current a/c..512781 to Current a/c..261544 @ Smartapp. Avail R16280. 25May 12:01</x:v>
      </x:c>
      <x:c r="G844" s="15" t="str">
        <x:v>Current a/c..261544</x:v>
      </x:c>
      <x:c r="H844" s="38" t="n">
        <x:v>5000</x:v>
      </x:c>
      <x:c r="I844" s="15" t="str">
        <x:v>ZAR</x:v>
      </x:c>
      <x:c r="J844" s="15" t="str">
        <x:v>Internal Transfer</x:v>
      </x:c>
      <x:c r="K844" s="15" t="str">
        <x:v>Internal transfer</x:v>
      </x:c>
      <x:c r="L844" s="15" t="str">
        <x:v>Inter-account transfer</x:v>
      </x:c>
      <x:c r="M844" s="38"/>
      <x:c r="N844" s="38" t="n">
        <x:v>16280</x:v>
      </x:c>
      <x:c r="O844" s="15" t="str"/>
      <x:c r="P844" s="15" t="str">
        <x:v>eml_ALL_currentac__512781 (2).zip &gt; eml2currentac__512781.zip</x:v>
      </x:c>
      <x:c r="Q844" s="15" t="str">
        <x:v>FNB _-) R5000.00 t_fer from Current a_c..512781 to Current a_c..261544 @ Smartapp. 25May 12_01.eml</x:v>
      </x:c>
      <x:c r="R844" s="15" t="str">
        <x:v>High</x:v>
      </x:c>
      <x:c r="S844" s="15" t="str">
        <x:v>Classified as internal/inter-account transfer and excluded from operating cashflow.</x:v>
      </x:c>
      <x:c r="T844" s="15" t="str">
        <x:v>Current a/c..512781</x:v>
      </x:c>
      <x:c r="U844" s="15" t="str">
        <x:v>Current a/c..261544</x:v>
      </x:c>
      <x:c r="V844" s="15" t="str"/>
      <x:c r="W844" s="15" t="str">
        <x:v>Smartapp</x:v>
      </x:c>
      <x:c r="X844" s="15" t="str">
        <x:v>FNB :-) R5000.00 t/fer from Current a/c..512781 to Current a/c..261544 @ Smartapp. Avail R16280. 25May 12:01</x:v>
      </x:c>
      <x:c r="Y844" s="15" t="str">
        <x:v>48749f14415987f7</x:v>
      </x:c>
    </x:row>
    <x:row r="845">
      <x:c r="A845" s="34" t="n">
        <x:v>46167.506944444445</x:v>
      </x:c>
      <x:c r="B845" s="36" t="n">
        <x:v>46167</x:v>
      </x:c>
      <x:c r="C845" s="34" t="n">
        <x:v>46167.507569444446</x:v>
      </x:c>
      <x:c r="D845" s="15" t="str">
        <x:v>Current a/c..512781</x:v>
      </x:c>
      <x:c r="E845" s="15" t="str">
        <x:v>card..2924</x:v>
      </x:c>
      <x:c r="F845" s="15" t="str">
        <x:v>R260.00 reserved for purchase @ Lebombo Butchery from Current a/c..512781 using card..2924. Avail R16020. 25May 12:10</x:v>
      </x:c>
      <x:c r="G845" s="15" t="str">
        <x:v>Lebombo Butchery</x:v>
      </x:c>
      <x:c r="H845" s="38" t="n">
        <x:v>260</x:v>
      </x:c>
      <x:c r="I845" s="15" t="str">
        <x:v>ZAR</x:v>
      </x:c>
      <x:c r="J845" s="15" t="str">
        <x:v>Outflow</x:v>
      </x:c>
      <x:c r="K845" s="15" t="str">
        <x:v>Card purchase</x:v>
      </x:c>
      <x:c r="L845" s="15" t="str">
        <x:v>Supplier payments</x:v>
      </x:c>
      <x:c r="M845" s="38"/>
      <x:c r="N845" s="38" t="n">
        <x:v>16020</x:v>
      </x:c>
      <x:c r="O845" s="15" t="str"/>
      <x:c r="P845" s="15" t="str">
        <x:v>eml_ALL_currentac__512781 (2).zip &gt; eml2currentac__512781.zip</x:v>
      </x:c>
      <x:c r="Q845" s="15" t="str">
        <x:v>FNB _-) R260.00 reserved for purchase @ Lebombo Butchery from Current a_c..512781 using card..2924. 25May 12_10.eml</x:v>
      </x:c>
      <x:c r="R845" s="15" t="str">
        <x:v>High</x:v>
      </x:c>
      <x:c r="S845" s="15" t="str">
        <x:v>Category confidence Medium: Retail/supplier merchant keyword.</x:v>
      </x:c>
      <x:c r="T845" s="15" t="str"/>
      <x:c r="U845" s="15" t="str"/>
      <x:c r="V845" s="15" t="str"/>
      <x:c r="W845" s="15" t="str"/>
      <x:c r="X845" s="15" t="str">
        <x:v>FNB :-) R260.00 reserved for purchase @ Lebombo Butchery from Current a/c..512781 using card..2924. Avail R16020. 25May 12:10</x:v>
      </x:c>
      <x:c r="Y845" s="15" t="str">
        <x:v>523ad7a4bad75273</x:v>
      </x:c>
    </x:row>
    <x:row r="846">
      <x:c r="A846" s="34" t="n">
        <x:v>46167.53333333333</x:v>
      </x:c>
      <x:c r="B846" s="36" t="n">
        <x:v>46167</x:v>
      </x:c>
      <x:c r="C846" s="34" t="n">
        <x:v>46167.533680555556</x:v>
      </x:c>
      <x:c r="D846" s="15" t="str">
        <x:v>Current a/c..512781</x:v>
      </x:c>
      <x:c r="E846" s="15" t="str">
        <x:v>card..2924</x:v>
      </x:c>
      <x:c r="F846" s="15" t="str">
        <x:v>R763.84 reserved for purchase @ Superspar Komatipoor from Current a/c..512781 using card..2924. Avail R15256. 25May 12:48</x:v>
      </x:c>
      <x:c r="G846" s="15" t="str">
        <x:v>Superspar Komatipoor</x:v>
      </x:c>
      <x:c r="H846" s="38" t="n">
        <x:v>763.84</x:v>
      </x:c>
      <x:c r="I846" s="15" t="str">
        <x:v>ZAR</x:v>
      </x:c>
      <x:c r="J846" s="15" t="str">
        <x:v>Outflow</x:v>
      </x:c>
      <x:c r="K846" s="15" t="str">
        <x:v>Card purchase</x:v>
      </x:c>
      <x:c r="L846" s="15" t="str">
        <x:v>Supplier payments</x:v>
      </x:c>
      <x:c r="M846" s="38"/>
      <x:c r="N846" s="38" t="n">
        <x:v>15256</x:v>
      </x:c>
      <x:c r="O846" s="15" t="str"/>
      <x:c r="P846" s="15" t="str">
        <x:v>eml_ALL_currentac__512781 (2).zip &gt; eml2currentac__512781.zip</x:v>
      </x:c>
      <x:c r="Q846" s="15" t="str">
        <x:v>FNB _-) R763.84 reserved for purchase @ Superspar Komatipoor from Current a_c..512781 using card..2924. 25May 12_48.eml</x:v>
      </x:c>
      <x:c r="R846" s="15" t="str">
        <x:v>High</x:v>
      </x:c>
      <x:c r="S846" s="15" t="str">
        <x:v>Category confidence Medium: Retail/supplier merchant keyword.</x:v>
      </x:c>
      <x:c r="T846" s="15" t="str"/>
      <x:c r="U846" s="15" t="str"/>
      <x:c r="V846" s="15" t="str"/>
      <x:c r="W846" s="15" t="str"/>
      <x:c r="X846" s="15" t="str">
        <x:v>FNB :-) R763.84 reserved for purchase @ Superspar Komatipoor from Current a/c..512781 using card..2924. Avail R15256. 25May 12:48</x:v>
      </x:c>
      <x:c r="Y846" s="15" t="str">
        <x:v>b49905e5534fdc92</x:v>
      </x:c>
    </x:row>
    <x:row r="847">
      <x:c r="A847" s="34" t="n">
        <x:v>46167.583333333336</x:v>
      </x:c>
      <x:c r="B847" s="36" t="n">
        <x:v>46167</x:v>
      </x:c>
      <x:c r="C847" s="34" t="n">
        <x:v>46167.583715277775</x:v>
      </x:c>
      <x:c r="D847" s="15" t="str">
        <x:v>Current a/c..512781</x:v>
      </x:c>
      <x:c r="E847" s="15" t="str"/>
      <x:c r="F847" s="15" t="str">
        <x:v>R38411.98 paid to Current a/c..512781 @ Real Time Cl. Ref.6114000315. 25May 14:00</x:v>
      </x:c>
      <x:c r="G847" s="15" t="str">
        <x:v>6114000315</x:v>
      </x:c>
      <x:c r="H847" s="38" t="n">
        <x:v>38411.98</x:v>
      </x:c>
      <x:c r="I847" s="15" t="str">
        <x:v>ZAR</x:v>
      </x:c>
      <x:c r="J847" s="15" t="str">
        <x:v>Inflow</x:v>
      </x:c>
      <x:c r="K847" s="15" t="str">
        <x:v>EFT receipt</x:v>
      </x:c>
      <x:c r="L847" s="15" t="str">
        <x:v>Sales / customer receipts</x:v>
      </x:c>
      <x:c r="M847" s="38"/>
      <x:c r="N847" s="38"/>
      <x:c r="O847" s="15" t="str"/>
      <x:c r="P847" s="15" t="str">
        <x:v>eml_ALL_currentac__512781 (2).zip &gt; eml2currentac__512781.zip</x:v>
      </x:c>
      <x:c r="Q847" s="15" t="str">
        <x:v>FNB _-) R38411.98 paid to Current a_c..512781 @ Real Time Cl. Ref.6114000315. 25May 14_00.eml</x:v>
      </x:c>
      <x:c r="R847" s="15" t="str">
        <x:v>High</x:v>
      </x:c>
      <x:c r="S847" s="15" t="str">
        <x:v>Category confidence Medium: Default for incoming EFT/PayShap/online receipt.</x:v>
      </x:c>
      <x:c r="T847" s="15" t="str"/>
      <x:c r="U847" s="15" t="str"/>
      <x:c r="V847" s="15" t="str">
        <x:v>6114000315</x:v>
      </x:c>
      <x:c r="W847" s="15" t="str">
        <x:v>Real Time Cl</x:v>
      </x:c>
      <x:c r="X847" s="15" t="str">
        <x:v>FNB :-) R38411.98 paid to Current a/c..512781 @ Real Time Cl. Ref.6114000315. 25May 14:00</x:v>
      </x:c>
      <x:c r="Y847" s="15" t="str">
        <x:v>cf592959d995f987</x:v>
      </x:c>
    </x:row>
    <x:row r="848">
      <x:c r="A848" s="34" t="n">
        <x:v>46167.62013888889</x:v>
      </x:c>
      <x:c r="B848" s="36" t="n">
        <x:v>46167</x:v>
      </x:c>
      <x:c r="C848" s="34" t="n">
        <x:v>46167.6203125</x:v>
      </x:c>
      <x:c r="D848" s="15" t="str">
        <x:v>Current a/c..512781</x:v>
      </x:c>
      <x:c r="E848" s="15" t="str"/>
      <x:c r="F848" s="15" t="str">
        <x:v>R600.00 t/fer from Current a/c..512781 to Private Cheq Acc..566332 @ Smartapp. Avail R53068. 25May 14:53</x:v>
      </x:c>
      <x:c r="G848" s="15" t="str">
        <x:v>Private Cheq Acc..566332</x:v>
      </x:c>
      <x:c r="H848" s="38" t="n">
        <x:v>600</x:v>
      </x:c>
      <x:c r="I848" s="15" t="str">
        <x:v>ZAR</x:v>
      </x:c>
      <x:c r="J848" s="15" t="str">
        <x:v>Internal Transfer</x:v>
      </x:c>
      <x:c r="K848" s="15" t="str">
        <x:v>Internal transfer</x:v>
      </x:c>
      <x:c r="L848" s="15" t="str">
        <x:v>Inter-account transfer</x:v>
      </x:c>
      <x:c r="M848" s="38"/>
      <x:c r="N848" s="38" t="n">
        <x:v>53068</x:v>
      </x:c>
      <x:c r="O848" s="15" t="str"/>
      <x:c r="P848" s="15" t="str">
        <x:v>eml_ALL_currentac__512781 (2).zip &gt; eml2currentac__512781.zip</x:v>
      </x:c>
      <x:c r="Q848" s="15" t="str">
        <x:v>FNB _-) R600.00 t_fer from Current a_c..512781 to Private Cheq Acc..566332 @ Smartapp. 25May 14_53.eml</x:v>
      </x:c>
      <x:c r="R848" s="15" t="str">
        <x:v>High</x:v>
      </x:c>
      <x:c r="S848" s="15" t="str">
        <x:v>Classified as internal/inter-account transfer and excluded from operating cashflow.</x:v>
      </x:c>
      <x:c r="T848" s="15" t="str">
        <x:v>Current a/c..512781</x:v>
      </x:c>
      <x:c r="U848" s="15" t="str">
        <x:v>Private Cheq Acc..566332</x:v>
      </x:c>
      <x:c r="V848" s="15" t="str"/>
      <x:c r="W848" s="15" t="str">
        <x:v>Smartapp</x:v>
      </x:c>
      <x:c r="X848" s="15" t="str">
        <x:v>FNB :-) R600.00 t/fer from Current a/c..512781 to Private Cheq Acc..566332 @ Smartapp. Avail R53068. 25May 14:53</x:v>
      </x:c>
      <x:c r="Y848" s="15" t="str">
        <x:v>af9c97fe8c328366</x:v>
      </x:c>
    </x:row>
    <x:row r="849">
      <x:c r="A849" s="34" t="n">
        <x:v>46167.73055555556</x:v>
      </x:c>
      <x:c r="B849" s="36" t="n">
        <x:v>46167</x:v>
      </x:c>
      <x:c r="C849" s="34" t="n">
        <x:v>46167.73103009259</x:v>
      </x:c>
      <x:c r="D849" s="15" t="str">
        <x:v>Current a/c..512781</x:v>
      </x:c>
      <x:c r="E849" s="15" t="str"/>
      <x:c r="F849" s="15" t="str">
        <x:v>R6008.00 paid from Current a/c..512781 @ Smartapp. Avail R47052. Ref.Kruger Safari 1698. 25May 17:32</x:v>
      </x:c>
      <x:c r="G849" s="15" t="str">
        <x:v>Kruger Safari 1698</x:v>
      </x:c>
      <x:c r="H849" s="38" t="n">
        <x:v>6008</x:v>
      </x:c>
      <x:c r="I849" s="15" t="str">
        <x:v>ZAR</x:v>
      </x:c>
      <x:c r="J849" s="15" t="str">
        <x:v>Outflow</x:v>
      </x:c>
      <x:c r="K849" s="15" t="str">
        <x:v>EFT payment</x:v>
      </x:c>
      <x:c r="L849" s="15" t="str">
        <x:v>Supplier payments</x:v>
      </x:c>
      <x:c r="M849" s="38"/>
      <x:c r="N849" s="38" t="n">
        <x:v>47052</x:v>
      </x:c>
      <x:c r="O849" s="15" t="str"/>
      <x:c r="P849" s="15" t="str">
        <x:v>eml_ALL_currentac__512781 (2).zip &gt; eml2currentac__512781.zip</x:v>
      </x:c>
      <x:c r="Q849" s="15" t="str">
        <x:v>FNB _-) R6008.00 paid from Current a_c..512781 @ Smartapp. Ref.Kruger Safari 1698. 25May 17_32.eml</x:v>
      </x:c>
      <x:c r="R849" s="15" t="str">
        <x:v>High</x:v>
      </x:c>
      <x:c r="S849" s="15" t="str">
        <x:v>Category confidence Low: Default outflow category; review counterparty/reference.</x:v>
      </x:c>
      <x:c r="T849" s="15" t="str"/>
      <x:c r="U849" s="15" t="str"/>
      <x:c r="V849" s="15" t="str">
        <x:v>Kruger Safari 1698</x:v>
      </x:c>
      <x:c r="W849" s="15" t="str">
        <x:v>Smartapp</x:v>
      </x:c>
      <x:c r="X849" s="15" t="str">
        <x:v>FNB :-) R6008.00 paid from Current a/c..512781 @ Smartapp. Avail R47052. Ref.Kruger Safari 1698. 25May 17:32</x:v>
      </x:c>
      <x:c r="Y849" s="15" t="str">
        <x:v>7f3a064a7c6122c6</x:v>
      </x:c>
    </x:row>
    <x:row r="850">
      <x:c r="A850" s="34" t="n">
        <x:v>46167.87708333333</x:v>
      </x:c>
      <x:c r="B850" s="36" t="n">
        <x:v>46167</x:v>
      </x:c>
      <x:c r="C850" s="34" t="n">
        <x:v>46167.87774305556</x:v>
      </x:c>
      <x:c r="D850" s="15" t="str">
        <x:v>Current a/c..512781</x:v>
      </x:c>
      <x:c r="E850" s="15" t="str"/>
      <x:c r="F850" s="15" t="str">
        <x:v>R500.00 t/fer from Current a/c..512781 to Private Cheq Acc..566332 @ Smartapp. Avail R46552. 25May 21:03</x:v>
      </x:c>
      <x:c r="G850" s="15" t="str">
        <x:v>Private Cheq Acc..566332</x:v>
      </x:c>
      <x:c r="H850" s="38" t="n">
        <x:v>500</x:v>
      </x:c>
      <x:c r="I850" s="15" t="str">
        <x:v>ZAR</x:v>
      </x:c>
      <x:c r="J850" s="15" t="str">
        <x:v>Internal Transfer</x:v>
      </x:c>
      <x:c r="K850" s="15" t="str">
        <x:v>Internal transfer</x:v>
      </x:c>
      <x:c r="L850" s="15" t="str">
        <x:v>Inter-account transfer</x:v>
      </x:c>
      <x:c r="M850" s="38"/>
      <x:c r="N850" s="38" t="n">
        <x:v>46552</x:v>
      </x:c>
      <x:c r="O850" s="15" t="str"/>
      <x:c r="P850" s="15" t="str">
        <x:v>eml_ALL_currentac__512781 (2).zip &gt; eml2currentac__512781.zip</x:v>
      </x:c>
      <x:c r="Q850" s="15" t="str">
        <x:v>FNB _-) R500.00 t_fer from Current a_c..512781 to Private Cheq Acc..566332 @ Smartapp. 25May 21_03.eml</x:v>
      </x:c>
      <x:c r="R850" s="15" t="str">
        <x:v>High</x:v>
      </x:c>
      <x:c r="S850" s="15" t="str">
        <x:v>Classified as internal/inter-account transfer and excluded from operating cashflow.</x:v>
      </x:c>
      <x:c r="T850" s="15" t="str">
        <x:v>Current a/c..512781</x:v>
      </x:c>
      <x:c r="U850" s="15" t="str">
        <x:v>Private Cheq Acc..566332</x:v>
      </x:c>
      <x:c r="V850" s="15" t="str"/>
      <x:c r="W850" s="15" t="str">
        <x:v>Smartapp</x:v>
      </x:c>
      <x:c r="X850" s="15" t="str">
        <x:v>FNB :-) R500.00 t/fer from Current a/c..512781 to Private Cheq Acc..566332 @ Smartapp. Avail R46552. 25May 21:03</x:v>
      </x:c>
      <x:c r="Y850" s="15" t="str">
        <x:v>e85513f95cb3dc09</x:v>
      </x:c>
    </x:row>
    <x:row r="851">
      <x:c r="A851" s="34" t="n">
        <x:v>46168.584027777775</x:v>
      </x:c>
      <x:c r="B851" s="36" t="n">
        <x:v>46168</x:v>
      </x:c>
      <x:c r="C851" s="34" t="n">
        <x:v>46168.584641203706</x:v>
      </x:c>
      <x:c r="D851" s="15" t="str">
        <x:v>Current a/c..512781</x:v>
      </x:c>
      <x:c r="E851" s="15" t="str"/>
      <x:c r="F851" s="15" t="str">
        <x:v>R24373.00 paid to Current a/c..512781 @ Online Banking. Ref.Ag1 Seaside Village. 26May 14:01</x:v>
      </x:c>
      <x:c r="G851" s="15" t="str">
        <x:v>Ag1 Seaside Village</x:v>
      </x:c>
      <x:c r="H851" s="38" t="n">
        <x:v>24373</x:v>
      </x:c>
      <x:c r="I851" s="15" t="str">
        <x:v>ZAR</x:v>
      </x:c>
      <x:c r="J851" s="15" t="str">
        <x:v>Inflow</x:v>
      </x:c>
      <x:c r="K851" s="15" t="str">
        <x:v>EFT receipt</x:v>
      </x:c>
      <x:c r="L851" s="15" t="str">
        <x:v>Sales / customer receipts</x:v>
      </x:c>
      <x:c r="M851" s="38"/>
      <x:c r="N851" s="38"/>
      <x:c r="O851" s="15" t="str"/>
      <x:c r="P851" s="15" t="str">
        <x:v>eml_ALL_currentac__512781 (2).zip &gt; eml2currentac__512781.zip</x:v>
      </x:c>
      <x:c r="Q851" s="15" t="str">
        <x:v>FNB _-) R24373.00 paid to Current a_c..512781 @ Online Banking. Ref.Ag1 Seaside Village. 26May 14_01.eml</x:v>
      </x:c>
      <x:c r="R851" s="15" t="str">
        <x:v>High</x:v>
      </x:c>
      <x:c r="S851" s="15" t="str">
        <x:v>Category confidence Medium: Default for incoming EFT/PayShap/online receipt.</x:v>
      </x:c>
      <x:c r="T851" s="15" t="str"/>
      <x:c r="U851" s="15" t="str"/>
      <x:c r="V851" s="15" t="str">
        <x:v>Ag1 Seaside Village</x:v>
      </x:c>
      <x:c r="W851" s="15" t="str">
        <x:v>Online Banking</x:v>
      </x:c>
      <x:c r="X851" s="15" t="str">
        <x:v>FNB :-) R24373.00 paid to Current a/c..512781 @ Online Banking. Ref.Ag1 Seaside Village. 26May 14:01</x:v>
      </x:c>
      <x:c r="Y851" s="15" t="str">
        <x:v>69b0d10c4dde1af1</x:v>
      </x:c>
    </x:row>
    <x:row r="852">
      <x:c r="A852" s="34" t="n">
        <x:v>46168.631944444445</x:v>
      </x:c>
      <x:c r="B852" s="36" t="n">
        <x:v>46168</x:v>
      </x:c>
      <x:c r="C852" s="34" t="n">
        <x:v>46168.63232638889</x:v>
      </x:c>
      <x:c r="D852" s="15" t="str">
        <x:v>Current a/c..512781</x:v>
      </x:c>
      <x:c r="E852" s="15" t="str">
        <x:v>card..2924</x:v>
      </x:c>
      <x:c r="F852" s="15" t="str">
        <x:v>R361.08 reserved for purchase @ Savemor Marloth from Current a/c..512781 using card..2924. Avail R70549. 26May 15:10</x:v>
      </x:c>
      <x:c r="G852" s="15" t="str">
        <x:v>Savemor Marloth</x:v>
      </x:c>
      <x:c r="H852" s="38" t="n">
        <x:v>361.08</x:v>
      </x:c>
      <x:c r="I852" s="15" t="str">
        <x:v>ZAR</x:v>
      </x:c>
      <x:c r="J852" s="15" t="str">
        <x:v>Outflow</x:v>
      </x:c>
      <x:c r="K852" s="15" t="str">
        <x:v>Card purchase</x:v>
      </x:c>
      <x:c r="L852" s="15" t="str">
        <x:v>Supplier payments</x:v>
      </x:c>
      <x:c r="M852" s="38"/>
      <x:c r="N852" s="38" t="n">
        <x:v>70549</x:v>
      </x:c>
      <x:c r="O852" s="15" t="str"/>
      <x:c r="P852" s="15" t="str">
        <x:v>eml_ALL_currentac__512781 (2).zip &gt; eml2currentac__512781.zip</x:v>
      </x:c>
      <x:c r="Q852" s="15" t="str">
        <x:v>FNB _-) R361.08 reserved for purchase @ Savemor Marloth from Current a_c..512781 using card..2924. 26May 15_10.eml</x:v>
      </x:c>
      <x:c r="R852" s="15" t="str">
        <x:v>High</x:v>
      </x:c>
      <x:c r="S852" s="15" t="str">
        <x:v>Category confidence Medium: Retail/supplier merchant keyword.</x:v>
      </x:c>
      <x:c r="T852" s="15" t="str"/>
      <x:c r="U852" s="15" t="str"/>
      <x:c r="V852" s="15" t="str"/>
      <x:c r="W852" s="15" t="str"/>
      <x:c r="X852" s="15" t="str">
        <x:v>FNB :-) R361.08 reserved for purchase @ Savemor Marloth from Current a/c..512781 using card..2924. Avail R70549. 26May 15:10</x:v>
      </x:c>
      <x:c r="Y852" s="15" t="str">
        <x:v>6894d0a32ba13187</x:v>
      </x:c>
    </x:row>
    <x:row r="853">
      <x:c r="A853" s="34" t="n">
        <x:v>46168.725</x:v>
      </x:c>
      <x:c r="B853" s="36" t="n">
        <x:v>46168</x:v>
      </x:c>
      <x:c r="C853" s="34" t="n">
        <x:v>46168.72509259259</x:v>
      </x:c>
      <x:c r="D853" s="15" t="str">
        <x:v>Current a/c..512781</x:v>
      </x:c>
      <x:c r="E853" s="15" t="str"/>
      <x:c r="F853" s="15" t="str">
        <x:v>R25500.00 t/fer from Current a/c..512781 to Current a/c..261544 @ Smartapp. Avail R45049. 26May 17:24</x:v>
      </x:c>
      <x:c r="G853" s="15" t="str">
        <x:v>Current a/c..261544</x:v>
      </x:c>
      <x:c r="H853" s="38" t="n">
        <x:v>25500</x:v>
      </x:c>
      <x:c r="I853" s="15" t="str">
        <x:v>ZAR</x:v>
      </x:c>
      <x:c r="J853" s="15" t="str">
        <x:v>Internal Transfer</x:v>
      </x:c>
      <x:c r="K853" s="15" t="str">
        <x:v>Internal transfer</x:v>
      </x:c>
      <x:c r="L853" s="15" t="str">
        <x:v>Inter-account transfer</x:v>
      </x:c>
      <x:c r="M853" s="38"/>
      <x:c r="N853" s="38" t="n">
        <x:v>45049</x:v>
      </x:c>
      <x:c r="O853" s="15" t="str"/>
      <x:c r="P853" s="15" t="str">
        <x:v>eml_ALL_currentac__512781 (2).zip &gt; eml2currentac__512781.zip</x:v>
      </x:c>
      <x:c r="Q853" s="15" t="str">
        <x:v>FNB _-) R25500.00 t_fer from Current a_c..512781 to Current a_c..261544 @ Smartapp. 26May 17_24.eml</x:v>
      </x:c>
      <x:c r="R853" s="15" t="str">
        <x:v>High</x:v>
      </x:c>
      <x:c r="S853" s="15" t="str">
        <x:v>Classified as internal/inter-account transfer and excluded from operating cashflow.</x:v>
      </x:c>
      <x:c r="T853" s="15" t="str">
        <x:v>Current a/c..512781</x:v>
      </x:c>
      <x:c r="U853" s="15" t="str">
        <x:v>Current a/c..261544</x:v>
      </x:c>
      <x:c r="V853" s="15" t="str"/>
      <x:c r="W853" s="15" t="str">
        <x:v>Smartapp</x:v>
      </x:c>
      <x:c r="X853" s="15" t="str">
        <x:v>FNB :-) R25500.00 t/fer from Current a/c..512781 to Current a/c..261544 @ Smartapp. Avail R45049. 26May 17:24</x:v>
      </x:c>
      <x:c r="Y853" s="15" t="str">
        <x:v>d0959ea1a089c0ad</x:v>
      </x:c>
    </x:row>
    <x:row r="854">
      <x:c r="A854" s="34" t="n">
        <x:v>46169.43472222222</x:v>
      </x:c>
      <x:c r="B854" s="36" t="n">
        <x:v>46169</x:v>
      </x:c>
      <x:c r="C854" s="34" t="n">
        <x:v>46169.435</x:v>
      </x:c>
      <x:c r="D854" s="15" t="str">
        <x:v>Current a/c..512781</x:v>
      </x:c>
      <x:c r="E854" s="15" t="str"/>
      <x:c r="F854" s="15" t="str">
        <x:v>R500.00 paid from Current a/c..512781 @ Smartapp. Avail R44531. Ref.Kpci - C1736. 27May 10:26</x:v>
      </x:c>
      <x:c r="G854" s="15" t="str">
        <x:v>Kpci - C1736</x:v>
      </x:c>
      <x:c r="H854" s="38" t="n">
        <x:v>500</x:v>
      </x:c>
      <x:c r="I854" s="15" t="str">
        <x:v>ZAR</x:v>
      </x:c>
      <x:c r="J854" s="15" t="str">
        <x:v>Outflow</x:v>
      </x:c>
      <x:c r="K854" s="15" t="str">
        <x:v>EFT payment</x:v>
      </x:c>
      <x:c r="L854" s="15" t="str">
        <x:v>Supplier payments</x:v>
      </x:c>
      <x:c r="M854" s="38"/>
      <x:c r="N854" s="38" t="n">
        <x:v>44531</x:v>
      </x:c>
      <x:c r="O854" s="15" t="str"/>
      <x:c r="P854" s="15" t="str">
        <x:v>eml_ALL_currentac__512781 (2).zip &gt; eml2currentac__512781.zip</x:v>
      </x:c>
      <x:c r="Q854" s="15" t="str">
        <x:v>FNB _-) R500.00 paid from Current a_c..512781 @ Smartapp. Ref.Kpci - C1736. 27May 10_26.eml</x:v>
      </x:c>
      <x:c r="R854" s="15" t="str">
        <x:v>High</x:v>
      </x:c>
      <x:c r="S854" s="15" t="str">
        <x:v>Category confidence Low: Default outflow category; review counterparty/reference.</x:v>
      </x:c>
      <x:c r="T854" s="15" t="str"/>
      <x:c r="U854" s="15" t="str"/>
      <x:c r="V854" s="15" t="str">
        <x:v>Kpci - C1736</x:v>
      </x:c>
      <x:c r="W854" s="15" t="str">
        <x:v>Smartapp</x:v>
      </x:c>
      <x:c r="X854" s="15" t="str">
        <x:v>FNB :-) R500.00 paid from Current a/c..512781 @ Smartapp. Avail R44531. Ref.Kpci - C1736. 27May 10:26</x:v>
      </x:c>
      <x:c r="Y854" s="15" t="str">
        <x:v>1d4970e89cd1b3f8</x:v>
      </x:c>
    </x:row>
    <x:row r="855">
      <x:c r="A855" s="34" t="n">
        <x:v>46169.43541666667</x:v>
      </x:c>
      <x:c r="B855" s="36" t="n">
        <x:v>46169</x:v>
      </x:c>
      <x:c r="C855" s="34" t="n">
        <x:v>46169.43572916667</x:v>
      </x:c>
      <x:c r="D855" s="15" t="str">
        <x:v>Current a/c..512781</x:v>
      </x:c>
      <x:c r="E855" s="15" t="str"/>
      <x:c r="F855" s="15" t="str">
        <x:v>R8200.00 paid from Current a/c..512781 @ Smartapp. Avail R36323. Ref.Sk Transfer 0213. 27May 10:27</x:v>
      </x:c>
      <x:c r="G855" s="15" t="str">
        <x:v>Sk Transfer 0213</x:v>
      </x:c>
      <x:c r="H855" s="38" t="n">
        <x:v>8200</x:v>
      </x:c>
      <x:c r="I855" s="15" t="str">
        <x:v>ZAR</x:v>
      </x:c>
      <x:c r="J855" s="15" t="str">
        <x:v>Outflow</x:v>
      </x:c>
      <x:c r="K855" s="15" t="str">
        <x:v>EFT payment</x:v>
      </x:c>
      <x:c r="L855" s="15" t="str">
        <x:v>Supplier payments</x:v>
      </x:c>
      <x:c r="M855" s="38"/>
      <x:c r="N855" s="38" t="n">
        <x:v>36323</x:v>
      </x:c>
      <x:c r="O855" s="15" t="str"/>
      <x:c r="P855" s="15" t="str">
        <x:v>eml_ALL_currentac__512781 (2).zip &gt; eml2currentac__512781.zip</x:v>
      </x:c>
      <x:c r="Q855" s="15" t="str">
        <x:v>FNB _-) R8200.00 paid from Current a_c..512781 @ Smartapp. Ref.Sk Transfer 0213. 27May 10_27.eml</x:v>
      </x:c>
      <x:c r="R855" s="15" t="str">
        <x:v>High</x:v>
      </x:c>
      <x:c r="S855" s="15" t="str">
        <x:v>Category confidence Low: Default outflow category; review counterparty/reference.</x:v>
      </x:c>
      <x:c r="T855" s="15" t="str"/>
      <x:c r="U855" s="15" t="str"/>
      <x:c r="V855" s="15" t="str">
        <x:v>Sk Transfer 0213</x:v>
      </x:c>
      <x:c r="W855" s="15" t="str">
        <x:v>Smartapp</x:v>
      </x:c>
      <x:c r="X855" s="15" t="str">
        <x:v>FNB :-) R8200.00 paid from Current a/c..512781 @ Smartapp. Avail R36323. Ref.Sk Transfer 0213. 27May 10:27</x:v>
      </x:c>
      <x:c r="Y855" s="15" t="str">
        <x:v>aa950dca94f54544</x:v>
      </x:c>
    </x:row>
    <x:row r="856">
      <x:c r="A856" s="34" t="n">
        <x:v>46169.441666666666</x:v>
      </x:c>
      <x:c r="B856" s="36" t="n">
        <x:v>46169</x:v>
      </x:c>
      <x:c r="C856" s="34" t="n">
        <x:v>46169.44206018518</x:v>
      </x:c>
      <x:c r="D856" s="15" t="str">
        <x:v>Current a/c..512781</x:v>
      </x:c>
      <x:c r="E856" s="15" t="str"/>
      <x:c r="F856" s="15" t="str">
        <x:v>R7276.00 paid from Current a/c..512781 @ Smartapp. Avail R29039. Ref.Royal Bush 3965. 27May 10:36</x:v>
      </x:c>
      <x:c r="G856" s="15" t="str">
        <x:v>Royal Bush 3965</x:v>
      </x:c>
      <x:c r="H856" s="38" t="n">
        <x:v>7276</x:v>
      </x:c>
      <x:c r="I856" s="15" t="str">
        <x:v>ZAR</x:v>
      </x:c>
      <x:c r="J856" s="15" t="str">
        <x:v>Outflow</x:v>
      </x:c>
      <x:c r="K856" s="15" t="str">
        <x:v>EFT payment</x:v>
      </x:c>
      <x:c r="L856" s="15" t="str">
        <x:v>Supplier payments</x:v>
      </x:c>
      <x:c r="M856" s="38"/>
      <x:c r="N856" s="38" t="n">
        <x:v>29039</x:v>
      </x:c>
      <x:c r="O856" s="15" t="str"/>
      <x:c r="P856" s="15" t="str">
        <x:v>eml_ALL_currentac__512781 (2).zip &gt; eml2currentac__512781.zip</x:v>
      </x:c>
      <x:c r="Q856" s="15" t="str">
        <x:v>FNB _-) R7276.00 paid from Current a_c..512781 @ Smartapp. Ref.Royal Bush 3965. 27May 10_36.eml</x:v>
      </x:c>
      <x:c r="R856" s="15" t="str">
        <x:v>High</x:v>
      </x:c>
      <x:c r="S856" s="15" t="str">
        <x:v>Category confidence Low: Default outflow category; review counterparty/reference.</x:v>
      </x:c>
      <x:c r="T856" s="15" t="str"/>
      <x:c r="U856" s="15" t="str"/>
      <x:c r="V856" s="15" t="str">
        <x:v>Royal Bush 3965</x:v>
      </x:c>
      <x:c r="W856" s="15" t="str">
        <x:v>Smartapp</x:v>
      </x:c>
      <x:c r="X856" s="15" t="str">
        <x:v>FNB :-) R7276.00 paid from Current a/c..512781 @ Smartapp. Avail R29039. Ref.Royal Bush 3965. 27May 10:36</x:v>
      </x:c>
      <x:c r="Y856" s="15" t="str">
        <x:v>ec449fe1d1689551</x:v>
      </x:c>
    </x:row>
    <x:row r="857">
      <x:c r="A857" s="34" t="n">
        <x:v>46169.49791666667</x:v>
      </x:c>
      <x:c r="B857" s="36" t="n">
        <x:v>46169</x:v>
      </x:c>
      <x:c r="C857" s="34" t="n">
        <x:v>46169.49818287037</x:v>
      </x:c>
      <x:c r="D857" s="15" t="str">
        <x:v>Current a/c..512781</x:v>
      </x:c>
      <x:c r="E857" s="15" t="str"/>
      <x:c r="F857" s="15" t="str">
        <x:v>R1541.00 paid from Current a/c..512781 @ Smartapp. Avail R27490. Ref.Dinner Box 111862. 27May 11:57</x:v>
      </x:c>
      <x:c r="G857" s="15" t="str">
        <x:v>Dinner Box 111862</x:v>
      </x:c>
      <x:c r="H857" s="38" t="n">
        <x:v>1541</x:v>
      </x:c>
      <x:c r="I857" s="15" t="str">
        <x:v>ZAR</x:v>
      </x:c>
      <x:c r="J857" s="15" t="str">
        <x:v>Outflow</x:v>
      </x:c>
      <x:c r="K857" s="15" t="str">
        <x:v>EFT payment</x:v>
      </x:c>
      <x:c r="L857" s="15" t="str">
        <x:v>Meals / restaurants / entertainment</x:v>
      </x:c>
      <x:c r="M857" s="38"/>
      <x:c r="N857" s="38" t="n">
        <x:v>27490</x:v>
      </x:c>
      <x:c r="O857" s="15" t="str"/>
      <x:c r="P857" s="15" t="str">
        <x:v>eml_ALL_currentac__512781 (2).zip &gt; eml2currentac__512781.zip</x:v>
      </x:c>
      <x:c r="Q857" s="15" t="str">
        <x:v>FNB _-) R1541.00 paid from Current a_c..512781 @ Smartapp. Ref.Dinner Box 111862. 27May 11_57.eml</x:v>
      </x:c>
      <x:c r="R857" s="15" t="str">
        <x:v>High</x:v>
      </x:c>
      <x:c r="S857" s="15" t="str"/>
      <x:c r="T857" s="15" t="str"/>
      <x:c r="U857" s="15" t="str"/>
      <x:c r="V857" s="15" t="str">
        <x:v>Dinner Box 111862</x:v>
      </x:c>
      <x:c r="W857" s="15" t="str">
        <x:v>Smartapp</x:v>
      </x:c>
      <x:c r="X857" s="15" t="str">
        <x:v>FNB :-) R1541.00 paid from Current a/c..512781 @ Smartapp. Avail R27490. Ref.Dinner Box 111862. 27May 11:57</x:v>
      </x:c>
      <x:c r="Y857" s="15" t="str">
        <x:v>36ef002449707923</x:v>
      </x:c>
    </x:row>
    <x:row r="858">
      <x:c r="A858" s="34" t="n">
        <x:v>46169.63263888889</x:v>
      </x:c>
      <x:c r="B858" s="36" t="n">
        <x:v>46169</x:v>
      </x:c>
      <x:c r="C858" s="34" t="n">
        <x:v>46169.633101851854</x:v>
      </x:c>
      <x:c r="D858" s="15" t="str">
        <x:v>Current a/c..512781</x:v>
      </x:c>
      <x:c r="E858" s="15" t="str">
        <x:v>card..2924</x:v>
      </x:c>
      <x:c r="F858" s="15" t="str">
        <x:v>R101.94 reserved for purchase @ Savemor Marloth from Current a/c..512781 using card..2924. Avail R27389. 27May 15:11</x:v>
      </x:c>
      <x:c r="G858" s="15" t="str">
        <x:v>Savemor Marloth</x:v>
      </x:c>
      <x:c r="H858" s="38" t="n">
        <x:v>101.94</x:v>
      </x:c>
      <x:c r="I858" s="15" t="str">
        <x:v>ZAR</x:v>
      </x:c>
      <x:c r="J858" s="15" t="str">
        <x:v>Outflow</x:v>
      </x:c>
      <x:c r="K858" s="15" t="str">
        <x:v>Card purchase</x:v>
      </x:c>
      <x:c r="L858" s="15" t="str">
        <x:v>Supplier payments</x:v>
      </x:c>
      <x:c r="M858" s="38"/>
      <x:c r="N858" s="38" t="n">
        <x:v>27389</x:v>
      </x:c>
      <x:c r="O858" s="15" t="str"/>
      <x:c r="P858" s="15" t="str">
        <x:v>eml_ALL_currentac__512781 (2).zip &gt; eml1currentac__512781.zip</x:v>
      </x:c>
      <x:c r="Q858" s="15" t="str">
        <x:v>FNB _-) R101.94 reserved for purchase @ Savemor Marloth from Current a_c..512781 using card..2924. 27May 15_11.eml</x:v>
      </x:c>
      <x:c r="R858" s="15" t="str">
        <x:v>High</x:v>
      </x:c>
      <x:c r="S858" s="15" t="str">
        <x:v>Category confidence Medium: Retail/supplier merchant keyword.</x:v>
      </x:c>
      <x:c r="T858" s="15" t="str"/>
      <x:c r="U858" s="15" t="str"/>
      <x:c r="V858" s="15" t="str"/>
      <x:c r="W858" s="15" t="str"/>
      <x:c r="X858" s="15" t="str">
        <x:v>FNB :-) R101.94 reserved for purchase @ Savemor Marloth from Current a/c..512781 using card..2924. Avail R27389. 27May 15:11</x:v>
      </x:c>
      <x:c r="Y858" s="15" t="str">
        <x:v>598b168d7750c5f4</x:v>
      </x:c>
    </x:row>
    <x:row r="859">
      <x:c r="A859" s="34" t="n">
        <x:v>46170.35972222222</x:v>
      </x:c>
      <x:c r="B859" s="36" t="n">
        <x:v>46170</x:v>
      </x:c>
      <x:c r="C859" s="34" t="n">
        <x:v>46170.359930555554</x:v>
      </x:c>
      <x:c r="D859" s="15" t="str">
        <x:v>Current a/c..512781</x:v>
      </x:c>
      <x:c r="E859" s="15" t="str"/>
      <x:c r="F859" s="15" t="str">
        <x:v>R19442.24 paid to Current a/c..512781 @ Retail Forex. Ref.R026rbwzx0 Booking.c. 28May 08:38</x:v>
      </x:c>
      <x:c r="G859" s="15" t="str">
        <x:v>R026rbwzx0 Booking.c</x:v>
      </x:c>
      <x:c r="H859" s="38" t="n">
        <x:v>19442.24</x:v>
      </x:c>
      <x:c r="I859" s="15" t="str">
        <x:v>ZAR</x:v>
      </x:c>
      <x:c r="J859" s="15" t="str">
        <x:v>Inflow</x:v>
      </x:c>
      <x:c r="K859" s="15" t="str">
        <x:v>EFT receipt</x:v>
      </x:c>
      <x:c r="L859" s="15" t="str">
        <x:v>Sales / customer receipts</x:v>
      </x:c>
      <x:c r="M859" s="38"/>
      <x:c r="N859" s="38"/>
      <x:c r="O859" s="15" t="str"/>
      <x:c r="P859" s="15" t="str">
        <x:v>eml_ALL_currentac__512781 (2).zip &gt; eml1currentac__512781.zip</x:v>
      </x:c>
      <x:c r="Q859" s="15" t="str">
        <x:v>FNB _-) R19442.24 paid to Current a_c..512781 @ Retail Forex. Ref.R026rbwzx0 Booking.c. 28May 08_38.eml</x:v>
      </x:c>
      <x:c r="R859" s="15" t="str">
        <x:v>High</x:v>
      </x:c>
      <x:c r="S859" s="15" t="str">
        <x:v>Category confidence Medium: Default for incoming EFT/PayShap/online receipt.</x:v>
      </x:c>
      <x:c r="T859" s="15" t="str"/>
      <x:c r="U859" s="15" t="str"/>
      <x:c r="V859" s="15" t="str">
        <x:v>R026rbwzx0 Booking.c</x:v>
      </x:c>
      <x:c r="W859" s="15" t="str">
        <x:v>Retail Forex</x:v>
      </x:c>
      <x:c r="X859" s="15" t="str">
        <x:v>FNB :-) R19442.24 paid to Current a/c..512781 @ Retail Forex. Ref.R026rbwzx0 Booking.c. 28May 08:38</x:v>
      </x:c>
      <x:c r="Y859" s="15" t="str">
        <x:v>123b0b37eda1b0b6</x:v>
      </x:c>
    </x:row>
    <x:row r="860">
      <x:c r="A860" s="34" t="n">
        <x:v>46170.54791666667</x:v>
      </x:c>
      <x:c r="B860" s="36" t="n">
        <x:v>46170</x:v>
      </x:c>
      <x:c r="C860" s="34" t="n">
        <x:v>46170.54792824074</x:v>
      </x:c>
      <x:c r="D860" s="15" t="str">
        <x:v>Current a/c..512781</x:v>
      </x:c>
      <x:c r="E860" s="15" t="str">
        <x:v>card..2924</x:v>
      </x:c>
      <x:c r="F860" s="15" t="str">
        <x:v>R414.46 reserved for purchase @ Shoprite Komatipoort from Current a/c..512781 using card..2924. Avail R46309. 28May 13:09</x:v>
      </x:c>
      <x:c r="G860" s="15" t="str">
        <x:v>Shoprite Komatipoort</x:v>
      </x:c>
      <x:c r="H860" s="38" t="n">
        <x:v>414.46</x:v>
      </x:c>
      <x:c r="I860" s="15" t="str">
        <x:v>ZAR</x:v>
      </x:c>
      <x:c r="J860" s="15" t="str">
        <x:v>Outflow</x:v>
      </x:c>
      <x:c r="K860" s="15" t="str">
        <x:v>Card purchase</x:v>
      </x:c>
      <x:c r="L860" s="15" t="str">
        <x:v>Supplier payments</x:v>
      </x:c>
      <x:c r="M860" s="38"/>
      <x:c r="N860" s="38" t="n">
        <x:v>46309</x:v>
      </x:c>
      <x:c r="O860" s="15" t="str"/>
      <x:c r="P860" s="15" t="str">
        <x:v>eml_ALL_currentac__512781 (2).zip &gt; eml1currentac__512781.zip</x:v>
      </x:c>
      <x:c r="Q860" s="15" t="str">
        <x:v>FNB _-) R414.46 reserved for purchase @ Shoprite Komatipoort from Current a_c..512781 using card..2924. 28May 13_09.eml</x:v>
      </x:c>
      <x:c r="R860" s="15" t="str">
        <x:v>High</x:v>
      </x:c>
      <x:c r="S860" s="15" t="str">
        <x:v>Category confidence Medium: Retail/supplier merchant keyword.</x:v>
      </x:c>
      <x:c r="T860" s="15" t="str"/>
      <x:c r="U860" s="15" t="str"/>
      <x:c r="V860" s="15" t="str"/>
      <x:c r="W860" s="15" t="str"/>
      <x:c r="X860" s="15" t="str">
        <x:v>FNB :-) R414.46 reserved for purchase @ Shoprite Komatipoort from Current a/c..512781 using card..2924. Avail R46309. 28May 13:09</x:v>
      </x:c>
      <x:c r="Y860" s="15" t="str">
        <x:v>6455f6567fc23287</x:v>
      </x:c>
    </x:row>
    <x:row r="861">
      <x:c r="A861" s="34" t="n">
        <x:v>46170.57847222222</x:v>
      </x:c>
      <x:c r="B861" s="36" t="n">
        <x:v>46170</x:v>
      </x:c>
      <x:c r="C861" s="34" t="n">
        <x:v>46170.57890046296</x:v>
      </x:c>
      <x:c r="D861" s="15" t="str">
        <x:v>Current a/c..512781</x:v>
      </x:c>
      <x:c r="E861" s="15" t="str">
        <x:v>card..2924</x:v>
      </x:c>
      <x:c r="F861" s="15" t="str">
        <x:v>R1568.76 reserved for purchase @ Superspar Komatipoor from Current a/c..512781 using card..2924. Avail R44740. 28May 13:53</x:v>
      </x:c>
      <x:c r="G861" s="15" t="str">
        <x:v>Superspar Komatipoor</x:v>
      </x:c>
      <x:c r="H861" s="38" t="n">
        <x:v>1568.76</x:v>
      </x:c>
      <x:c r="I861" s="15" t="str">
        <x:v>ZAR</x:v>
      </x:c>
      <x:c r="J861" s="15" t="str">
        <x:v>Outflow</x:v>
      </x:c>
      <x:c r="K861" s="15" t="str">
        <x:v>Card purchase</x:v>
      </x:c>
      <x:c r="L861" s="15" t="str">
        <x:v>Supplier payments</x:v>
      </x:c>
      <x:c r="M861" s="38"/>
      <x:c r="N861" s="38" t="n">
        <x:v>44740</x:v>
      </x:c>
      <x:c r="O861" s="15" t="str"/>
      <x:c r="P861" s="15" t="str">
        <x:v>eml_ALL_currentac__512781 (2).zip &gt; eml1currentac__512781.zip</x:v>
      </x:c>
      <x:c r="Q861" s="15" t="str">
        <x:v>FNB _-) R1568.76 reserved for purchase @ Superspar Komatipoor from Current a_c..512781 using card..2924. 28May 13_53.eml</x:v>
      </x:c>
      <x:c r="R861" s="15" t="str">
        <x:v>High</x:v>
      </x:c>
      <x:c r="S861" s="15" t="str">
        <x:v>Category confidence Medium: Retail/supplier merchant keyword.</x:v>
      </x:c>
      <x:c r="T861" s="15" t="str"/>
      <x:c r="U861" s="15" t="str"/>
      <x:c r="V861" s="15" t="str"/>
      <x:c r="W861" s="15" t="str"/>
      <x:c r="X861" s="15" t="str">
        <x:v>FNB :-) R1568.76 reserved for purchase @ Superspar Komatipoor from Current a/c..512781 using card..2924. Avail R44740. 28May 13:53</x:v>
      </x:c>
      <x:c r="Y861" s="15" t="str">
        <x:v>669a8aa23c705b15</x:v>
      </x:c>
    </x:row>
    <x:row r="862">
      <x:c r="A862" s="34" t="n">
        <x:v>46170.58125</x:v>
      </x:c>
      <x:c r="B862" s="36" t="n">
        <x:v>46170</x:v>
      </x:c>
      <x:c r="C862" s="34" t="n">
        <x:v>46170.581666666665</x:v>
      </x:c>
      <x:c r="D862" s="15" t="str">
        <x:v>Current a/c..512781</x:v>
      </x:c>
      <x:c r="E862" s="15" t="str"/>
      <x:c r="F862" s="15" t="str">
        <x:v>R5770.16 paid to Current a/c..512781 @ Payshap. Ref.Ik Pay 487882. 28May 13:57</x:v>
      </x:c>
      <x:c r="G862" s="15" t="str">
        <x:v>Ik Pay 487882</x:v>
      </x:c>
      <x:c r="H862" s="38" t="n">
        <x:v>5770.16</x:v>
      </x:c>
      <x:c r="I862" s="15" t="str">
        <x:v>ZAR</x:v>
      </x:c>
      <x:c r="J862" s="15" t="str">
        <x:v>Inflow</x:v>
      </x:c>
      <x:c r="K862" s="15" t="str">
        <x:v>EFT receipt</x:v>
      </x:c>
      <x:c r="L862" s="15" t="str">
        <x:v>Sales / customer receipts</x:v>
      </x:c>
      <x:c r="M862" s="38"/>
      <x:c r="N862" s="38"/>
      <x:c r="O862" s="15" t="str"/>
      <x:c r="P862" s="15" t="str">
        <x:v>eml_ALL_currentac__512781 (2).zip &gt; eml1currentac__512781.zip</x:v>
      </x:c>
      <x:c r="Q862" s="15" t="str">
        <x:v>FNB _-) R5770.16 paid to Current a_c..512781 @ Payshap. Ref.Ik Pay 487882. 28May 13_57.eml</x:v>
      </x:c>
      <x:c r="R862" s="15" t="str">
        <x:v>High</x:v>
      </x:c>
      <x:c r="S862" s="15" t="str">
        <x:v>Category confidence Medium: Default for incoming EFT/PayShap/online receipt.</x:v>
      </x:c>
      <x:c r="T862" s="15" t="str"/>
      <x:c r="U862" s="15" t="str"/>
      <x:c r="V862" s="15" t="str">
        <x:v>Ik Pay 487882</x:v>
      </x:c>
      <x:c r="W862" s="15" t="str">
        <x:v>Payshap</x:v>
      </x:c>
      <x:c r="X862" s="15" t="str">
        <x:v>FNB :-) R5770.16 paid to Current a/c..512781 @ Payshap. Ref.Ik Pay 487882. 28May 13:57</x:v>
      </x:c>
      <x:c r="Y862" s="15" t="str">
        <x:v>48a5a4e4f8ce3a24</x:v>
      </x:c>
    </x:row>
    <x:row r="863">
      <x:c r="A863" s="34" t="n">
        <x:v>46170.583333333336</x:v>
      </x:c>
      <x:c r="B863" s="36" t="n">
        <x:v>46170</x:v>
      </x:c>
      <x:c r="C863" s="34" t="n">
        <x:v>46170.58399305555</x:v>
      </x:c>
      <x:c r="D863" s="15" t="str">
        <x:v>Current a/c..512781</x:v>
      </x:c>
      <x:c r="E863" s="15" t="str">
        <x:v>card..2924</x:v>
      </x:c>
      <x:c r="F863" s="15" t="str">
        <x:v>R349.95 reserved for purchase @ Tops Komatipoort from Current a/c..512781 using card..2924. Avail R50160. 28May 14:00</x:v>
      </x:c>
      <x:c r="G863" s="15" t="str">
        <x:v>Tops Komatipoort</x:v>
      </x:c>
      <x:c r="H863" s="38" t="n">
        <x:v>349.95</x:v>
      </x:c>
      <x:c r="I863" s="15" t="str">
        <x:v>ZAR</x:v>
      </x:c>
      <x:c r="J863" s="15" t="str">
        <x:v>Outflow</x:v>
      </x:c>
      <x:c r="K863" s="15" t="str">
        <x:v>Card purchase</x:v>
      </x:c>
      <x:c r="L863" s="15" t="str">
        <x:v>Meals / restaurants / entertainment</x:v>
      </x:c>
      <x:c r="M863" s="38"/>
      <x:c r="N863" s="38" t="n">
        <x:v>50160</x:v>
      </x:c>
      <x:c r="O863" s="15" t="str"/>
      <x:c r="P863" s="15" t="str">
        <x:v>eml_ALL_currentac__512781 (2).zip &gt; eml1currentac__512781.zip</x:v>
      </x:c>
      <x:c r="Q863" s="15" t="str">
        <x:v>FNB _-) R349.95 reserved for purchase @ Tops Komatipoort from Current a_c..512781 using card..2924. 28May 14_00.eml</x:v>
      </x:c>
      <x:c r="R863" s="15" t="str">
        <x:v>High</x:v>
      </x:c>
      <x:c r="S863" s="15" t="str"/>
      <x:c r="T863" s="15" t="str"/>
      <x:c r="U863" s="15" t="str"/>
      <x:c r="V863" s="15" t="str"/>
      <x:c r="W863" s="15" t="str"/>
      <x:c r="X863" s="15" t="str">
        <x:v>FNB :-) R349.95 reserved for purchase @ Tops Komatipoort from Current a/c..512781 using card..2924. Avail R50160. 28May 14:00</x:v>
      </x:c>
      <x:c r="Y863" s="15" t="str">
        <x:v>018f01255067ee8c</x:v>
      </x:c>
    </x:row>
    <x:row r="864">
      <x:c r="A864" s="34" t="n">
        <x:v>46170.65347222222</x:v>
      </x:c>
      <x:c r="B864" s="36" t="n">
        <x:v>46170</x:v>
      </x:c>
      <x:c r="C864" s="34" t="n">
        <x:v>46170.65392361111</x:v>
      </x:c>
      <x:c r="D864" s="15" t="str">
        <x:v>Current a/c..512781</x:v>
      </x:c>
      <x:c r="E864" s="15" t="str"/>
      <x:c r="F864" s="15" t="str">
        <x:v>R6909.00 paid from Current a/c..512781 @ Smartapp. Avail R43248. Ref.Kruger Saf 1699 50%. 28May 15:41</x:v>
      </x:c>
      <x:c r="G864" s="15" t="str">
        <x:v>Kruger Saf 1699 50%</x:v>
      </x:c>
      <x:c r="H864" s="38" t="n">
        <x:v>6909</x:v>
      </x:c>
      <x:c r="I864" s="15" t="str">
        <x:v>ZAR</x:v>
      </x:c>
      <x:c r="J864" s="15" t="str">
        <x:v>Outflow</x:v>
      </x:c>
      <x:c r="K864" s="15" t="str">
        <x:v>EFT payment</x:v>
      </x:c>
      <x:c r="L864" s="15" t="str">
        <x:v>Supplier payments</x:v>
      </x:c>
      <x:c r="M864" s="38"/>
      <x:c r="N864" s="38" t="n">
        <x:v>43248</x:v>
      </x:c>
      <x:c r="O864" s="15" t="str"/>
      <x:c r="P864" s="15" t="str">
        <x:v>eml_ALL_currentac__512781 (2).zip &gt; eml1currentac__512781.zip</x:v>
      </x:c>
      <x:c r="Q864" s="15" t="str">
        <x:v>FNB _-) R6909.00 paid from Current a_c..512781 @ Smartapp. Ref.Kruger Saf 1699 50%. 28May 15_41.eml</x:v>
      </x:c>
      <x:c r="R864" s="15" t="str">
        <x:v>High</x:v>
      </x:c>
      <x:c r="S864" s="15" t="str">
        <x:v>Category confidence Low: Default outflow category; review counterparty/reference.</x:v>
      </x:c>
      <x:c r="T864" s="15" t="str"/>
      <x:c r="U864" s="15" t="str"/>
      <x:c r="V864" s="15" t="str">
        <x:v>Kruger Saf 1699 50%</x:v>
      </x:c>
      <x:c r="W864" s="15" t="str">
        <x:v>Smartapp</x:v>
      </x:c>
      <x:c r="X864" s="15" t="str">
        <x:v>FNB :-) R6909.00 paid from Current a/c..512781 @ Smartapp. Avail R43248. Ref.Kruger Saf 1699 50%. 28May 15:41</x:v>
      </x:c>
      <x:c r="Y864" s="15" t="str">
        <x:v>0aa0dd622ba24dfc</x:v>
      </x:c>
    </x:row>
    <x:row r="865">
      <x:c r="A865" s="34" t="n">
        <x:v>46170.756944444445</x:v>
      </x:c>
      <x:c r="B865" s="36" t="n">
        <x:v>46170</x:v>
      </x:c>
      <x:c r="C865" s="34" t="n">
        <x:v>46170.75696759259</x:v>
      </x:c>
      <x:c r="D865" s="15" t="str">
        <x:v>Current a/c..512781</x:v>
      </x:c>
      <x:c r="E865" s="15" t="str"/>
      <x:c r="F865" s="15" t="str">
        <x:v>R150.00 paid from Current a/c..512781 @ Smartapp. Avail R43096. Ref.Electricity 14503572. 28May 18:10</x:v>
      </x:c>
      <x:c r="G865" s="15" t="str">
        <x:v>Electricity 14503572</x:v>
      </x:c>
      <x:c r="H865" s="38" t="n">
        <x:v>150</x:v>
      </x:c>
      <x:c r="I865" s="15" t="str">
        <x:v>ZAR</x:v>
      </x:c>
      <x:c r="J865" s="15" t="str">
        <x:v>Outflow</x:v>
      </x:c>
      <x:c r="K865" s="15" t="str">
        <x:v>EFT payment</x:v>
      </x:c>
      <x:c r="L865" s="15" t="str">
        <x:v>Telecom / utilities</x:v>
      </x:c>
      <x:c r="M865" s="38"/>
      <x:c r="N865" s="38" t="n">
        <x:v>43096</x:v>
      </x:c>
      <x:c r="O865" s="15" t="str"/>
      <x:c r="P865" s="15" t="str">
        <x:v>eml_ALL_currentac__512781 (2).zip &gt; eml1currentac__512781.zip</x:v>
      </x:c>
      <x:c r="Q865" s="15" t="str">
        <x:v>FNB _-) R150.00 paid from Current a_c..512781 @ Smartapp. Ref.Electricity 14503572. 28May 18_10.eml</x:v>
      </x:c>
      <x:c r="R865" s="15" t="str">
        <x:v>High</x:v>
      </x:c>
      <x:c r="S865" s="15" t="str"/>
      <x:c r="T865" s="15" t="str"/>
      <x:c r="U865" s="15" t="str"/>
      <x:c r="V865" s="15" t="str">
        <x:v>Electricity 14503572</x:v>
      </x:c>
      <x:c r="W865" s="15" t="str">
        <x:v>Smartapp</x:v>
      </x:c>
      <x:c r="X865" s="15" t="str">
        <x:v>FNB :-) R150.00 paid from Current a/c..512781 @ Smartapp. Avail R43096. Ref.Electricity 14503572. 28May 18:10</x:v>
      </x:c>
      <x:c r="Y865" s="15" t="str">
        <x:v>5ef416de1c34e9cd</x:v>
      </x:c>
    </x:row>
    <x:row r="866">
      <x:c r="A866" s="34" t="n">
        <x:v>46171.37430555555</x:v>
      </x:c>
      <x:c r="B866" s="36" t="n">
        <x:v>46171</x:v>
      </x:c>
      <x:c r="C866" s="34" t="n">
        <x:v>46171.374386574076</x:v>
      </x:c>
      <x:c r="D866" s="15" t="str">
        <x:v>Current a/c..512781</x:v>
      </x:c>
      <x:c r="E866" s="15" t="str"/>
      <x:c r="F866" s="15" t="str">
        <x:v>R5000.00 t/fer from Current a/c..512781 to FNB card a/c..279000 @ Smartapp. Avail R38089. 29May 08:59</x:v>
      </x:c>
      <x:c r="G866" s="15" t="str">
        <x:v>FNB card a/c..279000</x:v>
      </x:c>
      <x:c r="H866" s="38" t="n">
        <x:v>5000</x:v>
      </x:c>
      <x:c r="I866" s="15" t="str">
        <x:v>ZAR</x:v>
      </x:c>
      <x:c r="J866" s="15" t="str">
        <x:v>Internal Transfer</x:v>
      </x:c>
      <x:c r="K866" s="15" t="str">
        <x:v>Internal transfer</x:v>
      </x:c>
      <x:c r="L866" s="15" t="str">
        <x:v>Inter-account transfer</x:v>
      </x:c>
      <x:c r="M866" s="38"/>
      <x:c r="N866" s="38" t="n">
        <x:v>38089</x:v>
      </x:c>
      <x:c r="O866" s="15" t="str"/>
      <x:c r="P866" s="15" t="str">
        <x:v>eml_ALL_currentac__512781 (2).zip &gt; eml1currentac__512781.zip</x:v>
      </x:c>
      <x:c r="Q866" s="15" t="str">
        <x:v>FNB _-) R5000.00 t_fer from Current a_c..512781 to FNB card a_c..279000 @ Smartapp. 29May 08_59.eml</x:v>
      </x:c>
      <x:c r="R866" s="15" t="str">
        <x:v>High</x:v>
      </x:c>
      <x:c r="S866" s="15" t="str">
        <x:v>Classified as internal/inter-account transfer and excluded from operating cashflow.</x:v>
      </x:c>
      <x:c r="T866" s="15" t="str">
        <x:v>Current a/c..512781</x:v>
      </x:c>
      <x:c r="U866" s="15" t="str">
        <x:v>FNB card a/c..279000</x:v>
      </x:c>
      <x:c r="V866" s="15" t="str"/>
      <x:c r="W866" s="15" t="str">
        <x:v>Smartapp</x:v>
      </x:c>
      <x:c r="X866" s="15" t="str">
        <x:v>FNB :-) R5000.00 t/fer from Current a/c..512781 to FNB card a/c..279000 @ Smartapp. Avail R38089. 29May 08:59</x:v>
      </x:c>
      <x:c r="Y866" s="15" t="str">
        <x:v>d3109dccf79aed4f</x:v>
      </x:c>
    </x:row>
    <x:row r="867">
      <x:c r="A867" s="34" t="n">
        <x:v>46171.45972222222</x:v>
      </x:c>
      <x:c r="B867" s="36" t="n">
        <x:v>46171</x:v>
      </x:c>
      <x:c r="C867" s="34" t="n">
        <x:v>46171.460277777776</x:v>
      </x:c>
      <x:c r="D867" s="15" t="str">
        <x:v>Current a/c..512781</x:v>
      </x:c>
      <x:c r="E867" s="15" t="str"/>
      <x:c r="F867" s="15" t="str">
        <x:v>R725.77 paid from Current a/c..512781 @ Smartapp. Avail R37355. Ref.Bon Express 8470. 29May 11:02</x:v>
      </x:c>
      <x:c r="G867" s="15" t="str">
        <x:v>Bon Express 8470</x:v>
      </x:c>
      <x:c r="H867" s="38" t="n">
        <x:v>725.77</x:v>
      </x:c>
      <x:c r="I867" s="15" t="str">
        <x:v>ZAR</x:v>
      </x:c>
      <x:c r="J867" s="15" t="str">
        <x:v>Outflow</x:v>
      </x:c>
      <x:c r="K867" s="15" t="str">
        <x:v>EFT payment</x:v>
      </x:c>
      <x:c r="L867" s="15" t="str">
        <x:v>Supplier payments</x:v>
      </x:c>
      <x:c r="M867" s="38"/>
      <x:c r="N867" s="38" t="n">
        <x:v>37355</x:v>
      </x:c>
      <x:c r="O867" s="15" t="str"/>
      <x:c r="P867" s="15" t="str">
        <x:v>eml_ALL_currentac__512781 (2).zip &gt; eml1currentac__512781.zip</x:v>
      </x:c>
      <x:c r="Q867" s="15" t="str">
        <x:v>FNB _-) R725.77 paid from Current a_c..512781 @ Smartapp. Ref.Bon Express 8470. 29May 11_02.eml</x:v>
      </x:c>
      <x:c r="R867" s="15" t="str">
        <x:v>High</x:v>
      </x:c>
      <x:c r="S867" s="15" t="str">
        <x:v>Category confidence Low: Default outflow category; review counterparty/reference.</x:v>
      </x:c>
      <x:c r="T867" s="15" t="str"/>
      <x:c r="U867" s="15" t="str"/>
      <x:c r="V867" s="15" t="str">
        <x:v>Bon Express 8470</x:v>
      </x:c>
      <x:c r="W867" s="15" t="str">
        <x:v>Smartapp</x:v>
      </x:c>
      <x:c r="X867" s="15" t="str">
        <x:v>FNB :-) R725.77 paid from Current a/c..512781 @ Smartapp. Avail R37355. Ref.Bon Express 8470. 29May 11:02</x:v>
      </x:c>
      <x:c r="Y867" s="15" t="str">
        <x:v>50277b8d79942938</x:v>
      </x:c>
    </x:row>
    <x:row r="868">
      <x:c r="A868" s="34" t="n">
        <x:v>46171.46041666667</x:v>
      </x:c>
      <x:c r="B868" s="36" t="n">
        <x:v>46171</x:v>
      </x:c>
      <x:c r="C868" s="34" t="n">
        <x:v>46171.46079861111</x:v>
      </x:c>
      <x:c r="D868" s="15" t="str">
        <x:v>Current a/c..512781</x:v>
      </x:c>
      <x:c r="E868" s="15" t="str"/>
      <x:c r="F868" s="15" t="str">
        <x:v>R500.00 paid from Current a/c..512781 @ Smartapp. Avail R36852. Ref.Electricity 04294887. 29May 11:03</x:v>
      </x:c>
      <x:c r="G868" s="15" t="str">
        <x:v>Electricity 04294887</x:v>
      </x:c>
      <x:c r="H868" s="38" t="n">
        <x:v>500</x:v>
      </x:c>
      <x:c r="I868" s="15" t="str">
        <x:v>ZAR</x:v>
      </x:c>
      <x:c r="J868" s="15" t="str">
        <x:v>Outflow</x:v>
      </x:c>
      <x:c r="K868" s="15" t="str">
        <x:v>EFT payment</x:v>
      </x:c>
      <x:c r="L868" s="15" t="str">
        <x:v>Telecom / utilities</x:v>
      </x:c>
      <x:c r="M868" s="38"/>
      <x:c r="N868" s="38" t="n">
        <x:v>36852</x:v>
      </x:c>
      <x:c r="O868" s="15" t="str"/>
      <x:c r="P868" s="15" t="str">
        <x:v>eml_ALL_currentac__512781 (2).zip &gt; eml1currentac__512781.zip</x:v>
      </x:c>
      <x:c r="Q868" s="15" t="str">
        <x:v>FNB _-) R500.00 paid from Current a_c..512781 @ Smartapp. Ref.Electricity 04294887. 29May 11_03.eml</x:v>
      </x:c>
      <x:c r="R868" s="15" t="str">
        <x:v>High</x:v>
      </x:c>
      <x:c r="S868" s="15" t="str"/>
      <x:c r="T868" s="15" t="str"/>
      <x:c r="U868" s="15" t="str"/>
      <x:c r="V868" s="15" t="str">
        <x:v>Electricity 04294887</x:v>
      </x:c>
      <x:c r="W868" s="15" t="str">
        <x:v>Smartapp</x:v>
      </x:c>
      <x:c r="X868" s="15" t="str">
        <x:v>FNB :-) R500.00 paid from Current a/c..512781 @ Smartapp. Avail R36852. Ref.Electricity 04294887. 29May 11:03</x:v>
      </x:c>
      <x:c r="Y868" s="15" t="str">
        <x:v>c7ee8ca14d995949</x:v>
      </x:c>
    </x:row>
    <x:row r="869">
      <x:c r="A869" s="34" t="n">
        <x:v>46172.34930555556</x:v>
      </x:c>
      <x:c r="B869" s="36" t="n">
        <x:v>46172</x:v>
      </x:c>
      <x:c r="C869" s="34" t="n">
        <x:v>46172.3496875</x:v>
      </x:c>
      <x:c r="D869" s="15" t="str">
        <x:v>Current a/c..512781</x:v>
      </x:c>
      <x:c r="E869" s="15" t="str"/>
      <x:c r="F869" s="15" t="str">
        <x:v>R150.00 paid from Current a/c..512781 @ Smartapp. Avail R36694. Ref.Electricity 14503572. 30May 08:23</x:v>
      </x:c>
      <x:c r="G869" s="15" t="str">
        <x:v>Electricity 14503572</x:v>
      </x:c>
      <x:c r="H869" s="38" t="n">
        <x:v>150</x:v>
      </x:c>
      <x:c r="I869" s="15" t="str">
        <x:v>ZAR</x:v>
      </x:c>
      <x:c r="J869" s="15" t="str">
        <x:v>Outflow</x:v>
      </x:c>
      <x:c r="K869" s="15" t="str">
        <x:v>EFT payment</x:v>
      </x:c>
      <x:c r="L869" s="15" t="str">
        <x:v>Telecom / utilities</x:v>
      </x:c>
      <x:c r="M869" s="38"/>
      <x:c r="N869" s="38" t="n">
        <x:v>36694</x:v>
      </x:c>
      <x:c r="O869" s="15" t="str"/>
      <x:c r="P869" s="15" t="str">
        <x:v>eml_ALL_currentac__512781 (2).zip &gt; eml1currentac__512781.zip</x:v>
      </x:c>
      <x:c r="Q869" s="15" t="str">
        <x:v>FNB _-) R150.00 paid from Current a_c..512781 @ Smartapp. Ref.Electricity 14503572. 30May 08_23.eml</x:v>
      </x:c>
      <x:c r="R869" s="15" t="str">
        <x:v>High</x:v>
      </x:c>
      <x:c r="S869" s="15" t="str"/>
      <x:c r="T869" s="15" t="str"/>
      <x:c r="U869" s="15" t="str"/>
      <x:c r="V869" s="15" t="str">
        <x:v>Electricity 14503572</x:v>
      </x:c>
      <x:c r="W869" s="15" t="str">
        <x:v>Smartapp</x:v>
      </x:c>
      <x:c r="X869" s="15" t="str">
        <x:v>FNB :-) R150.00 paid from Current a/c..512781 @ Smartapp. Avail R36694. Ref.Electricity 14503572. 30May 08:23</x:v>
      </x:c>
      <x:c r="Y869" s="15" t="str">
        <x:v>6818293d6c7690c3</x:v>
      </x:c>
    </x:row>
    <x:row r="870">
      <x:c r="A870" s="34" t="n">
        <x:v>46172.43958333333</x:v>
      </x:c>
      <x:c r="B870" s="36" t="n">
        <x:v>46172</x:v>
      </x:c>
      <x:c r="C870" s="34" t="n">
        <x:v>46172.43984953704</x:v>
      </x:c>
      <x:c r="D870" s="15" t="str">
        <x:v>Current a/c..512781</x:v>
      </x:c>
      <x:c r="E870" s="15" t="str"/>
      <x:c r="F870" s="15" t="str">
        <x:v>R901.20 paid from Current a/c..512781 @ Smartapp. Avail R35784. Ref.Kruger Safa 1698 Vat. 30May 10:33</x:v>
      </x:c>
      <x:c r="G870" s="15" t="str">
        <x:v>Kruger Safa 1698 Vat</x:v>
      </x:c>
      <x:c r="H870" s="38" t="n">
        <x:v>901.2</x:v>
      </x:c>
      <x:c r="I870" s="15" t="str">
        <x:v>ZAR</x:v>
      </x:c>
      <x:c r="J870" s="15" t="str">
        <x:v>Outflow</x:v>
      </x:c>
      <x:c r="K870" s="15" t="str">
        <x:v>EFT payment</x:v>
      </x:c>
      <x:c r="L870" s="15" t="str">
        <x:v>Taxes / statutory payments</x:v>
      </x:c>
      <x:c r="M870" s="38"/>
      <x:c r="N870" s="38" t="n">
        <x:v>35784</x:v>
      </x:c>
      <x:c r="O870" s="15" t="str"/>
      <x:c r="P870" s="15" t="str">
        <x:v>eml_ALL_currentac__512781 (2).zip &gt; eml1currentac__512781.zip</x:v>
      </x:c>
      <x:c r="Q870" s="15" t="str">
        <x:v>FNB _-) R901.20 paid from Current a_c..512781 @ Smartapp. Ref.Kruger Safa 1698 Vat. 30May 10_33.eml</x:v>
      </x:c>
      <x:c r="R870" s="15" t="str">
        <x:v>High</x:v>
      </x:c>
      <x:c r="S870" s="15" t="str"/>
      <x:c r="T870" s="15" t="str"/>
      <x:c r="U870" s="15" t="str"/>
      <x:c r="V870" s="15" t="str">
        <x:v>Kruger Safa 1698 Vat</x:v>
      </x:c>
      <x:c r="W870" s="15" t="str">
        <x:v>Smartapp</x:v>
      </x:c>
      <x:c r="X870" s="15" t="str">
        <x:v>FNB :-) R901.20 paid from Current a/c..512781 @ Smartapp. Avail R35784. Ref.Kruger Safa 1698 Vat. 30May 10:33</x:v>
      </x:c>
      <x:c r="Y870" s="15" t="str">
        <x:v>ecd1d97b80f598a4</x:v>
      </x:c>
    </x:row>
    <x:row r="871">
      <x:c r="A871" s="34" t="n">
        <x:v>46172.44027777778</x:v>
      </x:c>
      <x:c r="B871" s="36" t="n">
        <x:v>46172</x:v>
      </x:c>
      <x:c r="C871" s="34" t="n">
        <x:v>46172.44037037037</x:v>
      </x:c>
      <x:c r="D871" s="15" t="str">
        <x:v>Current a/c..512781</x:v>
      </x:c>
      <x:c r="E871" s="15" t="str"/>
      <x:c r="F871" s="15" t="str">
        <x:v>R759.00 paid from Current a/c..512781 @ Smartapp. Avail R35017. Ref.Nb N992820. 30May 10:34</x:v>
      </x:c>
      <x:c r="G871" s="15" t="str">
        <x:v>Nb N992820</x:v>
      </x:c>
      <x:c r="H871" s="38" t="n">
        <x:v>759</x:v>
      </x:c>
      <x:c r="I871" s="15" t="str">
        <x:v>ZAR</x:v>
      </x:c>
      <x:c r="J871" s="15" t="str">
        <x:v>Outflow</x:v>
      </x:c>
      <x:c r="K871" s="15" t="str">
        <x:v>EFT payment</x:v>
      </x:c>
      <x:c r="L871" s="15" t="str">
        <x:v>Supplier payments</x:v>
      </x:c>
      <x:c r="M871" s="38"/>
      <x:c r="N871" s="38" t="n">
        <x:v>35017</x:v>
      </x:c>
      <x:c r="O871" s="15" t="str"/>
      <x:c r="P871" s="15" t="str">
        <x:v>eml_ALL_currentac__512781 (2).zip &gt; eml1currentac__512781.zip</x:v>
      </x:c>
      <x:c r="Q871" s="15" t="str">
        <x:v>FNB _-) R759.00 paid from Current a_c..512781 @ Smartapp. Ref.Nb N992820. 30May 10_34.eml</x:v>
      </x:c>
      <x:c r="R871" s="15" t="str">
        <x:v>High</x:v>
      </x:c>
      <x:c r="S871" s="15" t="str">
        <x:v>Category confidence Low: Default outflow category; review counterparty/reference.</x:v>
      </x:c>
      <x:c r="T871" s="15" t="str"/>
      <x:c r="U871" s="15" t="str"/>
      <x:c r="V871" s="15" t="str">
        <x:v>Nb N992820</x:v>
      </x:c>
      <x:c r="W871" s="15" t="str">
        <x:v>Smartapp</x:v>
      </x:c>
      <x:c r="X871" s="15" t="str">
        <x:v>FNB :-) R759.00 paid from Current a/c..512781 @ Smartapp. Avail R35017. Ref.Nb N992820. 30May 10:34</x:v>
      </x:c>
      <x:c r="Y871" s="15" t="str">
        <x:v>ca6dfcdad8d0c280</x:v>
      </x:c>
    </x:row>
    <x:row r="872">
      <x:c r="A872" s="34" t="n">
        <x:v>46172.44097222222</x:v>
      </x:c>
      <x:c r="B872" s="36" t="n">
        <x:v>46172</x:v>
      </x:c>
      <x:c r="C872" s="34" t="n">
        <x:v>46172.441458333335</x:v>
      </x:c>
      <x:c r="D872" s="15" t="str">
        <x:v>Current a/c..512781</x:v>
      </x:c>
      <x:c r="E872" s="15" t="str"/>
      <x:c r="F872" s="15" t="str">
        <x:v>R12000.00 paid from Current a/c..512781 @ Gen Ph. Avail R10994. Ref.Staff. 30May 10:35</x:v>
      </x:c>
      <x:c r="G872" s="15" t="str">
        <x:v>Staff</x:v>
      </x:c>
      <x:c r="H872" s="38" t="n">
        <x:v>12000</x:v>
      </x:c>
      <x:c r="I872" s="15" t="str">
        <x:v>ZAR</x:v>
      </x:c>
      <x:c r="J872" s="15" t="str">
        <x:v>Outflow</x:v>
      </x:c>
      <x:c r="K872" s="15" t="str">
        <x:v>EFT payment</x:v>
      </x:c>
      <x:c r="L872" s="15" t="str">
        <x:v>Salary / wages</x:v>
      </x:c>
      <x:c r="M872" s="38"/>
      <x:c r="N872" s="38" t="n">
        <x:v>10994</x:v>
      </x:c>
      <x:c r="O872" s="15" t="str"/>
      <x:c r="P872" s="15" t="str">
        <x:v>eml_ALL_currentac__512781 (2).zip &gt; eml1currentac__512781.zip</x:v>
      </x:c>
      <x:c r="Q872" s="15" t="str">
        <x:v>FNB _-) R12000.00 paid from Current a_c..512781 @ Gen Ph. Ref.Staff. 30May 10_35.eml</x:v>
      </x:c>
      <x:c r="R872" s="15" t="str">
        <x:v>High</x:v>
      </x:c>
      <x:c r="S872" s="15" t="str"/>
      <x:c r="T872" s="15" t="str"/>
      <x:c r="U872" s="15" t="str"/>
      <x:c r="V872" s="15" t="str">
        <x:v>Staff</x:v>
      </x:c>
      <x:c r="W872" s="15" t="str">
        <x:v>Gen Ph</x:v>
      </x:c>
      <x:c r="X872" s="15" t="str">
        <x:v>FNB :-) R12000.00 paid from Current a/c..512781 @ Gen Ph. Avail R10994. Ref.Staff. 30May 10:35</x:v>
      </x:c>
      <x:c r="Y872" s="15" t="str">
        <x:v>d0d8fd16c4c4bb49</x:v>
      </x:c>
    </x:row>
    <x:row r="873">
      <x:c r="A873" s="34" t="n">
        <x:v>46172.44097222222</x:v>
      </x:c>
      <x:c r="B873" s="36" t="n">
        <x:v>46172</x:v>
      </x:c>
      <x:c r="C873" s="34" t="n">
        <x:v>46172.440983796296</x:v>
      </x:c>
      <x:c r="D873" s="15" t="str">
        <x:v>Current a/c..512781</x:v>
      </x:c>
      <x:c r="E873" s="15" t="str"/>
      <x:c r="F873" s="15" t="str">
        <x:v>R12000.00 paid from Current a/c..512781 @ Smartapp. Avail R23009. Ref.Staff. 30May 10:35</x:v>
      </x:c>
      <x:c r="G873" s="15" t="str">
        <x:v>Staff</x:v>
      </x:c>
      <x:c r="H873" s="38" t="n">
        <x:v>12000</x:v>
      </x:c>
      <x:c r="I873" s="15" t="str">
        <x:v>ZAR</x:v>
      </x:c>
      <x:c r="J873" s="15" t="str">
        <x:v>Outflow</x:v>
      </x:c>
      <x:c r="K873" s="15" t="str">
        <x:v>EFT payment</x:v>
      </x:c>
      <x:c r="L873" s="15" t="str">
        <x:v>Salary / wages</x:v>
      </x:c>
      <x:c r="M873" s="38"/>
      <x:c r="N873" s="38" t="n">
        <x:v>23009</x:v>
      </x:c>
      <x:c r="O873" s="15" t="str"/>
      <x:c r="P873" s="15" t="str">
        <x:v>eml_ALL_currentac__512781 (2).zip &gt; eml1currentac__512781.zip</x:v>
      </x:c>
      <x:c r="Q873" s="15" t="str">
        <x:v>FNB _-) R12000.00 paid from Current a_c..512781 @ Smartapp. Ref.Staff. 30May 10_35.eml</x:v>
      </x:c>
      <x:c r="R873" s="15" t="str">
        <x:v>High</x:v>
      </x:c>
      <x:c r="S873" s="15" t="str"/>
      <x:c r="T873" s="15" t="str"/>
      <x:c r="U873" s="15" t="str"/>
      <x:c r="V873" s="15" t="str">
        <x:v>Staff</x:v>
      </x:c>
      <x:c r="W873" s="15" t="str">
        <x:v>Smartapp</x:v>
      </x:c>
      <x:c r="X873" s="15" t="str">
        <x:v>FNB :-) R12000.00 paid from Current a/c..512781 @ Smartapp. Avail R23009. Ref.Staff. 30May 10:35</x:v>
      </x:c>
      <x:c r="Y873" s="15" t="str">
        <x:v>af81916305e743af</x:v>
      </x:c>
    </x:row>
    <x:row r="874">
      <x:c r="A874" s="34" t="n">
        <x:v>46172.55138888889</x:v>
      </x:c>
      <x:c r="B874" s="36" t="n">
        <x:v>46172</x:v>
      </x:c>
      <x:c r="C874" s="34" t="n">
        <x:v>46172.55173611111</x:v>
      </x:c>
      <x:c r="D874" s="15" t="str">
        <x:v>Current a/c..512781</x:v>
      </x:c>
      <x:c r="E874" s="15" t="str">
        <x:v>card..2924</x:v>
      </x:c>
      <x:c r="F874" s="15" t="str">
        <x:v>R341.98 reserved for purchase @ Savemor Marloth from Current a/c..512781 using card..2924. Avail R10652. 30May 13:14</x:v>
      </x:c>
      <x:c r="G874" s="15" t="str">
        <x:v>Savemor Marloth</x:v>
      </x:c>
      <x:c r="H874" s="38" t="n">
        <x:v>341.98</x:v>
      </x:c>
      <x:c r="I874" s="15" t="str">
        <x:v>ZAR</x:v>
      </x:c>
      <x:c r="J874" s="15" t="str">
        <x:v>Outflow</x:v>
      </x:c>
      <x:c r="K874" s="15" t="str">
        <x:v>Card purchase</x:v>
      </x:c>
      <x:c r="L874" s="15" t="str">
        <x:v>Supplier payments</x:v>
      </x:c>
      <x:c r="M874" s="38"/>
      <x:c r="N874" s="38" t="n">
        <x:v>10652</x:v>
      </x:c>
      <x:c r="O874" s="15" t="str"/>
      <x:c r="P874" s="15" t="str">
        <x:v>eml_ALL_currentac__512781 (2).zip &gt; eml1currentac__512781.zip</x:v>
      </x:c>
      <x:c r="Q874" s="15" t="str">
        <x:v>FNB _-) R341.98 reserved for purchase @ Savemor Marloth from Current a_c..512781 using card..2924. 30May 13_14.eml</x:v>
      </x:c>
      <x:c r="R874" s="15" t="str">
        <x:v>High</x:v>
      </x:c>
      <x:c r="S874" s="15" t="str">
        <x:v>Category confidence Medium: Retail/supplier merchant keyword.</x:v>
      </x:c>
      <x:c r="T874" s="15" t="str"/>
      <x:c r="U874" s="15" t="str"/>
      <x:c r="V874" s="15" t="str"/>
      <x:c r="W874" s="15" t="str"/>
      <x:c r="X874" s="15" t="str">
        <x:v>FNB :-) R341.98 reserved for purchase @ Savemor Marloth from Current a/c..512781 using card..2924. Avail R10652. 30May 13:14</x:v>
      </x:c>
      <x:c r="Y874" s="15" t="str">
        <x:v>286e104b4af0a142</x:v>
      </x:c>
    </x:row>
    <x:row r="875">
      <x:c r="A875" s="34" t="n">
        <x:v>46172.55486111111</x:v>
      </x:c>
      <x:c r="B875" s="36" t="n">
        <x:v>46172</x:v>
      </x:c>
      <x:c r="C875" s="34" t="n">
        <x:v>46172.55554398148</x:v>
      </x:c>
      <x:c r="D875" s="15" t="str">
        <x:v>Current a/c..512781</x:v>
      </x:c>
      <x:c r="E875" s="15" t="str">
        <x:v>card..2924</x:v>
      </x:c>
      <x:c r="F875" s="15" t="str">
        <x:v>R200.00 reserved for purchase @ Marlothi Petrol Stat from Current a/c..512781 using card..2924. Avail R10452. 30May 13:19</x:v>
      </x:c>
      <x:c r="G875" s="15" t="str">
        <x:v>Marlothi Petrol Stat</x:v>
      </x:c>
      <x:c r="H875" s="38" t="n">
        <x:v>200</x:v>
      </x:c>
      <x:c r="I875" s="15" t="str">
        <x:v>ZAR</x:v>
      </x:c>
      <x:c r="J875" s="15" t="str">
        <x:v>Outflow</x:v>
      </x:c>
      <x:c r="K875" s="15" t="str">
        <x:v>Card purchase</x:v>
      </x:c>
      <x:c r="L875" s="15" t="str">
        <x:v>Fuel / transport</x:v>
      </x:c>
      <x:c r="M875" s="38"/>
      <x:c r="N875" s="38" t="n">
        <x:v>10452</x:v>
      </x:c>
      <x:c r="O875" s="15" t="str"/>
      <x:c r="P875" s="15" t="str">
        <x:v>eml_ALL_currentac__512781 (2).zip &gt; eml1currentac__512781.zip</x:v>
      </x:c>
      <x:c r="Q875" s="15" t="str">
        <x:v>FNB _-) R200.00 reserved for purchase @ Marlothi Petrol Stat from Current a_c..512781 using card..2924. 30May 13_19.eml</x:v>
      </x:c>
      <x:c r="R875" s="15" t="str">
        <x:v>High</x:v>
      </x:c>
      <x:c r="S875" s="15" t="str"/>
      <x:c r="T875" s="15" t="str"/>
      <x:c r="U875" s="15" t="str"/>
      <x:c r="V875" s="15" t="str"/>
      <x:c r="W875" s="15" t="str"/>
      <x:c r="X875" s="15" t="str">
        <x:v>FNB :-) R200.00 reserved for purchase @ Marlothi Petrol Stat from Current a/c..512781 using card..2924. Avail R10452. 30May 13:19</x:v>
      </x:c>
      <x:c r="Y875" s="15" t="str">
        <x:v>2d25e239ec08f88a</x:v>
      </x:c>
    </x:row>
    <x:row r="876">
      <x:c r="A876" s="34" t="n">
        <x:v>46173.524305555555</x:v>
      </x:c>
      <x:c r="B876" s="36" t="n">
        <x:v>46173</x:v>
      </x:c>
      <x:c r="C876" s="34" t="n">
        <x:v>46173.52438657408</x:v>
      </x:c>
      <x:c r="D876" s="15" t="str">
        <x:v>Current a/c..512781</x:v>
      </x:c>
      <x:c r="E876" s="15" t="str"/>
      <x:c r="F876" s="15" t="str">
        <x:v>R150.00 paid from Current a/c..512781 @ Smartapp. Avail R10153. Ref.Electricity 14503572. 31May 12:35</x:v>
      </x:c>
      <x:c r="G876" s="15" t="str">
        <x:v>Electricity 14503572</x:v>
      </x:c>
      <x:c r="H876" s="38" t="n">
        <x:v>150</x:v>
      </x:c>
      <x:c r="I876" s="15" t="str">
        <x:v>ZAR</x:v>
      </x:c>
      <x:c r="J876" s="15" t="str">
        <x:v>Outflow</x:v>
      </x:c>
      <x:c r="K876" s="15" t="str">
        <x:v>EFT payment</x:v>
      </x:c>
      <x:c r="L876" s="15" t="str">
        <x:v>Telecom / utilities</x:v>
      </x:c>
      <x:c r="M876" s="38"/>
      <x:c r="N876" s="38" t="n">
        <x:v>10153</x:v>
      </x:c>
      <x:c r="O876" s="15" t="str"/>
      <x:c r="P876" s="15" t="str">
        <x:v>eml_ALL_currentac__512781 (2).zip &gt; eml1currentac__512781.zip</x:v>
      </x:c>
      <x:c r="Q876" s="15" t="str">
        <x:v>FNB _-) R150.00 paid from Current a_c..512781 @ Smartapp. Ref.Electricity 14503572. 31May 12_35.eml</x:v>
      </x:c>
      <x:c r="R876" s="15" t="str">
        <x:v>High</x:v>
      </x:c>
      <x:c r="S876" s="15" t="str"/>
      <x:c r="T876" s="15" t="str"/>
      <x:c r="U876" s="15" t="str"/>
      <x:c r="V876" s="15" t="str">
        <x:v>Electricity 14503572</x:v>
      </x:c>
      <x:c r="W876" s="15" t="str">
        <x:v>Smartapp</x:v>
      </x:c>
      <x:c r="X876" s="15" t="str">
        <x:v>FNB :-) R150.00 paid from Current a/c..512781 @ Smartapp. Avail R10153. Ref.Electricity 14503572. 31May 12:35</x:v>
      </x:c>
      <x:c r="Y876" s="15" t="str">
        <x:v>c6bddcb96aa1878f</x:v>
      </x:c>
    </x:row>
    <x:row r="877">
      <x:c r="A877" s="34" t="n">
        <x:v>46174.63333333333</x:v>
      </x:c>
      <x:c r="B877" s="36" t="n">
        <x:v>46174</x:v>
      </x:c>
      <x:c r="C877" s="34" t="n">
        <x:v>46174.633425925924</x:v>
      </x:c>
      <x:c r="D877" s="15" t="str">
        <x:v>Current a/c..512781</x:v>
      </x:c>
      <x:c r="E877" s="15" t="str">
        <x:v>card..2924</x:v>
      </x:c>
      <x:c r="F877" s="15" t="str">
        <x:v>R250.00 withdrawn from Current a/c..512781 using card..2924 @ Absa Bush Centr. Avail R9903. 1Jun 15:12</x:v>
      </x:c>
      <x:c r="G877" s="15" t="str">
        <x:v>Absa Bush Centr</x:v>
      </x:c>
      <x:c r="H877" s="38" t="n">
        <x:v>250</x:v>
      </x:c>
      <x:c r="I877" s="15" t="str">
        <x:v>ZAR</x:v>
      </x:c>
      <x:c r="J877" s="15" t="str">
        <x:v>Outflow</x:v>
      </x:c>
      <x:c r="K877" s="15" t="str">
        <x:v>ATM / cash withdrawal</x:v>
      </x:c>
      <x:c r="L877" s="15" t="str">
        <x:v>Cash withdrawal</x:v>
      </x:c>
      <x:c r="M877" s="38"/>
      <x:c r="N877" s="38" t="n">
        <x:v>9903</x:v>
      </x:c>
      <x:c r="O877" s="15" t="str">
        <x:v>Absa Bush Centr</x:v>
      </x:c>
      <x:c r="P877" s="15" t="str">
        <x:v>eml_ALL_currentac__512781 (2).zip &gt; eml1currentac__512781.zip</x:v>
      </x:c>
      <x:c r="Q877" s="15" t="str">
        <x:v>FNB _-) R250.00 withdrawn from Current a_c..512781 using card..2924 @ Absa Bush Centr.  1Jun 15_12.eml</x:v>
      </x:c>
      <x:c r="R877" s="15" t="str">
        <x:v>High</x:v>
      </x:c>
      <x:c r="S877" s="15" t="str">
        <x:v>Cash withdrawal; included in outflows and separated in income statement.</x:v>
      </x:c>
      <x:c r="T877" s="15" t="str"/>
      <x:c r="U877" s="15" t="str"/>
      <x:c r="V877" s="15" t="str"/>
      <x:c r="W877" s="15" t="str"/>
      <x:c r="X877" s="15" t="str">
        <x:v>FNB :-) R250.00 withdrawn from Current a/c..512781 using card..2924 @ Absa Bush Centr. Avail R9903. 1Jun 15:12</x:v>
      </x:c>
      <x:c r="Y877" s="15" t="str">
        <x:v>b7e8cfd72e9351c5</x:v>
      </x:c>
    </x:row>
    <x:row r="878">
      <x:c r="A878" s="34" t="n">
        <x:v>46174.66736111111</x:v>
      </x:c>
      <x:c r="B878" s="36" t="n">
        <x:v>46174</x:v>
      </x:c>
      <x:c r="C878" s="34" t="n">
        <x:v>46174.66774305556</x:v>
      </x:c>
      <x:c r="D878" s="15" t="str">
        <x:v>Current a/c..512781</x:v>
      </x:c>
      <x:c r="E878" s="15" t="str"/>
      <x:c r="F878" s="15" t="str">
        <x:v>R7400.00 paid from Current a/c..512781 @ Smartapp. Avail R2503. Ref.Sk Transfer 0209. 1Jun 16:01</x:v>
      </x:c>
      <x:c r="G878" s="15" t="str">
        <x:v>Sk Transfer 0209</x:v>
      </x:c>
      <x:c r="H878" s="38" t="n">
        <x:v>7400</x:v>
      </x:c>
      <x:c r="I878" s="15" t="str">
        <x:v>ZAR</x:v>
      </x:c>
      <x:c r="J878" s="15" t="str">
        <x:v>Outflow</x:v>
      </x:c>
      <x:c r="K878" s="15" t="str">
        <x:v>EFT payment</x:v>
      </x:c>
      <x:c r="L878" s="15" t="str">
        <x:v>Supplier payments</x:v>
      </x:c>
      <x:c r="M878" s="38"/>
      <x:c r="N878" s="38" t="n">
        <x:v>2503</x:v>
      </x:c>
      <x:c r="O878" s="15" t="str"/>
      <x:c r="P878" s="15" t="str">
        <x:v>eml_ALL_currentac__512781 (2).zip &gt; eml1currentac__512781.zip</x:v>
      </x:c>
      <x:c r="Q878" s="15" t="str">
        <x:v>FNB _-) R7400.00 paid from Current a_c..512781 @ Smartapp. Ref.Sk Transfer 0209.  1Jun 16_01.eml</x:v>
      </x:c>
      <x:c r="R878" s="15" t="str">
        <x:v>High</x:v>
      </x:c>
      <x:c r="S878" s="15" t="str">
        <x:v>Category confidence Low: Default outflow category; review counterparty/reference.</x:v>
      </x:c>
      <x:c r="T878" s="15" t="str"/>
      <x:c r="U878" s="15" t="str"/>
      <x:c r="V878" s="15" t="str">
        <x:v>Sk Transfer 0209</x:v>
      </x:c>
      <x:c r="W878" s="15" t="str">
        <x:v>Smartapp</x:v>
      </x:c>
      <x:c r="X878" s="15" t="str">
        <x:v>FNB :-) R7400.00 paid from Current a/c..512781 @ Smartapp. Avail R2503. Ref.Sk Transfer 0209. 1Jun 16:01</x:v>
      </x:c>
      <x:c r="Y878" s="15" t="str">
        <x:v>bb3b377c391568e3</x:v>
      </x:c>
    </x:row>
    <x:row r="879">
      <x:c r="A879" s="34" t="n">
        <x:v>46175.30486111111</x:v>
      </x:c>
      <x:c r="B879" s="36" t="n">
        <x:v>46175</x:v>
      </x:c>
      <x:c r="C879" s="34" t="n">
        <x:v>46175.30540509259</x:v>
      </x:c>
      <x:c r="D879" s="15" t="str">
        <x:v>Current a/c..512781</x:v>
      </x:c>
      <x:c r="E879" s="15" t="str"/>
      <x:c r="F879" s="15" t="str">
        <x:v>R150.00 paid from Current a/c..512781 @ Smartapp. Avail R2353. Ref.Electricity 14503572. 2Jun 07:19</x:v>
      </x:c>
      <x:c r="G879" s="15" t="str">
        <x:v>Electricity 14503572</x:v>
      </x:c>
      <x:c r="H879" s="38" t="n">
        <x:v>150</x:v>
      </x:c>
      <x:c r="I879" s="15" t="str">
        <x:v>ZAR</x:v>
      </x:c>
      <x:c r="J879" s="15" t="str">
        <x:v>Outflow</x:v>
      </x:c>
      <x:c r="K879" s="15" t="str">
        <x:v>EFT payment</x:v>
      </x:c>
      <x:c r="L879" s="15" t="str">
        <x:v>Telecom / utilities</x:v>
      </x:c>
      <x:c r="M879" s="38"/>
      <x:c r="N879" s="38" t="n">
        <x:v>2353</x:v>
      </x:c>
      <x:c r="O879" s="15" t="str"/>
      <x:c r="P879" s="15" t="str">
        <x:v>eml_ALL_currentac__512781 (2).zip &gt; eml1currentac__512781.zip</x:v>
      </x:c>
      <x:c r="Q879" s="15" t="str">
        <x:v>FNB _-) R150.00 paid from Current a_c..512781 @ Smartapp. Ref.Electricity 14503572.  2Jun 07_19.eml</x:v>
      </x:c>
      <x:c r="R879" s="15" t="str">
        <x:v>High</x:v>
      </x:c>
      <x:c r="S879" s="15" t="str"/>
      <x:c r="T879" s="15" t="str"/>
      <x:c r="U879" s="15" t="str"/>
      <x:c r="V879" s="15" t="str">
        <x:v>Electricity 14503572</x:v>
      </x:c>
      <x:c r="W879" s="15" t="str">
        <x:v>Smartapp</x:v>
      </x:c>
      <x:c r="X879" s="15" t="str">
        <x:v>FNB :-) R150.00 paid from Current a/c..512781 @ Smartapp. Avail R2353. Ref.Electricity 14503572. 2Jun 07:19</x:v>
      </x:c>
      <x:c r="Y879" s="15" t="str">
        <x:v>42c962ab21923d8f</x:v>
      </x:c>
    </x:row>
    <x:row r="880">
      <x:c r="A880" s="34" t="n">
        <x:v>46175.35208333333</x:v>
      </x:c>
      <x:c r="B880" s="36" t="n">
        <x:v>46175</x:v>
      </x:c>
      <x:c r="C880" s="34" t="n">
        <x:v>46175.35275462963</x:v>
      </x:c>
      <x:c r="D880" s="15" t="str">
        <x:v>Current a/c..512781</x:v>
      </x:c>
      <x:c r="E880" s="15" t="str"/>
      <x:c r="F880" s="15" t="str">
        <x:v>R9225.78 paid to Current a/c..512781 @ Payshap. Ref.Ik Pay 487882. 2Jun 08:27</x:v>
      </x:c>
      <x:c r="G880" s="15" t="str">
        <x:v>Ik Pay 487882</x:v>
      </x:c>
      <x:c r="H880" s="38" t="n">
        <x:v>9225.78</x:v>
      </x:c>
      <x:c r="I880" s="15" t="str">
        <x:v>ZAR</x:v>
      </x:c>
      <x:c r="J880" s="15" t="str">
        <x:v>Inflow</x:v>
      </x:c>
      <x:c r="K880" s="15" t="str">
        <x:v>EFT receipt</x:v>
      </x:c>
      <x:c r="L880" s="15" t="str">
        <x:v>Sales / customer receipts</x:v>
      </x:c>
      <x:c r="M880" s="38"/>
      <x:c r="N880" s="38"/>
      <x:c r="O880" s="15" t="str"/>
      <x:c r="P880" s="15" t="str">
        <x:v>eml_ALL_currentac__512781 (2).zip &gt; eml1currentac__512781.zip</x:v>
      </x:c>
      <x:c r="Q880" s="15" t="str">
        <x:v>FNB _-) R9225.78 paid to Current a_c..512781 @ Payshap. Ref.Ik Pay 487882.  2Jun 08_27.eml</x:v>
      </x:c>
      <x:c r="R880" s="15" t="str">
        <x:v>High</x:v>
      </x:c>
      <x:c r="S880" s="15" t="str">
        <x:v>Category confidence Medium: Default for incoming EFT/PayShap/online receipt.</x:v>
      </x:c>
      <x:c r="T880" s="15" t="str"/>
      <x:c r="U880" s="15" t="str"/>
      <x:c r="V880" s="15" t="str">
        <x:v>Ik Pay 487882</x:v>
      </x:c>
      <x:c r="W880" s="15" t="str">
        <x:v>Payshap</x:v>
      </x:c>
      <x:c r="X880" s="15" t="str">
        <x:v>FNB :-) R9225.78 paid to Current a/c..512781 @ Payshap. Ref.Ik Pay 487882. 2Jun 08:27</x:v>
      </x:c>
      <x:c r="Y880" s="15" t="str">
        <x:v>6c468a14a8c61d1f</x:v>
      </x:c>
    </x:row>
    <x:row r="881">
      <x:c r="A881" s="34" t="n">
        <x:v>46175.39722222222</x:v>
      </x:c>
      <x:c r="B881" s="36" t="n">
        <x:v>46175</x:v>
      </x:c>
      <x:c r="C881" s="34" t="n">
        <x:v>46175.397256944445</x:v>
      </x:c>
      <x:c r="D881" s="15" t="str">
        <x:v>Current a/c..512781</x:v>
      </x:c>
      <x:c r="E881" s="15" t="str"/>
      <x:c r="F881" s="15" t="str">
        <x:v>R4794.00 paid from Current a/c..512781 @ Smartapp. Avail R6785. Ref.Cf Moto Saf - Inv 3. 2Jun 09:32</x:v>
      </x:c>
      <x:c r="G881" s="15" t="str">
        <x:v>Cf Moto Saf - Inv 3</x:v>
      </x:c>
      <x:c r="H881" s="38" t="n">
        <x:v>4794</x:v>
      </x:c>
      <x:c r="I881" s="15" t="str">
        <x:v>ZAR</x:v>
      </x:c>
      <x:c r="J881" s="15" t="str">
        <x:v>Outflow</x:v>
      </x:c>
      <x:c r="K881" s="15" t="str">
        <x:v>EFT payment</x:v>
      </x:c>
      <x:c r="L881" s="15" t="str">
        <x:v>Supplier payments</x:v>
      </x:c>
      <x:c r="M881" s="38"/>
      <x:c r="N881" s="38" t="n">
        <x:v>6785</x:v>
      </x:c>
      <x:c r="O881" s="15" t="str"/>
      <x:c r="P881" s="15" t="str">
        <x:v>eml_ALL_currentac__512781 (2).zip &gt; eml1currentac__512781.zip</x:v>
      </x:c>
      <x:c r="Q881" s="15" t="str">
        <x:v>FNB _-) R4794.00 paid from Current a_c..512781 @ Smartapp. Ref.Cf Moto Saf - Inv 3.  2Jun 09_32.eml</x:v>
      </x:c>
      <x:c r="R881" s="15" t="str">
        <x:v>High</x:v>
      </x:c>
      <x:c r="S881" s="15" t="str">
        <x:v>Category confidence Low: Default outflow category; review counterparty/reference.</x:v>
      </x:c>
      <x:c r="T881" s="15" t="str"/>
      <x:c r="U881" s="15" t="str"/>
      <x:c r="V881" s="15" t="str">
        <x:v>Cf Moto Saf - Inv 3</x:v>
      </x:c>
      <x:c r="W881" s="15" t="str">
        <x:v>Smartapp</x:v>
      </x:c>
      <x:c r="X881" s="15" t="str">
        <x:v>FNB :-) R4794.00 paid from Current a/c..512781 @ Smartapp. Avail R6785. Ref.Cf Moto Saf - Inv 3. 2Jun 09:32</x:v>
      </x:c>
      <x:c r="Y881" s="15" t="str">
        <x:v>62ab74e3f00278d9</x:v>
      </x:c>
    </x:row>
    <x:row r="882">
      <x:c r="A882" s="34" t="n">
        <x:v>46175.60486111111</x:v>
      </x:c>
      <x:c r="B882" s="36" t="n">
        <x:v>46175</x:v>
      </x:c>
      <x:c r="C882" s="34" t="n">
        <x:v>46175.60554398148</x:v>
      </x:c>
      <x:c r="D882" s="15" t="str">
        <x:v>Current a/c..512781</x:v>
      </x:c>
      <x:c r="E882" s="15" t="str">
        <x:v>card..2924</x:v>
      </x:c>
      <x:c r="F882" s="15" t="str">
        <x:v>R1143.93 reserved for purchase @ Superspar Komatipoor from Current a/c..512781 using card..2924. Avail R5641. 2Jun 14:31</x:v>
      </x:c>
      <x:c r="G882" s="15" t="str">
        <x:v>Superspar Komatipoor</x:v>
      </x:c>
      <x:c r="H882" s="38" t="n">
        <x:v>1143.93</x:v>
      </x:c>
      <x:c r="I882" s="15" t="str">
        <x:v>ZAR</x:v>
      </x:c>
      <x:c r="J882" s="15" t="str">
        <x:v>Outflow</x:v>
      </x:c>
      <x:c r="K882" s="15" t="str">
        <x:v>Card purchase</x:v>
      </x:c>
      <x:c r="L882" s="15" t="str">
        <x:v>Supplier payments</x:v>
      </x:c>
      <x:c r="M882" s="38"/>
      <x:c r="N882" s="38" t="n">
        <x:v>5641</x:v>
      </x:c>
      <x:c r="O882" s="15" t="str"/>
      <x:c r="P882" s="15" t="str">
        <x:v>eml_ALL_currentac__512781 (2).zip &gt; eml1currentac__512781.zip</x:v>
      </x:c>
      <x:c r="Q882" s="15" t="str">
        <x:v>FNB _-) R1143.93 reserved for purchase @ Superspar Komatipoor from Current a_c..512781 using card..2924.  2Jun 14_31.eml</x:v>
      </x:c>
      <x:c r="R882" s="15" t="str">
        <x:v>High</x:v>
      </x:c>
      <x:c r="S882" s="15" t="str">
        <x:v>Category confidence Medium: Retail/supplier merchant keyword.</x:v>
      </x:c>
      <x:c r="T882" s="15" t="str"/>
      <x:c r="U882" s="15" t="str"/>
      <x:c r="V882" s="15" t="str"/>
      <x:c r="W882" s="15" t="str"/>
      <x:c r="X882" s="15" t="str">
        <x:v>FNB :-) R1143.93 reserved for purchase @ Superspar Komatipoor from Current a/c..512781 using card..2924. Avail R5641. 2Jun 14:31</x:v>
      </x:c>
      <x:c r="Y882" s="15" t="str">
        <x:v>cb6e3a3691d3d30d</x:v>
      </x:c>
    </x:row>
    <x:row r="883">
      <x:c r="A883" s="34" t="n">
        <x:v>46175.64722222222</x:v>
      </x:c>
      <x:c r="B883" s="36" t="n">
        <x:v>46175</x:v>
      </x:c>
      <x:c r="C883" s="34" t="n">
        <x:v>46175.64778935185</x:v>
      </x:c>
      <x:c r="D883" s="15" t="str">
        <x:v>Current a/c..512781</x:v>
      </x:c>
      <x:c r="E883" s="15" t="str">
        <x:v>card..2924</x:v>
      </x:c>
      <x:c r="F883" s="15" t="str">
        <x:v>R500.00 reserved for purchase @ Ae Komatipoort from Current a/c..512781 using card..2924. Avail R5141. 2Jun 15:32</x:v>
      </x:c>
      <x:c r="G883" s="15" t="str">
        <x:v>Ae Komatipoort</x:v>
      </x:c>
      <x:c r="H883" s="38" t="n">
        <x:v>500</x:v>
      </x:c>
      <x:c r="I883" s="15" t="str">
        <x:v>ZAR</x:v>
      </x:c>
      <x:c r="J883" s="15" t="str">
        <x:v>Outflow</x:v>
      </x:c>
      <x:c r="K883" s="15" t="str">
        <x:v>Card purchase</x:v>
      </x:c>
      <x:c r="L883" s="15" t="str">
        <x:v>Card spend</x:v>
      </x:c>
      <x:c r="M883" s="38"/>
      <x:c r="N883" s="38" t="n">
        <x:v>5141</x:v>
      </x:c>
      <x:c r="O883" s="15" t="str"/>
      <x:c r="P883" s="15" t="str">
        <x:v>eml_ALL_currentac__512781 (2).zip &gt; eml1currentac__512781.zip</x:v>
      </x:c>
      <x:c r="Q883" s="15" t="str">
        <x:v>FNB _-) R500.00 reserved for purchase @ Ae Komatipoort from Current a_c..512781 using card..2924.  2Jun 15_32.eml</x:v>
      </x:c>
      <x:c r="R883" s="15" t="str">
        <x:v>High</x:v>
      </x:c>
      <x:c r="S883" s="15" t="str">
        <x:v>Category confidence Low: Default card-spend category; merchant not confidently mapped.</x:v>
      </x:c>
      <x:c r="T883" s="15" t="str"/>
      <x:c r="U883" s="15" t="str"/>
      <x:c r="V883" s="15" t="str"/>
      <x:c r="W883" s="15" t="str"/>
      <x:c r="X883" s="15" t="str">
        <x:v>FNB :-) R500.00 reserved for purchase @ Ae Komatipoort from Current a/c..512781 using card..2924. Avail R5141. 2Jun 15:32</x:v>
      </x:c>
      <x:c r="Y883" s="15" t="str">
        <x:v>b1a549b0284ea26e</x:v>
      </x:c>
    </x:row>
    <x:row r="884">
      <x:c r="A884" s="34" t="n">
        <x:v>46176.381944444445</x:v>
      </x:c>
      <x:c r="B884" s="36" t="n">
        <x:v>46176</x:v>
      </x:c>
      <x:c r="C884" s="34" t="n">
        <x:v>46176.3825462963</x:v>
      </x:c>
      <x:c r="D884" s="15" t="str">
        <x:v>Current a/c..512781</x:v>
      </x:c>
      <x:c r="E884" s="15" t="str"/>
      <x:c r="F884" s="15" t="str">
        <x:v>R400.00 paid from Current a/c..512781 @ Smartapp. Avail R4736. Ref.Staff Tips For Aug. 3Jun 09:10</x:v>
      </x:c>
      <x:c r="G884" s="15" t="str">
        <x:v>Staff Tips For Aug</x:v>
      </x:c>
      <x:c r="H884" s="38" t="n">
        <x:v>400</x:v>
      </x:c>
      <x:c r="I884" s="15" t="str">
        <x:v>ZAR</x:v>
      </x:c>
      <x:c r="J884" s="15" t="str">
        <x:v>Outflow</x:v>
      </x:c>
      <x:c r="K884" s="15" t="str">
        <x:v>EFT payment</x:v>
      </x:c>
      <x:c r="L884" s="15" t="str">
        <x:v>Salary / wages</x:v>
      </x:c>
      <x:c r="M884" s="38"/>
      <x:c r="N884" s="38" t="n">
        <x:v>4736</x:v>
      </x:c>
      <x:c r="O884" s="15" t="str"/>
      <x:c r="P884" s="15" t="str">
        <x:v>eml_ALL_currentac__512781 (2).zip &gt; eml1currentac__512781.zip</x:v>
      </x:c>
      <x:c r="Q884" s="15" t="str">
        <x:v>FNB _-) R400.00 paid from Current a_c..512781 @ Smartapp. Ref.Staff Tips For Aug.  3Jun 09_10.eml</x:v>
      </x:c>
      <x:c r="R884" s="15" t="str">
        <x:v>High</x:v>
      </x:c>
      <x:c r="S884" s="15" t="str"/>
      <x:c r="T884" s="15" t="str"/>
      <x:c r="U884" s="15" t="str"/>
      <x:c r="V884" s="15" t="str">
        <x:v>Staff Tips For Aug</x:v>
      </x:c>
      <x:c r="W884" s="15" t="str">
        <x:v>Smartapp</x:v>
      </x:c>
      <x:c r="X884" s="15" t="str">
        <x:v>FNB :-) R400.00 paid from Current a/c..512781 @ Smartapp. Avail R4736. Ref.Staff Tips For Aug. 3Jun 09:10</x:v>
      </x:c>
      <x:c r="Y884" s="15" t="str">
        <x:v>5a4e71b3d2467425</x:v>
      </x:c>
    </x:row>
    <x:row r="885">
      <x:c r="A885" s="34" t="n">
        <x:v>46177.277083333334</x:v>
      </x:c>
      <x:c r="B885" s="36" t="n">
        <x:v>46177</x:v>
      </x:c>
      <x:c r="C885" s="34" t="n">
        <x:v>46177.277349537035</x:v>
      </x:c>
      <x:c r="D885" s="15" t="str">
        <x:v>Current a/c..512781</x:v>
      </x:c>
      <x:c r="E885" s="15" t="str"/>
      <x:c r="F885" s="15" t="str">
        <x:v>R150.00 paid from Current a/c..512781 @ Smartapp. Avail R4492. Ref.Electricity 14503572. 4Jun 06:39</x:v>
      </x:c>
      <x:c r="G885" s="15" t="str">
        <x:v>Electricity 14503572</x:v>
      </x:c>
      <x:c r="H885" s="38" t="n">
        <x:v>150</x:v>
      </x:c>
      <x:c r="I885" s="15" t="str">
        <x:v>ZAR</x:v>
      </x:c>
      <x:c r="J885" s="15" t="str">
        <x:v>Outflow</x:v>
      </x:c>
      <x:c r="K885" s="15" t="str">
        <x:v>EFT payment</x:v>
      </x:c>
      <x:c r="L885" s="15" t="str">
        <x:v>Telecom / utilities</x:v>
      </x:c>
      <x:c r="M885" s="38"/>
      <x:c r="N885" s="38" t="n">
        <x:v>4492</x:v>
      </x:c>
      <x:c r="O885" s="15" t="str"/>
      <x:c r="P885" s="15" t="str">
        <x:v>eml_ALL_currentac__512781 (2).zip &gt; eml1currentac__512781.zip</x:v>
      </x:c>
      <x:c r="Q885" s="15" t="str">
        <x:v>FNB _-) R150.00 paid from Current a_c..512781 @ Smartapp. Ref.Electricity 14503572.  4Jun 06_39.eml</x:v>
      </x:c>
      <x:c r="R885" s="15" t="str">
        <x:v>High</x:v>
      </x:c>
      <x:c r="S885" s="15" t="str"/>
      <x:c r="T885" s="15" t="str"/>
      <x:c r="U885" s="15" t="str"/>
      <x:c r="V885" s="15" t="str">
        <x:v>Electricity 14503572</x:v>
      </x:c>
      <x:c r="W885" s="15" t="str">
        <x:v>Smartapp</x:v>
      </x:c>
      <x:c r="X885" s="15" t="str">
        <x:v>FNB :-) R150.00 paid from Current a/c..512781 @ Smartapp. Avail R4492. Ref.Electricity 14503572. 4Jun 06:39</x:v>
      </x:c>
      <x:c r="Y885" s="15" t="str">
        <x:v>cb49205b720d0b09</x:v>
      </x:c>
    </x:row>
    <x:row r="886">
      <x:c r="A886" s="34" t="n">
        <x:v>46177.33819444444</x:v>
      </x:c>
      <x:c r="B886" s="36" t="n">
        <x:v>46177</x:v>
      </x:c>
      <x:c r="C886" s="34" t="n">
        <x:v>46177.338217592594</x:v>
      </x:c>
      <x:c r="D886" s="15" t="str">
        <x:v>Current a/c..512781</x:v>
      </x:c>
      <x:c r="E886" s="15" t="str"/>
      <x:c r="F886" s="15" t="str">
        <x:v>R8567.39 paid to Current a/c..512781 @ Retail Forex. Ref.R026qzlwv0 Booking.c. 4Jun 08:07</x:v>
      </x:c>
      <x:c r="G886" s="15" t="str">
        <x:v>R026qzlwv0 Booking.c</x:v>
      </x:c>
      <x:c r="H886" s="38" t="n">
        <x:v>8567.39</x:v>
      </x:c>
      <x:c r="I886" s="15" t="str">
        <x:v>ZAR</x:v>
      </x:c>
      <x:c r="J886" s="15" t="str">
        <x:v>Inflow</x:v>
      </x:c>
      <x:c r="K886" s="15" t="str">
        <x:v>EFT receipt</x:v>
      </x:c>
      <x:c r="L886" s="15" t="str">
        <x:v>Sales / customer receipts</x:v>
      </x:c>
      <x:c r="M886" s="38"/>
      <x:c r="N886" s="38"/>
      <x:c r="O886" s="15" t="str"/>
      <x:c r="P886" s="15" t="str">
        <x:v>eml_ALL_currentac__512781 (2).zip &gt; eml1currentac__512781.zip</x:v>
      </x:c>
      <x:c r="Q886" s="15" t="str">
        <x:v>FNB _-) R8567.39 paid to Current a_c..512781 @ Retail Forex. Ref.R026qzlwv0 Booking.c.  4Jun 08_07.eml</x:v>
      </x:c>
      <x:c r="R886" s="15" t="str">
        <x:v>High</x:v>
      </x:c>
      <x:c r="S886" s="15" t="str">
        <x:v>Category confidence Medium: Default for incoming EFT/PayShap/online receipt.</x:v>
      </x:c>
      <x:c r="T886" s="15" t="str"/>
      <x:c r="U886" s="15" t="str"/>
      <x:c r="V886" s="15" t="str">
        <x:v>R026qzlwv0 Booking.c</x:v>
      </x:c>
      <x:c r="W886" s="15" t="str">
        <x:v>Retail Forex</x:v>
      </x:c>
      <x:c r="X886" s="15" t="str">
        <x:v>FNB :-) R8567.39 paid to Current a/c..512781 @ Retail Forex. Ref.R026qzlwv0 Booking.c. 4Jun 08:07</x:v>
      </x:c>
      <x:c r="Y886" s="15" t="str">
        <x:v>a92ca201a30169e3</x:v>
      </x:c>
    </x:row>
    <x:row r="887">
      <x:c r="A887" s="34" t="n">
        <x:v>46177.67986111111</x:v>
      </x:c>
      <x:c r="B887" s="36" t="n">
        <x:v>46177</x:v>
      </x:c>
      <x:c r="C887" s="34" t="n">
        <x:v>46177.67989583333</x:v>
      </x:c>
      <x:c r="D887" s="15" t="str">
        <x:v>Current a/c..512781</x:v>
      </x:c>
      <x:c r="E887" s="15" t="str"/>
      <x:c r="F887" s="15" t="str">
        <x:v>R1000.00 t/fer from Current a/c..512781 to Private Cheq Acc..566332 @ Smartapp. Avail R11989. 4Jun 16:19</x:v>
      </x:c>
      <x:c r="G887" s="15" t="str">
        <x:v>Private Cheq Acc..566332</x:v>
      </x:c>
      <x:c r="H887" s="38" t="n">
        <x:v>1000</x:v>
      </x:c>
      <x:c r="I887" s="15" t="str">
        <x:v>ZAR</x:v>
      </x:c>
      <x:c r="J887" s="15" t="str">
        <x:v>Internal Transfer</x:v>
      </x:c>
      <x:c r="K887" s="15" t="str">
        <x:v>Internal transfer</x:v>
      </x:c>
      <x:c r="L887" s="15" t="str">
        <x:v>Inter-account transfer</x:v>
      </x:c>
      <x:c r="M887" s="38"/>
      <x:c r="N887" s="38" t="n">
        <x:v>11989</x:v>
      </x:c>
      <x:c r="O887" s="15" t="str"/>
      <x:c r="P887" s="15" t="str">
        <x:v>eml_ALL_currentac__512781 (2).zip &gt; eml1currentac__512781.zip</x:v>
      </x:c>
      <x:c r="Q887" s="15" t="str">
        <x:v>FNB _-) R1000.00 t_fer from Current a_c..512781 to Private Cheq Acc..566332 @ Smartapp.  4Jun 16_19.eml</x:v>
      </x:c>
      <x:c r="R887" s="15" t="str">
        <x:v>High</x:v>
      </x:c>
      <x:c r="S887" s="15" t="str">
        <x:v>Classified as internal/inter-account transfer and excluded from operating cashflow.</x:v>
      </x:c>
      <x:c r="T887" s="15" t="str">
        <x:v>Current a/c..512781</x:v>
      </x:c>
      <x:c r="U887" s="15" t="str">
        <x:v>Private Cheq Acc..566332</x:v>
      </x:c>
      <x:c r="V887" s="15" t="str"/>
      <x:c r="W887" s="15" t="str">
        <x:v>Smartapp</x:v>
      </x:c>
      <x:c r="X887" s="15" t="str">
        <x:v>FNB :-) R1000.00 t/fer from Current a/c..512781 to Private Cheq Acc..566332 @ Smartapp. Avail R11989. 4Jun 16:19</x:v>
      </x:c>
      <x:c r="Y887" s="15" t="str">
        <x:v>14808a211220245b</x:v>
      </x:c>
    </x:row>
    <x:row r="888">
      <x:c r="A888" s="34" t="n">
        <x:v>46178.52361111111</x:v>
      </x:c>
      <x:c r="B888" s="36" t="n">
        <x:v>46178</x:v>
      </x:c>
      <x:c r="C888" s="34" t="n">
        <x:v>46178.52379629629</x:v>
      </x:c>
      <x:c r="D888" s="15" t="str">
        <x:v>Current a/c..512781</x:v>
      </x:c>
      <x:c r="E888" s="15" t="str"/>
      <x:c r="F888" s="15" t="str">
        <x:v>R1000.00 t/fer from Current a/c..512781 to Private Cheq Acc..566332 @ Smartapp. Avail R10989. 5Jun 12:34</x:v>
      </x:c>
      <x:c r="G888" s="15" t="str">
        <x:v>Private Cheq Acc..566332</x:v>
      </x:c>
      <x:c r="H888" s="38" t="n">
        <x:v>1000</x:v>
      </x:c>
      <x:c r="I888" s="15" t="str">
        <x:v>ZAR</x:v>
      </x:c>
      <x:c r="J888" s="15" t="str">
        <x:v>Internal Transfer</x:v>
      </x:c>
      <x:c r="K888" s="15" t="str">
        <x:v>Internal transfer</x:v>
      </x:c>
      <x:c r="L888" s="15" t="str">
        <x:v>Inter-account transfer</x:v>
      </x:c>
      <x:c r="M888" s="38"/>
      <x:c r="N888" s="38" t="n">
        <x:v>10989</x:v>
      </x:c>
      <x:c r="O888" s="15" t="str"/>
      <x:c r="P888" s="15" t="str">
        <x:v>eml_ALL_currentac__512781 (2).zip &gt; eml1currentac__512781.zip</x:v>
      </x:c>
      <x:c r="Q888" s="15" t="str">
        <x:v>FNB _-) R1000.00 t_fer from Current a_c..512781 to Private Cheq Acc..566332 @ Smartapp.  5Jun 12_34.eml</x:v>
      </x:c>
      <x:c r="R888" s="15" t="str">
        <x:v>High</x:v>
      </x:c>
      <x:c r="S888" s="15" t="str">
        <x:v>Classified as internal/inter-account transfer and excluded from operating cashflow.</x:v>
      </x:c>
      <x:c r="T888" s="15" t="str">
        <x:v>Current a/c..512781</x:v>
      </x:c>
      <x:c r="U888" s="15" t="str">
        <x:v>Private Cheq Acc..566332</x:v>
      </x:c>
      <x:c r="V888" s="15" t="str"/>
      <x:c r="W888" s="15" t="str">
        <x:v>Smartapp</x:v>
      </x:c>
      <x:c r="X888" s="15" t="str">
        <x:v>FNB :-) R1000.00 t/fer from Current a/c..512781 to Private Cheq Acc..566332 @ Smartapp. Avail R10989. 5Jun 12:34</x:v>
      </x:c>
      <x:c r="Y888" s="15" t="str">
        <x:v>f60437e649eafb6e</x:v>
      </x:c>
    </x:row>
    <x:row r="889">
      <x:c r="A889" s="34" t="n">
        <x:v>46178.532638888886</x:v>
      </x:c>
      <x:c r="B889" s="36" t="n">
        <x:v>46178</x:v>
      </x:c>
      <x:c r="C889" s="34" t="n">
        <x:v>46178.533009259256</x:v>
      </x:c>
      <x:c r="D889" s="15" t="str">
        <x:v>Current a/c..512781</x:v>
      </x:c>
      <x:c r="E889" s="15" t="str"/>
      <x:c r="F889" s="15" t="str">
        <x:v>R4189.00 paid from Current a/c..512781 @ Smartapp. Avail R6797. Ref.Kruger Safari 1700. 5Jun 12:47</x:v>
      </x:c>
      <x:c r="G889" s="15" t="str">
        <x:v>Kruger Safari 1700</x:v>
      </x:c>
      <x:c r="H889" s="38" t="n">
        <x:v>4189</x:v>
      </x:c>
      <x:c r="I889" s="15" t="str">
        <x:v>ZAR</x:v>
      </x:c>
      <x:c r="J889" s="15" t="str">
        <x:v>Outflow</x:v>
      </x:c>
      <x:c r="K889" s="15" t="str">
        <x:v>EFT payment</x:v>
      </x:c>
      <x:c r="L889" s="15" t="str">
        <x:v>Supplier payments</x:v>
      </x:c>
      <x:c r="M889" s="38"/>
      <x:c r="N889" s="38" t="n">
        <x:v>6797</x:v>
      </x:c>
      <x:c r="O889" s="15" t="str"/>
      <x:c r="P889" s="15" t="str">
        <x:v>eml_ALL_currentac__512781 (2).zip &gt; eml1currentac__512781.zip</x:v>
      </x:c>
      <x:c r="Q889" s="15" t="str">
        <x:v>FNB _-) R4189.00 paid from Current a_c..512781 @ Smartapp. Ref.Kruger Safari 1700.  5Jun 12_47.eml</x:v>
      </x:c>
      <x:c r="R889" s="15" t="str">
        <x:v>High</x:v>
      </x:c>
      <x:c r="S889" s="15" t="str">
        <x:v>Category confidence Low: Default outflow category; review counterparty/reference.</x:v>
      </x:c>
      <x:c r="T889" s="15" t="str"/>
      <x:c r="U889" s="15" t="str"/>
      <x:c r="V889" s="15" t="str">
        <x:v>Kruger Safari 1700</x:v>
      </x:c>
      <x:c r="W889" s="15" t="str">
        <x:v>Smartapp</x:v>
      </x:c>
      <x:c r="X889" s="15" t="str">
        <x:v>FNB :-) R4189.00 paid from Current a/c..512781 @ Smartapp. Avail R6797. Ref.Kruger Safari 1700. 5Jun 12:47</x:v>
      </x:c>
      <x:c r="Y889" s="15" t="str">
        <x:v>803f3a3a564c33ed</x:v>
      </x:c>
    </x:row>
    <x:row r="890">
      <x:c r="A890" s="34" t="n">
        <x:v>46178.53333333333</x:v>
      </x:c>
      <x:c r="B890" s="36" t="n">
        <x:v>46178</x:v>
      </x:c>
      <x:c r="C890" s="34" t="n">
        <x:v>46178.53341435185</x:v>
      </x:c>
      <x:c r="D890" s="15" t="str">
        <x:v>Current a/c..512781</x:v>
      </x:c>
      <x:c r="E890" s="15" t="str"/>
      <x:c r="F890" s="15" t="str">
        <x:v>R2500.00 paid from Current a/c..512781 @ Smartapp. Avail R4297. Ref.Sakkie Wages. 5Jun 12:48</x:v>
      </x:c>
      <x:c r="G890" s="15" t="str">
        <x:v>Sakkie Wages</x:v>
      </x:c>
      <x:c r="H890" s="38" t="n">
        <x:v>2500</x:v>
      </x:c>
      <x:c r="I890" s="15" t="str">
        <x:v>ZAR</x:v>
      </x:c>
      <x:c r="J890" s="15" t="str">
        <x:v>Outflow</x:v>
      </x:c>
      <x:c r="K890" s="15" t="str">
        <x:v>EFT payment</x:v>
      </x:c>
      <x:c r="L890" s="15" t="str">
        <x:v>Salary / wages</x:v>
      </x:c>
      <x:c r="M890" s="38"/>
      <x:c r="N890" s="38" t="n">
        <x:v>4297</x:v>
      </x:c>
      <x:c r="O890" s="15" t="str"/>
      <x:c r="P890" s="15" t="str">
        <x:v>eml_ALL_currentac__512781 (2).zip &gt; eml1currentac__512781.zip</x:v>
      </x:c>
      <x:c r="Q890" s="15" t="str">
        <x:v>FNB _-) R2500.00 paid from Current a_c..512781 @ Smartapp. Ref.Sakkie Wages.  5Jun 12_48.eml</x:v>
      </x:c>
      <x:c r="R890" s="15" t="str">
        <x:v>High</x:v>
      </x:c>
      <x:c r="S890" s="15" t="str"/>
      <x:c r="T890" s="15" t="str"/>
      <x:c r="U890" s="15" t="str"/>
      <x:c r="V890" s="15" t="str">
        <x:v>Sakkie Wages</x:v>
      </x:c>
      <x:c r="W890" s="15" t="str">
        <x:v>Smartapp</x:v>
      </x:c>
      <x:c r="X890" s="15" t="str">
        <x:v>FNB :-) R2500.00 paid from Current a/c..512781 @ Smartapp. Avail R4297. Ref.Sakkie Wages. 5Jun 12:48</x:v>
      </x:c>
      <x:c r="Y890" s="15" t="str">
        <x:v>6ed391824a6483d8</x:v>
      </x:c>
    </x:row>
    <x:row r="891">
      <x:c r="A891" s="34" t="n">
        <x:v>46178.53611111111</x:v>
      </x:c>
      <x:c r="B891" s="36" t="n">
        <x:v>46178</x:v>
      </x:c>
      <x:c r="C891" s="34" t="n">
        <x:v>46178.53653935185</x:v>
      </x:c>
      <x:c r="D891" s="15" t="str">
        <x:v>Current a/c..512781</x:v>
      </x:c>
      <x:c r="E891" s="15" t="str">
        <x:v>card..2924</x:v>
      </x:c>
      <x:c r="F891" s="15" t="str">
        <x:v>R608.68 reserved for purchase @ Superspar Komatipoor from Current a/c..512781 using card..2924. Avail R3689. 5Jun 12:52</x:v>
      </x:c>
      <x:c r="G891" s="15" t="str">
        <x:v>Superspar Komatipoor</x:v>
      </x:c>
      <x:c r="H891" s="38" t="n">
        <x:v>608.68</x:v>
      </x:c>
      <x:c r="I891" s="15" t="str">
        <x:v>ZAR</x:v>
      </x:c>
      <x:c r="J891" s="15" t="str">
        <x:v>Outflow</x:v>
      </x:c>
      <x:c r="K891" s="15" t="str">
        <x:v>Card purchase</x:v>
      </x:c>
      <x:c r="L891" s="15" t="str">
        <x:v>Supplier payments</x:v>
      </x:c>
      <x:c r="M891" s="38"/>
      <x:c r="N891" s="38" t="n">
        <x:v>3689</x:v>
      </x:c>
      <x:c r="O891" s="15" t="str"/>
      <x:c r="P891" s="15" t="str">
        <x:v>eml_ALL_currentac__512781 (2).zip &gt; eml1currentac__512781.zip</x:v>
      </x:c>
      <x:c r="Q891" s="15" t="str">
        <x:v>FNB _-) R608.68 reserved for purchase @ Superspar Komatipoor from Current a_c..512781 using card..2924.  5Jun 12_52.eml</x:v>
      </x:c>
      <x:c r="R891" s="15" t="str">
        <x:v>High</x:v>
      </x:c>
      <x:c r="S891" s="15" t="str">
        <x:v>Category confidence Medium: Retail/supplier merchant keyword.</x:v>
      </x:c>
      <x:c r="T891" s="15" t="str"/>
      <x:c r="U891" s="15" t="str"/>
      <x:c r="V891" s="15" t="str"/>
      <x:c r="W891" s="15" t="str"/>
      <x:c r="X891" s="15" t="str">
        <x:v>FNB :-) R608.68 reserved for purchase @ Superspar Komatipoor from Current a/c..512781 using card..2924. Avail R3689. 5Jun 12:52</x:v>
      </x:c>
      <x:c r="Y891" s="15" t="str">
        <x:v>b2ef1696fc41c590</x:v>
      </x:c>
    </x:row>
    <x:row r="892">
      <x:c r="A892" s="34" t="n">
        <x:v>46178.82083333333</x:v>
      </x:c>
      <x:c r="B892" s="36" t="n">
        <x:v>46178</x:v>
      </x:c>
      <x:c r="C892" s="34" t="n">
        <x:v>46178.821284722224</x:v>
      </x:c>
      <x:c r="D892" s="15" t="str">
        <x:v>Current a/c..512781</x:v>
      </x:c>
      <x:c r="E892" s="15" t="str">
        <x:v>card..2924</x:v>
      </x:c>
      <x:c r="F892" s="15" t="str">
        <x:v>R420.00 reserved for purchase @ Ik *park Horizons Pt from Current a/c..512781 using card..2924. Avail R3200. 5Jun 19:42</x:v>
      </x:c>
      <x:c r="G892" s="15" t="str">
        <x:v>Ik *park Horizons Pt</x:v>
      </x:c>
      <x:c r="H892" s="38" t="n">
        <x:v>420</x:v>
      </x:c>
      <x:c r="I892" s="15" t="str">
        <x:v>ZAR</x:v>
      </x:c>
      <x:c r="J892" s="15" t="str">
        <x:v>Outflow</x:v>
      </x:c>
      <x:c r="K892" s="15" t="str">
        <x:v>Card purchase</x:v>
      </x:c>
      <x:c r="L892" s="15" t="str">
        <x:v>Card spend</x:v>
      </x:c>
      <x:c r="M892" s="38"/>
      <x:c r="N892" s="38" t="n">
        <x:v>3200</x:v>
      </x:c>
      <x:c r="O892" s="15" t="str"/>
      <x:c r="P892" s="15" t="str">
        <x:v>eml_ALL_currentac__512781 (2).zip &gt; eml1currentac__512781.zip</x:v>
      </x:c>
      <x:c r="Q892" s="15" t="str">
        <x:v>FNB _-) R420.00 reserved for purchase @ Ik _park Horizons Pt from Current a_c..512781 using card..2924.  5Jun 19_42.eml</x:v>
      </x:c>
      <x:c r="R892" s="15" t="str">
        <x:v>High</x:v>
      </x:c>
      <x:c r="S892" s="15" t="str">
        <x:v>Category confidence Low: Default card-spend category; merchant not confidently mapped.</x:v>
      </x:c>
      <x:c r="T892" s="15" t="str"/>
      <x:c r="U892" s="15" t="str"/>
      <x:c r="V892" s="15" t="str"/>
      <x:c r="W892" s="15" t="str"/>
      <x:c r="X892" s="15" t="str">
        <x:v>FNB :-) R420.00 reserved for purchase @ Ik *park Horizons Pt from Current a/c..512781 using card..2924. Avail R3200. 5Jun 19:42</x:v>
      </x:c>
      <x:c r="Y892" s="15" t="str">
        <x:v>154ff01d88db64cc</x:v>
      </x:c>
    </x:row>
    <x:row r="893">
      <x:c r="A893" s="34" t="n">
        <x:v>46179.44375</x:v>
      </x:c>
      <x:c r="B893" s="36" t="n">
        <x:v>46179</x:v>
      </x:c>
      <x:c r="C893" s="34" t="n">
        <x:v>46179.44422453704</x:v>
      </x:c>
      <x:c r="D893" s="15" t="str">
        <x:v>Current a/c..512781</x:v>
      </x:c>
      <x:c r="E893" s="15" t="str"/>
      <x:c r="F893" s="15" t="str">
        <x:v>R2254.86 paid to Current a/c..512781 @ Payshap. Ref.Ik Pay 487882. 6Jun 10:39</x:v>
      </x:c>
      <x:c r="G893" s="15" t="str">
        <x:v>Ik Pay 487882</x:v>
      </x:c>
      <x:c r="H893" s="38" t="n">
        <x:v>2254.86</x:v>
      </x:c>
      <x:c r="I893" s="15" t="str">
        <x:v>ZAR</x:v>
      </x:c>
      <x:c r="J893" s="15" t="str">
        <x:v>Inflow</x:v>
      </x:c>
      <x:c r="K893" s="15" t="str">
        <x:v>EFT receipt</x:v>
      </x:c>
      <x:c r="L893" s="15" t="str">
        <x:v>Sales / customer receipts</x:v>
      </x:c>
      <x:c r="M893" s="38"/>
      <x:c r="N893" s="38"/>
      <x:c r="O893" s="15" t="str"/>
      <x:c r="P893" s="15" t="str">
        <x:v>eml_ALL_currentac__512781 (2).zip &gt; eml1currentac__512781.zip</x:v>
      </x:c>
      <x:c r="Q893" s="15" t="str">
        <x:v>FNB _-) R2254.86 paid to Current a_c..512781 @ Payshap. Ref.Ik Pay 487882.  6Jun 10_39.eml</x:v>
      </x:c>
      <x:c r="R893" s="15" t="str">
        <x:v>High</x:v>
      </x:c>
      <x:c r="S893" s="15" t="str">
        <x:v>Category confidence Medium: Default for incoming EFT/PayShap/online receipt.</x:v>
      </x:c>
      <x:c r="T893" s="15" t="str"/>
      <x:c r="U893" s="15" t="str"/>
      <x:c r="V893" s="15" t="str">
        <x:v>Ik Pay 487882</x:v>
      </x:c>
      <x:c r="W893" s="15" t="str">
        <x:v>Payshap</x:v>
      </x:c>
      <x:c r="X893" s="15" t="str">
        <x:v>FNB :-) R2254.86 paid to Current a/c..512781 @ Payshap. Ref.Ik Pay 487882. 6Jun 10:39</x:v>
      </x:c>
      <x:c r="Y893" s="15" t="str">
        <x:v>b514d9e746cc9c51</x:v>
      </x:c>
    </x:row>
    <x:row r="894">
      <x:c r="A894" s="34" t="n">
        <x:v>46180.58888888889</x:v>
      </x:c>
      <x:c r="B894" s="36" t="n">
        <x:v>46180</x:v>
      </x:c>
      <x:c r="C894" s="34" t="n">
        <x:v>46180.589421296296</x:v>
      </x:c>
      <x:c r="D894" s="15" t="str">
        <x:v>Current a/c..512781</x:v>
      </x:c>
      <x:c r="E894" s="15" t="str">
        <x:v>card..2924</x:v>
      </x:c>
      <x:c r="F894" s="15" t="str">
        <x:v>R550.00 reserved for purchase @ Giraffe Pub And Gril from Current a/c..512781 using card..2924. Avail R4901. 7Jun 14:08</x:v>
      </x:c>
      <x:c r="G894" s="15" t="str">
        <x:v>Giraffe Pub And Gril</x:v>
      </x:c>
      <x:c r="H894" s="38" t="n">
        <x:v>550</x:v>
      </x:c>
      <x:c r="I894" s="15" t="str">
        <x:v>ZAR</x:v>
      </x:c>
      <x:c r="J894" s="15" t="str">
        <x:v>Outflow</x:v>
      </x:c>
      <x:c r="K894" s="15" t="str">
        <x:v>Card purchase</x:v>
      </x:c>
      <x:c r="L894" s="15" t="str">
        <x:v>Meals / restaurants / entertainment</x:v>
      </x:c>
      <x:c r="M894" s="38"/>
      <x:c r="N894" s="38" t="n">
        <x:v>4901</x:v>
      </x:c>
      <x:c r="O894" s="15" t="str"/>
      <x:c r="P894" s="15" t="str">
        <x:v>eml_ALL_currentac__512781 (2).zip &gt; eml1currentac__512781.zip</x:v>
      </x:c>
      <x:c r="Q894" s="15" t="str">
        <x:v>FNB _-) R550.00 reserved for purchase @ Giraffe Pub And Gril from Current a_c..512781 using card..2924.  7Jun 14_08.eml</x:v>
      </x:c>
      <x:c r="R894" s="15" t="str">
        <x:v>High</x:v>
      </x:c>
      <x:c r="S894" s="15" t="str"/>
      <x:c r="T894" s="15" t="str"/>
      <x:c r="U894" s="15" t="str"/>
      <x:c r="V894" s="15" t="str"/>
      <x:c r="W894" s="15" t="str"/>
      <x:c r="X894" s="15" t="str">
        <x:v>FNB :-) R550.00 reserved for purchase @ Giraffe Pub And Gril from Current a/c..512781 using card..2924. Avail R4901. 7Jun 14:08</x:v>
      </x:c>
      <x:c r="Y894" s="15" t="str">
        <x:v>5cfb80184723e9cb</x:v>
      </x:c>
    </x:row>
    <x:row r="895">
      <x:c r="A895" s="34" t="n">
        <x:v>46180.72986111111</x:v>
      </x:c>
      <x:c r="B895" s="36" t="n">
        <x:v>46180</x:v>
      </x:c>
      <x:c r="C895" s="34" t="n">
        <x:v>46180.73027777778</x:v>
      </x:c>
      <x:c r="D895" s="15" t="str">
        <x:v>Current a/c..512781</x:v>
      </x:c>
      <x:c r="E895" s="15" t="str"/>
      <x:c r="F895" s="15" t="str">
        <x:v>R150.00 paid from Current a/c..512781 @ Smartapp. Avail R4730. Ref.Electricity 14503572. 7Jun 17:31</x:v>
      </x:c>
      <x:c r="G895" s="15" t="str">
        <x:v>Electricity 14503572</x:v>
      </x:c>
      <x:c r="H895" s="38" t="n">
        <x:v>150</x:v>
      </x:c>
      <x:c r="I895" s="15" t="str">
        <x:v>ZAR</x:v>
      </x:c>
      <x:c r="J895" s="15" t="str">
        <x:v>Outflow</x:v>
      </x:c>
      <x:c r="K895" s="15" t="str">
        <x:v>EFT payment</x:v>
      </x:c>
      <x:c r="L895" s="15" t="str">
        <x:v>Telecom / utilities</x:v>
      </x:c>
      <x:c r="M895" s="38"/>
      <x:c r="N895" s="38" t="n">
        <x:v>4730</x:v>
      </x:c>
      <x:c r="O895" s="15" t="str"/>
      <x:c r="P895" s="15" t="str">
        <x:v>eml_ALL_currentac__512781 (2).zip &gt; eml1currentac__512781.zip</x:v>
      </x:c>
      <x:c r="Q895" s="15" t="str">
        <x:v>FNB _-) R150.00 paid from Current a_c..512781 @ Smartapp. Ref.Electricity 14503572.  7Jun 17_31.eml</x:v>
      </x:c>
      <x:c r="R895" s="15" t="str">
        <x:v>High</x:v>
      </x:c>
      <x:c r="S895" s="15" t="str"/>
      <x:c r="T895" s="15" t="str"/>
      <x:c r="U895" s="15" t="str"/>
      <x:c r="V895" s="15" t="str">
        <x:v>Electricity 14503572</x:v>
      </x:c>
      <x:c r="W895" s="15" t="str">
        <x:v>Smartapp</x:v>
      </x:c>
      <x:c r="X895" s="15" t="str">
        <x:v>FNB :-) R150.00 paid from Current a/c..512781 @ Smartapp. Avail R4730. Ref.Electricity 14503572. 7Jun 17:31</x:v>
      </x:c>
      <x:c r="Y895" s="15" t="str">
        <x:v>89569b679f9ef4f6</x:v>
      </x:c>
    </x:row>
    <x:row r="896">
      <x:c r="A896" s="34" t="n">
        <x:v>46181.498611111114</x:v>
      </x:c>
      <x:c r="B896" s="36" t="n">
        <x:v>46181</x:v>
      </x:c>
      <x:c r="C896" s="34" t="n">
        <x:v>46181.4991087963</x:v>
      </x:c>
      <x:c r="D896" s="15" t="str">
        <x:v>Current a/c..512781</x:v>
      </x:c>
      <x:c r="E896" s="15" t="str"/>
      <x:c r="F896" s="15" t="str">
        <x:v>R4100.00 paid to Current a/c..512781 @ 00182007 ATM. Ref.Gd. 8Jun 11:58</x:v>
      </x:c>
      <x:c r="G896" s="15" t="str">
        <x:v>Gd</x:v>
      </x:c>
      <x:c r="H896" s="38" t="n">
        <x:v>4100</x:v>
      </x:c>
      <x:c r="I896" s="15" t="str">
        <x:v>ZAR</x:v>
      </x:c>
      <x:c r="J896" s="15" t="str">
        <x:v>Inflow</x:v>
      </x:c>
      <x:c r="K896" s="15" t="str">
        <x:v>EFT receipt</x:v>
      </x:c>
      <x:c r="L896" s="15" t="str">
        <x:v>Sales / customer receipts</x:v>
      </x:c>
      <x:c r="M896" s="38"/>
      <x:c r="N896" s="38"/>
      <x:c r="O896" s="15" t="str"/>
      <x:c r="P896" s="15" t="str">
        <x:v>eml_ALL_currentac__512781 (2).zip &gt; eml1currentac__512781.zip</x:v>
      </x:c>
      <x:c r="Q896" s="15" t="str">
        <x:v>FNB _-) R4100.00 paid to Current a_c..512781 @ 00182007 ATM. Ref.Gd.  8Jun 11_58.eml</x:v>
      </x:c>
      <x:c r="R896" s="15" t="str">
        <x:v>High</x:v>
      </x:c>
      <x:c r="S896" s="15" t="str">
        <x:v>Category confidence Medium: Default for incoming EFT/PayShap/online receipt.</x:v>
      </x:c>
      <x:c r="T896" s="15" t="str"/>
      <x:c r="U896" s="15" t="str"/>
      <x:c r="V896" s="15" t="str">
        <x:v>Gd</x:v>
      </x:c>
      <x:c r="W896" s="15" t="str">
        <x:v>00182007 ATM</x:v>
      </x:c>
      <x:c r="X896" s="15" t="str">
        <x:v>FNB :-) R4100.00 paid to Current a/c..512781 @ 00182007 ATM. Ref.Gd. 8Jun 11:58</x:v>
      </x:c>
      <x:c r="Y896" s="15" t="str">
        <x:v>42edb76d66350231</x:v>
      </x:c>
    </x:row>
    <x:row r="897">
      <x:c r="A897" s="34" t="n">
        <x:v>46181.541666666664</x:v>
      </x:c>
      <x:c r="B897" s="36" t="n">
        <x:v>46181</x:v>
      </x:c>
      <x:c r="C897" s="34" t="n">
        <x:v>46181.54230324074</x:v>
      </x:c>
      <x:c r="D897" s="15" t="str">
        <x:v>Current a/c..512781</x:v>
      </x:c>
      <x:c r="E897" s="15" t="str">
        <x:v>card..2924</x:v>
      </x:c>
      <x:c r="F897" s="15" t="str">
        <x:v>R296.40 reserved for purchase @ Shoprite Komatipoort from Current a/c..512781 using card..2924. Avail R8373. 8Jun 13:00</x:v>
      </x:c>
      <x:c r="G897" s="15" t="str">
        <x:v>Shoprite Komatipoort</x:v>
      </x:c>
      <x:c r="H897" s="38" t="n">
        <x:v>296.4</x:v>
      </x:c>
      <x:c r="I897" s="15" t="str">
        <x:v>ZAR</x:v>
      </x:c>
      <x:c r="J897" s="15" t="str">
        <x:v>Outflow</x:v>
      </x:c>
      <x:c r="K897" s="15" t="str">
        <x:v>Card purchase</x:v>
      </x:c>
      <x:c r="L897" s="15" t="str">
        <x:v>Supplier payments</x:v>
      </x:c>
      <x:c r="M897" s="38"/>
      <x:c r="N897" s="38" t="n">
        <x:v>8373</x:v>
      </x:c>
      <x:c r="O897" s="15" t="str"/>
      <x:c r="P897" s="15" t="str">
        <x:v>eml_ALL_currentac__512781 (2).zip &gt; eml1currentac__512781.zip</x:v>
      </x:c>
      <x:c r="Q897" s="15" t="str">
        <x:v>FNB _-) R296.40 reserved for purchase @ Shoprite Komatipoort from Current a_c..512781 using card..2924.  8Jun 13_00.eml</x:v>
      </x:c>
      <x:c r="R897" s="15" t="str">
        <x:v>High</x:v>
      </x:c>
      <x:c r="S897" s="15" t="str">
        <x:v>Category confidence Medium: Retail/supplier merchant keyword.</x:v>
      </x:c>
      <x:c r="T897" s="15" t="str"/>
      <x:c r="U897" s="15" t="str"/>
      <x:c r="V897" s="15" t="str"/>
      <x:c r="W897" s="15" t="str"/>
      <x:c r="X897" s="15" t="str">
        <x:v>FNB :-) R296.40 reserved for purchase @ Shoprite Komatipoort from Current a/c..512781 using card..2924. Avail R8373. 8Jun 13:00</x:v>
      </x:c>
      <x:c r="Y897" s="15" t="str">
        <x:v>d607e7e7c1c4ee9b</x:v>
      </x:c>
    </x:row>
    <x:row r="898">
      <x:c r="A898" s="34" t="n">
        <x:v>46181.54722222222</x:v>
      </x:c>
      <x:c r="B898" s="36" t="n">
        <x:v>46181</x:v>
      </x:c>
      <x:c r="C898" s="34" t="n">
        <x:v>46181.547847222224</x:v>
      </x:c>
      <x:c r="D898" s="15" t="str">
        <x:v>Current a/c..512781</x:v>
      </x:c>
      <x:c r="E898" s="15" t="str"/>
      <x:c r="F898" s="15" t="str">
        <x:v>R5056.40 paid from Current a/c..512781 @ Smartapp. Avail R3313. Ref.Kruger Saf 1700 50%. 8Jun 13:08</x:v>
      </x:c>
      <x:c r="G898" s="15" t="str">
        <x:v>Kruger Saf 1700 50%</x:v>
      </x:c>
      <x:c r="H898" s="38" t="n">
        <x:v>5056.4</x:v>
      </x:c>
      <x:c r="I898" s="15" t="str">
        <x:v>ZAR</x:v>
      </x:c>
      <x:c r="J898" s="15" t="str">
        <x:v>Outflow</x:v>
      </x:c>
      <x:c r="K898" s="15" t="str">
        <x:v>EFT payment</x:v>
      </x:c>
      <x:c r="L898" s="15" t="str">
        <x:v>Supplier payments</x:v>
      </x:c>
      <x:c r="M898" s="38"/>
      <x:c r="N898" s="38" t="n">
        <x:v>3313</x:v>
      </x:c>
      <x:c r="O898" s="15" t="str"/>
      <x:c r="P898" s="15" t="str">
        <x:v>eml_ALL_currentac__512781 (2).zip &gt; eml1currentac__512781.zip</x:v>
      </x:c>
      <x:c r="Q898" s="15" t="str">
        <x:v>FNB _-) R5056.40 paid from Current a_c..512781 @ Smartapp. Ref.Kruger Saf 1700 50%.  8Jun 13_08.eml</x:v>
      </x:c>
      <x:c r="R898" s="15" t="str">
        <x:v>High</x:v>
      </x:c>
      <x:c r="S898" s="15" t="str">
        <x:v>Category confidence Low: Default outflow category; review counterparty/reference.</x:v>
      </x:c>
      <x:c r="T898" s="15" t="str"/>
      <x:c r="U898" s="15" t="str"/>
      <x:c r="V898" s="15" t="str">
        <x:v>Kruger Saf 1700 50%</x:v>
      </x:c>
      <x:c r="W898" s="15" t="str">
        <x:v>Smartapp</x:v>
      </x:c>
      <x:c r="X898" s="15" t="str">
        <x:v>FNB :-) R5056.40 paid from Current a/c..512781 @ Smartapp. Avail R3313. Ref.Kruger Saf 1700 50%. 8Jun 13:08</x:v>
      </x:c>
      <x:c r="Y898" s="15" t="str">
        <x:v>22d11def7ecfd337</x:v>
      </x:c>
    </x:row>
    <x:row r="899">
      <x:c r="A899" s="34" t="n">
        <x:v>46181.58263888889</x:v>
      </x:c>
      <x:c r="B899" s="36" t="n">
        <x:v>46181</x:v>
      </x:c>
      <x:c r="C899" s="34" t="n">
        <x:v>46181.583125</x:v>
      </x:c>
      <x:c r="D899" s="15" t="str">
        <x:v>Current a/c..512781</x:v>
      </x:c>
      <x:c r="E899" s="15" t="str">
        <x:v>card..2924</x:v>
      </x:c>
      <x:c r="F899" s="15" t="str">
        <x:v>R391.12 reserved for purchase @ Superspar Komatipoor from Current a/c..512781 using card..2924. Avail R2922. 8Jun 13:59</x:v>
      </x:c>
      <x:c r="G899" s="15" t="str">
        <x:v>Superspar Komatipoor</x:v>
      </x:c>
      <x:c r="H899" s="38" t="n">
        <x:v>391.12</x:v>
      </x:c>
      <x:c r="I899" s="15" t="str">
        <x:v>ZAR</x:v>
      </x:c>
      <x:c r="J899" s="15" t="str">
        <x:v>Outflow</x:v>
      </x:c>
      <x:c r="K899" s="15" t="str">
        <x:v>Card purchase</x:v>
      </x:c>
      <x:c r="L899" s="15" t="str">
        <x:v>Supplier payments</x:v>
      </x:c>
      <x:c r="M899" s="38"/>
      <x:c r="N899" s="38" t="n">
        <x:v>2922</x:v>
      </x:c>
      <x:c r="O899" s="15" t="str"/>
      <x:c r="P899" s="15" t="str">
        <x:v>eml_ALL_currentac__512781 (2).zip &gt; eml1currentac__512781.zip</x:v>
      </x:c>
      <x:c r="Q899" s="15" t="str">
        <x:v>FNB _-) R391.12 reserved for purchase @ Superspar Komatipoor from Current a_c..512781 using card..2924.  8Jun 13_59.eml</x:v>
      </x:c>
      <x:c r="R899" s="15" t="str">
        <x:v>High</x:v>
      </x:c>
      <x:c r="S899" s="15" t="str">
        <x:v>Category confidence Medium: Retail/supplier merchant keyword.</x:v>
      </x:c>
      <x:c r="T899" s="15" t="str"/>
      <x:c r="U899" s="15" t="str"/>
      <x:c r="V899" s="15" t="str"/>
      <x:c r="W899" s="15" t="str"/>
      <x:c r="X899" s="15" t="str">
        <x:v>FNB :-) R391.12 reserved for purchase @ Superspar Komatipoor from Current a/c..512781 using card..2924. Avail R2922. 8Jun 13:59</x:v>
      </x:c>
      <x:c r="Y899" s="15" t="str">
        <x:v>d0696cde0c6d5fe4</x:v>
      </x:c>
    </x:row>
    <x:row r="900">
      <x:c r="A900" s="34" t="n">
        <x:v>46181.597916666666</x:v>
      </x:c>
      <x:c r="B900" s="36" t="n">
        <x:v>46181</x:v>
      </x:c>
      <x:c r="C900" s="34" t="n">
        <x:v>46181.597962962966</x:v>
      </x:c>
      <x:c r="D900" s="15" t="str">
        <x:v>Current a/c..512781</x:v>
      </x:c>
      <x:c r="E900" s="15" t="str">
        <x:v>card..2924</x:v>
      </x:c>
      <x:c r="F900" s="15" t="str">
        <x:v>R395.80 reserved for purchase @ Komati Liquor from Current a/c..512781 using card..2924. Avail R2526. 8Jun 14:21</x:v>
      </x:c>
      <x:c r="G900" s="15" t="str">
        <x:v>Komati Liquor</x:v>
      </x:c>
      <x:c r="H900" s="38" t="n">
        <x:v>395.8</x:v>
      </x:c>
      <x:c r="I900" s="15" t="str">
        <x:v>ZAR</x:v>
      </x:c>
      <x:c r="J900" s="15" t="str">
        <x:v>Outflow</x:v>
      </x:c>
      <x:c r="K900" s="15" t="str">
        <x:v>Card purchase</x:v>
      </x:c>
      <x:c r="L900" s="15" t="str">
        <x:v>Meals / restaurants / entertainment</x:v>
      </x:c>
      <x:c r="M900" s="38"/>
      <x:c r="N900" s="38" t="n">
        <x:v>2526</x:v>
      </x:c>
      <x:c r="O900" s="15" t="str"/>
      <x:c r="P900" s="15" t="str">
        <x:v>eml_ALL_currentac__512781 (2).zip &gt; eml1currentac__512781.zip</x:v>
      </x:c>
      <x:c r="Q900" s="15" t="str">
        <x:v>FNB _-) R395.80 reserved for purchase @ Komati Liquor from Current a_c..512781 using card..2924.  8Jun 14_21.eml</x:v>
      </x:c>
      <x:c r="R900" s="15" t="str">
        <x:v>High</x:v>
      </x:c>
      <x:c r="S900" s="15" t="str"/>
      <x:c r="T900" s="15" t="str"/>
      <x:c r="U900" s="15" t="str"/>
      <x:c r="V900" s="15" t="str"/>
      <x:c r="W900" s="15" t="str"/>
      <x:c r="X900" s="15" t="str">
        <x:v>FNB :-) R395.80 reserved for purchase @ Komati Liquor from Current a/c..512781 using card..2924. Avail R2526. 8Jun 14:21</x:v>
      </x:c>
      <x:c r="Y900" s="15" t="str">
        <x:v>11ba28d6da23d409</x:v>
      </x:c>
    </x:row>
    <x:row r="901">
      <x:c r="A901" s="34" t="n">
        <x:v>46182.41875</x:v>
      </x:c>
      <x:c r="B901" s="36" t="n">
        <x:v>46182</x:v>
      </x:c>
      <x:c r="C901" s="34" t="n">
        <x:v>46182.41888888889</x:v>
      </x:c>
      <x:c r="D901" s="15" t="str">
        <x:v>Current a/c..512781</x:v>
      </x:c>
      <x:c r="E901" s="15" t="str"/>
      <x:c r="F901" s="15" t="str">
        <x:v>R150.00 paid from Current a/c..512781 @ Smartapp. Avail R2363. Ref.Electricity 14503572. 9Jun 10:03</x:v>
      </x:c>
      <x:c r="G901" s="15" t="str">
        <x:v>Electricity 14503572</x:v>
      </x:c>
      <x:c r="H901" s="38" t="n">
        <x:v>150</x:v>
      </x:c>
      <x:c r="I901" s="15" t="str">
        <x:v>ZAR</x:v>
      </x:c>
      <x:c r="J901" s="15" t="str">
        <x:v>Outflow</x:v>
      </x:c>
      <x:c r="K901" s="15" t="str">
        <x:v>EFT payment</x:v>
      </x:c>
      <x:c r="L901" s="15" t="str">
        <x:v>Telecom / utilities</x:v>
      </x:c>
      <x:c r="M901" s="38"/>
      <x:c r="N901" s="38" t="n">
        <x:v>2363</x:v>
      </x:c>
      <x:c r="O901" s="15" t="str"/>
      <x:c r="P901" s="15" t="str">
        <x:v>eml_ALL_currentac__512781 (2).zip &gt; eml1currentac__512781.zip</x:v>
      </x:c>
      <x:c r="Q901" s="15" t="str">
        <x:v>FNB _-) R150.00 paid from Current a_c..512781 @ Smartapp. Ref.Electricity 14503572.  9Jun 10_03.eml</x:v>
      </x:c>
      <x:c r="R901" s="15" t="str">
        <x:v>High</x:v>
      </x:c>
      <x:c r="S901" s="15" t="str"/>
      <x:c r="T901" s="15" t="str"/>
      <x:c r="U901" s="15" t="str"/>
      <x:c r="V901" s="15" t="str">
        <x:v>Electricity 14503572</x:v>
      </x:c>
      <x:c r="W901" s="15" t="str">
        <x:v>Smartapp</x:v>
      </x:c>
      <x:c r="X901" s="15" t="str">
        <x:v>FNB :-) R150.00 paid from Current a/c..512781 @ Smartapp. Avail R2363. Ref.Electricity 14503572. 9Jun 10:03</x:v>
      </x:c>
      <x:c r="Y901" s="15" t="str">
        <x:v>97314e0b02e800fe</x:v>
      </x:c>
    </x:row>
    <x:row r="902">
      <x:c r="A902" s="34" t="n">
        <x:v>46182.59097222222</x:v>
      </x:c>
      <x:c r="B902" s="36" t="n">
        <x:v>46182</x:v>
      </x:c>
      <x:c r="C902" s="34" t="n">
        <x:v>46182.591099537036</x:v>
      </x:c>
      <x:c r="D902" s="15" t="str">
        <x:v>Current a/c..512781</x:v>
      </x:c>
      <x:c r="E902" s="15" t="str">
        <x:v>card..2924</x:v>
      </x:c>
      <x:c r="F902" s="15" t="str">
        <x:v>R265.80 reserved for purchase @ Lebombo Butchery from Current a/c..512781 using card..2924. Avail R1998. 9Jun 14:11</x:v>
      </x:c>
      <x:c r="G902" s="15" t="str">
        <x:v>Lebombo Butchery</x:v>
      </x:c>
      <x:c r="H902" s="38" t="n">
        <x:v>265.8</x:v>
      </x:c>
      <x:c r="I902" s="15" t="str">
        <x:v>ZAR</x:v>
      </x:c>
      <x:c r="J902" s="15" t="str">
        <x:v>Outflow</x:v>
      </x:c>
      <x:c r="K902" s="15" t="str">
        <x:v>Card purchase</x:v>
      </x:c>
      <x:c r="L902" s="15" t="str">
        <x:v>Supplier payments</x:v>
      </x:c>
      <x:c r="M902" s="38"/>
      <x:c r="N902" s="38" t="n">
        <x:v>1998</x:v>
      </x:c>
      <x:c r="O902" s="15" t="str"/>
      <x:c r="P902" s="15" t="str">
        <x:v>eml_ALL_currentac__512781 (2).zip &gt; eml1currentac__512781.zip</x:v>
      </x:c>
      <x:c r="Q902" s="15" t="str">
        <x:v>FNB _-) R265.80 reserved for purchase @ Lebombo Butchery from Current a_c..512781 using card..2924.  9Jun 14_11.eml</x:v>
      </x:c>
      <x:c r="R902" s="15" t="str">
        <x:v>High</x:v>
      </x:c>
      <x:c r="S902" s="15" t="str">
        <x:v>Category confidence Medium: Retail/supplier merchant keyword.</x:v>
      </x:c>
      <x:c r="T902" s="15" t="str"/>
      <x:c r="U902" s="15" t="str"/>
      <x:c r="V902" s="15" t="str"/>
      <x:c r="W902" s="15" t="str"/>
      <x:c r="X902" s="15" t="str">
        <x:v>FNB :-) R265.80 reserved for purchase @ Lebombo Butchery from Current a/c..512781 using card..2924. Avail R1998. 9Jun 14:11</x:v>
      </x:c>
      <x:c r="Y902" s="15" t="str">
        <x:v>14707f6d36e9480b</x:v>
      </x:c>
    </x:row>
    <x:row r="903">
      <x:c r="A903" s="34" t="n">
        <x:v>46182.60138888889</x:v>
      </x:c>
      <x:c r="B903" s="36" t="n">
        <x:v>46182</x:v>
      </x:c>
      <x:c r="C903" s="34" t="n">
        <x:v>46182.601643518516</x:v>
      </x:c>
      <x:c r="D903" s="15" t="str">
        <x:v>Current a/c..512781</x:v>
      </x:c>
      <x:c r="E903" s="15" t="str">
        <x:v>card..2924</x:v>
      </x:c>
      <x:c r="F903" s="15" t="str">
        <x:v>R108.89 reserved for purchase @ Superspar Komatipoor from Current a/c..512781 using card..2924. Avail R1889. 9Jun 14:26</x:v>
      </x:c>
      <x:c r="G903" s="15" t="str">
        <x:v>Superspar Komatipoor</x:v>
      </x:c>
      <x:c r="H903" s="38" t="n">
        <x:v>108.89</x:v>
      </x:c>
      <x:c r="I903" s="15" t="str">
        <x:v>ZAR</x:v>
      </x:c>
      <x:c r="J903" s="15" t="str">
        <x:v>Outflow</x:v>
      </x:c>
      <x:c r="K903" s="15" t="str">
        <x:v>Card purchase</x:v>
      </x:c>
      <x:c r="L903" s="15" t="str">
        <x:v>Supplier payments</x:v>
      </x:c>
      <x:c r="M903" s="38"/>
      <x:c r="N903" s="38" t="n">
        <x:v>1889</x:v>
      </x:c>
      <x:c r="O903" s="15" t="str"/>
      <x:c r="P903" s="15" t="str">
        <x:v>eml_ALL_currentac__512781 (2).zip &gt; eml1currentac__512781.zip</x:v>
      </x:c>
      <x:c r="Q903" s="15" t="str">
        <x:v>FNB _-) R108.89 reserved for purchase @ Superspar Komatipoor from Current a_c..512781 using card..2924.  9Jun 14_26.eml</x:v>
      </x:c>
      <x:c r="R903" s="15" t="str">
        <x:v>High</x:v>
      </x:c>
      <x:c r="S903" s="15" t="str">
        <x:v>Category confidence Medium: Retail/supplier merchant keyword.</x:v>
      </x:c>
      <x:c r="T903" s="15" t="str"/>
      <x:c r="U903" s="15" t="str"/>
      <x:c r="V903" s="15" t="str"/>
      <x:c r="W903" s="15" t="str"/>
      <x:c r="X903" s="15" t="str">
        <x:v>FNB :-) R108.89 reserved for purchase @ Superspar Komatipoor from Current a/c..512781 using card..2924. Avail R1889. 9Jun 14:26</x:v>
      </x:c>
      <x:c r="Y903" s="15" t="str">
        <x:v>bdcf230a7248ccf9</x:v>
      </x:c>
    </x:row>
    <x:row r="904">
      <x:c r="A904" s="34" t="n">
        <x:v>46182.81736111111</x:v>
      </x:c>
      <x:c r="B904" s="36" t="n">
        <x:v>46182</x:v>
      </x:c>
      <x:c r="C904" s="34" t="n">
        <x:v>46182.81744212963</x:v>
      </x:c>
      <x:c r="D904" s="15" t="str">
        <x:v>Current a/c..512781</x:v>
      </x:c>
      <x:c r="E904" s="15" t="str"/>
      <x:c r="F904" s="15" t="str">
        <x:v>R150.00 paid from Current a/c..512781 @ Smartapp. Avail R1647. Ref.Electricity 04294887. 9Jun 19:37</x:v>
      </x:c>
      <x:c r="G904" s="15" t="str">
        <x:v>Electricity 04294887</x:v>
      </x:c>
      <x:c r="H904" s="38" t="n">
        <x:v>150</x:v>
      </x:c>
      <x:c r="I904" s="15" t="str">
        <x:v>ZAR</x:v>
      </x:c>
      <x:c r="J904" s="15" t="str">
        <x:v>Outflow</x:v>
      </x:c>
      <x:c r="K904" s="15" t="str">
        <x:v>EFT payment</x:v>
      </x:c>
      <x:c r="L904" s="15" t="str">
        <x:v>Telecom / utilities</x:v>
      </x:c>
      <x:c r="M904" s="38"/>
      <x:c r="N904" s="38" t="n">
        <x:v>1647</x:v>
      </x:c>
      <x:c r="O904" s="15" t="str"/>
      <x:c r="P904" s="15" t="str">
        <x:v>eml_ALL_currentac__512781 (2).zip &gt; eml1currentac__512781.zip</x:v>
      </x:c>
      <x:c r="Q904" s="15" t="str">
        <x:v>FNB _-) R150.00 paid from Current a_c..512781 @ Smartapp. Ref.Electricity 04294887.  9Jun 19_37.eml</x:v>
      </x:c>
      <x:c r="R904" s="15" t="str">
        <x:v>High</x:v>
      </x:c>
      <x:c r="S904" s="15" t="str"/>
      <x:c r="T904" s="15" t="str"/>
      <x:c r="U904" s="15" t="str"/>
      <x:c r="V904" s="15" t="str">
        <x:v>Electricity 04294887</x:v>
      </x:c>
      <x:c r="W904" s="15" t="str">
        <x:v>Smartapp</x:v>
      </x:c>
      <x:c r="X904" s="15" t="str">
        <x:v>FNB :-) R150.00 paid from Current a/c..512781 @ Smartapp. Avail R1647. Ref.Electricity 04294887. 9Jun 19:37</x:v>
      </x:c>
      <x:c r="Y904" s="15" t="str">
        <x:v>eec5abd290e2c6da</x:v>
      </x:c>
    </x:row>
    <x:row r="905">
      <x:c r="A905" s="34" t="n">
        <x:v>46182.81736111111</x:v>
      </x:c>
      <x:c r="B905" s="36" t="n">
        <x:v>46182</x:v>
      </x:c>
      <x:c r="C905" s="34" t="n">
        <x:v>46182.81752314815</x:v>
      </x:c>
      <x:c r="D905" s="15" t="str">
        <x:v>Current a/c..512781</x:v>
      </x:c>
      <x:c r="E905" s="15" t="str"/>
      <x:c r="F905" s="15" t="str">
        <x:v>R150.00 paid to Current a/c..512781 @ Smartapp. Ref.524405,04294887007. 9Jun 19:37</x:v>
      </x:c>
      <x:c r="G905" s="15" t="str">
        <x:v>524405,04294887007</x:v>
      </x:c>
      <x:c r="H905" s="38" t="n">
        <x:v>150</x:v>
      </x:c>
      <x:c r="I905" s="15" t="str">
        <x:v>ZAR</x:v>
      </x:c>
      <x:c r="J905" s="15" t="str">
        <x:v>Inflow</x:v>
      </x:c>
      <x:c r="K905" s="15" t="str">
        <x:v>EFT receipt</x:v>
      </x:c>
      <x:c r="L905" s="15" t="str">
        <x:v>Sales / customer receipts</x:v>
      </x:c>
      <x:c r="M905" s="38"/>
      <x:c r="N905" s="38"/>
      <x:c r="O905" s="15" t="str"/>
      <x:c r="P905" s="15" t="str">
        <x:v>eml_ALL_currentac__512781 (2).zip &gt; eml1currentac__512781.zip</x:v>
      </x:c>
      <x:c r="Q905" s="15" t="str">
        <x:v>FNB _-) R150.00 paid to Current a_c..512781 @ Smartapp. Ref.524405,04294887007.  9Jun 19_37.eml</x:v>
      </x:c>
      <x:c r="R905" s="15" t="str">
        <x:v>High</x:v>
      </x:c>
      <x:c r="S905" s="15" t="str">
        <x:v>Category confidence Medium: Default for incoming EFT/PayShap/online receipt.</x:v>
      </x:c>
      <x:c r="T905" s="15" t="str"/>
      <x:c r="U905" s="15" t="str"/>
      <x:c r="V905" s="15" t="str">
        <x:v>524405,04294887007</x:v>
      </x:c>
      <x:c r="W905" s="15" t="str">
        <x:v>Smartapp</x:v>
      </x:c>
      <x:c r="X905" s="15" t="str">
        <x:v>FNB :-) R150.00 paid to Current a/c..512781 @ Smartapp. Ref.524405,04294887007. 9Jun 19:37</x:v>
      </x:c>
      <x:c r="Y905" s="15" t="str">
        <x:v>2c38664f27d189bd</x:v>
      </x:c>
    </x:row>
    <x:row r="906">
      <x:c r="A906" s="34" t="n">
        <x:v>46182.81805555556</x:v>
      </x:c>
      <x:c r="B906" s="36" t="n">
        <x:v>46182</x:v>
      </x:c>
      <x:c r="C906" s="34" t="n">
        <x:v>46182.81847222222</x:v>
      </x:c>
      <x:c r="D906" s="15" t="str">
        <x:v>Current a/c..512781</x:v>
      </x:c>
      <x:c r="E906" s="15" t="str"/>
      <x:c r="F906" s="15" t="str">
        <x:v>R150.00 paid from Current a/c..512781 @ Smartapp. Avail R1647. Ref.Electricity 04294887. 9Jun 19:38</x:v>
      </x:c>
      <x:c r="G906" s="15" t="str">
        <x:v>Electricity 04294887</x:v>
      </x:c>
      <x:c r="H906" s="38" t="n">
        <x:v>150</x:v>
      </x:c>
      <x:c r="I906" s="15" t="str">
        <x:v>ZAR</x:v>
      </x:c>
      <x:c r="J906" s="15" t="str">
        <x:v>Outflow</x:v>
      </x:c>
      <x:c r="K906" s="15" t="str">
        <x:v>EFT payment</x:v>
      </x:c>
      <x:c r="L906" s="15" t="str">
        <x:v>Telecom / utilities</x:v>
      </x:c>
      <x:c r="M906" s="38"/>
      <x:c r="N906" s="38" t="n">
        <x:v>1647</x:v>
      </x:c>
      <x:c r="O906" s="15" t="str"/>
      <x:c r="P906" s="15" t="str">
        <x:v>eml_ALL_currentac__512781 (2).zip &gt; eml1currentac__512781.zip</x:v>
      </x:c>
      <x:c r="Q906" s="15" t="str">
        <x:v>FNB _-) R150.00 paid from Current a_c..512781 @ Smartapp. Ref.Electricity 04294887.  9Jun 19_38.eml</x:v>
      </x:c>
      <x:c r="R906" s="15" t="str">
        <x:v>High</x:v>
      </x:c>
      <x:c r="S906" s="15" t="str"/>
      <x:c r="T906" s="15" t="str"/>
      <x:c r="U906" s="15" t="str"/>
      <x:c r="V906" s="15" t="str">
        <x:v>Electricity 04294887</x:v>
      </x:c>
      <x:c r="W906" s="15" t="str">
        <x:v>Smartapp</x:v>
      </x:c>
      <x:c r="X906" s="15" t="str">
        <x:v>FNB :-) R150.00 paid from Current a/c..512781 @ Smartapp. Avail R1647. Ref.Electricity 04294887. 9Jun 19:38</x:v>
      </x:c>
      <x:c r="Y906" s="15" t="str">
        <x:v>1e2df5b5fb4eac53</x:v>
      </x:c>
    </x:row>
    <x:row r="907">
      <x:c r="A907" s="34" t="n">
        <x:v>46182.81805555556</x:v>
      </x:c>
      <x:c r="B907" s="36" t="n">
        <x:v>46182</x:v>
      </x:c>
      <x:c r="C907" s="34" t="n">
        <x:v>46182.818506944444</x:v>
      </x:c>
      <x:c r="D907" s="15" t="str">
        <x:v>Current a/c..512781</x:v>
      </x:c>
      <x:c r="E907" s="15" t="str"/>
      <x:c r="F907" s="15" t="str">
        <x:v>R150.00 paid to Current a/c..512781 @ Smartapp. Ref.524745,04294887007. 9Jun 19:38</x:v>
      </x:c>
      <x:c r="G907" s="15" t="str">
        <x:v>524745,04294887007</x:v>
      </x:c>
      <x:c r="H907" s="38" t="n">
        <x:v>150</x:v>
      </x:c>
      <x:c r="I907" s="15" t="str">
        <x:v>ZAR</x:v>
      </x:c>
      <x:c r="J907" s="15" t="str">
        <x:v>Inflow</x:v>
      </x:c>
      <x:c r="K907" s="15" t="str">
        <x:v>EFT receipt</x:v>
      </x:c>
      <x:c r="L907" s="15" t="str">
        <x:v>Sales / customer receipts</x:v>
      </x:c>
      <x:c r="M907" s="38"/>
      <x:c r="N907" s="38"/>
      <x:c r="O907" s="15" t="str"/>
      <x:c r="P907" s="15" t="str">
        <x:v>eml_ALL_currentac__512781 (2).zip &gt; eml1currentac__512781.zip</x:v>
      </x:c>
      <x:c r="Q907" s="15" t="str">
        <x:v>FNB _-) R150.00 paid to Current a_c..512781 @ Smartapp. Ref.524745,04294887007.  9Jun 19_38.eml</x:v>
      </x:c>
      <x:c r="R907" s="15" t="str">
        <x:v>High</x:v>
      </x:c>
      <x:c r="S907" s="15" t="str">
        <x:v>Category confidence Medium: Default for incoming EFT/PayShap/online receipt.</x:v>
      </x:c>
      <x:c r="T907" s="15" t="str"/>
      <x:c r="U907" s="15" t="str"/>
      <x:c r="V907" s="15" t="str">
        <x:v>524745,04294887007</x:v>
      </x:c>
      <x:c r="W907" s="15" t="str">
        <x:v>Smartapp</x:v>
      </x:c>
      <x:c r="X907" s="15" t="str">
        <x:v>FNB :-) R150.00 paid to Current a/c..512781 @ Smartapp. Ref.524745,04294887007. 9Jun 19:38</x:v>
      </x:c>
      <x:c r="Y907" s="15" t="str">
        <x:v>2c6ae7f2574b6314</x:v>
      </x:c>
    </x:row>
    <x:row r="908">
      <x:c r="A908" s="34" t="n">
        <x:v>46183.51944444444</x:v>
      </x:c>
      <x:c r="B908" s="36" t="n">
        <x:v>46183</x:v>
      </x:c>
      <x:c r="C908" s="34" t="n">
        <x:v>46183.51961805556</x:v>
      </x:c>
      <x:c r="D908" s="15" t="str">
        <x:v>Current a/c..512781</x:v>
      </x:c>
      <x:c r="E908" s="15" t="str">
        <x:v>card..2924</x:v>
      </x:c>
      <x:c r="F908" s="15" t="str">
        <x:v>R126.00 reserved for purchase @ Machado Tap N Go from Current a/c..512781 using card..2924. Avail R1574. 10Jun 12:28</x:v>
      </x:c>
      <x:c r="G908" s="15" t="str">
        <x:v>Machado Tap N Go</x:v>
      </x:c>
      <x:c r="H908" s="38" t="n">
        <x:v>126</x:v>
      </x:c>
      <x:c r="I908" s="15" t="str">
        <x:v>ZAR</x:v>
      </x:c>
      <x:c r="J908" s="15" t="str">
        <x:v>Outflow</x:v>
      </x:c>
      <x:c r="K908" s="15" t="str">
        <x:v>Card purchase</x:v>
      </x:c>
      <x:c r="L908" s="15" t="str">
        <x:v>Card spend</x:v>
      </x:c>
      <x:c r="M908" s="38"/>
      <x:c r="N908" s="38" t="n">
        <x:v>1574</x:v>
      </x:c>
      <x:c r="O908" s="15" t="str"/>
      <x:c r="P908" s="15" t="str">
        <x:v>eml_ALL_currentac__512781 (2).zip &gt; eml1currentac__512781.zip</x:v>
      </x:c>
      <x:c r="Q908" s="15" t="str">
        <x:v>FNB _-) R126.00 reserved for purchase @ Machado Tap N Go from Current a_c..512781 using card..2924. 10Jun 12_28.eml</x:v>
      </x:c>
      <x:c r="R908" s="15" t="str">
        <x:v>High</x:v>
      </x:c>
      <x:c r="S908" s="15" t="str">
        <x:v>Category confidence Low: Default card-spend category; merchant not confidently mapped.</x:v>
      </x:c>
      <x:c r="T908" s="15" t="str"/>
      <x:c r="U908" s="15" t="str"/>
      <x:c r="V908" s="15" t="str"/>
      <x:c r="W908" s="15" t="str"/>
      <x:c r="X908" s="15" t="str">
        <x:v>FNB :-) R126.00 reserved for purchase @ Machado Tap N Go from Current a/c..512781 using card..2924. Avail R1574. 10Jun 12:28</x:v>
      </x:c>
      <x:c r="Y908" s="15" t="str">
        <x:v>46da2b464dcd6cb2</x:v>
      </x:c>
    </x:row>
    <x:row r="909">
      <x:c r="A909" s="34" t="n">
        <x:v>46183.52569444444</x:v>
      </x:c>
      <x:c r="B909" s="36" t="n">
        <x:v>46183</x:v>
      </x:c>
      <x:c r="C909" s="34" t="n">
        <x:v>46183.5262037037</x:v>
      </x:c>
      <x:c r="D909" s="15" t="str">
        <x:v>Current a/c..512781</x:v>
      </x:c>
      <x:c r="E909" s="15" t="str">
        <x:v>card..2924</x:v>
      </x:c>
      <x:c r="F909" s="15" t="str">
        <x:v>R300.00 reserved for purchase @ Ae Millys from Current a/c..512781 using card..2924. Avail R1274. 10Jun 12:37</x:v>
      </x:c>
      <x:c r="G909" s="15" t="str">
        <x:v>Ae Millys</x:v>
      </x:c>
      <x:c r="H909" s="38" t="n">
        <x:v>300</x:v>
      </x:c>
      <x:c r="I909" s="15" t="str">
        <x:v>ZAR</x:v>
      </x:c>
      <x:c r="J909" s="15" t="str">
        <x:v>Outflow</x:v>
      </x:c>
      <x:c r="K909" s="15" t="str">
        <x:v>Card purchase</x:v>
      </x:c>
      <x:c r="L909" s="15" t="str">
        <x:v>Card spend</x:v>
      </x:c>
      <x:c r="M909" s="38"/>
      <x:c r="N909" s="38" t="n">
        <x:v>1274</x:v>
      </x:c>
      <x:c r="O909" s="15" t="str"/>
      <x:c r="P909" s="15" t="str">
        <x:v>eml_ALL_currentac__512781 (2).zip &gt; eml1currentac__512781.zip</x:v>
      </x:c>
      <x:c r="Q909" s="15" t="str">
        <x:v>FNB _-) R300.00 reserved for purchase @ Ae Millys from Current a_c..512781 using card..2924. 10Jun 12_37.eml</x:v>
      </x:c>
      <x:c r="R909" s="15" t="str">
        <x:v>High</x:v>
      </x:c>
      <x:c r="S909" s="15" t="str">
        <x:v>Category confidence Low: Default card-spend category; merchant not confidently mapped.</x:v>
      </x:c>
      <x:c r="T909" s="15" t="str"/>
      <x:c r="U909" s="15" t="str"/>
      <x:c r="V909" s="15" t="str"/>
      <x:c r="W909" s="15" t="str"/>
      <x:c r="X909" s="15" t="str">
        <x:v>FNB :-) R300.00 reserved for purchase @ Ae Millys from Current a/c..512781 using card..2924. Avail R1274. 10Jun 12:37</x:v>
      </x:c>
      <x:c r="Y909" s="15" t="str">
        <x:v>1a0ceb628956ebad</x:v>
      </x:c>
    </x:row>
    <x:row r="910">
      <x:c r="A910" s="34" t="n">
        <x:v>46183.62986111111</x:v>
      </x:c>
      <x:c r="B910" s="36" t="n">
        <x:v>46183</x:v>
      </x:c>
      <x:c r="C910" s="34" t="n">
        <x:v>46183.63023148148</x:v>
      </x:c>
      <x:c r="D910" s="15" t="str">
        <x:v>Current a/c..512781</x:v>
      </x:c>
      <x:c r="E910" s="15" t="str">
        <x:v>card..2924</x:v>
      </x:c>
      <x:c r="F910" s="15" t="str">
        <x:v>R593.35 reserved for purchase @ Checkers Bronkhorsts from Current a/c..512781 using card..2924. Avail R597. 10Jun 15:07</x:v>
      </x:c>
      <x:c r="G910" s="15" t="str">
        <x:v>Checkers Bronkhorsts</x:v>
      </x:c>
      <x:c r="H910" s="38" t="n">
        <x:v>593.35</x:v>
      </x:c>
      <x:c r="I910" s="15" t="str">
        <x:v>ZAR</x:v>
      </x:c>
      <x:c r="J910" s="15" t="str">
        <x:v>Outflow</x:v>
      </x:c>
      <x:c r="K910" s="15" t="str">
        <x:v>Card purchase</x:v>
      </x:c>
      <x:c r="L910" s="15" t="str">
        <x:v>Supplier payments</x:v>
      </x:c>
      <x:c r="M910" s="38"/>
      <x:c r="N910" s="38" t="n">
        <x:v>597</x:v>
      </x:c>
      <x:c r="O910" s="15" t="str"/>
      <x:c r="P910" s="15" t="str">
        <x:v>eml_ALL_currentac__512781 (2).zip &gt; eml1currentac__512781.zip</x:v>
      </x:c>
      <x:c r="Q910" s="15" t="str">
        <x:v>FNB _-) R593.35 reserved for purchase @ Checkers Bronkhorsts from Current a_c..512781 using card..2924. 10Jun 15_07.eml</x:v>
      </x:c>
      <x:c r="R910" s="15" t="str">
        <x:v>High</x:v>
      </x:c>
      <x:c r="S910" s="15" t="str">
        <x:v>Category confidence Medium: Retail/supplier merchant keyword.</x:v>
      </x:c>
      <x:c r="T910" s="15" t="str"/>
      <x:c r="U910" s="15" t="str"/>
      <x:c r="V910" s="15" t="str"/>
      <x:c r="W910" s="15" t="str"/>
      <x:c r="X910" s="15" t="str">
        <x:v>FNB :-) R593.35 reserved for purchase @ Checkers Bronkhorsts from Current a/c..512781 using card..2924. Avail R597. 10Jun 15:07</x:v>
      </x:c>
      <x:c r="Y910" s="15" t="str">
        <x:v>7020098c21755082</x:v>
      </x:c>
    </x:row>
    <x:row r="911">
      <x:c r="A911" s="34" t="n">
        <x:v>46183.87569444445</x:v>
      </x:c>
      <x:c r="B911" s="36" t="n">
        <x:v>46183</x:v>
      </x:c>
      <x:c r="C911" s="34" t="n">
        <x:v>46183.876122685186</x:v>
      </x:c>
      <x:c r="D911" s="15" t="str">
        <x:v>Current a/c..512781</x:v>
      </x:c>
      <x:c r="E911" s="15" t="str"/>
      <x:c r="F911" s="15" t="str">
        <x:v>R150.00 paid from Current a/c..512781 @ Smartapp. Avail R445. Ref.Electricity 14503572. 10Jun 21:01</x:v>
      </x:c>
      <x:c r="G911" s="15" t="str">
        <x:v>Electricity 14503572</x:v>
      </x:c>
      <x:c r="H911" s="38" t="n">
        <x:v>150</x:v>
      </x:c>
      <x:c r="I911" s="15" t="str">
        <x:v>ZAR</x:v>
      </x:c>
      <x:c r="J911" s="15" t="str">
        <x:v>Outflow</x:v>
      </x:c>
      <x:c r="K911" s="15" t="str">
        <x:v>EFT payment</x:v>
      </x:c>
      <x:c r="L911" s="15" t="str">
        <x:v>Telecom / utilities</x:v>
      </x:c>
      <x:c r="M911" s="38"/>
      <x:c r="N911" s="38" t="n">
        <x:v>445</x:v>
      </x:c>
      <x:c r="O911" s="15" t="str"/>
      <x:c r="P911" s="15" t="str">
        <x:v>eml_ALL_currentac__512781 (2).zip &gt; eml1currentac__512781.zip</x:v>
      </x:c>
      <x:c r="Q911" s="15" t="str">
        <x:v>FNB _-) R150.00 paid from Current a_c..512781 @ Smartapp. Ref.Electricity 14503572. 10Jun 21_01.eml</x:v>
      </x:c>
      <x:c r="R911" s="15" t="str">
        <x:v>High</x:v>
      </x:c>
      <x:c r="S911" s="15" t="str"/>
      <x:c r="T911" s="15" t="str"/>
      <x:c r="U911" s="15" t="str"/>
      <x:c r="V911" s="15" t="str">
        <x:v>Electricity 14503572</x:v>
      </x:c>
      <x:c r="W911" s="15" t="str">
        <x:v>Smartapp</x:v>
      </x:c>
      <x:c r="X911" s="15" t="str">
        <x:v>FNB :-) R150.00 paid from Current a/c..512781 @ Smartapp. Avail R445. Ref.Electricity 14503572. 10Jun 21:01</x:v>
      </x:c>
      <x:c r="Y911" s="15" t="str">
        <x:v>e01b88ef706c8b11</x:v>
      </x:c>
    </x:row>
    <x:row r="912">
      <x:c r="A912" s="34" t="n">
        <x:v>46184.34027777778</x:v>
      </x:c>
      <x:c r="B912" s="36" t="n">
        <x:v>46184</x:v>
      </x:c>
      <x:c r="C912" s="34" t="n">
        <x:v>46184.34079861111</x:v>
      </x:c>
      <x:c r="D912" s="15" t="str">
        <x:v>Current a/c..512781</x:v>
      </x:c>
      <x:c r="E912" s="15" t="str"/>
      <x:c r="F912" s="15" t="str">
        <x:v>R12141.73 paid to Current a/c..512781 @ Retail Forex. Ref.R026qn5f90 Booking.c. 11Jun 08:10</x:v>
      </x:c>
      <x:c r="G912" s="15" t="str">
        <x:v>R026qn5f90 Booking.c</x:v>
      </x:c>
      <x:c r="H912" s="38" t="n">
        <x:v>12141.73</x:v>
      </x:c>
      <x:c r="I912" s="15" t="str">
        <x:v>ZAR</x:v>
      </x:c>
      <x:c r="J912" s="15" t="str">
        <x:v>Inflow</x:v>
      </x:c>
      <x:c r="K912" s="15" t="str">
        <x:v>EFT receipt</x:v>
      </x:c>
      <x:c r="L912" s="15" t="str">
        <x:v>Sales / customer receipts</x:v>
      </x:c>
      <x:c r="M912" s="38"/>
      <x:c r="N912" s="38"/>
      <x:c r="O912" s="15" t="str"/>
      <x:c r="P912" s="15" t="str">
        <x:v>eml_ALL_currentac__512781 (2).zip &gt; eml1currentac__512781.zip</x:v>
      </x:c>
      <x:c r="Q912" s="15" t="str">
        <x:v>FNB _-) R12141.73 paid to Current a_c..512781 @ Retail Forex. Ref.R026qn5f90 Booking.c. 11Jun 08_10.eml</x:v>
      </x:c>
      <x:c r="R912" s="15" t="str">
        <x:v>High</x:v>
      </x:c>
      <x:c r="S912" s="15" t="str">
        <x:v>Category confidence Medium: Default for incoming EFT/PayShap/online receipt.</x:v>
      </x:c>
      <x:c r="T912" s="15" t="str"/>
      <x:c r="U912" s="15" t="str"/>
      <x:c r="V912" s="15" t="str">
        <x:v>R026qn5f90 Booking.c</x:v>
      </x:c>
      <x:c r="W912" s="15" t="str">
        <x:v>Retail Forex</x:v>
      </x:c>
      <x:c r="X912" s="15" t="str">
        <x:v>FNB :-) R12141.73 paid to Current a/c..512781 @ Retail Forex. Ref.R026qn5f90 Booking.c. 11Jun 08:10</x:v>
      </x:c>
      <x:c r="Y912" s="15" t="str">
        <x:v>ca3c5a6b16bc50d2</x:v>
      </x:c>
    </x:row>
    <x:row r="913">
      <x:c r="A913" s="34" t="n">
        <x:v>46184.56597222222</x:v>
      </x:c>
      <x:c r="B913" s="36" t="n">
        <x:v>46184</x:v>
      </x:c>
      <x:c r="C913" s="34" t="n">
        <x:v>46184.56621527778</x:v>
      </x:c>
      <x:c r="D913" s="15" t="str">
        <x:v>Current a/c..512781</x:v>
      </x:c>
      <x:c r="E913" s="15" t="str"/>
      <x:c r="F913" s="15" t="str">
        <x:v>R629.06 paid to Current a/c..512781 @ Payshap. Ref.Ik Pay 487882. 11Jun 13:35</x:v>
      </x:c>
      <x:c r="G913" s="15" t="str">
        <x:v>Ik Pay 487882</x:v>
      </x:c>
      <x:c r="H913" s="38" t="n">
        <x:v>629.06</x:v>
      </x:c>
      <x:c r="I913" s="15" t="str">
        <x:v>ZAR</x:v>
      </x:c>
      <x:c r="J913" s="15" t="str">
        <x:v>Inflow</x:v>
      </x:c>
      <x:c r="K913" s="15" t="str">
        <x:v>EFT receipt</x:v>
      </x:c>
      <x:c r="L913" s="15" t="str">
        <x:v>Sales / customer receipts</x:v>
      </x:c>
      <x:c r="M913" s="38"/>
      <x:c r="N913" s="38"/>
      <x:c r="O913" s="15" t="str"/>
      <x:c r="P913" s="15" t="str">
        <x:v>eml_ALL_currentac__512781 (2).zip &gt; eml1currentac__512781.zip</x:v>
      </x:c>
      <x:c r="Q913" s="15" t="str">
        <x:v>FNB _-) R629.06 paid to Current a_c..512781 @ Payshap. Ref.Ik Pay 487882. 11Jun 13_35.eml</x:v>
      </x:c>
      <x:c r="R913" s="15" t="str">
        <x:v>High</x:v>
      </x:c>
      <x:c r="S913" s="15" t="str">
        <x:v>Category confidence Medium: Default for incoming EFT/PayShap/online receipt.</x:v>
      </x:c>
      <x:c r="T913" s="15" t="str"/>
      <x:c r="U913" s="15" t="str"/>
      <x:c r="V913" s="15" t="str">
        <x:v>Ik Pay 487882</x:v>
      </x:c>
      <x:c r="W913" s="15" t="str">
        <x:v>Payshap</x:v>
      </x:c>
      <x:c r="X913" s="15" t="str">
        <x:v>FNB :-) R629.06 paid to Current a/c..512781 @ Payshap. Ref.Ik Pay 487882. 11Jun 13:35</x:v>
      </x:c>
      <x:c r="Y913" s="15" t="str">
        <x:v>0139b242362e1fc2</x:v>
      </x:c>
    </x:row>
    <x:row r="914">
      <x:c r="A914" s="34" t="n">
        <x:v>46184.76666666667</x:v>
      </x:c>
      <x:c r="B914" s="36" t="n">
        <x:v>46184</x:v>
      </x:c>
      <x:c r="C914" s="34" t="n">
        <x:v>46184.766921296294</x:v>
      </x:c>
      <x:c r="D914" s="15" t="str">
        <x:v>Current a/c..512781</x:v>
      </x:c>
      <x:c r="E914" s="15" t="str"/>
      <x:c r="F914" s="15" t="str">
        <x:v>R1000.00 t/fer from Current a/c..512781 to Private Cheq Acc..566332 @ Smartapp. Avail R12201. 11Jun 18:24</x:v>
      </x:c>
      <x:c r="G914" s="15" t="str">
        <x:v>Private Cheq Acc..566332</x:v>
      </x:c>
      <x:c r="H914" s="38" t="n">
        <x:v>1000</x:v>
      </x:c>
      <x:c r="I914" s="15" t="str">
        <x:v>ZAR</x:v>
      </x:c>
      <x:c r="J914" s="15" t="str">
        <x:v>Internal Transfer</x:v>
      </x:c>
      <x:c r="K914" s="15" t="str">
        <x:v>Internal transfer</x:v>
      </x:c>
      <x:c r="L914" s="15" t="str">
        <x:v>Inter-account transfer</x:v>
      </x:c>
      <x:c r="M914" s="38"/>
      <x:c r="N914" s="38" t="n">
        <x:v>12201</x:v>
      </x:c>
      <x:c r="O914" s="15" t="str"/>
      <x:c r="P914" s="15" t="str">
        <x:v>eml_ALL_currentac__512781 (2).zip &gt; eml1currentac__512781.zip</x:v>
      </x:c>
      <x:c r="Q914" s="15" t="str">
        <x:v>FNB _-) R1000.00 t_fer from Current a_c..512781 to Private Cheq Acc..566332 @ Smartapp. 11Jun 18_24.eml</x:v>
      </x:c>
      <x:c r="R914" s="15" t="str">
        <x:v>High</x:v>
      </x:c>
      <x:c r="S914" s="15" t="str">
        <x:v>Classified as internal/inter-account transfer and excluded from operating cashflow.</x:v>
      </x:c>
      <x:c r="T914" s="15" t="str">
        <x:v>Current a/c..512781</x:v>
      </x:c>
      <x:c r="U914" s="15" t="str">
        <x:v>Private Cheq Acc..566332</x:v>
      </x:c>
      <x:c r="V914" s="15" t="str"/>
      <x:c r="W914" s="15" t="str">
        <x:v>Smartapp</x:v>
      </x:c>
      <x:c r="X914" s="15" t="str">
        <x:v>FNB :-) R1000.00 t/fer from Current a/c..512781 to Private Cheq Acc..566332 @ Smartapp. Avail R12201. 11Jun 18:24</x:v>
      </x:c>
      <x:c r="Y914" s="15" t="str">
        <x:v>246c68e4d74e3cd8</x:v>
      </x:c>
    </x:row>
    <x:row r="915">
      <x:c r="A915" s="34" t="n">
        <x:v>46184.79722222222</x:v>
      </x:c>
      <x:c r="B915" s="36" t="n">
        <x:v>46184</x:v>
      </x:c>
      <x:c r="C915" s="34" t="n">
        <x:v>46184.79751157408</x:v>
      </x:c>
      <x:c r="D915" s="15" t="str">
        <x:v>Current a/c..512781</x:v>
      </x:c>
      <x:c r="E915" s="15" t="str"/>
      <x:c r="F915" s="15" t="str">
        <x:v>R200.00 t/fer from Current a/c..512781 to Private Cheq Acc..566332 @ Smartapp. Avail R12001. 11Jun 19:08</x:v>
      </x:c>
      <x:c r="G915" s="15" t="str">
        <x:v>Private Cheq Acc..566332</x:v>
      </x:c>
      <x:c r="H915" s="38" t="n">
        <x:v>200</x:v>
      </x:c>
      <x:c r="I915" s="15" t="str">
        <x:v>ZAR</x:v>
      </x:c>
      <x:c r="J915" s="15" t="str">
        <x:v>Internal Transfer</x:v>
      </x:c>
      <x:c r="K915" s="15" t="str">
        <x:v>Internal transfer</x:v>
      </x:c>
      <x:c r="L915" s="15" t="str">
        <x:v>Inter-account transfer</x:v>
      </x:c>
      <x:c r="M915" s="38"/>
      <x:c r="N915" s="38" t="n">
        <x:v>12001</x:v>
      </x:c>
      <x:c r="O915" s="15" t="str"/>
      <x:c r="P915" s="15" t="str">
        <x:v>eml_ALL_currentac__512781 (2).zip &gt; eml1currentac__512781.zip</x:v>
      </x:c>
      <x:c r="Q915" s="15" t="str">
        <x:v>FNB _-) R200.00 t_fer from Current a_c..512781 to Private Cheq Acc..566332 @ Smartapp. 11Jun 19_08.eml</x:v>
      </x:c>
      <x:c r="R915" s="15" t="str">
        <x:v>High</x:v>
      </x:c>
      <x:c r="S915" s="15" t="str">
        <x:v>Classified as internal/inter-account transfer and excluded from operating cashflow.</x:v>
      </x:c>
      <x:c r="T915" s="15" t="str">
        <x:v>Current a/c..512781</x:v>
      </x:c>
      <x:c r="U915" s="15" t="str">
        <x:v>Private Cheq Acc..566332</x:v>
      </x:c>
      <x:c r="V915" s="15" t="str"/>
      <x:c r="W915" s="15" t="str">
        <x:v>Smartapp</x:v>
      </x:c>
      <x:c r="X915" s="15" t="str">
        <x:v>FNB :-) R200.00 t/fer from Current a/c..512781 to Private Cheq Acc..566332 @ Smartapp. Avail R12001. 11Jun 19:08</x:v>
      </x:c>
      <x:c r="Y915" s="15" t="str">
        <x:v>2adcf44907ae230d</x:v>
      </x:c>
    </x:row>
    <x:row r="916">
      <x:c r="A916" s="34" t="n">
        <x:v>46184.88055555556</x:v>
      </x:c>
      <x:c r="B916" s="36" t="n">
        <x:v>46184</x:v>
      </x:c>
      <x:c r="C916" s="34" t="n">
        <x:v>46184.880694444444</x:v>
      </x:c>
      <x:c r="D916" s="15" t="str">
        <x:v>Current a/c..512781</x:v>
      </x:c>
      <x:c r="E916" s="15" t="str"/>
      <x:c r="F916" s="15" t="str">
        <x:v>R500.00 t/fer from Current a/c..512781 to Private Cheq Acc..566332 @ Smartapp. Avail R11501. 11Jun 21:08</x:v>
      </x:c>
      <x:c r="G916" s="15" t="str">
        <x:v>Private Cheq Acc..566332</x:v>
      </x:c>
      <x:c r="H916" s="38" t="n">
        <x:v>500</x:v>
      </x:c>
      <x:c r="I916" s="15" t="str">
        <x:v>ZAR</x:v>
      </x:c>
      <x:c r="J916" s="15" t="str">
        <x:v>Internal Transfer</x:v>
      </x:c>
      <x:c r="K916" s="15" t="str">
        <x:v>Internal transfer</x:v>
      </x:c>
      <x:c r="L916" s="15" t="str">
        <x:v>Inter-account transfer</x:v>
      </x:c>
      <x:c r="M916" s="38"/>
      <x:c r="N916" s="38" t="n">
        <x:v>11501</x:v>
      </x:c>
      <x:c r="O916" s="15" t="str"/>
      <x:c r="P916" s="15" t="str">
        <x:v>eml_ALL_currentac__512781 (2).zip &gt; eml1currentac__512781.zip</x:v>
      </x:c>
      <x:c r="Q916" s="15" t="str">
        <x:v>FNB _-) R500.00 t_fer from Current a_c..512781 to Private Cheq Acc..566332 @ Smartapp. 11Jun 21_08.eml</x:v>
      </x:c>
      <x:c r="R916" s="15" t="str">
        <x:v>High</x:v>
      </x:c>
      <x:c r="S916" s="15" t="str">
        <x:v>Classified as internal/inter-account transfer and excluded from operating cashflow.</x:v>
      </x:c>
      <x:c r="T916" s="15" t="str">
        <x:v>Current a/c..512781</x:v>
      </x:c>
      <x:c r="U916" s="15" t="str">
        <x:v>Private Cheq Acc..566332</x:v>
      </x:c>
      <x:c r="V916" s="15" t="str"/>
      <x:c r="W916" s="15" t="str">
        <x:v>Smartapp</x:v>
      </x:c>
      <x:c r="X916" s="15" t="str">
        <x:v>FNB :-) R500.00 t/fer from Current a/c..512781 to Private Cheq Acc..566332 @ Smartapp. Avail R11501. 11Jun 21:08</x:v>
      </x:c>
      <x:c r="Y916" s="15" t="str">
        <x:v>2150c8e58047da18</x:v>
      </x:c>
    </x:row>
    <x:row r="917">
      <x:c r="A917" s="34" t="n">
        <x:v>46185.38402777778</x:v>
      </x:c>
      <x:c r="B917" s="36" t="n">
        <x:v>46185</x:v>
      </x:c>
      <x:c r="C917" s="34" t="n">
        <x:v>46185.38465277778</x:v>
      </x:c>
      <x:c r="D917" s="15" t="str">
        <x:v>Current a/c..512781</x:v>
      </x:c>
      <x:c r="E917" s="15" t="str"/>
      <x:c r="F917" s="15" t="str">
        <x:v>R1000.00 paid from Current a/c..512781 @ Smartapp. Avail R10487. Ref.Staff. 12Jun 09:13</x:v>
      </x:c>
      <x:c r="G917" s="15" t="str">
        <x:v>Staff</x:v>
      </x:c>
      <x:c r="H917" s="38" t="n">
        <x:v>1000</x:v>
      </x:c>
      <x:c r="I917" s="15" t="str">
        <x:v>ZAR</x:v>
      </x:c>
      <x:c r="J917" s="15" t="str">
        <x:v>Outflow</x:v>
      </x:c>
      <x:c r="K917" s="15" t="str">
        <x:v>EFT payment</x:v>
      </x:c>
      <x:c r="L917" s="15" t="str">
        <x:v>Salary / wages</x:v>
      </x:c>
      <x:c r="M917" s="38"/>
      <x:c r="N917" s="38" t="n">
        <x:v>10487</x:v>
      </x:c>
      <x:c r="O917" s="15" t="str"/>
      <x:c r="P917" s="15" t="str">
        <x:v>eml_ALL_currentac__512781 (2).zip &gt; eml1currentac__512781.zip</x:v>
      </x:c>
      <x:c r="Q917" s="15" t="str">
        <x:v>FNB _-) R1000.00 paid from Current a_c..512781 @ Smartapp. Ref.Staff. 12Jun 09_13.eml</x:v>
      </x:c>
      <x:c r="R917" s="15" t="str">
        <x:v>High</x:v>
      </x:c>
      <x:c r="S917" s="15" t="str"/>
      <x:c r="T917" s="15" t="str"/>
      <x:c r="U917" s="15" t="str"/>
      <x:c r="V917" s="15" t="str">
        <x:v>Staff</x:v>
      </x:c>
      <x:c r="W917" s="15" t="str">
        <x:v>Smartapp</x:v>
      </x:c>
      <x:c r="X917" s="15" t="str">
        <x:v>FNB :-) R1000.00 paid from Current a/c..512781 @ Smartapp. Avail R10487. Ref.Staff. 12Jun 09:13</x:v>
      </x:c>
      <x:c r="Y917" s="15" t="str">
        <x:v>6ef06977cfd47259</x:v>
      </x:c>
    </x:row>
    <x:row r="918">
      <x:c r="A918" s="34" t="n">
        <x:v>46185.51736111111</x:v>
      </x:c>
      <x:c r="B918" s="36" t="n">
        <x:v>46185</x:v>
      </x:c>
      <x:c r="C918" s="34" t="n">
        <x:v>46185.517696759256</x:v>
      </x:c>
      <x:c r="D918" s="15" t="str">
        <x:v>Current a/c..512781</x:v>
      </x:c>
      <x:c r="E918" s="15" t="str"/>
      <x:c r="F918" s="15" t="str">
        <x:v>R5056.40 paid from Current a/c..512781 @ Smartapp. Avail R5428. Ref.Kruger Saf 1700 50%. 12Jun 12:25</x:v>
      </x:c>
      <x:c r="G918" s="15" t="str">
        <x:v>Kruger Saf 1700 50%</x:v>
      </x:c>
      <x:c r="H918" s="38" t="n">
        <x:v>5056.4</x:v>
      </x:c>
      <x:c r="I918" s="15" t="str">
        <x:v>ZAR</x:v>
      </x:c>
      <x:c r="J918" s="15" t="str">
        <x:v>Outflow</x:v>
      </x:c>
      <x:c r="K918" s="15" t="str">
        <x:v>EFT payment</x:v>
      </x:c>
      <x:c r="L918" s="15" t="str">
        <x:v>Supplier payments</x:v>
      </x:c>
      <x:c r="M918" s="38"/>
      <x:c r="N918" s="38" t="n">
        <x:v>5428</x:v>
      </x:c>
      <x:c r="O918" s="15" t="str"/>
      <x:c r="P918" s="15" t="str">
        <x:v>eml_ALL_currentac__512781 (2).zip &gt; eml1currentac__512781.zip</x:v>
      </x:c>
      <x:c r="Q918" s="15" t="str">
        <x:v>FNB _-) R5056.40 paid from Current a_c..512781 @ Smartapp. Ref.Kruger Saf 1700 50%. 12Jun 12_25.eml</x:v>
      </x:c>
      <x:c r="R918" s="15" t="str">
        <x:v>High</x:v>
      </x:c>
      <x:c r="S918" s="15" t="str">
        <x:v>Category confidence Low: Default outflow category; review counterparty/reference.</x:v>
      </x:c>
      <x:c r="T918" s="15" t="str"/>
      <x:c r="U918" s="15" t="str"/>
      <x:c r="V918" s="15" t="str">
        <x:v>Kruger Saf 1700 50%</x:v>
      </x:c>
      <x:c r="W918" s="15" t="str">
        <x:v>Smartapp</x:v>
      </x:c>
      <x:c r="X918" s="15" t="str">
        <x:v>FNB :-) R5056.40 paid from Current a/c..512781 @ Smartapp. Avail R5428. Ref.Kruger Saf 1700 50%. 12Jun 12:25</x:v>
      </x:c>
      <x:c r="Y918" s="15" t="str">
        <x:v>2507eb2619e999ae</x:v>
      </x:c>
    </x:row>
    <x:row r="919">
      <x:c r="A919" s="34" t="n">
        <x:v>46185.99513888889</x:v>
      </x:c>
      <x:c r="B919" s="36" t="n">
        <x:v>46185</x:v>
      </x:c>
      <x:c r="C919" s="34" t="n">
        <x:v>46185.99565972222</x:v>
      </x:c>
      <x:c r="D919" s="15" t="str">
        <x:v>Current a/c..512781</x:v>
      </x:c>
      <x:c r="E919" s="15" t="str"/>
      <x:c r="F919" s="15" t="str">
        <x:v>R120.00 t/fer from Current a/c..512781 to Private Cheq Acc..566332 @ Smartapp. Avail R5300. 12Jun 23:53</x:v>
      </x:c>
      <x:c r="G919" s="15" t="str">
        <x:v>Private Cheq Acc..566332</x:v>
      </x:c>
      <x:c r="H919" s="38" t="n">
        <x:v>120</x:v>
      </x:c>
      <x:c r="I919" s="15" t="str">
        <x:v>ZAR</x:v>
      </x:c>
      <x:c r="J919" s="15" t="str">
        <x:v>Internal Transfer</x:v>
      </x:c>
      <x:c r="K919" s="15" t="str">
        <x:v>Internal transfer</x:v>
      </x:c>
      <x:c r="L919" s="15" t="str">
        <x:v>Inter-account transfer</x:v>
      </x:c>
      <x:c r="M919" s="38"/>
      <x:c r="N919" s="38" t="n">
        <x:v>5300</x:v>
      </x:c>
      <x:c r="O919" s="15" t="str"/>
      <x:c r="P919" s="15" t="str">
        <x:v>eml_ALL_currentac__512781 (2).zip &gt; eml1currentac__512781.zip</x:v>
      </x:c>
      <x:c r="Q919" s="15" t="str">
        <x:v>FNB _-) R120.00 t_fer from Current a_c..512781 to Private Cheq Acc..566332 @ Smartapp. 12Jun 23_53.eml</x:v>
      </x:c>
      <x:c r="R919" s="15" t="str">
        <x:v>High</x:v>
      </x:c>
      <x:c r="S919" s="15" t="str">
        <x:v>Classified as internal/inter-account transfer and excluded from operating cashflow.</x:v>
      </x:c>
      <x:c r="T919" s="15" t="str">
        <x:v>Current a/c..512781</x:v>
      </x:c>
      <x:c r="U919" s="15" t="str">
        <x:v>Private Cheq Acc..566332</x:v>
      </x:c>
      <x:c r="V919" s="15" t="str"/>
      <x:c r="W919" s="15" t="str">
        <x:v>Smartapp</x:v>
      </x:c>
      <x:c r="X919" s="15" t="str">
        <x:v>FNB :-) R120.00 t/fer from Current a/c..512781 to Private Cheq Acc..566332 @ Smartapp. Avail R5300. 12Jun 23:53</x:v>
      </x:c>
      <x:c r="Y919" s="15" t="str">
        <x:v>64d21aa05d8c314c</x:v>
      </x:c>
    </x:row>
    <x:row r="920">
      <x:c r="A920" s="34" t="n">
        <x:v>46186.404861111114</x:v>
      </x:c>
      <x:c r="B920" s="36" t="n">
        <x:v>46186</x:v>
      </x:c>
      <x:c r="C920" s="34" t="n">
        <x:v>46186.40519675926</x:v>
      </x:c>
      <x:c r="D920" s="15" t="str">
        <x:v>Current a/c..512781</x:v>
      </x:c>
      <x:c r="E920" s="15" t="str"/>
      <x:c r="F920" s="15" t="str">
        <x:v>R150.00 paid from Current a/c..512781 @ Smartapp. Avail R5149. Ref.Electricity 14503572. 13Jun 09:43</x:v>
      </x:c>
      <x:c r="G920" s="15" t="str">
        <x:v>Electricity 14503572</x:v>
      </x:c>
      <x:c r="H920" s="38" t="n">
        <x:v>150</x:v>
      </x:c>
      <x:c r="I920" s="15" t="str">
        <x:v>ZAR</x:v>
      </x:c>
      <x:c r="J920" s="15" t="str">
        <x:v>Outflow</x:v>
      </x:c>
      <x:c r="K920" s="15" t="str">
        <x:v>EFT payment</x:v>
      </x:c>
      <x:c r="L920" s="15" t="str">
        <x:v>Telecom / utilities</x:v>
      </x:c>
      <x:c r="M920" s="38"/>
      <x:c r="N920" s="38" t="n">
        <x:v>5149</x:v>
      </x:c>
      <x:c r="O920" s="15" t="str"/>
      <x:c r="P920" s="15" t="str">
        <x:v>eml_ALL_currentac__512781 (2).zip &gt; eml1currentac__512781.zip</x:v>
      </x:c>
      <x:c r="Q920" s="15" t="str">
        <x:v>FNB _-) R150.00 paid from Current a_c..512781 @ Smartapp. Ref.Electricity 14503572. 13Jun 09_43.eml</x:v>
      </x:c>
      <x:c r="R920" s="15" t="str">
        <x:v>High</x:v>
      </x:c>
      <x:c r="S920" s="15" t="str"/>
      <x:c r="T920" s="15" t="str"/>
      <x:c r="U920" s="15" t="str"/>
      <x:c r="V920" s="15" t="str">
        <x:v>Electricity 14503572</x:v>
      </x:c>
      <x:c r="W920" s="15" t="str">
        <x:v>Smartapp</x:v>
      </x:c>
      <x:c r="X920" s="15" t="str">
        <x:v>FNB :-) R150.00 paid from Current a/c..512781 @ Smartapp. Avail R5149. Ref.Electricity 14503572. 13Jun 09:43</x:v>
      </x:c>
      <x:c r="Y920" s="15" t="str">
        <x:v>6a8fada9b9b7cd24</x:v>
      </x:c>
    </x:row>
    <x:row r="921">
      <x:c r="A921" s="34" t="n">
        <x:v>46187.525</x:v>
      </x:c>
      <x:c r="B921" s="36" t="n">
        <x:v>46187</x:v>
      </x:c>
      <x:c r="C921" s="34" t="n">
        <x:v>46187.52506944445</x:v>
      </x:c>
      <x:c r="D921" s="15" t="str">
        <x:v>Current a/c..512781</x:v>
      </x:c>
      <x:c r="E921" s="15" t="str">
        <x:v>card..2924</x:v>
      </x:c>
      <x:c r="F921" s="15" t="str">
        <x:v>R619.52 reserved for purchase @ Sqsp* Websit from Current a/c..512781 using card..2924. Avail R4529. 14Jun 12:36</x:v>
      </x:c>
      <x:c r="G921" s="15" t="str">
        <x:v>Sqsp* Websit</x:v>
      </x:c>
      <x:c r="H921" s="38" t="n">
        <x:v>619.52</x:v>
      </x:c>
      <x:c r="I921" s="15" t="str">
        <x:v>ZAR</x:v>
      </x:c>
      <x:c r="J921" s="15" t="str">
        <x:v>Outflow</x:v>
      </x:c>
      <x:c r="K921" s="15" t="str">
        <x:v>Card purchase</x:v>
      </x:c>
      <x:c r="L921" s="15" t="str">
        <x:v>Software / subscriptions</x:v>
      </x:c>
      <x:c r="M921" s="38"/>
      <x:c r="N921" s="38" t="n">
        <x:v>4529</x:v>
      </x:c>
      <x:c r="O921" s="15" t="str"/>
      <x:c r="P921" s="15" t="str">
        <x:v>eml_ALL_currentac__512781 (2).zip &gt; eml1currentac__512781.zip</x:v>
      </x:c>
      <x:c r="Q921" s="15" t="str">
        <x:v>FNB _-) R619.52 reserved for purchase @ Sqsp_ Websit from Current a_c..512781 using card..2924. 14Jun 12_36.eml</x:v>
      </x:c>
      <x:c r="R921" s="15" t="str">
        <x:v>High</x:v>
      </x:c>
      <x:c r="S921" s="15" t="str"/>
      <x:c r="T921" s="15" t="str"/>
      <x:c r="U921" s="15" t="str"/>
      <x:c r="V921" s="15" t="str"/>
      <x:c r="W921" s="15" t="str"/>
      <x:c r="X921" s="15" t="str">
        <x:v>FNB :-) R619.52 reserved for purchase @ Sqsp* Websit from Current a/c..512781 using card..2924. Avail R4529. 14Jun 12:36</x:v>
      </x:c>
      <x:c r="Y921" s="15" t="str">
        <x:v>fa491613a72b5f50</x:v>
      </x:c>
    </x:row>
    <x:row r="922">
      <x:c r="A922" s="34" t="n">
        <x:v>46187.589583333334</x:v>
      </x:c>
      <x:c r="B922" s="36" t="n">
        <x:v>46187</x:v>
      </x:c>
      <x:c r="C922" s="34" t="n">
        <x:v>46187.590266203704</x:v>
      </x:c>
      <x:c r="D922" s="15" t="str">
        <x:v>Current a/c..512781</x:v>
      </x:c>
      <x:c r="E922" s="15" t="str">
        <x:v>card..2924</x:v>
      </x:c>
      <x:c r="F922" s="15" t="str">
        <x:v>R793.26 reserved for purchase @ Pnp Fam Bronkhorstsp from Current a/c..512781 using card..2924. Avail R3736. 14Jun 14:09</x:v>
      </x:c>
      <x:c r="G922" s="15" t="str">
        <x:v>Pnp Fam Bronkhorstsp</x:v>
      </x:c>
      <x:c r="H922" s="38" t="n">
        <x:v>793.26</x:v>
      </x:c>
      <x:c r="I922" s="15" t="str">
        <x:v>ZAR</x:v>
      </x:c>
      <x:c r="J922" s="15" t="str">
        <x:v>Outflow</x:v>
      </x:c>
      <x:c r="K922" s="15" t="str">
        <x:v>Card purchase</x:v>
      </x:c>
      <x:c r="L922" s="15" t="str">
        <x:v>Card spend</x:v>
      </x:c>
      <x:c r="M922" s="38"/>
      <x:c r="N922" s="38" t="n">
        <x:v>3736</x:v>
      </x:c>
      <x:c r="O922" s="15" t="str"/>
      <x:c r="P922" s="15" t="str">
        <x:v>eml_ALL_currentac__512781 (2).zip &gt; eml1currentac__512781.zip</x:v>
      </x:c>
      <x:c r="Q922" s="15" t="str">
        <x:v>FNB _-) R793.26 reserved for purchase @ Pnp Fam Bronkhorstsp from Current a_c..512781 using card..2924. 14Jun 14_09.eml</x:v>
      </x:c>
      <x:c r="R922" s="15" t="str">
        <x:v>High</x:v>
      </x:c>
      <x:c r="S922" s="15" t="str">
        <x:v>Category confidence Low: Default card-spend category; merchant not confidently mapped.</x:v>
      </x:c>
      <x:c r="T922" s="15" t="str"/>
      <x:c r="U922" s="15" t="str"/>
      <x:c r="V922" s="15" t="str"/>
      <x:c r="W922" s="15" t="str"/>
      <x:c r="X922" s="15" t="str">
        <x:v>FNB :-) R793.26 reserved for purchase @ Pnp Fam Bronkhorstsp from Current a/c..512781 using card..2924. Avail R3736. 14Jun 14:09</x:v>
      </x:c>
      <x:c r="Y922" s="15" t="str">
        <x:v>75ce6c2c7c127084</x:v>
      </x:c>
    </x:row>
    <x:row r="923">
      <x:c r="A923" s="34" t="n">
        <x:v>46187.600694444445</x:v>
      </x:c>
      <x:c r="B923" s="36" t="n">
        <x:v>46187</x:v>
      </x:c>
      <x:c r="C923" s="34" t="n">
        <x:v>46187.60077546296</x:v>
      </x:c>
      <x:c r="D923" s="15" t="str">
        <x:v>Current a/c..512781</x:v>
      </x:c>
      <x:c r="E923" s="15" t="str">
        <x:v>card..2924</x:v>
      </x:c>
      <x:c r="F923" s="15" t="str">
        <x:v>R400.00 reserved for purchase @ Hokaai Fuels from Current a/c..512781 using card..2924. Avail R3288. 14Jun 14:25</x:v>
      </x:c>
      <x:c r="G923" s="15" t="str">
        <x:v>Hokaai Fuels</x:v>
      </x:c>
      <x:c r="H923" s="38" t="n">
        <x:v>400</x:v>
      </x:c>
      <x:c r="I923" s="15" t="str">
        <x:v>ZAR</x:v>
      </x:c>
      <x:c r="J923" s="15" t="str">
        <x:v>Outflow</x:v>
      </x:c>
      <x:c r="K923" s="15" t="str">
        <x:v>Card purchase</x:v>
      </x:c>
      <x:c r="L923" s="15" t="str">
        <x:v>Fuel / transport</x:v>
      </x:c>
      <x:c r="M923" s="38"/>
      <x:c r="N923" s="38" t="n">
        <x:v>3288</x:v>
      </x:c>
      <x:c r="O923" s="15" t="str"/>
      <x:c r="P923" s="15" t="str">
        <x:v>eml_ALL_currentac__512781 (2).zip &gt; eml1currentac__512781.zip</x:v>
      </x:c>
      <x:c r="Q923" s="15" t="str">
        <x:v>FNB _-) R400.00 reserved for purchase @ Hokaai Fuels from Current a_c..512781 using card..2924. 14Jun 14_25.eml</x:v>
      </x:c>
      <x:c r="R923" s="15" t="str">
        <x:v>High</x:v>
      </x:c>
      <x:c r="S923" s="15" t="str"/>
      <x:c r="T923" s="15" t="str"/>
      <x:c r="U923" s="15" t="str"/>
      <x:c r="V923" s="15" t="str"/>
      <x:c r="W923" s="15" t="str"/>
      <x:c r="X923" s="15" t="str">
        <x:v>FNB :-) R400.00 reserved for purchase @ Hokaai Fuels from Current a/c..512781 using card..2924. Avail R3288. 14Jun 14:25</x:v>
      </x:c>
      <x:c r="Y923" s="15" t="str">
        <x:v>146221566a4e1ba1</x:v>
      </x:c>
    </x:row>
    <x:row r="924">
      <x:c r="A924" s="34" t="n">
        <x:v>46187.66527777778</x:v>
      </x:c>
      <x:c r="B924" s="36" t="n">
        <x:v>46187</x:v>
      </x:c>
      <x:c r="C924" s="34" t="n">
        <x:v>46187.665972222225</x:v>
      </x:c>
      <x:c r="D924" s="15" t="str">
        <x:v>Current a/c..512781</x:v>
      </x:c>
      <x:c r="E924" s="15" t="str"/>
      <x:c r="F924" s="15" t="str">
        <x:v>R460.00 t/fer from Current a/c..512781 to Private Cheq Acc..566332 @ Smartapp. Avail R2828. 14Jun 15:58</x:v>
      </x:c>
      <x:c r="G924" s="15" t="str">
        <x:v>Private Cheq Acc..566332</x:v>
      </x:c>
      <x:c r="H924" s="38" t="n">
        <x:v>460</x:v>
      </x:c>
      <x:c r="I924" s="15" t="str">
        <x:v>ZAR</x:v>
      </x:c>
      <x:c r="J924" s="15" t="str">
        <x:v>Internal Transfer</x:v>
      </x:c>
      <x:c r="K924" s="15" t="str">
        <x:v>Internal transfer</x:v>
      </x:c>
      <x:c r="L924" s="15" t="str">
        <x:v>Inter-account transfer</x:v>
      </x:c>
      <x:c r="M924" s="38"/>
      <x:c r="N924" s="38" t="n">
        <x:v>2828</x:v>
      </x:c>
      <x:c r="O924" s="15" t="str"/>
      <x:c r="P924" s="15" t="str">
        <x:v>eml_ALL_currentac__512781 (2).zip &gt; eml1currentac__512781.zip</x:v>
      </x:c>
      <x:c r="Q924" s="15" t="str">
        <x:v>FNB _-) R460.00 t_fer from Current a_c..512781 to Private Cheq Acc..566332 @ Smartapp. 14Jun 15_58.eml</x:v>
      </x:c>
      <x:c r="R924" s="15" t="str">
        <x:v>High</x:v>
      </x:c>
      <x:c r="S924" s="15" t="str">
        <x:v>Classified as internal/inter-account transfer and excluded from operating cashflow.</x:v>
      </x:c>
      <x:c r="T924" s="15" t="str">
        <x:v>Current a/c..512781</x:v>
      </x:c>
      <x:c r="U924" s="15" t="str">
        <x:v>Private Cheq Acc..566332</x:v>
      </x:c>
      <x:c r="V924" s="15" t="str"/>
      <x:c r="W924" s="15" t="str">
        <x:v>Smartapp</x:v>
      </x:c>
      <x:c r="X924" s="15" t="str">
        <x:v>FNB :-) R460.00 t/fer from Current a/c..512781 to Private Cheq Acc..566332 @ Smartapp. Avail R2828. 14Jun 15:58</x:v>
      </x:c>
      <x:c r="Y924" s="15" t="str">
        <x:v>2e6083790e126221</x:v>
      </x:c>
    </x:row>
    <x:row r="925">
      <x:c r="A925" s="34" t="n">
        <x:v>46188.325</x:v>
      </x:c>
      <x:c r="B925" s="36" t="n">
        <x:v>46188</x:v>
      </x:c>
      <x:c r="C925" s="34" t="n">
        <x:v>46188.325625</x:v>
      </x:c>
      <x:c r="D925" s="15" t="str">
        <x:v>Current a/c..512781</x:v>
      </x:c>
      <x:c r="E925" s="15" t="str"/>
      <x:c r="F925" s="15" t="str">
        <x:v>R150.00 paid from Current a/c..512781 @ Smartapp. Avail R2676. Ref.Electricity 14503572. 15Jun 07:48</x:v>
      </x:c>
      <x:c r="G925" s="15" t="str">
        <x:v>Electricity 14503572</x:v>
      </x:c>
      <x:c r="H925" s="38" t="n">
        <x:v>150</x:v>
      </x:c>
      <x:c r="I925" s="15" t="str">
        <x:v>ZAR</x:v>
      </x:c>
      <x:c r="J925" s="15" t="str">
        <x:v>Outflow</x:v>
      </x:c>
      <x:c r="K925" s="15" t="str">
        <x:v>EFT payment</x:v>
      </x:c>
      <x:c r="L925" s="15" t="str">
        <x:v>Telecom / utilities</x:v>
      </x:c>
      <x:c r="M925" s="38"/>
      <x:c r="N925" s="38" t="n">
        <x:v>2676</x:v>
      </x:c>
      <x:c r="O925" s="15" t="str"/>
      <x:c r="P925" s="15" t="str">
        <x:v>eml_ALL_currentac__512781 (2).zip &gt; eml1currentac__512781.zip</x:v>
      </x:c>
      <x:c r="Q925" s="15" t="str">
        <x:v>FNB _-) R150.00 paid from Current a_c..512781 @ Smartapp. Ref.Electricity 14503572. 15Jun 07_48.eml</x:v>
      </x:c>
      <x:c r="R925" s="15" t="str">
        <x:v>High</x:v>
      </x:c>
      <x:c r="S925" s="15" t="str"/>
      <x:c r="T925" s="15" t="str"/>
      <x:c r="U925" s="15" t="str"/>
      <x:c r="V925" s="15" t="str">
        <x:v>Electricity 14503572</x:v>
      </x:c>
      <x:c r="W925" s="15" t="str">
        <x:v>Smartapp</x:v>
      </x:c>
      <x:c r="X925" s="15" t="str">
        <x:v>FNB :-) R150.00 paid from Current a/c..512781 @ Smartapp. Avail R2676. Ref.Electricity 14503572. 15Jun 07:48</x:v>
      </x:c>
      <x:c r="Y925" s="15" t="str">
        <x:v>4572079dd824c7fd</x:v>
      </x:c>
    </x:row>
    <x:row r="926">
      <x:c r="A926" s="34" t="n">
        <x:v>46188.415972222225</x:v>
      </x:c>
      <x:c r="B926" s="36" t="n">
        <x:v>46188</x:v>
      </x:c>
      <x:c r="C926" s="34" t="n">
        <x:v>46188.41621527778</x:v>
      </x:c>
      <x:c r="D926" s="15" t="str">
        <x:v>Current a/c..512781</x:v>
      </x:c>
      <x:c r="E926" s="15" t="str"/>
      <x:c r="F926" s="15" t="str">
        <x:v>R500.00 paid from Current a/c..512781 @ Smartapp. Avail R2090. Ref.Electricity 04294887. 15Jun 09:59</x:v>
      </x:c>
      <x:c r="G926" s="15" t="str">
        <x:v>Electricity 04294887</x:v>
      </x:c>
      <x:c r="H926" s="38" t="n">
        <x:v>500</x:v>
      </x:c>
      <x:c r="I926" s="15" t="str">
        <x:v>ZAR</x:v>
      </x:c>
      <x:c r="J926" s="15" t="str">
        <x:v>Outflow</x:v>
      </x:c>
      <x:c r="K926" s="15" t="str">
        <x:v>EFT payment</x:v>
      </x:c>
      <x:c r="L926" s="15" t="str">
        <x:v>Telecom / utilities</x:v>
      </x:c>
      <x:c r="M926" s="38"/>
      <x:c r="N926" s="38" t="n">
        <x:v>2090</x:v>
      </x:c>
      <x:c r="O926" s="15" t="str"/>
      <x:c r="P926" s="15" t="str">
        <x:v>eml_ALL_currentac__512781 (2).zip &gt; eml1currentac__512781.zip</x:v>
      </x:c>
      <x:c r="Q926" s="15" t="str">
        <x:v>FNB _-) R500.00 paid from Current a_c..512781 @ Smartapp. Ref.Electricity 04294887. 15Jun 09_59.eml</x:v>
      </x:c>
      <x:c r="R926" s="15" t="str">
        <x:v>High</x:v>
      </x:c>
      <x:c r="S926" s="15" t="str"/>
      <x:c r="T926" s="15" t="str"/>
      <x:c r="U926" s="15" t="str"/>
      <x:c r="V926" s="15" t="str">
        <x:v>Electricity 04294887</x:v>
      </x:c>
      <x:c r="W926" s="15" t="str">
        <x:v>Smartapp</x:v>
      </x:c>
      <x:c r="X926" s="15" t="str">
        <x:v>FNB :-) R500.00 paid from Current a/c..512781 @ Smartapp. Avail R2090. Ref.Electricity 04294887. 15Jun 09:59</x:v>
      </x:c>
      <x:c r="Y926" s="15" t="str">
        <x:v>aac85c1ace18087e</x:v>
      </x:c>
    </x:row>
    <x:row r="927">
      <x:c r="A927" s="34" t="n">
        <x:v>46188.43541666667</x:v>
      </x:c>
      <x:c r="B927" s="36" t="n">
        <x:v>46188</x:v>
      </x:c>
      <x:c r="C927" s="34" t="n">
        <x:v>46188.43599537037</x:v>
      </x:c>
      <x:c r="D927" s="15" t="str">
        <x:v>Current a/c..512781</x:v>
      </x:c>
      <x:c r="E927" s="15" t="str">
        <x:v>card..2924</x:v>
      </x:c>
      <x:c r="F927" s="15" t="str">
        <x:v>R126.00 reserved for purchase @ Machado Tap N Go from Current a/c..512781 using card..2924. Avail R1964. 15Jun 10:27</x:v>
      </x:c>
      <x:c r="G927" s="15" t="str">
        <x:v>Machado Tap N Go</x:v>
      </x:c>
      <x:c r="H927" s="38" t="n">
        <x:v>126</x:v>
      </x:c>
      <x:c r="I927" s="15" t="str">
        <x:v>ZAR</x:v>
      </x:c>
      <x:c r="J927" s="15" t="str">
        <x:v>Outflow</x:v>
      </x:c>
      <x:c r="K927" s="15" t="str">
        <x:v>Card purchase</x:v>
      </x:c>
      <x:c r="L927" s="15" t="str">
        <x:v>Card spend</x:v>
      </x:c>
      <x:c r="M927" s="38"/>
      <x:c r="N927" s="38" t="n">
        <x:v>1964</x:v>
      </x:c>
      <x:c r="O927" s="15" t="str"/>
      <x:c r="P927" s="15" t="str">
        <x:v>eml_ALL_currentac__512781 (2).zip &gt; eml1currentac__512781.zip</x:v>
      </x:c>
      <x:c r="Q927" s="15" t="str">
        <x:v>FNB _-) R126.00 reserved for purchase @ Machado Tap N Go from Current a_c..512781 using card..2924. 15Jun 10_27.eml</x:v>
      </x:c>
      <x:c r="R927" s="15" t="str">
        <x:v>High</x:v>
      </x:c>
      <x:c r="S927" s="15" t="str">
        <x:v>Category confidence Low: Default card-spend category; merchant not confidently mapped.</x:v>
      </x:c>
      <x:c r="T927" s="15" t="str"/>
      <x:c r="U927" s="15" t="str"/>
      <x:c r="V927" s="15" t="str"/>
      <x:c r="W927" s="15" t="str"/>
      <x:c r="X927" s="15" t="str">
        <x:v>FNB :-) R126.00 reserved for purchase @ Machado Tap N Go from Current a/c..512781 using card..2924. Avail R1964. 15Jun 10:27</x:v>
      </x:c>
      <x:c r="Y927" s="15" t="str">
        <x:v>ffc99fd4b2e26247</x:v>
      </x:c>
    </x:row>
    <x:row r="928">
      <x:c r="A928" s="34" t="n">
        <x:v>46188.540972222225</x:v>
      </x:c>
      <x:c r="B928" s="36" t="n">
        <x:v>46188</x:v>
      </x:c>
      <x:c r="C928" s="34" t="n">
        <x:v>46188.54127314815</x:v>
      </x:c>
      <x:c r="D928" s="15" t="str">
        <x:v>Current a/c..512781</x:v>
      </x:c>
      <x:c r="E928" s="15" t="str">
        <x:v>card..2924</x:v>
      </x:c>
      <x:c r="F928" s="15" t="str">
        <x:v>R378.32 reserved for purchase @ Superspar Malelane from Current a/c..512781 using card..2924. Avail R1490. 15Jun 12:59</x:v>
      </x:c>
      <x:c r="G928" s="15" t="str">
        <x:v>Superspar Malelane</x:v>
      </x:c>
      <x:c r="H928" s="38" t="n">
        <x:v>378.32</x:v>
      </x:c>
      <x:c r="I928" s="15" t="str">
        <x:v>ZAR</x:v>
      </x:c>
      <x:c r="J928" s="15" t="str">
        <x:v>Outflow</x:v>
      </x:c>
      <x:c r="K928" s="15" t="str">
        <x:v>Card purchase</x:v>
      </x:c>
      <x:c r="L928" s="15" t="str">
        <x:v>Supplier payments</x:v>
      </x:c>
      <x:c r="M928" s="38"/>
      <x:c r="N928" s="38" t="n">
        <x:v>1490</x:v>
      </x:c>
      <x:c r="O928" s="15" t="str"/>
      <x:c r="P928" s="15" t="str">
        <x:v>eml_ALL_currentac__512781 (2).zip &gt; eml1currentac__512781.zip</x:v>
      </x:c>
      <x:c r="Q928" s="15" t="str">
        <x:v>FNB _-) R378.32 reserved for purchase @ Superspar Malelane from Current a_c..512781 using card..2924. 15Jun 12_59.eml</x:v>
      </x:c>
      <x:c r="R928" s="15" t="str">
        <x:v>High</x:v>
      </x:c>
      <x:c r="S928" s="15" t="str">
        <x:v>Category confidence Medium: Retail/supplier merchant keyword.</x:v>
      </x:c>
      <x:c r="T928" s="15" t="str"/>
      <x:c r="U928" s="15" t="str"/>
      <x:c r="V928" s="15" t="str"/>
      <x:c r="W928" s="15" t="str"/>
      <x:c r="X928" s="15" t="str">
        <x:v>FNB :-) R378.32 reserved for purchase @ Superspar Malelane from Current a/c..512781 using card..2924. Avail R1490. 15Jun 12:59</x:v>
      </x:c>
      <x:c r="Y928" s="15" t="str">
        <x:v>c9bb88aa5a3bfe03</x:v>
      </x:c>
    </x:row>
    <x:row r="929">
      <x:c r="A929" s="34" t="n">
        <x:v>46188.549305555556</x:v>
      </x:c>
      <x:c r="B929" s="36" t="n">
        <x:v>46188</x:v>
      </x:c>
      <x:c r="C929" s="34" t="n">
        <x:v>46188.54991898148</x:v>
      </x:c>
      <x:c r="D929" s="15" t="str">
        <x:v>Current a/c..512781</x:v>
      </x:c>
      <x:c r="E929" s="15" t="str">
        <x:v>card..2924</x:v>
      </x:c>
      <x:c r="F929" s="15" t="str">
        <x:v>R200.15 reserved for purchase @ Engen Malelane from Current a/c..512781 using card..2924. Avail R1290. 15Jun 13:11</x:v>
      </x:c>
      <x:c r="G929" s="15" t="str">
        <x:v>Engen Malelane</x:v>
      </x:c>
      <x:c r="H929" s="38" t="n">
        <x:v>200.15</x:v>
      </x:c>
      <x:c r="I929" s="15" t="str">
        <x:v>ZAR</x:v>
      </x:c>
      <x:c r="J929" s="15" t="str">
        <x:v>Outflow</x:v>
      </x:c>
      <x:c r="K929" s="15" t="str">
        <x:v>Card purchase</x:v>
      </x:c>
      <x:c r="L929" s="15" t="str">
        <x:v>Fuel / transport</x:v>
      </x:c>
      <x:c r="M929" s="38"/>
      <x:c r="N929" s="38" t="n">
        <x:v>1290</x:v>
      </x:c>
      <x:c r="O929" s="15" t="str"/>
      <x:c r="P929" s="15" t="str">
        <x:v>eml_ALL_currentac__512781 (2).zip &gt; eml1currentac__512781.zip</x:v>
      </x:c>
      <x:c r="Q929" s="15" t="str">
        <x:v>FNB _-) R200.15 reserved for purchase @ Engen Malelane from Current a_c..512781 using card..2924. 15Jun 13_11.eml</x:v>
      </x:c>
      <x:c r="R929" s="15" t="str">
        <x:v>High</x:v>
      </x:c>
      <x:c r="S929" s="15" t="str"/>
      <x:c r="T929" s="15" t="str"/>
      <x:c r="U929" s="15" t="str"/>
      <x:c r="V929" s="15" t="str"/>
      <x:c r="W929" s="15" t="str"/>
      <x:c r="X929" s="15" t="str">
        <x:v>FNB :-) R200.15 reserved for purchase @ Engen Malelane from Current a/c..512781 using card..2924. Avail R1290. 15Jun 13:11</x:v>
      </x:c>
      <x:c r="Y929" s="15" t="str">
        <x:v>7ea17f02deaef881</x:v>
      </x:c>
    </x:row>
    <x:row r="930">
      <x:c r="A930" s="34" t="n">
        <x:v>46188.572222222225</x:v>
      </x:c>
      <x:c r="B930" s="36" t="n">
        <x:v>46188</x:v>
      </x:c>
      <x:c r="C930" s="34" t="n">
        <x:v>46188.57283564815</x:v>
      </x:c>
      <x:c r="D930" s="15" t="str">
        <x:v>Current a/c..512781</x:v>
      </x:c>
      <x:c r="E930" s="15" t="str"/>
      <x:c r="F930" s="15" t="str">
        <x:v>R22887.88 paid to Current a/c..512781 @ Payshap. Ref.Ik Pay 487882. 15Jun 13:44</x:v>
      </x:c>
      <x:c r="G930" s="15" t="str">
        <x:v>Ik Pay 487882</x:v>
      </x:c>
      <x:c r="H930" s="38" t="n">
        <x:v>22887.88</x:v>
      </x:c>
      <x:c r="I930" s="15" t="str">
        <x:v>ZAR</x:v>
      </x:c>
      <x:c r="J930" s="15" t="str">
        <x:v>Inflow</x:v>
      </x:c>
      <x:c r="K930" s="15" t="str">
        <x:v>EFT receipt</x:v>
      </x:c>
      <x:c r="L930" s="15" t="str">
        <x:v>Sales / customer receipts</x:v>
      </x:c>
      <x:c r="M930" s="38"/>
      <x:c r="N930" s="38"/>
      <x:c r="O930" s="15" t="str"/>
      <x:c r="P930" s="15" t="str">
        <x:v>eml_ALL_currentac__512781 (2).zip &gt; eml1currentac__512781.zip</x:v>
      </x:c>
      <x:c r="Q930" s="15" t="str">
        <x:v>FNB _-) R22887.88 paid to Current a_c..512781 @ Payshap. Ref.Ik Pay 487882. 15Jun 13_44.eml</x:v>
      </x:c>
      <x:c r="R930" s="15" t="str">
        <x:v>High</x:v>
      </x:c>
      <x:c r="S930" s="15" t="str">
        <x:v>Category confidence Medium: Default for incoming EFT/PayShap/online receipt.</x:v>
      </x:c>
      <x:c r="T930" s="15" t="str"/>
      <x:c r="U930" s="15" t="str"/>
      <x:c r="V930" s="15" t="str">
        <x:v>Ik Pay 487882</x:v>
      </x:c>
      <x:c r="W930" s="15" t="str">
        <x:v>Payshap</x:v>
      </x:c>
      <x:c r="X930" s="15" t="str">
        <x:v>FNB :-) R22887.88 paid to Current a/c..512781 @ Payshap. Ref.Ik Pay 487882. 15Jun 13:44</x:v>
      </x:c>
      <x:c r="Y930" s="15" t="str">
        <x:v>ec73d6011378d9f5</x:v>
      </x:c>
    </x:row>
    <x:row r="931">
      <x:c r="A931" s="34" t="n">
        <x:v>46188.59583333333</x:v>
      </x:c>
      <x:c r="B931" s="36" t="n">
        <x:v>46188</x:v>
      </x:c>
      <x:c r="C931" s="34" t="n">
        <x:v>46188.595925925925</x:v>
      </x:c>
      <x:c r="D931" s="15" t="str">
        <x:v>Current a/c..512781</x:v>
      </x:c>
      <x:c r="E931" s="15" t="str"/>
      <x:c r="F931" s="15" t="str">
        <x:v>R12000.00 t/fer from Current a/c..512781 to Current a/c..261544 @ Smartapp. Avail R12123. 15Jun 14:18</x:v>
      </x:c>
      <x:c r="G931" s="15" t="str">
        <x:v>Current a/c..261544</x:v>
      </x:c>
      <x:c r="H931" s="38" t="n">
        <x:v>12000</x:v>
      </x:c>
      <x:c r="I931" s="15" t="str">
        <x:v>ZAR</x:v>
      </x:c>
      <x:c r="J931" s="15" t="str">
        <x:v>Internal Transfer</x:v>
      </x:c>
      <x:c r="K931" s="15" t="str">
        <x:v>Internal transfer</x:v>
      </x:c>
      <x:c r="L931" s="15" t="str">
        <x:v>Inter-account transfer</x:v>
      </x:c>
      <x:c r="M931" s="38"/>
      <x:c r="N931" s="38" t="n">
        <x:v>12123</x:v>
      </x:c>
      <x:c r="O931" s="15" t="str"/>
      <x:c r="P931" s="15" t="str">
        <x:v>eml_ALL_currentac__512781 (2).zip &gt; eml1currentac__512781.zip</x:v>
      </x:c>
      <x:c r="Q931" s="15" t="str">
        <x:v>FNB _-) R12000.00 t_fer from Current a_c..512781 to Current a_c..261544 @ Smartapp. 15Jun 14_18.eml</x:v>
      </x:c>
      <x:c r="R931" s="15" t="str">
        <x:v>High</x:v>
      </x:c>
      <x:c r="S931" s="15" t="str">
        <x:v>Classified as internal/inter-account transfer and excluded from operating cashflow.</x:v>
      </x:c>
      <x:c r="T931" s="15" t="str">
        <x:v>Current a/c..512781</x:v>
      </x:c>
      <x:c r="U931" s="15" t="str">
        <x:v>Current a/c..261544</x:v>
      </x:c>
      <x:c r="V931" s="15" t="str"/>
      <x:c r="W931" s="15" t="str">
        <x:v>Smartapp</x:v>
      </x:c>
      <x:c r="X931" s="15" t="str">
        <x:v>FNB :-) R12000.00 t/fer from Current a/c..512781 to Current a/c..261544 @ Smartapp. Avail R12123. 15Jun 14:18</x:v>
      </x:c>
      <x:c r="Y931" s="15" t="str">
        <x:v>bd4f1d61b3506b95</x:v>
      </x:c>
    </x:row>
    <x:row r="932">
      <x:c r="A932" s="34" t="n">
        <x:v>46189.384722222225</x:v>
      </x:c>
      <x:c r="B932" s="36" t="n">
        <x:v>46189</x:v>
      </x:c>
      <x:c r="C932" s="34" t="n">
        <x:v>46189.385243055556</x:v>
      </x:c>
      <x:c r="D932" s="15" t="str">
        <x:v>Current a/c..512781</x:v>
      </x:c>
      <x:c r="E932" s="15" t="str"/>
      <x:c r="F932" s="15" t="str">
        <x:v>R2000.00 paid from Current a/c..512781 @ Smartapp. Avail R10067. Ref.Repay. 16Jun 09:14</x:v>
      </x:c>
      <x:c r="G932" s="15" t="str">
        <x:v>Repay</x:v>
      </x:c>
      <x:c r="H932" s="38" t="n">
        <x:v>2000</x:v>
      </x:c>
      <x:c r="I932" s="15" t="str">
        <x:v>ZAR</x:v>
      </x:c>
      <x:c r="J932" s="15" t="str">
        <x:v>Outflow</x:v>
      </x:c>
      <x:c r="K932" s="15" t="str">
        <x:v>EFT payment</x:v>
      </x:c>
      <x:c r="L932" s="15" t="str">
        <x:v>Supplier payments</x:v>
      </x:c>
      <x:c r="M932" s="38"/>
      <x:c r="N932" s="38" t="n">
        <x:v>10067</x:v>
      </x:c>
      <x:c r="O932" s="15" t="str"/>
      <x:c r="P932" s="15" t="str">
        <x:v>eml_ALL_currentac__512781 (2).zip &gt; eml1currentac__512781.zip</x:v>
      </x:c>
      <x:c r="Q932" s="15" t="str">
        <x:v>FNB _-) R2000.00 paid from Current a_c..512781 @ Smartapp. Ref.Repay. 16Jun 09_14.eml</x:v>
      </x:c>
      <x:c r="R932" s="15" t="str">
        <x:v>High</x:v>
      </x:c>
      <x:c r="S932" s="15" t="str">
        <x:v>Category confidence Low: Default outflow category; review counterparty/reference.</x:v>
      </x:c>
      <x:c r="T932" s="15" t="str"/>
      <x:c r="U932" s="15" t="str"/>
      <x:c r="V932" s="15" t="str">
        <x:v>Repay</x:v>
      </x:c>
      <x:c r="W932" s="15" t="str">
        <x:v>Smartapp</x:v>
      </x:c>
      <x:c r="X932" s="15" t="str">
        <x:v>FNB :-) R2000.00 paid from Current a/c..512781 @ Smartapp. Avail R10067. Ref.Repay. 16Jun 09:14</x:v>
      </x:c>
      <x:c r="Y932" s="15" t="str">
        <x:v>e090fb2d94c18bbf</x:v>
      </x:c>
    </x:row>
    <x:row r="933">
      <x:c r="A933" s="34" t="n">
        <x:v>46189.69930555556</x:v>
      </x:c>
      <x:c r="B933" s="36" t="n">
        <x:v>46189</x:v>
      </x:c>
      <x:c r="C933" s="34" t="n">
        <x:v>46189.69993055556</x:v>
      </x:c>
      <x:c r="D933" s="15" t="str">
        <x:v>Current a/c..512781</x:v>
      </x:c>
      <x:c r="E933" s="15" t="str"/>
      <x:c r="F933" s="15" t="str">
        <x:v>R250.00 paid from Current a/c..512781 @ Smartapp. Avail R9718. Ref.Sakkie Wages. 16Jun 16:47</x:v>
      </x:c>
      <x:c r="G933" s="15" t="str">
        <x:v>Sakkie Wages</x:v>
      </x:c>
      <x:c r="H933" s="38" t="n">
        <x:v>250</x:v>
      </x:c>
      <x:c r="I933" s="15" t="str">
        <x:v>ZAR</x:v>
      </x:c>
      <x:c r="J933" s="15" t="str">
        <x:v>Outflow</x:v>
      </x:c>
      <x:c r="K933" s="15" t="str">
        <x:v>EFT payment</x:v>
      </x:c>
      <x:c r="L933" s="15" t="str">
        <x:v>Salary / wages</x:v>
      </x:c>
      <x:c r="M933" s="38"/>
      <x:c r="N933" s="38" t="n">
        <x:v>9718</x:v>
      </x:c>
      <x:c r="O933" s="15" t="str"/>
      <x:c r="P933" s="15" t="str">
        <x:v>eml_ALL_currentac__512781 (2).zip &gt; eml1currentac__512781.zip</x:v>
      </x:c>
      <x:c r="Q933" s="15" t="str">
        <x:v>FNB _-) R250.00 paid from Current a_c..512781 @ Smartapp. Ref.Sakkie Wages. 16Jun 16_47.eml</x:v>
      </x:c>
      <x:c r="R933" s="15" t="str">
        <x:v>High</x:v>
      </x:c>
      <x:c r="S933" s="15" t="str"/>
      <x:c r="T933" s="15" t="str"/>
      <x:c r="U933" s="15" t="str"/>
      <x:c r="V933" s="15" t="str">
        <x:v>Sakkie Wages</x:v>
      </x:c>
      <x:c r="W933" s="15" t="str">
        <x:v>Smartapp</x:v>
      </x:c>
      <x:c r="X933" s="15" t="str">
        <x:v>FNB :-) R250.00 paid from Current a/c..512781 @ Smartapp. Avail R9718. Ref.Sakkie Wages. 16Jun 16:47</x:v>
      </x:c>
      <x:c r="Y933" s="15" t="str">
        <x:v>8f173ff9fc7c11ef</x:v>
      </x:c>
    </x:row>
    <x:row r="934">
      <x:c r="A934" s="34" t="n">
        <x:v>46189.72361111111</x:v>
      </x:c>
      <x:c r="B934" s="36" t="n">
        <x:v>46189</x:v>
      </x:c>
      <x:c r="C934" s="34" t="n">
        <x:v>46189.72408564815</x:v>
      </x:c>
      <x:c r="D934" s="15" t="str">
        <x:v>Current a/c..512781</x:v>
      </x:c>
      <x:c r="E934" s="15" t="str">
        <x:v>card..2924</x:v>
      </x:c>
      <x:c r="F934" s="15" t="str">
        <x:v>R250.00 reserved for purchase @ The Tin Shack from Current a/c..512781 using card..2924. Avail R9468. 16Jun 17:22</x:v>
      </x:c>
      <x:c r="G934" s="15" t="str">
        <x:v>The Tin Shack</x:v>
      </x:c>
      <x:c r="H934" s="38" t="n">
        <x:v>250</x:v>
      </x:c>
      <x:c r="I934" s="15" t="str">
        <x:v>ZAR</x:v>
      </x:c>
      <x:c r="J934" s="15" t="str">
        <x:v>Outflow</x:v>
      </x:c>
      <x:c r="K934" s="15" t="str">
        <x:v>Card purchase</x:v>
      </x:c>
      <x:c r="L934" s="15" t="str">
        <x:v>Meals / restaurants / entertainment</x:v>
      </x:c>
      <x:c r="M934" s="38"/>
      <x:c r="N934" s="38" t="n">
        <x:v>9468</x:v>
      </x:c>
      <x:c r="O934" s="15" t="str"/>
      <x:c r="P934" s="15" t="str">
        <x:v>eml_ALL_currentac__512781 (2).zip &gt; eml1currentac__512781.zip</x:v>
      </x:c>
      <x:c r="Q934" s="15" t="str">
        <x:v>FNB _-) R250.00 reserved for purchase @ The Tin Shack from Current a_c..512781 using card..2924. 16Jun 17_22.eml</x:v>
      </x:c>
      <x:c r="R934" s="15" t="str">
        <x:v>High</x:v>
      </x:c>
      <x:c r="S934" s="15" t="str"/>
      <x:c r="T934" s="15" t="str"/>
      <x:c r="U934" s="15" t="str"/>
      <x:c r="V934" s="15" t="str"/>
      <x:c r="W934" s="15" t="str"/>
      <x:c r="X934" s="15" t="str">
        <x:v>FNB :-) R250.00 reserved for purchase @ The Tin Shack from Current a/c..512781 using card..2924. Avail R9468. 16Jun 17:22</x:v>
      </x:c>
      <x:c r="Y934" s="15" t="str">
        <x:v>a98583ad64c603d9</x:v>
      </x:c>
    </x:row>
    <x:row r="935">
      <x:c r="A935" s="34" t="n">
        <x:v>46190.282638888886</x:v>
      </x:c>
      <x:c r="B935" s="36" t="n">
        <x:v>46190</x:v>
      </x:c>
      <x:c r="C935" s="34" t="n">
        <x:v>46190.283321759256</x:v>
      </x:c>
      <x:c r="D935" s="15" t="str">
        <x:v>Current a/c..512781</x:v>
      </x:c>
      <x:c r="E935" s="15" t="str"/>
      <x:c r="F935" s="15" t="str">
        <x:v>R150.00 paid from Current a/c..512781 @ Smartapp. Avail R9316. Ref.Electricity 14503572. 17Jun 06:47</x:v>
      </x:c>
      <x:c r="G935" s="15" t="str">
        <x:v>Electricity 14503572</x:v>
      </x:c>
      <x:c r="H935" s="38" t="n">
        <x:v>150</x:v>
      </x:c>
      <x:c r="I935" s="15" t="str">
        <x:v>ZAR</x:v>
      </x:c>
      <x:c r="J935" s="15" t="str">
        <x:v>Outflow</x:v>
      </x:c>
      <x:c r="K935" s="15" t="str">
        <x:v>EFT payment</x:v>
      </x:c>
      <x:c r="L935" s="15" t="str">
        <x:v>Telecom / utilities</x:v>
      </x:c>
      <x:c r="M935" s="38"/>
      <x:c r="N935" s="38" t="n">
        <x:v>9316</x:v>
      </x:c>
      <x:c r="O935" s="15" t="str"/>
      <x:c r="P935" s="15" t="str">
        <x:v>eml_ALL_currentac__512781 (2).zip &gt; eml1currentac__512781.zip</x:v>
      </x:c>
      <x:c r="Q935" s="15" t="str">
        <x:v>FNB _-) R150.00 paid from Current a_c..512781 @ Smartapp. Ref.Electricity 14503572. 17Jun 06_47.eml</x:v>
      </x:c>
      <x:c r="R935" s="15" t="str">
        <x:v>High</x:v>
      </x:c>
      <x:c r="S935" s="15" t="str"/>
      <x:c r="T935" s="15" t="str"/>
      <x:c r="U935" s="15" t="str"/>
      <x:c r="V935" s="15" t="str">
        <x:v>Electricity 14503572</x:v>
      </x:c>
      <x:c r="W935" s="15" t="str">
        <x:v>Smartapp</x:v>
      </x:c>
      <x:c r="X935" s="15" t="str">
        <x:v>FNB :-) R150.00 paid from Current a/c..512781 @ Smartapp. Avail R9316. Ref.Electricity 14503572. 17Jun 06:47</x:v>
      </x:c>
      <x:c r="Y935" s="15" t="str">
        <x:v>976e8f6d665c6866</x:v>
      </x:c>
    </x:row>
    <x:row r="936">
      <x:c r="A936" s="34" t="n">
        <x:v>46190.44097222222</x:v>
      </x:c>
      <x:c r="B936" s="36" t="n">
        <x:v>46190</x:v>
      </x:c>
      <x:c r="C936" s="34" t="n">
        <x:v>46190.44107638889</x:v>
      </x:c>
      <x:c r="D936" s="15" t="str">
        <x:v>Current a/c..512781</x:v>
      </x:c>
      <x:c r="E936" s="15" t="str">
        <x:v>card..2924</x:v>
      </x:c>
      <x:c r="F936" s="15" t="str">
        <x:v>R228.85 reserved for purchase @ Paystack *zoho Co from Current a/c..512781 using card..2924. Avail R9087. 17Jun 10:35</x:v>
      </x:c>
      <x:c r="G936" s="15" t="str">
        <x:v>Paystack *zoho Co</x:v>
      </x:c>
      <x:c r="H936" s="38" t="n">
        <x:v>228.85</x:v>
      </x:c>
      <x:c r="I936" s="15" t="str">
        <x:v>ZAR</x:v>
      </x:c>
      <x:c r="J936" s="15" t="str">
        <x:v>Outflow</x:v>
      </x:c>
      <x:c r="K936" s="15" t="str">
        <x:v>Card purchase</x:v>
      </x:c>
      <x:c r="L936" s="15" t="str">
        <x:v>Software / subscriptions</x:v>
      </x:c>
      <x:c r="M936" s="38"/>
      <x:c r="N936" s="38" t="n">
        <x:v>9087</x:v>
      </x:c>
      <x:c r="O936" s="15" t="str"/>
      <x:c r="P936" s="15" t="str">
        <x:v>eml_ALL_currentac__512781 (2).zip &gt; eml1currentac__512781.zip</x:v>
      </x:c>
      <x:c r="Q936" s="15" t="str">
        <x:v>FNB _-) R228.85 reserved for purchase @ Paystack _zoho Co from Current a_c..512781 using card..2924. 17Jun 10_35.eml</x:v>
      </x:c>
      <x:c r="R936" s="15" t="str">
        <x:v>High</x:v>
      </x:c>
      <x:c r="S936" s="15" t="str"/>
      <x:c r="T936" s="15" t="str"/>
      <x:c r="U936" s="15" t="str"/>
      <x:c r="V936" s="15" t="str"/>
      <x:c r="W936" s="15" t="str"/>
      <x:c r="X936" s="15" t="str">
        <x:v>FNB :-) R228.85 reserved for purchase @ Paystack *zoho Co from Current a/c..512781 using card..2924. Avail R9087. 17Jun 10:35</x:v>
      </x:c>
      <x:c r="Y936" s="15" t="str">
        <x:v>771be5e57f4e51cb</x:v>
      </x:c>
    </x:row>
    <x:row r="937">
      <x:c r="A937" s="34" t="n">
        <x:v>46190.49375</x:v>
      </x:c>
      <x:c r="B937" s="36" t="n">
        <x:v>46190</x:v>
      </x:c>
      <x:c r="C937" s="34" t="n">
        <x:v>46190.49381944445</x:v>
      </x:c>
      <x:c r="D937" s="15" t="str">
        <x:v>Current a/c..512781</x:v>
      </x:c>
      <x:c r="E937" s="15" t="str"/>
      <x:c r="F937" s="15" t="str">
        <x:v>R5000.00 paid from Current a/c..512781 @ Smartapp. Avail R4079. Ref.Car. 17Jun 11:51</x:v>
      </x:c>
      <x:c r="G937" s="15" t="str">
        <x:v>Car</x:v>
      </x:c>
      <x:c r="H937" s="38" t="n">
        <x:v>5000</x:v>
      </x:c>
      <x:c r="I937" s="15" t="str">
        <x:v>ZAR</x:v>
      </x:c>
      <x:c r="J937" s="15" t="str">
        <x:v>Outflow</x:v>
      </x:c>
      <x:c r="K937" s="15" t="str">
        <x:v>EFT payment</x:v>
      </x:c>
      <x:c r="L937" s="15" t="str">
        <x:v>Supplier payments</x:v>
      </x:c>
      <x:c r="M937" s="38"/>
      <x:c r="N937" s="38" t="n">
        <x:v>4079</x:v>
      </x:c>
      <x:c r="O937" s="15" t="str"/>
      <x:c r="P937" s="15" t="str">
        <x:v>eml_ALL_currentac__512781 (2).zip &gt; eml1currentac__512781.zip</x:v>
      </x:c>
      <x:c r="Q937" s="15" t="str">
        <x:v>FNB _-) R5000.00 paid from Current a_c..512781 @ Smartapp. Ref.Car. 17Jun 11_51.eml</x:v>
      </x:c>
      <x:c r="R937" s="15" t="str">
        <x:v>High</x:v>
      </x:c>
      <x:c r="S937" s="15" t="str">
        <x:v>Category confidence Low: Default outflow category; review counterparty/reference.</x:v>
      </x:c>
      <x:c r="T937" s="15" t="str"/>
      <x:c r="U937" s="15" t="str"/>
      <x:c r="V937" s="15" t="str">
        <x:v>Car</x:v>
      </x:c>
      <x:c r="W937" s="15" t="str">
        <x:v>Smartapp</x:v>
      </x:c>
      <x:c r="X937" s="15" t="str">
        <x:v>FNB :-) R5000.00 paid from Current a/c..512781 @ Smartapp. Avail R4079. Ref.Car. 17Jun 11:51</x:v>
      </x:c>
      <x:c r="Y937" s="15" t="str">
        <x:v>9ac530fc1feb41b7</x:v>
      </x:c>
    </x:row>
    <x:row r="938">
      <x:c r="A938" s="34" t="n">
        <x:v>46190.97638888889</x:v>
      </x:c>
      <x:c r="B938" s="36" t="n">
        <x:v>46190</x:v>
      </x:c>
      <x:c r="C938" s="34" t="n">
        <x:v>46190.97677083333</x:v>
      </x:c>
      <x:c r="D938" s="15" t="str">
        <x:v>Current a/c..512781</x:v>
      </x:c>
      <x:c r="E938" s="15" t="str">
        <x:v>card..0104</x:v>
      </x:c>
      <x:c r="F938" s="15" t="str">
        <x:v>R149.00 reserved for purchase @ Openai *chatgpt Subscr+14 from Current a/c..512781 using card..0104. Avail R3930. 17Jun 23:26</x:v>
      </x:c>
      <x:c r="G938" s="15" t="str">
        <x:v>Openai *chatgpt Subscr+14</x:v>
      </x:c>
      <x:c r="H938" s="38" t="n">
        <x:v>149</x:v>
      </x:c>
      <x:c r="I938" s="15" t="str">
        <x:v>ZAR</x:v>
      </x:c>
      <x:c r="J938" s="15" t="str">
        <x:v>Outflow</x:v>
      </x:c>
      <x:c r="K938" s="15" t="str">
        <x:v>Card purchase</x:v>
      </x:c>
      <x:c r="L938" s="15" t="str">
        <x:v>Software / subscriptions</x:v>
      </x:c>
      <x:c r="M938" s="38"/>
      <x:c r="N938" s="38" t="n">
        <x:v>3930</x:v>
      </x:c>
      <x:c r="O938" s="15" t="str"/>
      <x:c r="P938" s="15" t="str">
        <x:v>eml_ALL_currentac__512781 (2).zip &gt; eml1currentac__512781.zip</x:v>
      </x:c>
      <x:c r="Q938" s="15" t="str">
        <x:v>FNB _-) R149.00 reserved for purchase @ Openai _chatgpt Subscr+14 from Current a_c..512781 using card..0104. 17Jun 23_26.eml</x:v>
      </x:c>
      <x:c r="R938" s="15" t="str">
        <x:v>High</x:v>
      </x:c>
      <x:c r="S938" s="15" t="str"/>
      <x:c r="T938" s="15" t="str"/>
      <x:c r="U938" s="15" t="str"/>
      <x:c r="V938" s="15" t="str"/>
      <x:c r="W938" s="15" t="str"/>
      <x:c r="X938" s="15" t="str">
        <x:v>FNB :-) R149.00 reserved for purchase @ Openai *chatgpt Subscr+14 from Current a/c..512781 using card..0104. Avail R3930. 17Jun 23:26</x:v>
      </x:c>
      <x:c r="Y938" s="15" t="str">
        <x:v>f82b00e75a04db35</x:v>
      </x:c>
    </x:row>
    <x:row r="939">
      <x:c r="A939" s="34" t="n">
        <x:v>46191.38958333333</x:v>
      </x:c>
      <x:c r="B939" s="36" t="n">
        <x:v>46191</x:v>
      </x:c>
      <x:c r="C939" s="34" t="n">
        <x:v>46191.38972222222</x:v>
      </x:c>
      <x:c r="D939" s="15" t="str">
        <x:v>Current a/c..512781</x:v>
      </x:c>
      <x:c r="E939" s="15" t="str"/>
      <x:c r="F939" s="15" t="str">
        <x:v>R6363.32 paid to Current a/c..512781 @ Retail Forex. Ref.R026qc6v20 Booking.c. 18Jun 09:21</x:v>
      </x:c>
      <x:c r="G939" s="15" t="str">
        <x:v>R026qc6v20 Booking.c</x:v>
      </x:c>
      <x:c r="H939" s="38" t="n">
        <x:v>6363.32</x:v>
      </x:c>
      <x:c r="I939" s="15" t="str">
        <x:v>ZAR</x:v>
      </x:c>
      <x:c r="J939" s="15" t="str">
        <x:v>Inflow</x:v>
      </x:c>
      <x:c r="K939" s="15" t="str">
        <x:v>EFT receipt</x:v>
      </x:c>
      <x:c r="L939" s="15" t="str">
        <x:v>Sales / customer receipts</x:v>
      </x:c>
      <x:c r="M939" s="38"/>
      <x:c r="N939" s="38"/>
      <x:c r="O939" s="15" t="str"/>
      <x:c r="P939" s="15" t="str">
        <x:v>eml_ALL_currentac__512781 (2).zip &gt; eml1currentac__512781.zip</x:v>
      </x:c>
      <x:c r="Q939" s="15" t="str">
        <x:v>FNB _-) R6363.32 paid to Current a_c..512781 @ Retail Forex. Ref.R026qc6v20 Booking.c. 18Jun 09_21.eml</x:v>
      </x:c>
      <x:c r="R939" s="15" t="str">
        <x:v>High</x:v>
      </x:c>
      <x:c r="S939" s="15" t="str">
        <x:v>Category confidence Medium: Default for incoming EFT/PayShap/online receipt.</x:v>
      </x:c>
      <x:c r="T939" s="15" t="str"/>
      <x:c r="U939" s="15" t="str"/>
      <x:c r="V939" s="15" t="str">
        <x:v>R026qc6v20 Booking.c</x:v>
      </x:c>
      <x:c r="W939" s="15" t="str">
        <x:v>Retail Forex</x:v>
      </x:c>
      <x:c r="X939" s="15" t="str">
        <x:v>FNB :-) R6363.32 paid to Current a/c..512781 @ Retail Forex. Ref.R026qc6v20 Booking.c. 18Jun 09:21</x:v>
      </x:c>
      <x:c r="Y939" s="15" t="str">
        <x:v>dc0ad9e5ea1635e9</x:v>
      </x:c>
    </x:row>
    <x:row r="940">
      <x:c r="A940" s="34" t="n">
        <x:v>46191.46944444445</x:v>
      </x:c>
      <x:c r="B940" s="36" t="n">
        <x:v>46191</x:v>
      </x:c>
      <x:c r="C940" s="34" t="n">
        <x:v>46191.47008101852</x:v>
      </x:c>
      <x:c r="D940" s="15" t="str">
        <x:v>Current a/c..512781</x:v>
      </x:c>
      <x:c r="E940" s="15" t="str">
        <x:v>card..2924</x:v>
      </x:c>
      <x:c r="F940" s="15" t="str">
        <x:v>R643.85 reserved for purchase @ Shoprite Komatipoort from Current a/c..512781 using card..2924. Avail R9628. 18Jun 11:16</x:v>
      </x:c>
      <x:c r="G940" s="15" t="str">
        <x:v>Shoprite Komatipoort</x:v>
      </x:c>
      <x:c r="H940" s="38" t="n">
        <x:v>643.85</x:v>
      </x:c>
      <x:c r="I940" s="15" t="str">
        <x:v>ZAR</x:v>
      </x:c>
      <x:c r="J940" s="15" t="str">
        <x:v>Outflow</x:v>
      </x:c>
      <x:c r="K940" s="15" t="str">
        <x:v>Card purchase</x:v>
      </x:c>
      <x:c r="L940" s="15" t="str">
        <x:v>Supplier payments</x:v>
      </x:c>
      <x:c r="M940" s="38"/>
      <x:c r="N940" s="38" t="n">
        <x:v>9628</x:v>
      </x:c>
      <x:c r="O940" s="15" t="str"/>
      <x:c r="P940" s="15" t="str">
        <x:v>eml_ALL_currentac__512781 (2).zip &gt; eml1currentac__512781.zip</x:v>
      </x:c>
      <x:c r="Q940" s="15" t="str">
        <x:v>FNB _-) R643.85 reserved for purchase @ Shoprite Komatipoort from Current a_c..512781 using card..2924. 18Jun 11_16.eml</x:v>
      </x:c>
      <x:c r="R940" s="15" t="str">
        <x:v>High</x:v>
      </x:c>
      <x:c r="S940" s="15" t="str">
        <x:v>Category confidence Medium: Retail/supplier merchant keyword.</x:v>
      </x:c>
      <x:c r="T940" s="15" t="str"/>
      <x:c r="U940" s="15" t="str"/>
      <x:c r="V940" s="15" t="str"/>
      <x:c r="W940" s="15" t="str"/>
      <x:c r="X940" s="15" t="str">
        <x:v>FNB :-) R643.85 reserved for purchase @ Shoprite Komatipoort from Current a/c..512781 using card..2924. Avail R9628. 18Jun 11:16</x:v>
      </x:c>
      <x:c r="Y940" s="15" t="str">
        <x:v>fd4483c134073143</x:v>
      </x:c>
    </x:row>
    <x:row r="941">
      <x:c r="A941" s="34" t="n">
        <x:v>46191.50763888889</x:v>
      </x:c>
      <x:c r="B941" s="36" t="n">
        <x:v>46191</x:v>
      </x:c>
      <x:c r="C941" s="34" t="n">
        <x:v>46191.507939814815</x:v>
      </x:c>
      <x:c r="D941" s="15" t="str">
        <x:v>Current a/c..512781</x:v>
      </x:c>
      <x:c r="E941" s="15" t="str">
        <x:v>card..2924</x:v>
      </x:c>
      <x:c r="F941" s="15" t="str">
        <x:v>R813.73 reserved for purchase @ Superspar Komatipoor from Current a/c..512781 using card..2924. Avail R8814. 18Jun 12:11</x:v>
      </x:c>
      <x:c r="G941" s="15" t="str">
        <x:v>Superspar Komatipoor</x:v>
      </x:c>
      <x:c r="H941" s="38" t="n">
        <x:v>813.73</x:v>
      </x:c>
      <x:c r="I941" s="15" t="str">
        <x:v>ZAR</x:v>
      </x:c>
      <x:c r="J941" s="15" t="str">
        <x:v>Outflow</x:v>
      </x:c>
      <x:c r="K941" s="15" t="str">
        <x:v>Card purchase</x:v>
      </x:c>
      <x:c r="L941" s="15" t="str">
        <x:v>Supplier payments</x:v>
      </x:c>
      <x:c r="M941" s="38"/>
      <x:c r="N941" s="38" t="n">
        <x:v>8814</x:v>
      </x:c>
      <x:c r="O941" s="15" t="str"/>
      <x:c r="P941" s="15" t="str">
        <x:v>eml_ALL_currentac__512781 (2).zip &gt; eml1currentac__512781.zip</x:v>
      </x:c>
      <x:c r="Q941" s="15" t="str">
        <x:v>FNB _-) R813.73 reserved for purchase @ Superspar Komatipoor from Current a_c..512781 using card..2924. 18Jun 12_11.eml</x:v>
      </x:c>
      <x:c r="R941" s="15" t="str">
        <x:v>High</x:v>
      </x:c>
      <x:c r="S941" s="15" t="str">
        <x:v>Category confidence Medium: Retail/supplier merchant keyword.</x:v>
      </x:c>
      <x:c r="T941" s="15" t="str"/>
      <x:c r="U941" s="15" t="str"/>
      <x:c r="V941" s="15" t="str"/>
      <x:c r="W941" s="15" t="str"/>
      <x:c r="X941" s="15" t="str">
        <x:v>FNB :-) R813.73 reserved for purchase @ Superspar Komatipoor from Current a/c..512781 using card..2924. Avail R8814. 18Jun 12:11</x:v>
      </x:c>
      <x:c r="Y941" s="15" t="str">
        <x:v>d23dd5e90e7da5f8</x:v>
      </x:c>
    </x:row>
    <x:row r="942">
      <x:c r="A942" s="34" t="n">
        <x:v>46192.50069444445</x:v>
      </x:c>
      <x:c r="B942" s="36" t="n">
        <x:v>46192</x:v>
      </x:c>
      <x:c r="C942" s="34" t="n">
        <x:v>46192.50074074074</x:v>
      </x:c>
      <x:c r="D942" s="15" t="str">
        <x:v>Current a/c..512781</x:v>
      </x:c>
      <x:c r="E942" s="15" t="str"/>
      <x:c r="F942" s="15" t="str">
        <x:v>R2990.00 paid from Current a/c..512781 @ Smartapp. Avail R5801. Ref.Royal Bush 3846. 19Jun 12:01</x:v>
      </x:c>
      <x:c r="G942" s="15" t="str">
        <x:v>Royal Bush 3846</x:v>
      </x:c>
      <x:c r="H942" s="38" t="n">
        <x:v>2990</x:v>
      </x:c>
      <x:c r="I942" s="15" t="str">
        <x:v>ZAR</x:v>
      </x:c>
      <x:c r="J942" s="15" t="str">
        <x:v>Outflow</x:v>
      </x:c>
      <x:c r="K942" s="15" t="str">
        <x:v>EFT payment</x:v>
      </x:c>
      <x:c r="L942" s="15" t="str">
        <x:v>Supplier payments</x:v>
      </x:c>
      <x:c r="M942" s="38"/>
      <x:c r="N942" s="38" t="n">
        <x:v>5801</x:v>
      </x:c>
      <x:c r="O942" s="15" t="str"/>
      <x:c r="P942" s="15" t="str">
        <x:v>eml_ALL_currentac__512781 (2).zip &gt; eml1currentac__512781.zip</x:v>
      </x:c>
      <x:c r="Q942" s="15" t="str">
        <x:v>FNB _-) R2990.00 paid from Current a_c..512781 @ Smartapp. Ref.Royal Bush 3846. 19Jun 12_01.eml</x:v>
      </x:c>
      <x:c r="R942" s="15" t="str">
        <x:v>High</x:v>
      </x:c>
      <x:c r="S942" s="15" t="str">
        <x:v>Category confidence Low: Default outflow category; review counterparty/reference.</x:v>
      </x:c>
      <x:c r="T942" s="15" t="str"/>
      <x:c r="U942" s="15" t="str"/>
      <x:c r="V942" s="15" t="str">
        <x:v>Royal Bush 3846</x:v>
      </x:c>
      <x:c r="W942" s="15" t="str">
        <x:v>Smartapp</x:v>
      </x:c>
      <x:c r="X942" s="15" t="str">
        <x:v>FNB :-) R2990.00 paid from Current a/c..512781 @ Smartapp. Avail R5801. Ref.Royal Bush 3846. 19Jun 12:01</x:v>
      </x:c>
      <x:c r="Y942" s="15" t="str">
        <x:v>363a33826d5d83dc</x:v>
      </x:c>
    </x:row>
    <x:row r="943">
      <x:c r="A943" s="34" t="n">
        <x:v>46192.50069444445</x:v>
      </x:c>
      <x:c r="B943" s="36" t="n">
        <x:v>46192</x:v>
      </x:c>
      <x:c r="C943" s="34" t="n">
        <x:v>46192.50113425926</x:v>
      </x:c>
      <x:c r="D943" s="15" t="str">
        <x:v>Current a/c..512781</x:v>
      </x:c>
      <x:c r="E943" s="15" t="str">
        <x:v>card..2924</x:v>
      </x:c>
      <x:c r="F943" s="15" t="str">
        <x:v>R783.50 reserved for purchase @ Superspar Komatipoor from Current a/c..512781 using card..2924. Avail R5017. 19Jun 12:01</x:v>
      </x:c>
      <x:c r="G943" s="15" t="str">
        <x:v>Superspar Komatipoor</x:v>
      </x:c>
      <x:c r="H943" s="38" t="n">
        <x:v>783.5</x:v>
      </x:c>
      <x:c r="I943" s="15" t="str">
        <x:v>ZAR</x:v>
      </x:c>
      <x:c r="J943" s="15" t="str">
        <x:v>Outflow</x:v>
      </x:c>
      <x:c r="K943" s="15" t="str">
        <x:v>Card purchase</x:v>
      </x:c>
      <x:c r="L943" s="15" t="str">
        <x:v>Supplier payments</x:v>
      </x:c>
      <x:c r="M943" s="38"/>
      <x:c r="N943" s="38" t="n">
        <x:v>5017</x:v>
      </x:c>
      <x:c r="O943" s="15" t="str"/>
      <x:c r="P943" s="15" t="str">
        <x:v>eml_ALL_currentac__512781 (2).zip &gt; eml1currentac__512781.zip</x:v>
      </x:c>
      <x:c r="Q943" s="15" t="str">
        <x:v>FNB _-) R783.50 reserved for purchase @ Superspar Komatipoor from Current a_c..512781 using card..2924. 19Jun 12_01.eml</x:v>
      </x:c>
      <x:c r="R943" s="15" t="str">
        <x:v>High</x:v>
      </x:c>
      <x:c r="S943" s="15" t="str">
        <x:v>Category confidence Medium: Retail/supplier merchant keyword.</x:v>
      </x:c>
      <x:c r="T943" s="15" t="str"/>
      <x:c r="U943" s="15" t="str"/>
      <x:c r="V943" s="15" t="str"/>
      <x:c r="W943" s="15" t="str"/>
      <x:c r="X943" s="15" t="str">
        <x:v>FNB :-) R783.50 reserved for purchase @ Superspar Komatipoor from Current a/c..512781 using card..2924. Avail R5017. 19Jun 12:01</x:v>
      </x:c>
      <x:c r="Y943" s="15" t="str">
        <x:v>7e55f84aec91e490</x:v>
      </x:c>
    </x:row>
    <x:row r="944">
      <x:c r="A944" s="34" t="n">
        <x:v>46192.51527777778</x:v>
      </x:c>
      <x:c r="B944" s="36" t="n">
        <x:v>46192</x:v>
      </x:c>
      <x:c r="C944" s="34" t="n">
        <x:v>46192.51577546296</x:v>
      </x:c>
      <x:c r="D944" s="15" t="str">
        <x:v>Current a/c..512781</x:v>
      </x:c>
      <x:c r="E944" s="15" t="str">
        <x:v>card..2924</x:v>
      </x:c>
      <x:c r="F944" s="15" t="str">
        <x:v>R127.00 reserved for purchase @ Oasis Water Komatipo from Current a/c..512781 using card..2924. Avail R4890. 19Jun 12:22</x:v>
      </x:c>
      <x:c r="G944" s="15" t="str">
        <x:v>Oasis Water Komatipo</x:v>
      </x:c>
      <x:c r="H944" s="38" t="n">
        <x:v>127</x:v>
      </x:c>
      <x:c r="I944" s="15" t="str">
        <x:v>ZAR</x:v>
      </x:c>
      <x:c r="J944" s="15" t="str">
        <x:v>Outflow</x:v>
      </x:c>
      <x:c r="K944" s="15" t="str">
        <x:v>Card purchase</x:v>
      </x:c>
      <x:c r="L944" s="15" t="str">
        <x:v>Supplier payments</x:v>
      </x:c>
      <x:c r="M944" s="38"/>
      <x:c r="N944" s="38" t="n">
        <x:v>4890</x:v>
      </x:c>
      <x:c r="O944" s="15" t="str"/>
      <x:c r="P944" s="15" t="str">
        <x:v>eml_ALL_currentac__512781 (2).zip &gt; eml1currentac__512781.zip</x:v>
      </x:c>
      <x:c r="Q944" s="15" t="str">
        <x:v>FNB _-) R127.00 reserved for purchase @ Oasis Water Komatipo from Current a_c..512781 using card..2924. 19Jun 12_22.eml</x:v>
      </x:c>
      <x:c r="R944" s="15" t="str">
        <x:v>High</x:v>
      </x:c>
      <x:c r="S944" s="15" t="str">
        <x:v>Category confidence Medium: Retail/supplier merchant keyword.</x:v>
      </x:c>
      <x:c r="T944" s="15" t="str"/>
      <x:c r="U944" s="15" t="str"/>
      <x:c r="V944" s="15" t="str"/>
      <x:c r="W944" s="15" t="str"/>
      <x:c r="X944" s="15" t="str">
        <x:v>FNB :-) R127.00 reserved for purchase @ Oasis Water Komatipo from Current a/c..512781 using card..2924. Avail R4890. 19Jun 12:22</x:v>
      </x:c>
      <x:c r="Y944" s="15" t="str">
        <x:v>a5e94882c9e1f6e1</x:v>
      </x:c>
    </x:row>
    <x:row r="945">
      <x:c r="A945" s="34" t="n">
        <x:v>46192.57152777778</x:v>
      </x:c>
      <x:c r="B945" s="36" t="n">
        <x:v>46192</x:v>
      </x:c>
      <x:c r="C945" s="34" t="n">
        <x:v>46192.571539351855</x:v>
      </x:c>
      <x:c r="D945" s="15" t="str">
        <x:v>Current a/c..512781</x:v>
      </x:c>
      <x:c r="E945" s="15" t="str"/>
      <x:c r="F945" s="15" t="str">
        <x:v>R1641.66 paid to Current a/c..512781 @ Payshap. Ref.Ik Pay 487882. 19Jun 13:43</x:v>
      </x:c>
      <x:c r="G945" s="15" t="str">
        <x:v>Ik Pay 487882</x:v>
      </x:c>
      <x:c r="H945" s="38" t="n">
        <x:v>1641.66</x:v>
      </x:c>
      <x:c r="I945" s="15" t="str">
        <x:v>ZAR</x:v>
      </x:c>
      <x:c r="J945" s="15" t="str">
        <x:v>Inflow</x:v>
      </x:c>
      <x:c r="K945" s="15" t="str">
        <x:v>EFT receipt</x:v>
      </x:c>
      <x:c r="L945" s="15" t="str">
        <x:v>Sales / customer receipts</x:v>
      </x:c>
      <x:c r="M945" s="38"/>
      <x:c r="N945" s="38"/>
      <x:c r="O945" s="15" t="str"/>
      <x:c r="P945" s="15" t="str">
        <x:v>eml_ALL_currentac__512781 (2).zip &gt; eml1currentac__512781.zip</x:v>
      </x:c>
      <x:c r="Q945" s="15" t="str">
        <x:v>FNB _-) R1641.66 paid to Current a_c..512781 @ Payshap. Ref.Ik Pay 487882. 19Jun 13_43.eml</x:v>
      </x:c>
      <x:c r="R945" s="15" t="str">
        <x:v>High</x:v>
      </x:c>
      <x:c r="S945" s="15" t="str">
        <x:v>Category confidence Medium: Default for incoming EFT/PayShap/online receipt.</x:v>
      </x:c>
      <x:c r="T945" s="15" t="str"/>
      <x:c r="U945" s="15" t="str"/>
      <x:c r="V945" s="15" t="str">
        <x:v>Ik Pay 487882</x:v>
      </x:c>
      <x:c r="W945" s="15" t="str">
        <x:v>Payshap</x:v>
      </x:c>
      <x:c r="X945" s="15" t="str">
        <x:v>FNB :-) R1641.66 paid to Current a/c..512781 @ Payshap. Ref.Ik Pay 487882. 19Jun 13:43</x:v>
      </x:c>
      <x:c r="Y945" s="15" t="str">
        <x:v>93ac57dd3781e07f</x:v>
      </x:c>
    </x:row>
    <x:row r="946">
      <x:c r="A946" s="34" t="n">
        <x:v>46192.595138888886</x:v>
      </x:c>
      <x:c r="B946" s="36" t="n">
        <x:v>46192</x:v>
      </x:c>
      <x:c r="C946" s="34" t="n">
        <x:v>46192.59568287037</x:v>
      </x:c>
      <x:c r="D946" s="15" t="str">
        <x:v>Current a/c..512781</x:v>
      </x:c>
      <x:c r="E946" s="15" t="str"/>
      <x:c r="F946" s="15" t="str">
        <x:v>R2500.00 paid from Current a/c..512781 @ Smartapp. Avail R4024. Ref.Sakkie Wages. 19Jun 14:17</x:v>
      </x:c>
      <x:c r="G946" s="15" t="str">
        <x:v>Sakkie Wages</x:v>
      </x:c>
      <x:c r="H946" s="38" t="n">
        <x:v>2500</x:v>
      </x:c>
      <x:c r="I946" s="15" t="str">
        <x:v>ZAR</x:v>
      </x:c>
      <x:c r="J946" s="15" t="str">
        <x:v>Outflow</x:v>
      </x:c>
      <x:c r="K946" s="15" t="str">
        <x:v>EFT payment</x:v>
      </x:c>
      <x:c r="L946" s="15" t="str">
        <x:v>Salary / wages</x:v>
      </x:c>
      <x:c r="M946" s="38"/>
      <x:c r="N946" s="38" t="n">
        <x:v>4024</x:v>
      </x:c>
      <x:c r="O946" s="15" t="str"/>
      <x:c r="P946" s="15" t="str">
        <x:v>eml_ALL_currentac__512781 (2).zip &gt; eml1currentac__512781.zip</x:v>
      </x:c>
      <x:c r="Q946" s="15" t="str">
        <x:v>FNB _-) R2500.00 paid from Current a_c..512781 @ Smartapp. Ref.Sakkie Wages. 19Jun 14_17.eml</x:v>
      </x:c>
      <x:c r="R946" s="15" t="str">
        <x:v>High</x:v>
      </x:c>
      <x:c r="S946" s="15" t="str"/>
      <x:c r="T946" s="15" t="str"/>
      <x:c r="U946" s="15" t="str"/>
      <x:c r="V946" s="15" t="str">
        <x:v>Sakkie Wages</x:v>
      </x:c>
      <x:c r="W946" s="15" t="str">
        <x:v>Smartapp</x:v>
      </x:c>
      <x:c r="X946" s="15" t="str">
        <x:v>FNB :-) R2500.00 paid from Current a/c..512781 @ Smartapp. Avail R4024. Ref.Sakkie Wages. 19Jun 14:17</x:v>
      </x:c>
      <x:c r="Y946" s="15" t="str">
        <x:v>49762787745efdb1</x:v>
      </x:c>
    </x:row>
    <x:row r="947">
      <x:c r="A947" s="34" t="n">
        <x:v>46192.669444444444</x:v>
      </x:c>
      <x:c r="B947" s="36" t="n">
        <x:v>46192</x:v>
      </x:c>
      <x:c r="C947" s="34" t="n">
        <x:v>46192.669699074075</x:v>
      </x:c>
      <x:c r="D947" s="15" t="str">
        <x:v>Current a/c..512781</x:v>
      </x:c>
      <x:c r="E947" s="15" t="str"/>
      <x:c r="F947" s="15" t="str">
        <x:v>Payment Link created from Current a/c..512781 To Bushwise Safaris..817835 @ Smartapp. 19Jun 16:04 Call 087 575 9404 for help.</x:v>
      </x:c>
      <x:c r="G947" s="15" t="str">
        <x:v>Bushwise Safaris..817835</x:v>
      </x:c>
      <x:c r="H947" s="38"/>
      <x:c r="I947" s="15" t="str"/>
      <x:c r="J947" s="15" t="str">
        <x:v>Neutral/Information Only</x:v>
      </x:c>
      <x:c r="K947" s="15" t="str">
        <x:v>Other</x:v>
      </x:c>
      <x:c r="L947" s="15" t="str">
        <x:v>Other</x:v>
      </x:c>
      <x:c r="M947" s="38"/>
      <x:c r="N947" s="38"/>
      <x:c r="O947" s="15" t="str"/>
      <x:c r="P947" s="15" t="str">
        <x:v>eml_ALL_currentac__512781 (2).zip &gt; eml1currentac__512781.zip</x:v>
      </x:c>
      <x:c r="Q947" s="15" t="str">
        <x:v>FNB _-) Payment Link created from Current a_c..512781 To Bushwise Safaris..817835 @ Smartapp. 19Jun 16_04 Call 087 575 9404  for help..eml</x:v>
      </x:c>
      <x:c r="R947" s="15" t="str">
        <x:v>High</x:v>
      </x:c>
      <x:c r="S947" s="15" t="str">
        <x:v>Payment link creation only; no money movement indicated. Category confidence Low: Unable to map confidently.</x:v>
      </x:c>
      <x:c r="T947" s="15" t="str">
        <x:v>Current a/c..512781</x:v>
      </x:c>
      <x:c r="U947" s="15" t="str">
        <x:v>Bushwise Safaris..817835</x:v>
      </x:c>
      <x:c r="V947" s="15" t="str"/>
      <x:c r="W947" s="15" t="str">
        <x:v>Smartapp</x:v>
      </x:c>
      <x:c r="X947" s="15" t="str">
        <x:v>FNB :-) Payment Link created from Current a/c..512781 To Bushwise Safaris..817835 @ Smartapp. 19Jun 16:04 Call 087 575 9404 for help.</x:v>
      </x:c>
      <x:c r="Y947" s="15" t="str">
        <x:v>a1d5820ee5ee493c</x:v>
      </x:c>
    </x:row>
    <x:row r="948">
      <x:c r="A948" s="34" t="n">
        <x:v>46192.67013888889</x:v>
      </x:c>
      <x:c r="B948" s="36" t="n">
        <x:v>46192</x:v>
      </x:c>
      <x:c r="C948" s="34" t="n">
        <x:v>46192.6703587963</x:v>
      </x:c>
      <x:c r="D948" s="15" t="str">
        <x:v>Current a/c..512781</x:v>
      </x:c>
      <x:c r="E948" s="15" t="str"/>
      <x:c r="F948" s="15" t="str">
        <x:v>R2975.00 paid from Current a/c..512781 @ Smartapp. Avail R1046. Ref.Bushwise Inv 0122. 19Jun 16:05</x:v>
      </x:c>
      <x:c r="G948" s="15" t="str">
        <x:v>Bushwise Inv 0122</x:v>
      </x:c>
      <x:c r="H948" s="38" t="n">
        <x:v>2975</x:v>
      </x:c>
      <x:c r="I948" s="15" t="str">
        <x:v>ZAR</x:v>
      </x:c>
      <x:c r="J948" s="15" t="str">
        <x:v>Outflow</x:v>
      </x:c>
      <x:c r="K948" s="15" t="str">
        <x:v>EFT payment</x:v>
      </x:c>
      <x:c r="L948" s="15" t="str">
        <x:v>Supplier payments</x:v>
      </x:c>
      <x:c r="M948" s="38"/>
      <x:c r="N948" s="38" t="n">
        <x:v>1046</x:v>
      </x:c>
      <x:c r="O948" s="15" t="str"/>
      <x:c r="P948" s="15" t="str">
        <x:v>eml_ALL_currentac__512781 (2).zip &gt; eml1currentac__512781.zip</x:v>
      </x:c>
      <x:c r="Q948" s="15" t="str">
        <x:v>FNB _-) R2975.00 paid from Current a_c..512781 @ Smartapp. Ref.Bushwise Inv 0122. 19Jun 16_05.eml</x:v>
      </x:c>
      <x:c r="R948" s="15" t="str">
        <x:v>High</x:v>
      </x:c>
      <x:c r="S948" s="15" t="str">
        <x:v>Category confidence Low: Default outflow category; review counterparty/reference.</x:v>
      </x:c>
      <x:c r="T948" s="15" t="str"/>
      <x:c r="U948" s="15" t="str"/>
      <x:c r="V948" s="15" t="str">
        <x:v>Bushwise Inv 0122</x:v>
      </x:c>
      <x:c r="W948" s="15" t="str">
        <x:v>Smartapp</x:v>
      </x:c>
      <x:c r="X948" s="15" t="str">
        <x:v>FNB :-) R2975.00 paid from Current a/c..512781 @ Smartapp. Avail R1046. Ref.Bushwise Inv 0122. 19Jun 16:05</x:v>
      </x:c>
      <x:c r="Y948" s="15" t="str">
        <x:v>dfdbb39daa9b9089</x:v>
      </x:c>
    </x:row>
  </x:sheetData>
  <x:pageMargins left="0.7" right="0.7" top="0.75" bottom="0.75" header="0.3" footer="0.3"/>
  <x:tableParts count="1">
    <x:tablePart xmlns:r="http://schemas.openxmlformats.org/officeDocument/2006/relationships" r:id="Rd0782c2b197746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36" hidden="0" customWidth="1"/>
  </x:cols>
  <x:sheetData>
    <x:row r="1">
      <x:c r="A1" s="29" t="str">
        <x:v>Account/card identifier</x:v>
      </x:c>
      <x:c r="B1" s="29" t="str">
        <x:v>Date</x:v>
      </x:c>
      <x:c r="C1" s="29" t="str">
        <x:v>Description</x:v>
      </x:c>
      <x:c r="D1" s="29" t="str">
        <x:v>Inflow</x:v>
      </x:c>
      <x:c r="E1" s="29" t="str">
        <x:v>Outflow</x:v>
      </x:c>
      <x:c r="F1" s="29" t="str">
        <x:v>Internal transfer</x:v>
      </x:c>
      <x:c r="G1" s="29" t="str">
        <x:v>Balance if available</x:v>
      </x:c>
      <x:c r="H1" s="29" t="str">
        <x:v>Category</x:v>
      </x:c>
      <x:c r="I1" s="29" t="str">
        <x:v>Counterparty</x:v>
      </x:c>
      <x:c r="J1" s="29" t="str">
        <x:v>Source reference</x:v>
      </x:c>
    </x:row>
    <x:row r="2">
      <x:c r="A2" s="15" t="str">
        <x:v>Current a/c..261544</x:v>
      </x:c>
      <x:c r="B2" s="34" t="n">
        <x:v>45930.73333333333</x:v>
      </x:c>
      <x:c r="C2" s="15" t="str">
        <x:v>R5000.00 t/fer from Current a/c..261544 to Current a/c..512781 @ Smartapp. Avail R178672. 30Sep 17:36</x:v>
      </x:c>
      <x:c r="D2" s="38" t="n">
        <x:v>0</x:v>
      </x:c>
      <x:c r="E2" s="38" t="n">
        <x:v>0</x:v>
      </x:c>
      <x:c r="F2" s="38" t="n">
        <x:v>5000</x:v>
      </x:c>
      <x:c r="G2" s="38" t="n">
        <x:v>178672</x:v>
      </x:c>
      <x:c r="H2" s="15" t="str">
        <x:v>Inter-account transfer</x:v>
      </x:c>
      <x:c r="I2" s="15" t="str">
        <x:v>Current a/c..261544</x:v>
      </x:c>
      <x:c r="J2" s="15" t="str">
        <x:v>eml_ALL_currentac__512781 (2).zip &gt; eml12currentac__512781.zip / FNB _-) R5000.00 t_fer from Current a_c..261544 to Current a_c..512781 @ Smartapp. 30Sep 17_36.eml</x:v>
      </x:c>
    </x:row>
    <x:row r="3">
      <x:c r="A3" s="15" t="str">
        <x:v>Current a/c..261544</x:v>
      </x:c>
      <x:c r="B3" s="34" t="n">
        <x:v>45977.57152777778</x:v>
      </x:c>
      <x:c r="C3" s="15" t="str">
        <x:v>R18000.00 t/fer from Current a/c..261544 to Current a/c..512781 @ Smartapp. Avail R4448. 16Nov 13:43</x:v>
      </x:c>
      <x:c r="D3" s="38" t="n">
        <x:v>0</x:v>
      </x:c>
      <x:c r="E3" s="38" t="n">
        <x:v>0</x:v>
      </x:c>
      <x:c r="F3" s="38" t="n">
        <x:v>18000</x:v>
      </x:c>
      <x:c r="G3" s="38" t="n">
        <x:v>4448</x:v>
      </x:c>
      <x:c r="H3" s="15" t="str">
        <x:v>Inter-account transfer</x:v>
      </x:c>
      <x:c r="I3" s="15" t="str">
        <x:v>Current a/c..261544</x:v>
      </x:c>
      <x:c r="J3" s="15" t="str">
        <x:v>eml_ALL_currentac__512781 (2).zip &gt; eml10currentac__512781.zip / FNB _-) R18000.00 t_fer from Current a_c..261544 to Current a_c..512781 @ Smartapp. 16Nov 13_43.eml</x:v>
      </x:c>
    </x:row>
    <x:row r="4">
      <x:c r="A4" s="15" t="str">
        <x:v>Current a/c..512781</x:v>
      </x:c>
      <x:c r="B4" s="34" t="n">
        <x:v>45919.54583333333</x:v>
      </x:c>
      <x:c r="C4" s="15" t="str">
        <x:v>Payment Link created from Current a/c..512781 To T F Venter..191794 @ Smartapp. 19Sep 13:06 Call 087 575 9404 for help.</x:v>
      </x:c>
      <x:c r="D4" s="38" t="n">
        <x:v>0</x:v>
      </x:c>
      <x:c r="E4" s="38" t="n">
        <x:v>0</x:v>
      </x:c>
      <x:c r="F4" s="38" t="n">
        <x:v>0</x:v>
      </x:c>
      <x:c r="G4" s="38"/>
      <x:c r="H4" s="15" t="str">
        <x:v>Other</x:v>
      </x:c>
      <x:c r="I4" s="15" t="str">
        <x:v>T F Venter..191794</x:v>
      </x:c>
      <x:c r="J4" s="15" t="str">
        <x:v>eml_ALL_currentac__512781 (2).zip &gt; eml12currentac__512781.zip / FNB _-) Payment Link created from Current a_c..512781 To T F Venter..191794 @ Smartapp. 19Sep 13_06 Call 087 575 9404  for help..eml</x:v>
      </x:c>
    </x:row>
    <x:row r="5">
      <x:c r="A5" s="15" t="str">
        <x:v>Current a/c..512781</x:v>
      </x:c>
      <x:c r="B5" s="34" t="n">
        <x:v>45922.433333333334</x:v>
      </x:c>
      <x:c r="C5" s="15" t="str">
        <x:v>Payment Link created from Current a/c..512781 To Dinner Box..946412 @ Smartapp. 22Sep 10:24 Call 087 575 9404 for help.</x:v>
      </x:c>
      <x:c r="D5" s="38" t="n">
        <x:v>0</x:v>
      </x:c>
      <x:c r="E5" s="38" t="n">
        <x:v>0</x:v>
      </x:c>
      <x:c r="F5" s="38" t="n">
        <x:v>0</x:v>
      </x:c>
      <x:c r="G5" s="38"/>
      <x:c r="H5" s="15" t="str">
        <x:v>Other</x:v>
      </x:c>
      <x:c r="I5" s="15" t="str">
        <x:v>Dinner Box..946412</x:v>
      </x:c>
      <x:c r="J5" s="15" t="str">
        <x:v>eml_ALL_currentac__512781 (2).zip &gt; eml12currentac__512781.zip / FNB _-) Payment Link created from Current a_c..512781 To Dinner Box..946412 @ Smartapp. 22Sep 10_24 Call 087 575 9404  for help..eml</x:v>
      </x:c>
    </x:row>
    <x:row r="6">
      <x:c r="A6" s="15" t="str">
        <x:v>Current a/c..512781</x:v>
      </x:c>
      <x:c r="B6" s="34" t="n">
        <x:v>45932.4125</x:v>
      </x:c>
      <x:c r="C6" s="15" t="str">
        <x:v>R2543.95 paid from Current a/c..512781 @ Smartapp. Avail R1406. Ref.Dinner Box 99970. 2Oct 09:54</x:v>
      </x:c>
      <x:c r="D6" s="38" t="n">
        <x:v>0</x:v>
      </x:c>
      <x:c r="E6" s="38" t="n">
        <x:v>2543.95</x:v>
      </x:c>
      <x:c r="F6" s="38" t="n">
        <x:v>0</x:v>
      </x:c>
      <x:c r="G6" s="38" t="n">
        <x:v>1406</x:v>
      </x:c>
      <x:c r="H6" s="15" t="str">
        <x:v>Meals / restaurants / entertainment</x:v>
      </x:c>
      <x:c r="I6" s="15" t="str">
        <x:v>Dinner Box 99970</x:v>
      </x:c>
      <x:c r="J6" s="15" t="str">
        <x:v>eml_ALL_currentac__512781 (2).zip &gt; eml12currentac__512781.zip / FNB _-) R2543.95 paid from Current a_c..512781 @ Smartapp. Ref.Dinner Box 99970.  2Oct 09_54.eml</x:v>
      </x:c>
    </x:row>
    <x:row r="7">
      <x:c r="A7" s="15" t="str">
        <x:v>Current a/c..512781</x:v>
      </x:c>
      <x:c r="B7" s="34" t="n">
        <x:v>45932.48333333333</x:v>
      </x:c>
      <x:c r="C7" s="15" t="str">
        <x:v>Payment Link created from Current a/c..512781 To Deon"s Diy Tool + Pl..574704 @ Smartapp. 2Oct 11:36 Call 087 575 9404 for help.</x:v>
      </x:c>
      <x:c r="D7" s="38" t="n">
        <x:v>0</x:v>
      </x:c>
      <x:c r="E7" s="38" t="n">
        <x:v>0</x:v>
      </x:c>
      <x:c r="F7" s="38" t="n">
        <x:v>0</x:v>
      </x:c>
      <x:c r="G7" s="38"/>
      <x:c r="H7" s="15" t="str">
        <x:v>Other</x:v>
      </x:c>
      <x:c r="I7" s="15" t="str">
        <x:v>Deon"s Diy Tool + Pl..574704</x:v>
      </x:c>
      <x:c r="J7" s="15" t="str">
        <x:v>eml_ALL_currentac__512781 (2).zip &gt; eml12currentac__512781.zip / FNB _-) Payment Link created from Current a_c..512781 To Deon_s Diy Tool + Pl..574704 @ Smartapp.  2Oct 11_36 Call 087 575 9404  for help..eml</x:v>
      </x:c>
    </x:row>
    <x:row r="8">
      <x:c r="A8" s="15" t="str">
        <x:v>Current a/c..512781</x:v>
      </x:c>
      <x:c r="B8" s="34" t="n">
        <x:v>45932.48402777778</x:v>
      </x:c>
      <x:c r="C8" s="15" t="str">
        <x:v>R300.00 paid from Current a/c..512781 @ Smartapp. Avail R1106. Ref.Deon"s Diy 4193. 2Oct 11:37</x:v>
      </x:c>
      <x:c r="D8" s="38" t="n">
        <x:v>0</x:v>
      </x:c>
      <x:c r="E8" s="38" t="n">
        <x:v>300</x:v>
      </x:c>
      <x:c r="F8" s="38" t="n">
        <x:v>0</x:v>
      </x:c>
      <x:c r="G8" s="38" t="n">
        <x:v>1106</x:v>
      </x:c>
      <x:c r="H8" s="15" t="str">
        <x:v>Supplier payments</x:v>
      </x:c>
      <x:c r="I8" s="15" t="str">
        <x:v>Deon"s Diy 4193</x:v>
      </x:c>
      <x:c r="J8" s="15" t="str">
        <x:v>eml_ALL_currentac__512781 (2).zip &gt; eml12currentac__512781.zip / FNB _-) R300.00 paid from Current a_c..512781 @ Smartapp. Ref.Deon_s Diy 4193.  2Oct 11_37.eml</x:v>
      </x:c>
    </x:row>
    <x:row r="9">
      <x:c r="A9" s="15" t="str">
        <x:v>Current a/c..512781</x:v>
      </x:c>
      <x:c r="B9" s="34" t="n">
        <x:v>45933.42638888889</x:v>
      </x:c>
      <x:c r="C9" s="15" t="str">
        <x:v>R41435.63 paid to Current a/c..512781 @ Retail Forex. Ref.R025n8vc90 Booking.c. 3Oct 10:14</x:v>
      </x:c>
      <x:c r="D9" s="38" t="n">
        <x:v>41435.63</x:v>
      </x:c>
      <x:c r="E9" s="38" t="n">
        <x:v>0</x:v>
      </x:c>
      <x:c r="F9" s="38" t="n">
        <x:v>0</x:v>
      </x:c>
      <x:c r="G9" s="38"/>
      <x:c r="H9" s="15" t="str">
        <x:v>Sales / customer receipts</x:v>
      </x:c>
      <x:c r="I9" s="15" t="str">
        <x:v>R025n8vc90 Booking.c</x:v>
      </x:c>
      <x:c r="J9" s="15" t="str">
        <x:v>eml_ALL_currentac__512781 (2).zip &gt; eml12currentac__512781.zip / FNB _-) R41435.63 paid to Current a_c..512781 @ Retail Forex. Ref.R025n8vc90 Booking.c.  3Oct 10_14.eml</x:v>
      </x:c>
    </x:row>
    <x:row r="10">
      <x:c r="A10" s="15" t="str">
        <x:v>Current a/c..512781</x:v>
      </x:c>
      <x:c r="B10" s="34" t="n">
        <x:v>45933.459027777775</x:v>
      </x:c>
      <x:c r="C10" s="15" t="str">
        <x:v>Payment Link created from Current a/c..512781 To Jj Spangenberg..735498 @ Smartapp. 3Oct 11:01 Call 087 575 9404 for help.</x:v>
      </x:c>
      <x:c r="D10" s="38" t="n">
        <x:v>0</x:v>
      </x:c>
      <x:c r="E10" s="38" t="n">
        <x:v>0</x:v>
      </x:c>
      <x:c r="F10" s="38" t="n">
        <x:v>0</x:v>
      </x:c>
      <x:c r="G10" s="38"/>
      <x:c r="H10" s="15" t="str">
        <x:v>Other</x:v>
      </x:c>
      <x:c r="I10" s="15" t="str">
        <x:v>Jj Spangenberg..735498</x:v>
      </x:c>
      <x:c r="J10" s="15" t="str">
        <x:v>eml_ALL_currentac__512781 (2).zip &gt; eml12currentac__512781.zip / FNB _-) Payment Link created from Current a_c..512781 To Jj Spangenberg..735498 @ Smartapp.  3Oct 11_01 Call 087 575 9404  for help..eml</x:v>
      </x:c>
    </x:row>
    <x:row r="11">
      <x:c r="A11" s="15" t="str">
        <x:v>Current a/c..512781</x:v>
      </x:c>
      <x:c r="B11" s="34" t="n">
        <x:v>45933.459027777775</x:v>
      </x:c>
      <x:c r="C11" s="15" t="str">
        <x:v>R2845.00 paid from Current a/c..512781 @ Smartapp. Avail R39534. Ref.Kruger Safari 1657. 3Oct 11:01</x:v>
      </x:c>
      <x:c r="D11" s="38" t="n">
        <x:v>0</x:v>
      </x:c>
      <x:c r="E11" s="38" t="n">
        <x:v>2845</x:v>
      </x:c>
      <x:c r="F11" s="38" t="n">
        <x:v>0</x:v>
      </x:c>
      <x:c r="G11" s="38" t="n">
        <x:v>39534</x:v>
      </x:c>
      <x:c r="H11" s="15" t="str">
        <x:v>Supplier payments</x:v>
      </x:c>
      <x:c r="I11" s="15" t="str">
        <x:v>Kruger Safari 1657</x:v>
      </x:c>
      <x:c r="J11" s="15" t="str">
        <x:v>eml_ALL_currentac__512781 (2).zip &gt; eml12currentac__512781.zip / FNB _-) R2845.00 paid from Current a_c..512781 @ Smartapp. Ref.Kruger Safari 1657.  3Oct 11_01.eml</x:v>
      </x:c>
    </x:row>
    <x:row r="12">
      <x:c r="A12" s="15" t="str">
        <x:v>Current a/c..512781</x:v>
      </x:c>
      <x:c r="B12" s="34" t="n">
        <x:v>45933.498611111114</x:v>
      </x:c>
      <x:c r="C12" s="15" t="str">
        <x:v>R32699.14 paid to Current a/c..512781 @ Retail Forex. Ref.R025mp0hp0 Booking.c. 3Oct 11:58</x:v>
      </x:c>
      <x:c r="D12" s="38" t="n">
        <x:v>32699.14</x:v>
      </x:c>
      <x:c r="E12" s="38" t="n">
        <x:v>0</x:v>
      </x:c>
      <x:c r="F12" s="38" t="n">
        <x:v>0</x:v>
      </x:c>
      <x:c r="G12" s="38"/>
      <x:c r="H12" s="15" t="str">
        <x:v>Sales / customer receipts</x:v>
      </x:c>
      <x:c r="I12" s="15" t="str">
        <x:v>R025mp0hp0 Booking.c</x:v>
      </x:c>
      <x:c r="J12" s="15" t="str">
        <x:v>eml_ALL_currentac__512781 (2).zip &gt; eml12currentac__512781.zip / FNB _-) R32699.14 paid to Current a_c..512781 @ Retail Forex. Ref.R025mp0hp0 Booking.c.  3Oct 11_58.eml</x:v>
      </x:c>
    </x:row>
    <x:row r="13">
      <x:c r="A13" s="15" t="str">
        <x:v>Current a/c..512781</x:v>
      </x:c>
      <x:c r="B13" s="34" t="n">
        <x:v>45933.51666666667</x:v>
      </x:c>
      <x:c r="C13" s="15" t="str">
        <x:v>Payment Link created from Current a/c..512781 To Nightsbridge..593701 @ Smartapp. 3Oct 12:24 Call 087 575 9404 for help.</x:v>
      </x:c>
      <x:c r="D13" s="38" t="n">
        <x:v>0</x:v>
      </x:c>
      <x:c r="E13" s="38" t="n">
        <x:v>0</x:v>
      </x:c>
      <x:c r="F13" s="38" t="n">
        <x:v>0</x:v>
      </x:c>
      <x:c r="G13" s="38"/>
      <x:c r="H13" s="15" t="str">
        <x:v>Other</x:v>
      </x:c>
      <x:c r="I13" s="15" t="str">
        <x:v>Nightsbridge..593701</x:v>
      </x:c>
      <x:c r="J13" s="15" t="str">
        <x:v>eml_ALL_currentac__512781 (2).zip &gt; eml12currentac__512781.zip / FNB _-) Payment Link created from Current a_c..512781 To Nightsbridge..593701 @ Smartapp.  3Oct 12_24 Call 087 575 9404  for help..eml</x:v>
      </x:c>
    </x:row>
    <x:row r="14">
      <x:c r="A14" s="15" t="str">
        <x:v>Current a/c..512781</x:v>
      </x:c>
      <x:c r="B14" s="34" t="n">
        <x:v>45933.518055555556</x:v>
      </x:c>
      <x:c r="C14" s="15" t="str">
        <x:v>R1414.50 paid from Current a/c..512781 @ Smartapp. Avail R70819. Ref.Nb N992820 + 983772. 3Oct 12:26</x:v>
      </x:c>
      <x:c r="D14" s="38" t="n">
        <x:v>0</x:v>
      </x:c>
      <x:c r="E14" s="38" t="n">
        <x:v>1414.5</x:v>
      </x:c>
      <x:c r="F14" s="38" t="n">
        <x:v>0</x:v>
      </x:c>
      <x:c r="G14" s="38" t="n">
        <x:v>70819</x:v>
      </x:c>
      <x:c r="H14" s="15" t="str">
        <x:v>Supplier payments</x:v>
      </x:c>
      <x:c r="I14" s="15" t="str">
        <x:v>Nb N992820 + 983772</x:v>
      </x:c>
      <x:c r="J14" s="15" t="str">
        <x:v>eml_ALL_currentac__512781 (2).zip &gt; eml12currentac__512781.zip / FNB _-) R1414.50 paid from Current a_c..512781 @ Smartapp. Ref.Nb N992820 + 983772.  3Oct 12_26.eml</x:v>
      </x:c>
    </x:row>
    <x:row r="15">
      <x:c r="A15" s="15" t="str">
        <x:v>Current a/c..512781</x:v>
      </x:c>
      <x:c r="B15" s="34" t="n">
        <x:v>45934.49444444444</x:v>
      </x:c>
      <x:c r="C15" s="15" t="str">
        <x:v>Payment Link created from Current a/c..512781 To Nason Staff..860933 @ Smartapp. 4Oct 11:52 Call 087 575 9404 for help.</x:v>
      </x:c>
      <x:c r="D15" s="38" t="n">
        <x:v>0</x:v>
      </x:c>
      <x:c r="E15" s="38" t="n">
        <x:v>0</x:v>
      </x:c>
      <x:c r="F15" s="38" t="n">
        <x:v>0</x:v>
      </x:c>
      <x:c r="G15" s="38"/>
      <x:c r="H15" s="15" t="str">
        <x:v>Other</x:v>
      </x:c>
      <x:c r="I15" s="15" t="str">
        <x:v>Nason Staff..860933</x:v>
      </x:c>
      <x:c r="J15" s="15" t="str">
        <x:v>eml_ALL_currentac__512781 (2).zip &gt; eml12currentac__512781.zip / FNB _-) Payment Link created from Current a_c..512781 To Nason Staff..860933 @ Smartapp.  4Oct 11_52 Call 087 575 9404  for help..eml</x:v>
      </x:c>
    </x:row>
    <x:row r="16">
      <x:c r="A16" s="15" t="str">
        <x:v>Current a/c..512781</x:v>
      </x:c>
      <x:c r="B16" s="34" t="n">
        <x:v>45934.495833333334</x:v>
      </x:c>
      <x:c r="C16" s="15" t="str">
        <x:v>Payment Link created from Current a/c..512781 To Annemarie Hoffman..346294 @ Smartapp. 4Oct 11:54 Call 087 575 9404 for help.</x:v>
      </x:c>
      <x:c r="D16" s="38" t="n">
        <x:v>0</x:v>
      </x:c>
      <x:c r="E16" s="38" t="n">
        <x:v>0</x:v>
      </x:c>
      <x:c r="F16" s="38" t="n">
        <x:v>0</x:v>
      </x:c>
      <x:c r="G16" s="38"/>
      <x:c r="H16" s="15" t="str">
        <x:v>Other</x:v>
      </x:c>
      <x:c r="I16" s="15" t="str">
        <x:v>Annemarie Hoffman..346294</x:v>
      </x:c>
      <x:c r="J16" s="15" t="str">
        <x:v>eml_ALL_currentac__512781 (2).zip &gt; eml12currentac__512781.zip / FNB _-) Payment Link created from Current a_c..512781 To Annemarie Hoffman..346294 @ Smartapp.  4Oct 11_54 Call 087 575 9404  for help..eml</x:v>
      </x:c>
    </x:row>
    <x:row r="17">
      <x:c r="A17" s="15" t="str">
        <x:v>Current a/c..512781</x:v>
      </x:c>
      <x:c r="B17" s="34" t="n">
        <x:v>45934.495833333334</x:v>
      </x:c>
      <x:c r="C17" s="15" t="str">
        <x:v>R1400.00 paid from Current a/c..512781 @ Smartapp. Avail R66639. Ref.Staff Tips For Aug. 4Oct 11:54</x:v>
      </x:c>
      <x:c r="D17" s="38" t="n">
        <x:v>0</x:v>
      </x:c>
      <x:c r="E17" s="38" t="n">
        <x:v>1400</x:v>
      </x:c>
      <x:c r="F17" s="38" t="n">
        <x:v>0</x:v>
      </x:c>
      <x:c r="G17" s="38" t="n">
        <x:v>66639</x:v>
      </x:c>
      <x:c r="H17" s="15" t="str">
        <x:v>Salary / wages</x:v>
      </x:c>
      <x:c r="I17" s="15" t="str">
        <x:v>Staff Tips For Aug</x:v>
      </x:c>
      <x:c r="J17" s="15" t="str">
        <x:v>eml_ALL_currentac__512781 (2).zip &gt; eml12currentac__512781.zip / FNB _-) R1400.00 paid from Current a_c..512781 @ Smartapp. Ref.Staff Tips For Aug.  4Oct 11_54.eml</x:v>
      </x:c>
    </x:row>
    <x:row r="18">
      <x:c r="A18" s="15" t="str">
        <x:v>Current a/c..512781</x:v>
      </x:c>
      <x:c r="B18" s="34" t="n">
        <x:v>45934.49652777778</x:v>
      </x:c>
      <x:c r="C18" s="15" t="str">
        <x:v>Payment Link created from Current a/c..512781 To Dreyer Hoffman..465222 @ Smartapp. 4Oct 11:55 Call 087 575 9404 for help.</x:v>
      </x:c>
      <x:c r="D18" s="38" t="n">
        <x:v>0</x:v>
      </x:c>
      <x:c r="E18" s="38" t="n">
        <x:v>0</x:v>
      </x:c>
      <x:c r="F18" s="38" t="n">
        <x:v>0</x:v>
      </x:c>
      <x:c r="G18" s="38"/>
      <x:c r="H18" s="15" t="str">
        <x:v>Other</x:v>
      </x:c>
      <x:c r="I18" s="15" t="str">
        <x:v>Dreyer Hoffman..465222</x:v>
      </x:c>
      <x:c r="J18" s="15" t="str">
        <x:v>eml_ALL_currentac__512781 (2).zip &gt; eml12currentac__512781.zip / FNB _-) Payment Link created from Current a_c..512781 To Dreyer Hoffman..465222 @ Smartapp.  4Oct 11_55 Call 087 575 9404  for help..eml</x:v>
      </x:c>
    </x:row>
    <x:row r="19">
      <x:c r="A19" s="15" t="str">
        <x:v>Current a/c..512781</x:v>
      </x:c>
      <x:c r="B19" s="34" t="n">
        <x:v>45934.49652777778</x:v>
      </x:c>
      <x:c r="C19" s="15" t="str">
        <x:v>R1400.00 paid from Current a/c..512781 @ Smartapp. Avail R65239. Ref.Staff Tips For Aug. 4Oct 11:55</x:v>
      </x:c>
      <x:c r="D19" s="38" t="n">
        <x:v>0</x:v>
      </x:c>
      <x:c r="E19" s="38" t="n">
        <x:v>1400</x:v>
      </x:c>
      <x:c r="F19" s="38" t="n">
        <x:v>0</x:v>
      </x:c>
      <x:c r="G19" s="38" t="n">
        <x:v>65239</x:v>
      </x:c>
      <x:c r="H19" s="15" t="str">
        <x:v>Salary / wages</x:v>
      </x:c>
      <x:c r="I19" s="15" t="str">
        <x:v>Staff Tips For Aug</x:v>
      </x:c>
      <x:c r="J19" s="15" t="str">
        <x:v>eml_ALL_currentac__512781 (2).zip &gt; eml12currentac__512781.zip / FNB _-) R1400.00 paid from Current a_c..512781 @ Smartapp. Ref.Staff Tips For Aug.  4Oct 11_55.eml</x:v>
      </x:c>
    </x:row>
    <x:row r="20">
      <x:c r="A20" s="15" t="str">
        <x:v>Current a/c..512781</x:v>
      </x:c>
      <x:c r="B20" s="34" t="n">
        <x:v>45935.41458333333</x:v>
      </x:c>
      <x:c r="C20" s="15" t="str">
        <x:v>Payment Link created from Current a/c..512781 To Nyala Luxury Safari..395895 @ Smartapp. 5Oct 09:57 Call 087 575 9404 for help.</x:v>
      </x:c>
      <x:c r="D20" s="38" t="n">
        <x:v>0</x:v>
      </x:c>
      <x:c r="E20" s="38" t="n">
        <x:v>0</x:v>
      </x:c>
      <x:c r="F20" s="38" t="n">
        <x:v>0</x:v>
      </x:c>
      <x:c r="G20" s="38"/>
      <x:c r="H20" s="15" t="str">
        <x:v>Other</x:v>
      </x:c>
      <x:c r="I20" s="15" t="str">
        <x:v>Nyala Luxury Safari..395895</x:v>
      </x:c>
      <x:c r="J20" s="15" t="str">
        <x:v>eml_ALL_currentac__512781 (2).zip &gt; eml12currentac__512781.zip / FNB _-) Payment Link created from Current a_c..512781 To Nyala Luxury Safari..395895 @ Smartapp.  5Oct 09_57 Call 087 575 9404  for help..eml</x:v>
      </x:c>
    </x:row>
    <x:row r="21">
      <x:c r="A21" s="15" t="str">
        <x:v>Current a/c..512781</x:v>
      </x:c>
      <x:c r="B21" s="34" t="n">
        <x:v>45935.41458333333</x:v>
      </x:c>
      <x:c r="C21" s="15" t="str">
        <x:v>R10080.00 paid from Current a/c..512781 @ Smartapp. Avail R55159. Ref.Nyala Safari 145. 5Oct 09:57</x:v>
      </x:c>
      <x:c r="D21" s="38" t="n">
        <x:v>0</x:v>
      </x:c>
      <x:c r="E21" s="38" t="n">
        <x:v>10080</x:v>
      </x:c>
      <x:c r="F21" s="38" t="n">
        <x:v>0</x:v>
      </x:c>
      <x:c r="G21" s="38" t="n">
        <x:v>55159</x:v>
      </x:c>
      <x:c r="H21" s="15" t="str">
        <x:v>Supplier payments</x:v>
      </x:c>
      <x:c r="I21" s="15" t="str">
        <x:v>Nyala Safari 145</x:v>
      </x:c>
      <x:c r="J21" s="15" t="str">
        <x:v>eml_ALL_currentac__512781 (2).zip &gt; eml12currentac__512781.zip / FNB _-) R10080.00 paid from Current a_c..512781 @ Smartapp. Ref.Nyala Safari 145.  5Oct 09_57.eml</x:v>
      </x:c>
    </x:row>
    <x:row r="22">
      <x:c r="A22" s="15" t="str">
        <x:v>Current a/c..512781</x:v>
      </x:c>
      <x:c r="B22" s="34" t="n">
        <x:v>45938.569444444445</x:v>
      </x:c>
      <x:c r="C22" s="15" t="str">
        <x:v>Payment Link created from Current a/c..512781 To Bon Express - Bacon..109612 @ Smartapp. 8Oct 13:40 Call 087 575 9404 for help.</x:v>
      </x:c>
      <x:c r="D22" s="38" t="n">
        <x:v>0</x:v>
      </x:c>
      <x:c r="E22" s="38" t="n">
        <x:v>0</x:v>
      </x:c>
      <x:c r="F22" s="38" t="n">
        <x:v>0</x:v>
      </x:c>
      <x:c r="G22" s="38"/>
      <x:c r="H22" s="15" t="str">
        <x:v>Other</x:v>
      </x:c>
      <x:c r="I22" s="15" t="str">
        <x:v>Bon Express - Bacon..109612</x:v>
      </x:c>
      <x:c r="J22" s="15" t="str">
        <x:v>eml_ALL_currentac__512781 (2).zip &gt; eml12currentac__512781.zip / FNB _-) Payment Link created from Current a_c..512781 To Bon Express - Bacon..109612 @ Smartapp.  8Oct 13_40 Call 087 575 9404  for help..eml</x:v>
      </x:c>
    </x:row>
    <x:row r="23">
      <x:c r="A23" s="15" t="str">
        <x:v>Current a/c..512781</x:v>
      </x:c>
      <x:c r="B23" s="34" t="n">
        <x:v>45938.569444444445</x:v>
      </x:c>
      <x:c r="C23" s="15" t="str">
        <x:v>R127.88 paid from Current a/c..512781 @ Smartapp. Avail R46976. Ref.Bon Express 006708. 8Oct 13:40</x:v>
      </x:c>
      <x:c r="D23" s="38" t="n">
        <x:v>0</x:v>
      </x:c>
      <x:c r="E23" s="38" t="n">
        <x:v>127.88</x:v>
      </x:c>
      <x:c r="F23" s="38" t="n">
        <x:v>0</x:v>
      </x:c>
      <x:c r="G23" s="38" t="n">
        <x:v>46976</x:v>
      </x:c>
      <x:c r="H23" s="15" t="str">
        <x:v>Supplier payments</x:v>
      </x:c>
      <x:c r="I23" s="15" t="str">
        <x:v>Bon Express 006708</x:v>
      </x:c>
      <x:c r="J23" s="15" t="str">
        <x:v>eml_ALL_currentac__512781 (2).zip &gt; eml12currentac__512781.zip / FNB _-) R127.88 paid from Current a_c..512781 @ Smartapp. Ref.Bon Express 006708.  8Oct 13_40.eml</x:v>
      </x:c>
    </x:row>
    <x:row r="24">
      <x:c r="A24" s="15" t="str">
        <x:v>Current a/c..512781</x:v>
      </x:c>
      <x:c r="B24" s="34" t="n">
        <x:v>45938.57013888889</x:v>
      </x:c>
      <x:c r="C24" s="15" t="str">
        <x:v>R2776.00 paid from Current a/c..512781 @ Smartapp. Avail R44192. Ref.Kruger Safari 1658. 8Oct 13:41</x:v>
      </x:c>
      <x:c r="D24" s="38" t="n">
        <x:v>0</x:v>
      </x:c>
      <x:c r="E24" s="38" t="n">
        <x:v>2776</x:v>
      </x:c>
      <x:c r="F24" s="38" t="n">
        <x:v>0</x:v>
      </x:c>
      <x:c r="G24" s="38" t="n">
        <x:v>44192</x:v>
      </x:c>
      <x:c r="H24" s="15" t="str">
        <x:v>Supplier payments</x:v>
      </x:c>
      <x:c r="I24" s="15" t="str">
        <x:v>Kruger Safari 1658</x:v>
      </x:c>
      <x:c r="J24" s="15" t="str">
        <x:v>eml_ALL_currentac__512781 (2).zip &gt; eml12currentac__512781.zip / FNB _-) R2776.00 paid from Current a_c..512781 @ Smartapp. Ref.Kruger Safari 1658.  8Oct 13_41.eml</x:v>
      </x:c>
    </x:row>
    <x:row r="25">
      <x:c r="A25" s="15" t="str">
        <x:v>Current a/c..512781</x:v>
      </x:c>
      <x:c r="B25" s="34" t="n">
        <x:v>45939.458333333336</x:v>
      </x:c>
      <x:c r="C25" s="15" t="str">
        <x:v>Payment Link created from Current a/c..512781 To Sf Mndlovu..646958 @ Smartapp. 9Oct 11:00 Call 087 575 9404 for help.</x:v>
      </x:c>
      <x:c r="D25" s="38" t="n">
        <x:v>0</x:v>
      </x:c>
      <x:c r="E25" s="38" t="n">
        <x:v>0</x:v>
      </x:c>
      <x:c r="F25" s="38" t="n">
        <x:v>0</x:v>
      </x:c>
      <x:c r="G25" s="38"/>
      <x:c r="H25" s="15" t="str">
        <x:v>Other</x:v>
      </x:c>
      <x:c r="I25" s="15" t="str">
        <x:v>Sf Mndlovu..646958</x:v>
      </x:c>
      <x:c r="J25" s="15" t="str">
        <x:v>eml_ALL_currentac__512781 (2).zip &gt; eml12currentac__512781.zip / FNB _-) Payment Link created from Current a_c..512781 To Sf Mndlovu..646958 @ Smartapp.  9Oct 11_00 Call 087 575 9404  for help..eml</x:v>
      </x:c>
    </x:row>
    <x:row r="26">
      <x:c r="A26" s="15" t="str">
        <x:v>Current a/c..512781</x:v>
      </x:c>
      <x:c r="B26" s="34" t="n">
        <x:v>45939.458333333336</x:v>
      </x:c>
      <x:c r="C26" s="15" t="str">
        <x:v>R450.00 paid from Current a/c..512781 @ Smartapp. Avail R43012. Ref.Cindy Wages. 9Oct 11:00</x:v>
      </x:c>
      <x:c r="D26" s="38" t="n">
        <x:v>0</x:v>
      </x:c>
      <x:c r="E26" s="38" t="n">
        <x:v>450</x:v>
      </x:c>
      <x:c r="F26" s="38" t="n">
        <x:v>0</x:v>
      </x:c>
      <x:c r="G26" s="38" t="n">
        <x:v>43012</x:v>
      </x:c>
      <x:c r="H26" s="15" t="str">
        <x:v>Salary / wages</x:v>
      </x:c>
      <x:c r="I26" s="15" t="str">
        <x:v>Cindy Wages</x:v>
      </x:c>
      <x:c r="J26" s="15" t="str">
        <x:v>eml_ALL_currentac__512781 (2).zip &gt; eml12currentac__512781.zip / FNB _-) R450.00 paid from Current a_c..512781 @ Smartapp. Ref.Cindy Wages.  9Oct 11_00.eml</x:v>
      </x:c>
    </x:row>
    <x:row r="27">
      <x:c r="A27" s="15" t="str">
        <x:v>Current a/c..512781</x:v>
      </x:c>
      <x:c r="B27" s="34" t="n">
        <x:v>45940.36666666667</x:v>
      </x:c>
      <x:c r="C27" s="15" t="str">
        <x:v>R27423.36 paid to Current a/c..512781 @ Retail Forex. Ref.R025mdszb0 Booking.c. 10Oct 08:48</x:v>
      </x:c>
      <x:c r="D27" s="38" t="n">
        <x:v>27423.36</x:v>
      </x:c>
      <x:c r="E27" s="38" t="n">
        <x:v>0</x:v>
      </x:c>
      <x:c r="F27" s="38" t="n">
        <x:v>0</x:v>
      </x:c>
      <x:c r="G27" s="38"/>
      <x:c r="H27" s="15" t="str">
        <x:v>Sales / customer receipts</x:v>
      </x:c>
      <x:c r="I27" s="15" t="str">
        <x:v>R025mdszb0 Booking.c</x:v>
      </x:c>
      <x:c r="J27" s="15" t="str">
        <x:v>eml_ALL_currentac__512781 (2).zip &gt; eml12currentac__512781.zip / FNB _-) R27423.36 paid to Current a_c..512781 @ Retail Forex. Ref.R025mdszb0 Booking.c. 10Oct 08_48.eml</x:v>
      </x:c>
    </x:row>
    <x:row r="28">
      <x:c r="A28" s="15" t="str">
        <x:v>Current a/c..512781</x:v>
      </x:c>
      <x:c r="B28" s="34" t="n">
        <x:v>45940.43819444445</x:v>
      </x:c>
      <x:c r="C28" s="15" t="str">
        <x:v>R20000.00 t/fer from Current a/c..512781 to Current a/c..261544 @ Smartapp. Avail R47113. 10Oct 10:31</x:v>
      </x:c>
      <x:c r="D28" s="38" t="n">
        <x:v>0</x:v>
      </x:c>
      <x:c r="E28" s="38" t="n">
        <x:v>0</x:v>
      </x:c>
      <x:c r="F28" s="38" t="n">
        <x:v>20000</x:v>
      </x:c>
      <x:c r="G28" s="38" t="n">
        <x:v>47113</x:v>
      </x:c>
      <x:c r="H28" s="15" t="str">
        <x:v>Inter-account transfer</x:v>
      </x:c>
      <x:c r="I28" s="15" t="str">
        <x:v>Current a/c..261544</x:v>
      </x:c>
      <x:c r="J28" s="15" t="str">
        <x:v>eml_ALL_currentac__512781 (2).zip &gt; eml12currentac__512781.zip / FNB _-) R20000.00 t_fer from Current a_c..512781 to Current a_c..261544 @ Smartapp. 10Oct 10_31.eml</x:v>
      </x:c>
    </x:row>
    <x:row r="29">
      <x:c r="A29" s="15" t="str">
        <x:v>Current a/c..512781</x:v>
      </x:c>
      <x:c r="B29" s="34" t="n">
        <x:v>45940.561111111114</x:v>
      </x:c>
      <x:c r="C29" s="15" t="str">
        <x:v>Payment Link created from Current a/c..512781 To R + A Project..990460 @ Smartapp. 10Oct 13:28 Call 087 575 9404 for help.</x:v>
      </x:c>
      <x:c r="D29" s="38" t="n">
        <x:v>0</x:v>
      </x:c>
      <x:c r="E29" s="38" t="n">
        <x:v>0</x:v>
      </x:c>
      <x:c r="F29" s="38" t="n">
        <x:v>0</x:v>
      </x:c>
      <x:c r="G29" s="38"/>
      <x:c r="H29" s="15" t="str">
        <x:v>Other</x:v>
      </x:c>
      <x:c r="I29" s="15" t="str">
        <x:v>R + A Project..990460</x:v>
      </x:c>
      <x:c r="J29" s="15" t="str">
        <x:v>eml_ALL_currentac__512781 (2).zip &gt; eml12currentac__512781.zip / FNB _-) Payment Link created from Current a_c..512781 To R + A Project..990460 @ Smartapp. 10Oct 13_28 Call 087 575 9404  for help..eml</x:v>
      </x:c>
    </x:row>
    <x:row r="30">
      <x:c r="A30" s="15" t="str">
        <x:v>Current a/c..512781</x:v>
      </x:c>
      <x:c r="B30" s="34" t="n">
        <x:v>45940.561111111114</x:v>
      </x:c>
      <x:c r="C30" s="15" t="str">
        <x:v>R1950.00 paid from Current a/c..512781 @ Smartapp. Avail R45155. Ref.R + A Projects. 10Oct 13:28</x:v>
      </x:c>
      <x:c r="D30" s="38" t="n">
        <x:v>0</x:v>
      </x:c>
      <x:c r="E30" s="38" t="n">
        <x:v>1950</x:v>
      </x:c>
      <x:c r="F30" s="38" t="n">
        <x:v>0</x:v>
      </x:c>
      <x:c r="G30" s="38" t="n">
        <x:v>45155</x:v>
      </x:c>
      <x:c r="H30" s="15" t="str">
        <x:v>Supplier payments</x:v>
      </x:c>
      <x:c r="I30" s="15" t="str">
        <x:v>R + A Projects</x:v>
      </x:c>
      <x:c r="J30" s="15" t="str">
        <x:v>eml_ALL_currentac__512781 (2).zip &gt; eml12currentac__512781.zip / FNB _-) R1950.00 paid from Current a_c..512781 @ Smartapp. Ref.R + A Projects. 10Oct 13_28.eml</x:v>
      </x:c>
    </x:row>
    <x:row r="31">
      <x:c r="A31" s="15" t="str">
        <x:v>Current a/c..512781</x:v>
      </x:c>
      <x:c r="B31" s="34" t="n">
        <x:v>45940.56180555555</x:v>
      </x:c>
      <x:c r="C31" s="15" t="str">
        <x:v>R2244.00 paid from Current a/c..512781 @ Smartapp. Avail R42903. Ref.Nyala Safari 146. 10Oct 13:29</x:v>
      </x:c>
      <x:c r="D31" s="38" t="n">
        <x:v>0</x:v>
      </x:c>
      <x:c r="E31" s="38" t="n">
        <x:v>2244</x:v>
      </x:c>
      <x:c r="F31" s="38" t="n">
        <x:v>0</x:v>
      </x:c>
      <x:c r="G31" s="38" t="n">
        <x:v>42903</x:v>
      </x:c>
      <x:c r="H31" s="15" t="str">
        <x:v>Supplier payments</x:v>
      </x:c>
      <x:c r="I31" s="15" t="str">
        <x:v>Nyala Safari 146</x:v>
      </x:c>
      <x:c r="J31" s="15" t="str">
        <x:v>eml_ALL_currentac__512781 (2).zip &gt; eml12currentac__512781.zip / FNB _-) R2244.00 paid from Current a_c..512781 @ Smartapp. Ref.Nyala Safari 146. 10Oct 13_29.eml</x:v>
      </x:c>
    </x:row>
    <x:row r="32">
      <x:c r="A32" s="15" t="str">
        <x:v>Current a/c..512781</x:v>
      </x:c>
      <x:c r="B32" s="34" t="n">
        <x:v>45941.489583333336</x:v>
      </x:c>
      <x:c r="C32" s="15" t="str">
        <x:v>R1000.00 paid from Current a/c..512781 @ Smartapp. Avail R41731. Ref.Electricity 04294887. 11Oct 11:45</x:v>
      </x:c>
      <x:c r="D32" s="38" t="n">
        <x:v>0</x:v>
      </x:c>
      <x:c r="E32" s="38" t="n">
        <x:v>1000</x:v>
      </x:c>
      <x:c r="F32" s="38" t="n">
        <x:v>0</x:v>
      </x:c>
      <x:c r="G32" s="38" t="n">
        <x:v>41731</x:v>
      </x:c>
      <x:c r="H32" s="15" t="str">
        <x:v>Telecom / utilities</x:v>
      </x:c>
      <x:c r="I32" s="15" t="str">
        <x:v>Electricity 04294887</x:v>
      </x:c>
      <x:c r="J32" s="15" t="str">
        <x:v>eml_ALL_currentac__512781 (2).zip &gt; eml12currentac__512781.zip / FNB _-) R1000.00 paid from Current a_c..512781 @ Smartapp. Ref.Electricity 04294887. 11Oct 11_45.eml</x:v>
      </x:c>
    </x:row>
    <x:row r="33">
      <x:c r="A33" s="15" t="str">
        <x:v>Current a/c..512781</x:v>
      </x:c>
      <x:c r="B33" s="34" t="n">
        <x:v>45941.600694444445</x:v>
      </x:c>
      <x:c r="C33" s="15" t="str">
        <x:v>R15000.00 t/fer from Current a/c..512781 to Current a/c..261544 @ Smartapp. Avail R23947. 11Oct 14:25</x:v>
      </x:c>
      <x:c r="D33" s="38" t="n">
        <x:v>0</x:v>
      </x:c>
      <x:c r="E33" s="38" t="n">
        <x:v>0</x:v>
      </x:c>
      <x:c r="F33" s="38" t="n">
        <x:v>15000</x:v>
      </x:c>
      <x:c r="G33" s="38" t="n">
        <x:v>23947</x:v>
      </x:c>
      <x:c r="H33" s="15" t="str">
        <x:v>Inter-account transfer</x:v>
      </x:c>
      <x:c r="I33" s="15" t="str">
        <x:v>Current a/c..261544</x:v>
      </x:c>
      <x:c r="J33" s="15" t="str">
        <x:v>eml_ALL_currentac__512781 (2).zip &gt; eml12currentac__512781.zip / FNB _-) R15000.00 t_fer from Current a_c..512781 to Current a_c..261544 @ Smartapp. 11Oct 14_25.eml</x:v>
      </x:c>
    </x:row>
    <x:row r="34">
      <x:c r="A34" s="15" t="str">
        <x:v>Current a/c..512781</x:v>
      </x:c>
      <x:c r="B34" s="34" t="n">
        <x:v>45942</x:v>
      </x:c>
      <x:c r="C34" s="15" t="str">
        <x:v>REVERSAL of R150.00 for goods purchased from Current a/c..512781. Ref.Cr Vc Temu. 12Oct 00:00</x:v>
      </x:c>
      <x:c r="D34" s="38" t="n">
        <x:v>150</x:v>
      </x:c>
      <x:c r="E34" s="38" t="n">
        <x:v>0</x:v>
      </x:c>
      <x:c r="F34" s="38" t="n">
        <x:v>0</x:v>
      </x:c>
      <x:c r="G34" s="38"/>
      <x:c r="H34" s="15" t="str">
        <x:v>Refunds / reversals</x:v>
      </x:c>
      <x:c r="I34" s="15" t="str">
        <x:v>Cr Vc Temu</x:v>
      </x:c>
      <x:c r="J34" s="15" t="str">
        <x:v>eml_ALL_currentac__512781 (2).zip &gt; eml12currentac__512781.zip / FNB _-) REVERSAL of R150.00 for goods purchased from Current a_c..512781. Ref.Cr Vc Temu. 12Oct 00_00.eml</x:v>
      </x:c>
    </x:row>
    <x:row r="35">
      <x:c r="A35" s="15" t="str">
        <x:v>Current a/c..512781</x:v>
      </x:c>
      <x:c r="B35" s="34" t="n">
        <x:v>45942</x:v>
      </x:c>
      <x:c r="C35" s="15" t="str">
        <x:v>REVERSAL of R152.00 for goods purchased from Current a/c..512781. Ref.Cr Vc Temu. 12Oct 00:00</x:v>
      </x:c>
      <x:c r="D35" s="38" t="n">
        <x:v>152</x:v>
      </x:c>
      <x:c r="E35" s="38" t="n">
        <x:v>0</x:v>
      </x:c>
      <x:c r="F35" s="38" t="n">
        <x:v>0</x:v>
      </x:c>
      <x:c r="G35" s="38"/>
      <x:c r="H35" s="15" t="str">
        <x:v>Refunds / reversals</x:v>
      </x:c>
      <x:c r="I35" s="15" t="str">
        <x:v>Cr Vc Temu</x:v>
      </x:c>
      <x:c r="J35" s="15" t="str">
        <x:v>eml_ALL_currentac__512781 (2).zip &gt; eml12currentac__512781.zip / FNB _-) REVERSAL of R152.00 for goods purchased from Current a_c..512781. Ref.Cr Vc Temu. 12Oct 00_00.eml</x:v>
      </x:c>
    </x:row>
    <x:row r="36">
      <x:c r="A36" s="15" t="str">
        <x:v>Current a/c..512781</x:v>
      </x:c>
      <x:c r="B36" s="34" t="n">
        <x:v>45942</x:v>
      </x:c>
      <x:c r="C36" s="15" t="str">
        <x:v>REVERSAL of R234.00 for goods purchased from Current a/c..512781. Ref.Cr Vc Temu. 12Oct 00:00</x:v>
      </x:c>
      <x:c r="D36" s="38" t="n">
        <x:v>234</x:v>
      </x:c>
      <x:c r="E36" s="38" t="n">
        <x:v>0</x:v>
      </x:c>
      <x:c r="F36" s="38" t="n">
        <x:v>0</x:v>
      </x:c>
      <x:c r="G36" s="38"/>
      <x:c r="H36" s="15" t="str">
        <x:v>Refunds / reversals</x:v>
      </x:c>
      <x:c r="I36" s="15" t="str">
        <x:v>Cr Vc Temu</x:v>
      </x:c>
      <x:c r="J36" s="15" t="str">
        <x:v>eml_ALL_currentac__512781 (2).zip &gt; eml12currentac__512781.zip / FNB _-) REVERSAL of R234.00 for goods purchased from Current a_c..512781. Ref.Cr Vc Temu. 12Oct 00_00.eml</x:v>
      </x:c>
    </x:row>
    <x:row r="37">
      <x:c r="A37" s="15" t="str">
        <x:v>Current a/c..512781</x:v>
      </x:c>
      <x:c r="B37" s="34" t="n">
        <x:v>45944.41875</x:v>
      </x:c>
      <x:c r="C37" s="15" t="str">
        <x:v>R1870.75 paid from Current a/c..512781 @ Smartapp. Avail R21997. Ref.Dinner Box 100542. 14Oct 10:03</x:v>
      </x:c>
      <x:c r="D37" s="38" t="n">
        <x:v>0</x:v>
      </x:c>
      <x:c r="E37" s="38" t="n">
        <x:v>1870.75</x:v>
      </x:c>
      <x:c r="F37" s="38" t="n">
        <x:v>0</x:v>
      </x:c>
      <x:c r="G37" s="38" t="n">
        <x:v>21997</x:v>
      </x:c>
      <x:c r="H37" s="15" t="str">
        <x:v>Meals / restaurants / entertainment</x:v>
      </x:c>
      <x:c r="I37" s="15" t="str">
        <x:v>Dinner Box 100542</x:v>
      </x:c>
      <x:c r="J37" s="15" t="str">
        <x:v>eml_ALL_currentac__512781 (2).zip &gt; eml12currentac__512781.zip / FNB _-) R1870.75 paid from Current a_c..512781 @ Smartapp. Ref.Dinner Box 100542. 14Oct 10_03.eml</x:v>
      </x:c>
    </x:row>
    <x:row r="38">
      <x:c r="A38" s="15" t="str">
        <x:v>Current a/c..512781</x:v>
      </x:c>
      <x:c r="B38" s="34" t="n">
        <x:v>45944.42013888889</x:v>
      </x:c>
      <x:c r="C38" s="15" t="str">
        <x:v>R255.76 paid from Current a/c..512781 @ Smartapp. Avail R21733. Ref.Bon Express 006772. 14Oct 10:05</x:v>
      </x:c>
      <x:c r="D38" s="38" t="n">
        <x:v>0</x:v>
      </x:c>
      <x:c r="E38" s="38" t="n">
        <x:v>255.76</x:v>
      </x:c>
      <x:c r="F38" s="38" t="n">
        <x:v>0</x:v>
      </x:c>
      <x:c r="G38" s="38" t="n">
        <x:v>21733</x:v>
      </x:c>
      <x:c r="H38" s="15" t="str">
        <x:v>Supplier payments</x:v>
      </x:c>
      <x:c r="I38" s="15" t="str">
        <x:v>Bon Express 006772</x:v>
      </x:c>
      <x:c r="J38" s="15" t="str">
        <x:v>eml_ALL_currentac__512781 (2).zip &gt; eml12currentac__512781.zip / FNB _-) R255.76 paid from Current a_c..512781 @ Smartapp. Ref.Bon Express 006772. 14Oct 10_05.eml</x:v>
      </x:c>
    </x:row>
    <x:row r="39">
      <x:c r="A39" s="15" t="str">
        <x:v>Current a/c..512781</x:v>
      </x:c>
      <x:c r="B39" s="34" t="n">
        <x:v>45945.60138888889</x:v>
      </x:c>
      <x:c r="C39" s="15" t="str">
        <x:v>R108.00 paid from Current a/c..512781 @ Smartapp. Avail R20439. Ref.Oasis Water 7745. 15Oct 14:26</x:v>
      </x:c>
      <x:c r="D39" s="38" t="n">
        <x:v>0</x:v>
      </x:c>
      <x:c r="E39" s="38" t="n">
        <x:v>108</x:v>
      </x:c>
      <x:c r="F39" s="38" t="n">
        <x:v>0</x:v>
      </x:c>
      <x:c r="G39" s="38" t="n">
        <x:v>20439</x:v>
      </x:c>
      <x:c r="H39" s="15" t="str">
        <x:v>Supplier payments</x:v>
      </x:c>
      <x:c r="I39" s="15" t="str">
        <x:v>Oasis Water 7745</x:v>
      </x:c>
      <x:c r="J39" s="15" t="str">
        <x:v>eml_ALL_currentac__512781 (2).zip &gt; eml12currentac__512781.zip / FNB _-) R108.00 paid from Current a_c..512781 @ Smartapp. Ref.Oasis Water 7745. 15Oct 14_26.eml</x:v>
      </x:c>
    </x:row>
    <x:row r="40">
      <x:c r="A40" s="15" t="str">
        <x:v>Current a/c..512781</x:v>
      </x:c>
      <x:c r="B40" s="34" t="n">
        <x:v>45970.36041666667</x:v>
      </x:c>
      <x:c r="C40" s="15" t="str">
        <x:v>R500.00 paid from Current a/c..512781 @ Smartapp. Avail R57129. Ref.Cindy Wages. 9Nov 08:39</x:v>
      </x:c>
      <x:c r="D40" s="38" t="n">
        <x:v>0</x:v>
      </x:c>
      <x:c r="E40" s="38" t="n">
        <x:v>500</x:v>
      </x:c>
      <x:c r="F40" s="38" t="n">
        <x:v>0</x:v>
      </x:c>
      <x:c r="G40" s="38" t="n">
        <x:v>57129</x:v>
      </x:c>
      <x:c r="H40" s="15" t="str">
        <x:v>Salary / wages</x:v>
      </x:c>
      <x:c r="I40" s="15" t="str">
        <x:v>Cindy Wages</x:v>
      </x:c>
      <x:c r="J40" s="15" t="str">
        <x:v>eml_ALL_currentac__512781 (2).zip &gt; eml10currentac__512781.zip / FNB _-) R500.00 paid from Current a_c..512781 @ Smartapp. Ref.Cindy Wages.  9Nov 08_39.eml</x:v>
      </x:c>
    </x:row>
    <x:row r="41">
      <x:c r="A41" s="15" t="str">
        <x:v>Current a/c..512781</x:v>
      </x:c>
      <x:c r="B41" s="34" t="n">
        <x:v>45971.36736111111</x:v>
      </x:c>
      <x:c r="C41" s="15" t="str">
        <x:v>R7500.00 paid from Current a/c..512781 @ Smartapp. Avail R35729. Ref.Kruger Safari 1664. 10Nov 08:49</x:v>
      </x:c>
      <x:c r="D41" s="38" t="n">
        <x:v>0</x:v>
      </x:c>
      <x:c r="E41" s="38" t="n">
        <x:v>7500</x:v>
      </x:c>
      <x:c r="F41" s="38" t="n">
        <x:v>0</x:v>
      </x:c>
      <x:c r="G41" s="38" t="n">
        <x:v>35729</x:v>
      </x:c>
      <x:c r="H41" s="15" t="str">
        <x:v>Supplier payments</x:v>
      </x:c>
      <x:c r="I41" s="15" t="str">
        <x:v>Kruger Safari 1664</x:v>
      </x:c>
      <x:c r="J41" s="15" t="str">
        <x:v>eml_ALL_currentac__512781 (2).zip &gt; eml10currentac__512781.zip / FNB _-) R7500.00 paid from Current a_c..512781 @ Smartapp. Ref.Kruger Safari 1664. 10Nov 08_49.eml</x:v>
      </x:c>
    </x:row>
    <x:row r="42">
      <x:c r="A42" s="15" t="str">
        <x:v>Current a/c..512781</x:v>
      </x:c>
      <x:c r="B42" s="34" t="n">
        <x:v>45971.57083333333</x:v>
      </x:c>
      <x:c r="C42" s="15" t="str">
        <x:v>R255.76 paid from Current a/c..512781 @ Smartapp. Avail R34754. Ref.Bon Express 006962. 10Nov 13:42</x:v>
      </x:c>
      <x:c r="D42" s="38" t="n">
        <x:v>0</x:v>
      </x:c>
      <x:c r="E42" s="38" t="n">
        <x:v>255.76</x:v>
      </x:c>
      <x:c r="F42" s="38" t="n">
        <x:v>0</x:v>
      </x:c>
      <x:c r="G42" s="38" t="n">
        <x:v>34754</x:v>
      </x:c>
      <x:c r="H42" s="15" t="str">
        <x:v>Supplier payments</x:v>
      </x:c>
      <x:c r="I42" s="15" t="str">
        <x:v>Bon Express 006962</x:v>
      </x:c>
      <x:c r="J42" s="15" t="str">
        <x:v>eml_ALL_currentac__512781 (2).zip &gt; eml10currentac__512781.zip / FNB _-) R255.76 paid from Current a_c..512781 @ Smartapp. Ref.Bon Express 006962. 10Nov 13_42.eml</x:v>
      </x:c>
    </x:row>
    <x:row r="43">
      <x:c r="A43" s="15" t="str">
        <x:v>Current a/c..512781</x:v>
      </x:c>
      <x:c r="B43" s="34" t="n">
        <x:v>45971.57152777778</x:v>
      </x:c>
      <x:c r="C43" s="15" t="str">
        <x:v>R12511.62 paid to Current a/c..512781 @ Payshap. Ref.Ik Pay 487882. 10Nov 13:43</x:v>
      </x:c>
      <x:c r="D43" s="38" t="n">
        <x:v>12511.62</x:v>
      </x:c>
      <x:c r="E43" s="38" t="n">
        <x:v>0</x:v>
      </x:c>
      <x:c r="F43" s="38" t="n">
        <x:v>0</x:v>
      </x:c>
      <x:c r="G43" s="38"/>
      <x:c r="H43" s="15" t="str">
        <x:v>Sales / customer receipts</x:v>
      </x:c>
      <x:c r="I43" s="15" t="str">
        <x:v>Ik Pay 487882</x:v>
      </x:c>
      <x:c r="J43" s="15" t="str">
        <x:v>eml_ALL_currentac__512781 (2).zip &gt; eml10currentac__512781.zip / FNB _-) R12511.62 paid to Current a_c..512781 @ Payshap. Ref.Ik Pay 487882. 10Nov 13_43.eml</x:v>
      </x:c>
    </x:row>
    <x:row r="44">
      <x:c r="A44" s="15" t="str">
        <x:v>Current a/c..512781</x:v>
      </x:c>
      <x:c r="B44" s="34" t="n">
        <x:v>45972.461805555555</x:v>
      </x:c>
      <x:c r="C44" s="15" t="str">
        <x:v>Payment Link created from Current a/c..512781 To Waterkloof Gas..850097 @ Smartapp. 11Nov 11:05 Call 087 575 9404 for help.</x:v>
      </x:c>
      <x:c r="D44" s="38" t="n">
        <x:v>0</x:v>
      </x:c>
      <x:c r="E44" s="38" t="n">
        <x:v>0</x:v>
      </x:c>
      <x:c r="F44" s="38" t="n">
        <x:v>0</x:v>
      </x:c>
      <x:c r="G44" s="38"/>
      <x:c r="H44" s="15" t="str">
        <x:v>Other</x:v>
      </x:c>
      <x:c r="I44" s="15" t="str">
        <x:v>Waterkloof Gas..850097</x:v>
      </x:c>
      <x:c r="J44" s="15" t="str">
        <x:v>eml_ALL_currentac__512781 (2).zip &gt; eml10currentac__512781.zip / FNB _-) Payment Link created from Current a_c..512781 To Waterkloof Gas..850097 @ Smartapp. 11Nov 11_05 Call 087 575 9404  for help..eml</x:v>
      </x:c>
    </x:row>
    <x:row r="45">
      <x:c r="A45" s="15" t="str">
        <x:v>Current a/c..512781</x:v>
      </x:c>
      <x:c r="B45" s="34" t="n">
        <x:v>45972.4625</x:v>
      </x:c>
      <x:c r="C45" s="15" t="str">
        <x:v>R1258.00 paid from Current a/c..512781 @ Smartapp. Avail R44984. Ref.Waterkloof Gas 9632. 11Nov 11:06</x:v>
      </x:c>
      <x:c r="D45" s="38" t="n">
        <x:v>0</x:v>
      </x:c>
      <x:c r="E45" s="38" t="n">
        <x:v>1258</x:v>
      </x:c>
      <x:c r="F45" s="38" t="n">
        <x:v>0</x:v>
      </x:c>
      <x:c r="G45" s="38" t="n">
        <x:v>44984</x:v>
      </x:c>
      <x:c r="H45" s="15" t="str">
        <x:v>Supplier payments</x:v>
      </x:c>
      <x:c r="I45" s="15" t="str">
        <x:v>Waterkloof Gas 9632</x:v>
      </x:c>
      <x:c r="J45" s="15" t="str">
        <x:v>eml_ALL_currentac__512781 (2).zip &gt; eml10currentac__512781.zip / FNB _-) R1258.00 paid from Current a_c..512781 @ Smartapp. Ref.Waterkloof Gas 9632. 11Nov 11_06.eml</x:v>
      </x:c>
    </x:row>
    <x:row r="46">
      <x:c r="A46" s="15" t="str">
        <x:v>Current a/c..512781</x:v>
      </x:c>
      <x:c r="B46" s="34" t="n">
        <x:v>45972.4875</x:v>
      </x:c>
      <x:c r="C46" s="15" t="str">
        <x:v>R1202.00 paid from Current a/c..512781 @ Smartapp. Avail R43774. Ref.Dinner Box 102116. 11Nov 11:42</x:v>
      </x:c>
      <x:c r="D46" s="38" t="n">
        <x:v>0</x:v>
      </x:c>
      <x:c r="E46" s="38" t="n">
        <x:v>1202</x:v>
      </x:c>
      <x:c r="F46" s="38" t="n">
        <x:v>0</x:v>
      </x:c>
      <x:c r="G46" s="38" t="n">
        <x:v>43774</x:v>
      </x:c>
      <x:c r="H46" s="15" t="str">
        <x:v>Meals / restaurants / entertainment</x:v>
      </x:c>
      <x:c r="I46" s="15" t="str">
        <x:v>Dinner Box 102116</x:v>
      </x:c>
      <x:c r="J46" s="15" t="str">
        <x:v>eml_ALL_currentac__512781 (2).zip &gt; eml10currentac__512781.zip / FNB _-) R1202.00 paid from Current a_c..512781 @ Smartapp. Ref.Dinner Box 102116. 11Nov 11_42.eml</x:v>
      </x:c>
    </x:row>
    <x:row r="47">
      <x:c r="A47" s="15" t="str">
        <x:v>Current a/c..512781</x:v>
      </x:c>
      <x:c r="B47" s="34" t="n">
        <x:v>45972.606944444444</x:v>
      </x:c>
      <x:c r="C47" s="15" t="str">
        <x:v>Payment Link created from Current a/c..512781 To Royal Safari Company..309283 @ Smartapp. 11Nov 14:34 Call 087 575 9404 for help.</x:v>
      </x:c>
      <x:c r="D47" s="38" t="n">
        <x:v>0</x:v>
      </x:c>
      <x:c r="E47" s="38" t="n">
        <x:v>0</x:v>
      </x:c>
      <x:c r="F47" s="38" t="n">
        <x:v>0</x:v>
      </x:c>
      <x:c r="G47" s="38"/>
      <x:c r="H47" s="15" t="str">
        <x:v>Other</x:v>
      </x:c>
      <x:c r="I47" s="15" t="str">
        <x:v>Royal Safari Company..309283</x:v>
      </x:c>
      <x:c r="J47" s="15" t="str">
        <x:v>eml_ALL_currentac__512781 (2).zip &gt; eml10currentac__512781.zip / FNB _-) Payment Link created from Current a_c..512781 To Royal Safari Company..309283 @ Smartapp. 11Nov 14_34 Call 087 575 9404  for help..eml</x:v>
      </x:c>
    </x:row>
    <x:row r="48">
      <x:c r="A48" s="15" t="str">
        <x:v>Current a/c..512781</x:v>
      </x:c>
      <x:c r="B48" s="34" t="n">
        <x:v>45972.60763888889</x:v>
      </x:c>
      <x:c r="C48" s="15" t="str">
        <x:v>R21945.00 paid from Current a/c..512781 @ Gen Ph. Avail R20763. Ref.Royal Bush 3380 50%. 11Nov 14:35</x:v>
      </x:c>
      <x:c r="D48" s="38" t="n">
        <x:v>0</x:v>
      </x:c>
      <x:c r="E48" s="38" t="n">
        <x:v>21945</x:v>
      </x:c>
      <x:c r="F48" s="38" t="n">
        <x:v>0</x:v>
      </x:c>
      <x:c r="G48" s="38" t="n">
        <x:v>20763</x:v>
      </x:c>
      <x:c r="H48" s="15" t="str">
        <x:v>Supplier payments</x:v>
      </x:c>
      <x:c r="I48" s="15" t="str">
        <x:v>Royal Bush 3380 50%</x:v>
      </x:c>
      <x:c r="J48" s="15" t="str">
        <x:v>eml_ALL_currentac__512781 (2).zip &gt; eml10currentac__512781.zip / FNB _-) R21945.00 paid from Current a_c..512781 @ Gen Ph. Ref.Royal Bush 3380 50%. 11Nov 14_35.eml</x:v>
      </x:c>
    </x:row>
    <x:row r="49">
      <x:c r="A49" s="15" t="str">
        <x:v>Current a/c..512781</x:v>
      </x:c>
      <x:c r="B49" s="34" t="n">
        <x:v>45974.35138888889</x:v>
      </x:c>
      <x:c r="C49" s="15" t="str">
        <x:v>R590.00 paid from Current a/c..512781 @ Smartapp. Avail R18026. Ref.Mr Plumber- Inv 5053. 13Nov 08:26</x:v>
      </x:c>
      <x:c r="D49" s="38" t="n">
        <x:v>0</x:v>
      </x:c>
      <x:c r="E49" s="38" t="n">
        <x:v>590</x:v>
      </x:c>
      <x:c r="F49" s="38" t="n">
        <x:v>0</x:v>
      </x:c>
      <x:c r="G49" s="38" t="n">
        <x:v>18026</x:v>
      </x:c>
      <x:c r="H49" s="15" t="str">
        <x:v>Supplier payments</x:v>
      </x:c>
      <x:c r="I49" s="15" t="str">
        <x:v>Mr Plumber- Inv 5053</x:v>
      </x:c>
      <x:c r="J49" s="15" t="str">
        <x:v>eml_ALL_currentac__512781 (2).zip &gt; eml10currentac__512781.zip / FNB _-) R590.00 paid from Current a_c..512781 @ Smartapp. Ref.Mr Plumber- Inv 5053. 13Nov 08_26.eml</x:v>
      </x:c>
    </x:row>
    <x:row r="50">
      <x:c r="A50" s="15" t="str">
        <x:v>Current a/c..512781</x:v>
      </x:c>
      <x:c r="B50" s="34" t="n">
        <x:v>45974.57013888889</x:v>
      </x:c>
      <x:c r="C50" s="15" t="str">
        <x:v>R2148.00 paid to Current a/c..512781 @ Payshap. Ref.Ik Pay 487882. 13Nov 13:41</x:v>
      </x:c>
      <x:c r="D50" s="38" t="n">
        <x:v>2148</x:v>
      </x:c>
      <x:c r="E50" s="38" t="n">
        <x:v>0</x:v>
      </x:c>
      <x:c r="F50" s="38" t="n">
        <x:v>0</x:v>
      </x:c>
      <x:c r="G50" s="38"/>
      <x:c r="H50" s="15" t="str">
        <x:v>Sales / customer receipts</x:v>
      </x:c>
      <x:c r="I50" s="15" t="str">
        <x:v>Ik Pay 487882</x:v>
      </x:c>
      <x:c r="J50" s="15" t="str">
        <x:v>eml_ALL_currentac__512781 (2).zip &gt; eml10currentac__512781.zip / FNB _-) R2148.00 paid to Current a_c..512781 @ Payshap. Ref.Ik Pay 487882. 13Nov 13_41.eml</x:v>
      </x:c>
    </x:row>
    <x:row r="51">
      <x:c r="A51" s="15" t="str">
        <x:v>Current a/c..512781</x:v>
      </x:c>
      <x:c r="B51" s="34" t="n">
        <x:v>45975.37847222222</x:v>
      </x:c>
      <x:c r="C51" s="15" t="str">
        <x:v>Payment Link created from Current a/c..512781 To R Vedder Horse Back..369915 @ Smartapp. 14Nov 09:05 Call 087 575 9404 for help.</x:v>
      </x:c>
      <x:c r="D51" s="38" t="n">
        <x:v>0</x:v>
      </x:c>
      <x:c r="E51" s="38" t="n">
        <x:v>0</x:v>
      </x:c>
      <x:c r="F51" s="38" t="n">
        <x:v>0</x:v>
      </x:c>
      <x:c r="G51" s="38"/>
      <x:c r="H51" s="15" t="str">
        <x:v>Other</x:v>
      </x:c>
      <x:c r="I51" s="15" t="str">
        <x:v>R Vedder Horse Back..369915</x:v>
      </x:c>
      <x:c r="J51" s="15" t="str">
        <x:v>eml_ALL_currentac__512781 (2).zip &gt; eml10currentac__512781.zip / FNB _-) Payment Link created from Current a_c..512781 To R Vedder Horse Back..369915 @ Smartapp. 14Nov 09_05 Call 087 575 9404  for help..eml</x:v>
      </x:c>
    </x:row>
    <x:row r="52">
      <x:c r="A52" s="15" t="str">
        <x:v>Current a/c..512781</x:v>
      </x:c>
      <x:c r="B52" s="34" t="n">
        <x:v>45975.37847222222</x:v>
      </x:c>
      <x:c r="C52" s="15" t="str">
        <x:v>R1400.00 paid from Current a/c..512781 @ Smartapp. Avail R17622. Ref.Horse Af2hr2011. 14Nov 09:05</x:v>
      </x:c>
      <x:c r="D52" s="38" t="n">
        <x:v>0</x:v>
      </x:c>
      <x:c r="E52" s="38" t="n">
        <x:v>1400</x:v>
      </x:c>
      <x:c r="F52" s="38" t="n">
        <x:v>0</x:v>
      </x:c>
      <x:c r="G52" s="38" t="n">
        <x:v>17622</x:v>
      </x:c>
      <x:c r="H52" s="15" t="str">
        <x:v>Supplier payments</x:v>
      </x:c>
      <x:c r="I52" s="15" t="str">
        <x:v>Horse Af2hr2011</x:v>
      </x:c>
      <x:c r="J52" s="15" t="str">
        <x:v>eml_ALL_currentac__512781 (2).zip &gt; eml10currentac__512781.zip / FNB _-) R1400.00 paid from Current a_c..512781 @ Smartapp. Ref.Horse Af2hr2011. 14Nov 09_05.eml</x:v>
      </x:c>
    </x:row>
    <x:row r="53">
      <x:c r="A53" s="15" t="str">
        <x:v>Current a/c..512781</x:v>
      </x:c>
      <x:c r="B53" s="34" t="n">
        <x:v>45975.44583333333</x:v>
      </x:c>
      <x:c r="C53" s="15" t="str">
        <x:v>R18242.98 paid to Current a/c..512781 @ Retail Forex. Ref.R025kw5cs0 Booking.c. 14Nov 10:42</x:v>
      </x:c>
      <x:c r="D53" s="38" t="n">
        <x:v>18242.98</x:v>
      </x:c>
      <x:c r="E53" s="38" t="n">
        <x:v>0</x:v>
      </x:c>
      <x:c r="F53" s="38" t="n">
        <x:v>0</x:v>
      </x:c>
      <x:c r="G53" s="38"/>
      <x:c r="H53" s="15" t="str">
        <x:v>Sales / customer receipts</x:v>
      </x:c>
      <x:c r="I53" s="15" t="str">
        <x:v>R025kw5cs0 Booking.c</x:v>
      </x:c>
      <x:c r="J53" s="15" t="str">
        <x:v>eml_ALL_currentac__512781 (2).zip &gt; eml10currentac__512781.zip / FNB _-) R18242.98 paid to Current a_c..512781 @ Retail Forex. Ref.R025kw5cs0 Booking.c. 14Nov 10_42.eml</x:v>
      </x:c>
    </x:row>
    <x:row r="54">
      <x:c r="A54" s="15" t="str">
        <x:v>Current a/c..512781</x:v>
      </x:c>
      <x:c r="B54" s="34" t="n">
        <x:v>45975.45416666667</x:v>
      </x:c>
      <x:c r="C54" s="15" t="str">
        <x:v>R26185.00 paid from Current a/c..512781 @ Smartapp. Avail R9672. Ref.Royal 3380 + 3463. 14Nov 10:54</x:v>
      </x:c>
      <x:c r="D54" s="38" t="n">
        <x:v>0</x:v>
      </x:c>
      <x:c r="E54" s="38" t="n">
        <x:v>26185</x:v>
      </x:c>
      <x:c r="F54" s="38" t="n">
        <x:v>0</x:v>
      </x:c>
      <x:c r="G54" s="38" t="n">
        <x:v>9672</x:v>
      </x:c>
      <x:c r="H54" s="15" t="str">
        <x:v>Supplier payments</x:v>
      </x:c>
      <x:c r="I54" s="15" t="str">
        <x:v>Royal 3380 + 3463</x:v>
      </x:c>
      <x:c r="J54" s="15" t="str">
        <x:v>eml_ALL_currentac__512781 (2).zip &gt; eml10currentac__512781.zip / FNB _-) R26185.00 paid from Current a_c..512781 @ Smartapp. Ref.Royal 3380 + 3463. 14Nov 10_54.eml</x:v>
      </x:c>
    </x:row>
    <x:row r="55">
      <x:c r="A55" s="15" t="str">
        <x:v>Current a/c..512781</x:v>
      </x:c>
      <x:c r="B55" s="34" t="n">
        <x:v>45975.459027777775</x:v>
      </x:c>
      <x:c r="C55" s="15" t="str">
        <x:v>R5074.00 paid from Current a/c..512781 @ Smartapp. Avail R4590. Ref.Kruger Safari 1665. 14Nov 11:01</x:v>
      </x:c>
      <x:c r="D55" s="38" t="n">
        <x:v>0</x:v>
      </x:c>
      <x:c r="E55" s="38" t="n">
        <x:v>5074</x:v>
      </x:c>
      <x:c r="F55" s="38" t="n">
        <x:v>0</x:v>
      </x:c>
      <x:c r="G55" s="38" t="n">
        <x:v>4590</x:v>
      </x:c>
      <x:c r="H55" s="15" t="str">
        <x:v>Supplier payments</x:v>
      </x:c>
      <x:c r="I55" s="15" t="str">
        <x:v>Kruger Safari 1665</x:v>
      </x:c>
      <x:c r="J55" s="15" t="str">
        <x:v>eml_ALL_currentac__512781 (2).zip &gt; eml10currentac__512781.zip / FNB _-) R5074.00 paid from Current a_c..512781 @ Smartapp. Ref.Kruger Safari 1665. 14Nov 11_01.eml</x:v>
      </x:c>
    </x:row>
    <x:row r="56">
      <x:c r="A56" s="15" t="str">
        <x:v>Current a/c..512781</x:v>
      </x:c>
      <x:c r="B56" s="34" t="n">
        <x:v>45978.2125</x:v>
      </x:c>
      <x:c r="C56" s="15" t="str">
        <x:v>R11016.00 paid from Current a/c..512781 @ Gen Ph. Avail R7942. Ref.Kruger Saf 1662/1663. 17Nov 05:06</x:v>
      </x:c>
      <x:c r="D56" s="38" t="n">
        <x:v>0</x:v>
      </x:c>
      <x:c r="E56" s="38" t="n">
        <x:v>11016</x:v>
      </x:c>
      <x:c r="F56" s="38" t="n">
        <x:v>0</x:v>
      </x:c>
      <x:c r="G56" s="38" t="n">
        <x:v>7942</x:v>
      </x:c>
      <x:c r="H56" s="15" t="str">
        <x:v>Supplier payments</x:v>
      </x:c>
      <x:c r="I56" s="15" t="str">
        <x:v>Kruger Saf 1662/1663</x:v>
      </x:c>
      <x:c r="J56" s="15" t="str">
        <x:v>eml_ALL_currentac__512781 (2).zip &gt; eml10currentac__512781.zip / FNB _-) R11016.00 paid from Current a_c..512781 @ Gen Ph. Ref.Kruger Saf 1662_1663. 17Nov 05_06.eml</x:v>
      </x:c>
    </x:row>
    <x:row r="57">
      <x:c r="A57" s="15" t="str">
        <x:v>Current a/c..512781</x:v>
      </x:c>
      <x:c r="B57" s="34" t="n">
        <x:v>45978.57152777778</x:v>
      </x:c>
      <x:c r="C57" s="15" t="str">
        <x:v>R5985.73 paid to Current a/c..512781 @ Payshap. Ref.Ik Pay 487882. 17Nov 13:43</x:v>
      </x:c>
      <x:c r="D57" s="38" t="n">
        <x:v>5985.73</x:v>
      </x:c>
      <x:c r="E57" s="38" t="n">
        <x:v>0</x:v>
      </x:c>
      <x:c r="F57" s="38" t="n">
        <x:v>0</x:v>
      </x:c>
      <x:c r="G57" s="38"/>
      <x:c r="H57" s="15" t="str">
        <x:v>Sales / customer receipts</x:v>
      </x:c>
      <x:c r="I57" s="15" t="str">
        <x:v>Ik Pay 487882</x:v>
      </x:c>
      <x:c r="J57" s="15" t="str">
        <x:v>eml_ALL_currentac__512781 (2).zip &gt; eml10currentac__512781.zip / FNB _-) R5985.73 paid to Current a_c..512781 @ Payshap. Ref.Ik Pay 487882. 17Nov 13_43.eml</x:v>
      </x:c>
    </x:row>
    <x:row r="58">
      <x:c r="A58" s="15" t="str">
        <x:v>Current a/c..512781</x:v>
      </x:c>
      <x:c r="B58" s="34" t="n">
        <x:v>45978.85208333333</x:v>
      </x:c>
      <x:c r="C58" s="15" t="str">
        <x:v>Payment Link created from Current a/c..512781 To Ntonwasi (pty) Ltd..390477 @ Smartapp. 17Nov 20:27 Call 087 575 9404 for help.</x:v>
      </x:c>
      <x:c r="D58" s="38" t="n">
        <x:v>0</x:v>
      </x:c>
      <x:c r="E58" s="38" t="n">
        <x:v>0</x:v>
      </x:c>
      <x:c r="F58" s="38" t="n">
        <x:v>0</x:v>
      </x:c>
      <x:c r="G58" s="38"/>
      <x:c r="H58" s="15" t="str">
        <x:v>Other</x:v>
      </x:c>
      <x:c r="I58" s="15" t="str">
        <x:v>Ntonwasi (pty) Ltd..390477</x:v>
      </x:c>
      <x:c r="J58" s="15" t="str">
        <x:v>eml_ALL_currentac__512781 (2).zip &gt; eml10currentac__512781.zip / FNB _-) Payment Link created from Current a_c..512781 To Ntonwasi (pty) Ltd..390477 @ Smartapp. 17Nov 20_27 Call 087 575 9404  for help..eml</x:v>
      </x:c>
    </x:row>
    <x:row r="59">
      <x:c r="A59" s="15" t="str">
        <x:v>Current a/c..512781</x:v>
      </x:c>
      <x:c r="B59" s="34" t="n">
        <x:v>45978.85277777778</x:v>
      </x:c>
      <x:c r="C59" s="15" t="str">
        <x:v>R2770.00 paid from Current a/c..512781 @ Smartapp. Avail R9734. Ref.Ntonwasi Saf Inv476. 17Nov 20:28</x:v>
      </x:c>
      <x:c r="D59" s="38" t="n">
        <x:v>0</x:v>
      </x:c>
      <x:c r="E59" s="38" t="n">
        <x:v>2770</x:v>
      </x:c>
      <x:c r="F59" s="38" t="n">
        <x:v>0</x:v>
      </x:c>
      <x:c r="G59" s="38" t="n">
        <x:v>9734</x:v>
      </x:c>
      <x:c r="H59" s="15" t="str">
        <x:v>Supplier payments</x:v>
      </x:c>
      <x:c r="I59" s="15" t="str">
        <x:v>Ntonwasi Saf Inv476</x:v>
      </x:c>
      <x:c r="J59" s="15" t="str">
        <x:v>eml_ALL_currentac__512781 (2).zip &gt; eml10currentac__512781.zip / FNB _-) R2770.00 paid from Current a_c..512781 @ Smartapp. Ref.Ntonwasi Saf Inv476. 17Nov 20_28.eml</x:v>
      </x:c>
    </x:row>
    <x:row r="60">
      <x:c r="A60" s="15" t="str">
        <x:v>Current a/c..512781</x:v>
      </x:c>
      <x:c r="B60" s="34" t="n">
        <x:v>45979.40069444444</x:v>
      </x:c>
      <x:c r="C60" s="15" t="str">
        <x:v>R5000.00 t/fer from Current a/c..512781 to Current a/c..261544 @ Smartapp. Avail R4712. 18Nov 09:37</x:v>
      </x:c>
      <x:c r="D60" s="38" t="n">
        <x:v>0</x:v>
      </x:c>
      <x:c r="E60" s="38" t="n">
        <x:v>0</x:v>
      </x:c>
      <x:c r="F60" s="38" t="n">
        <x:v>5000</x:v>
      </x:c>
      <x:c r="G60" s="38" t="n">
        <x:v>4712</x:v>
      </x:c>
      <x:c r="H60" s="15" t="str">
        <x:v>Inter-account transfer</x:v>
      </x:c>
      <x:c r="I60" s="15" t="str">
        <x:v>Current a/c..261544</x:v>
      </x:c>
      <x:c r="J60" s="15" t="str">
        <x:v>eml_ALL_currentac__512781 (2).zip &gt; eml10currentac__512781.zip / FNB _-) R5000.00 t_fer from Current a_c..512781 to Current a_c..261544 @ Smartapp. 18Nov 09_37.eml</x:v>
      </x:c>
    </x:row>
    <x:row r="61">
      <x:c r="A61" s="15" t="str">
        <x:v>Current a/c..512781</x:v>
      </x:c>
      <x:c r="B61" s="34" t="n">
        <x:v>45980.49652777778</x:v>
      </x:c>
      <x:c r="C61" s="15" t="str">
        <x:v>R1543.00 paid from Current a/c..512781 @ Smartapp. Avail R1752. Ref.Dinner Box 102430. 19Nov 11:55</x:v>
      </x:c>
      <x:c r="D61" s="38" t="n">
        <x:v>0</x:v>
      </x:c>
      <x:c r="E61" s="38" t="n">
        <x:v>1543</x:v>
      </x:c>
      <x:c r="F61" s="38" t="n">
        <x:v>0</x:v>
      </x:c>
      <x:c r="G61" s="38" t="n">
        <x:v>1752</x:v>
      </x:c>
      <x:c r="H61" s="15" t="str">
        <x:v>Meals / restaurants / entertainment</x:v>
      </x:c>
      <x:c r="I61" s="15" t="str">
        <x:v>Dinner Box 102430</x:v>
      </x:c>
      <x:c r="J61" s="15" t="str">
        <x:v>eml_ALL_currentac__512781 (2).zip &gt; eml10currentac__512781.zip / FNB _-) R1543.00 paid from Current a_c..512781 @ Smartapp. Ref.Dinner Box 102430. 19Nov 11_55.eml</x:v>
      </x:c>
    </x:row>
    <x:row r="62">
      <x:c r="A62" s="15" t="str">
        <x:v>Current a/c..512781</x:v>
      </x:c>
      <x:c r="B62" s="34" t="n">
        <x:v>45981.57013888889</x:v>
      </x:c>
      <x:c r="C62" s="15" t="str">
        <x:v>R12016.88 paid to Current a/c..512781 @ Payshap. Ref.Ik Pay 487882. 20Nov 13:41</x:v>
      </x:c>
      <x:c r="D62" s="38" t="n">
        <x:v>12016.88</x:v>
      </x:c>
      <x:c r="E62" s="38" t="n">
        <x:v>0</x:v>
      </x:c>
      <x:c r="F62" s="38" t="n">
        <x:v>0</x:v>
      </x:c>
      <x:c r="G62" s="38"/>
      <x:c r="H62" s="15" t="str">
        <x:v>Sales / customer receipts</x:v>
      </x:c>
      <x:c r="I62" s="15" t="str">
        <x:v>Ik Pay 487882</x:v>
      </x:c>
      <x:c r="J62" s="15" t="str">
        <x:v>eml_ALL_currentac__512781 (2).zip &gt; eml10currentac__512781.zip / FNB _-) R12016.88 paid to Current a_c..512781 @ Payshap. Ref.Ik Pay 487882. 20Nov 13_41.eml</x:v>
      </x:c>
    </x:row>
    <x:row r="63">
      <x:c r="A63" s="15" t="str">
        <x:v>Current a/c..512781</x:v>
      </x:c>
      <x:c r="B63" s="34" t="n">
        <x:v>45981.61388888889</x:v>
      </x:c>
      <x:c r="C63" s="15" t="str">
        <x:v>R8112.00 paid from Current a/c..512781 @ Gen Ph. Avail R12277. Ref.Kruger Safari 1666. 20Nov 14:44</x:v>
      </x:c>
      <x:c r="D63" s="38" t="n">
        <x:v>0</x:v>
      </x:c>
      <x:c r="E63" s="38" t="n">
        <x:v>8112</x:v>
      </x:c>
      <x:c r="F63" s="38" t="n">
        <x:v>0</x:v>
      </x:c>
      <x:c r="G63" s="38" t="n">
        <x:v>12277</x:v>
      </x:c>
      <x:c r="H63" s="15" t="str">
        <x:v>Supplier payments</x:v>
      </x:c>
      <x:c r="I63" s="15" t="str">
        <x:v>Kruger Safari 1666</x:v>
      </x:c>
      <x:c r="J63" s="15" t="str">
        <x:v>eml_ALL_currentac__512781 (2).zip &gt; eml10currentac__512781.zip / FNB _-) R8112.00 paid from Current a_c..512781 @ Gen Ph. Ref.Kruger Safari 1666. 20Nov 14_44.eml</x:v>
      </x:c>
    </x:row>
    <x:row r="64">
      <x:c r="A64" s="15" t="str">
        <x:v>Current a/c..512781</x:v>
      </x:c>
      <x:c r="B64" s="34" t="n">
        <x:v>45981.74652777778</x:v>
      </x:c>
      <x:c r="C64" s="15" t="str">
        <x:v>Payment Link created from Current a/c..512781 To Ac De Jager Vleis..269640 @ Smartapp. 20Nov 17:55 Call 087 575 9404 for help.</x:v>
      </x:c>
      <x:c r="D64" s="38" t="n">
        <x:v>0</x:v>
      </x:c>
      <x:c r="E64" s="38" t="n">
        <x:v>0</x:v>
      </x:c>
      <x:c r="F64" s="38" t="n">
        <x:v>0</x:v>
      </x:c>
      <x:c r="G64" s="38"/>
      <x:c r="H64" s="15" t="str">
        <x:v>Other</x:v>
      </x:c>
      <x:c r="I64" s="15" t="str">
        <x:v>Ac De Jager Vleis..269640</x:v>
      </x:c>
      <x:c r="J64" s="15" t="str">
        <x:v>eml_ALL_currentac__512781 (2).zip &gt; eml10currentac__512781.zip / FNB _-) Payment Link created from Current a_c..512781 To Ac De Jager Vleis..269640 @ Smartapp. 20Nov 17_55 Call 087 575 9404  for help..eml</x:v>
      </x:c>
    </x:row>
    <x:row r="65">
      <x:c r="A65" s="15" t="str">
        <x:v>Current a/c..512781</x:v>
      </x:c>
      <x:c r="B65" s="34" t="n">
        <x:v>45981.74722222222</x:v>
      </x:c>
      <x:c r="C65" s="15" t="str">
        <x:v>R1842.04 paid from Current a/c..512781 @ Smartapp. Avail R10335. Ref.Ac De Jager Vleis. 20Nov 17:56</x:v>
      </x:c>
      <x:c r="D65" s="38" t="n">
        <x:v>0</x:v>
      </x:c>
      <x:c r="E65" s="38" t="n">
        <x:v>1842.04</x:v>
      </x:c>
      <x:c r="F65" s="38" t="n">
        <x:v>0</x:v>
      </x:c>
      <x:c r="G65" s="38" t="n">
        <x:v>10335</x:v>
      </x:c>
      <x:c r="H65" s="15" t="str">
        <x:v>Supplier payments</x:v>
      </x:c>
      <x:c r="I65" s="15" t="str">
        <x:v>Ac De Jager Vleis</x:v>
      </x:c>
      <x:c r="J65" s="15" t="str">
        <x:v>eml_ALL_currentac__512781 (2).zip &gt; eml10currentac__512781.zip / FNB _-) R1842.04 paid from Current a_c..512781 @ Smartapp. Ref.Ac De Jager Vleis. 20Nov 17_56.eml</x:v>
      </x:c>
    </x:row>
    <x:row r="66">
      <x:c r="A66" s="15" t="str">
        <x:v>Current a/c..512781</x:v>
      </x:c>
      <x:c r="B66" s="34" t="n">
        <x:v>45982.40902777778</x:v>
      </x:c>
      <x:c r="C66" s="15" t="str">
        <x:v>R546.25 paid from Current a/c..512781 @ Smartapp. Avail R9759. Ref.Bon Express 007058. 21Nov 09:49</x:v>
      </x:c>
      <x:c r="D66" s="38" t="n">
        <x:v>0</x:v>
      </x:c>
      <x:c r="E66" s="38" t="n">
        <x:v>546.25</x:v>
      </x:c>
      <x:c r="F66" s="38" t="n">
        <x:v>0</x:v>
      </x:c>
      <x:c r="G66" s="38" t="n">
        <x:v>9759</x:v>
      </x:c>
      <x:c r="H66" s="15" t="str">
        <x:v>Supplier payments</x:v>
      </x:c>
      <x:c r="I66" s="15" t="str">
        <x:v>Bon Express 007058</x:v>
      </x:c>
      <x:c r="J66" s="15" t="str">
        <x:v>eml_ALL_currentac__512781 (2).zip &gt; eml10currentac__512781.zip / FNB _-) R546.25 paid from Current a_c..512781 @ Smartapp. Ref.Bon Express 007058. 21Nov 09_49.eml</x:v>
      </x:c>
    </x:row>
    <x:row r="67">
      <x:c r="A67" s="15" t="str">
        <x:v>Current a/c..512781</x:v>
      </x:c>
      <x:c r="B67" s="34" t="n">
        <x:v>45982.552777777775</x:v>
      </x:c>
      <x:c r="C67" s="15" t="str">
        <x:v>R5000.00 t/fer from Current a/c..512781 to Private Cheq Acc..566332 @ Smartapp. Avail R4409. 21Nov 13:16</x:v>
      </x:c>
      <x:c r="D67" s="38" t="n">
        <x:v>0</x:v>
      </x:c>
      <x:c r="E67" s="38" t="n">
        <x:v>0</x:v>
      </x:c>
      <x:c r="F67" s="38" t="n">
        <x:v>5000</x:v>
      </x:c>
      <x:c r="G67" s="38" t="n">
        <x:v>4409</x:v>
      </x:c>
      <x:c r="H67" s="15" t="str">
        <x:v>Inter-account transfer</x:v>
      </x:c>
      <x:c r="I67" s="15" t="str">
        <x:v>Private Cheq Acc..566332</x:v>
      </x:c>
      <x:c r="J67" s="15" t="str">
        <x:v>eml_ALL_currentac__512781 (2).zip &gt; eml10currentac__512781.zip / FNB _-) R5000.00 t_fer from Current a_c..512781 to Private Cheq Acc..566332 @ Smartapp. 21Nov 13_16.eml</x:v>
      </x:c>
    </x:row>
    <x:row r="68">
      <x:c r="A68" s="15" t="str">
        <x:v>Current a/c..512781</x:v>
      </x:c>
      <x:c r="B68" s="34" t="n">
        <x:v>45982.59930555556</x:v>
      </x:c>
      <x:c r="C68" s="15" t="str">
        <x:v>R27704.96 paid to Current a/c..512781 @ Retail Forex. Ref.R025klftk0 Booking.c. 21Nov 14:23</x:v>
      </x:c>
      <x:c r="D68" s="38" t="n">
        <x:v>27704.96</x:v>
      </x:c>
      <x:c r="E68" s="38" t="n">
        <x:v>0</x:v>
      </x:c>
      <x:c r="F68" s="38" t="n">
        <x:v>0</x:v>
      </x:c>
      <x:c r="G68" s="38"/>
      <x:c r="H68" s="15" t="str">
        <x:v>Sales / customer receipts</x:v>
      </x:c>
      <x:c r="I68" s="15" t="str">
        <x:v>R025klftk0 Booking.c</x:v>
      </x:c>
      <x:c r="J68" s="15" t="str">
        <x:v>eml_ALL_currentac__512781 (2).zip &gt; eml10currentac__512781.zip / FNB _-) R27704.96 paid to Current a_c..512781 @ Retail Forex. Ref.R025klftk0 Booking.c. 21Nov 14_23.eml</x:v>
      </x:c>
    </x:row>
    <x:row r="69">
      <x:c r="A69" s="15" t="str">
        <x:v>Current a/c..512781</x:v>
      </x:c>
      <x:c r="B69" s="34" t="n">
        <x:v>45982.62986111111</x:v>
      </x:c>
      <x:c r="C69" s="15" t="str">
        <x:v>R5000.00 t/fer from Current a/c..512781 to Current a/c..261544 @ Smartapp. Avail R24261. 21Nov 15:07</x:v>
      </x:c>
      <x:c r="D69" s="38" t="n">
        <x:v>0</x:v>
      </x:c>
      <x:c r="E69" s="38" t="n">
        <x:v>0</x:v>
      </x:c>
      <x:c r="F69" s="38" t="n">
        <x:v>5000</x:v>
      </x:c>
      <x:c r="G69" s="38" t="n">
        <x:v>24261</x:v>
      </x:c>
      <x:c r="H69" s="15" t="str">
        <x:v>Inter-account transfer</x:v>
      </x:c>
      <x:c r="I69" s="15" t="str">
        <x:v>Current a/c..261544</x:v>
      </x:c>
      <x:c r="J69" s="15" t="str">
        <x:v>eml_ALL_currentac__512781 (2).zip &gt; eml10currentac__512781.zip / FNB _-) R5000.00 t_fer from Current a_c..512781 to Current a_c..261544 @ Smartapp. 21Nov 15_07.eml</x:v>
      </x:c>
    </x:row>
    <x:row r="70">
      <x:c r="A70" s="15" t="str">
        <x:v>Current a/c..512781</x:v>
      </x:c>
      <x:c r="B70" s="34" t="n">
        <x:v>45982.63333333333</x:v>
      </x:c>
      <x:c r="C70" s="15" t="str">
        <x:v>Payment Link created from Current a/c..512781 To African Dream Amenit..032135 @ Smartapp. 21Nov 15:12 Call 087 575 9404 for help.</x:v>
      </x:c>
      <x:c r="D70" s="38" t="n">
        <x:v>0</x:v>
      </x:c>
      <x:c r="E70" s="38" t="n">
        <x:v>0</x:v>
      </x:c>
      <x:c r="F70" s="38" t="n">
        <x:v>0</x:v>
      </x:c>
      <x:c r="G70" s="38"/>
      <x:c r="H70" s="15" t="str">
        <x:v>Other</x:v>
      </x:c>
      <x:c r="I70" s="15" t="str">
        <x:v>African Dream Amenit..032135</x:v>
      </x:c>
      <x:c r="J70" s="15" t="str">
        <x:v>eml_ALL_currentac__512781 (2).zip &gt; eml10currentac__512781.zip / FNB _-) Payment Link created from Current a_c..512781 To African Dream Amenit..032135 @ Smartapp. 21Nov 15_12 Call 087 575 9404  for help..eml</x:v>
      </x:c>
    </x:row>
    <x:row r="71">
      <x:c r="A71" s="15" t="str">
        <x:v>Current a/c..512781</x:v>
      </x:c>
      <x:c r="B71" s="34" t="n">
        <x:v>45982.63402777778</x:v>
      </x:c>
      <x:c r="C71" s="15" t="str">
        <x:v>R678.50 paid from Current a/c..512781 @ Smartapp. Avail R23574. Ref.Afr Dream In27814. 21Nov 15:13</x:v>
      </x:c>
      <x:c r="D71" s="38" t="n">
        <x:v>0</x:v>
      </x:c>
      <x:c r="E71" s="38" t="n">
        <x:v>678.5</x:v>
      </x:c>
      <x:c r="F71" s="38" t="n">
        <x:v>0</x:v>
      </x:c>
      <x:c r="G71" s="38" t="n">
        <x:v>23574</x:v>
      </x:c>
      <x:c r="H71" s="15" t="str">
        <x:v>Supplier payments</x:v>
      </x:c>
      <x:c r="I71" s="15" t="str">
        <x:v>Afr Dream In27814</x:v>
      </x:c>
      <x:c r="J71" s="15" t="str">
        <x:v>eml_ALL_currentac__512781 (2).zip &gt; eml10currentac__512781.zip / FNB _-) R678.50 paid from Current a_c..512781 @ Smartapp. Ref.Afr Dream In27814. 21Nov 15_13.eml</x:v>
      </x:c>
    </x:row>
    <x:row r="72">
      <x:c r="A72" s="15" t="str">
        <x:v>Current a/c..512781</x:v>
      </x:c>
      <x:c r="B72" s="34" t="n">
        <x:v>45982.635416666664</x:v>
      </x:c>
      <x:c r="C72" s="15" t="str">
        <x:v>R13000.00 paid from Current a/c..512781 @ Smartapp. Avail R10566. Ref.Salary Portion Oct. 21Nov 15:15</x:v>
      </x:c>
      <x:c r="D72" s="38" t="n">
        <x:v>0</x:v>
      </x:c>
      <x:c r="E72" s="38" t="n">
        <x:v>13000</x:v>
      </x:c>
      <x:c r="F72" s="38" t="n">
        <x:v>0</x:v>
      </x:c>
      <x:c r="G72" s="38" t="n">
        <x:v>10566</x:v>
      </x:c>
      <x:c r="H72" s="15" t="str">
        <x:v>Salary / wages</x:v>
      </x:c>
      <x:c r="I72" s="15" t="str">
        <x:v>Salary Portion Oct</x:v>
      </x:c>
      <x:c r="J72" s="15" t="str">
        <x:v>eml_ALL_currentac__512781 (2).zip &gt; eml10currentac__512781.zip / FNB _-) R13000.00 paid from Current a_c..512781 @ Smartapp. Ref.Salary Portion Oct. 21Nov 15_15.eml</x:v>
      </x:c>
    </x:row>
    <x:row r="73">
      <x:c r="A73" s="15" t="str">
        <x:v>Current a/c..512781</x:v>
      </x:c>
      <x:c r="B73" s="34" t="n">
        <x:v>45982.63680555556</x:v>
      </x:c>
      <x:c r="C73" s="15" t="str">
        <x:v>R5704.00 paid from Current a/c..512781 @ Smartapp. Avail R4854. Ref.Kruger Safari 1667. 21Nov 15:17</x:v>
      </x:c>
      <x:c r="D73" s="38" t="n">
        <x:v>0</x:v>
      </x:c>
      <x:c r="E73" s="38" t="n">
        <x:v>5704</x:v>
      </x:c>
      <x:c r="F73" s="38" t="n">
        <x:v>0</x:v>
      </x:c>
      <x:c r="G73" s="38" t="n">
        <x:v>4854</x:v>
      </x:c>
      <x:c r="H73" s="15" t="str">
        <x:v>Supplier payments</x:v>
      </x:c>
      <x:c r="I73" s="15" t="str">
        <x:v>Kruger Safari 1667</x:v>
      </x:c>
      <x:c r="J73" s="15" t="str">
        <x:v>eml_ALL_currentac__512781 (2).zip &gt; eml10currentac__512781.zip / FNB _-) R5704.00 paid from Current a_c..512781 @ Smartapp. Ref.Kruger Safari 1667. 21Nov 15_17.eml</x:v>
      </x:c>
    </x:row>
    <x:row r="74">
      <x:c r="A74" s="15" t="str">
        <x:v>Current a/c..512781</x:v>
      </x:c>
      <x:c r="B74" s="34" t="n">
        <x:v>45984.47638888889</x:v>
      </x:c>
      <x:c r="C74" s="15" t="str">
        <x:v>R2000.00 t/fer from Current a/c..512781 to Current a/c..261544 @ Smartapp. Avail R2291. 23Nov 11:26</x:v>
      </x:c>
      <x:c r="D74" s="38" t="n">
        <x:v>0</x:v>
      </x:c>
      <x:c r="E74" s="38" t="n">
        <x:v>0</x:v>
      </x:c>
      <x:c r="F74" s="38" t="n">
        <x:v>2000</x:v>
      </x:c>
      <x:c r="G74" s="38" t="n">
        <x:v>2291</x:v>
      </x:c>
      <x:c r="H74" s="15" t="str">
        <x:v>Inter-account transfer</x:v>
      </x:c>
      <x:c r="I74" s="15" t="str">
        <x:v>Current a/c..261544</x:v>
      </x:c>
      <x:c r="J74" s="15" t="str">
        <x:v>eml_ALL_currentac__512781 (2).zip &gt; eml10currentac__512781.zip / FNB _-) R2000.00 t_fer from Current a_c..512781 to Current a_c..261544 @ Smartapp. 23Nov 11_26.eml</x:v>
      </x:c>
    </x:row>
    <x:row r="75">
      <x:c r="A75" s="15" t="str">
        <x:v>Current a/c..512781</x:v>
      </x:c>
      <x:c r="B75" s="34" t="n">
        <x:v>45985.44930555556</x:v>
      </x:c>
      <x:c r="C75" s="15" t="str">
        <x:v>R5000.00 paid to Current a/c..512781 @ Smartapp. Ref.Dreyer. 24Nov 10:47</x:v>
      </x:c>
      <x:c r="D75" s="38" t="n">
        <x:v>5000</x:v>
      </x:c>
      <x:c r="E75" s="38" t="n">
        <x:v>0</x:v>
      </x:c>
      <x:c r="F75" s="38" t="n">
        <x:v>0</x:v>
      </x:c>
      <x:c r="G75" s="38"/>
      <x:c r="H75" s="15" t="str">
        <x:v>Sales / customer receipts</x:v>
      </x:c>
      <x:c r="I75" s="15" t="str">
        <x:v>Dreyer</x:v>
      </x:c>
      <x:c r="J75" s="15" t="str">
        <x:v>eml_ALL_currentac__512781 (2).zip &gt; eml10currentac__512781.zip / FNB _-) R5000.00 paid to Current a_c..512781 @ Smartapp. Ref.Dreyer. 24Nov 10_47.eml</x:v>
      </x:c>
    </x:row>
    <x:row r="76">
      <x:c r="A76" s="15" t="str">
        <x:v>Current a/c..512781</x:v>
      </x:c>
      <x:c r="B76" s="34" t="n">
        <x:v>45985.58125</x:v>
      </x:c>
      <x:c r="C76" s="15" t="str">
        <x:v>R1844.17 paid to Current a/c..512781 @ Payshap. Ref.Ik Pay 487882. 24Nov 13:57</x:v>
      </x:c>
      <x:c r="D76" s="38" t="n">
        <x:v>1844.17</x:v>
      </x:c>
      <x:c r="E76" s="38" t="n">
        <x:v>0</x:v>
      </x:c>
      <x:c r="F76" s="38" t="n">
        <x:v>0</x:v>
      </x:c>
      <x:c r="G76" s="38"/>
      <x:c r="H76" s="15" t="str">
        <x:v>Sales / customer receipts</x:v>
      </x:c>
      <x:c r="I76" s="15" t="str">
        <x:v>Ik Pay 487882</x:v>
      </x:c>
      <x:c r="J76" s="15" t="str">
        <x:v>eml_ALL_currentac__512781 (2).zip &gt; eml10currentac__512781.zip / FNB _-) R1844.17 paid to Current a_c..512781 @ Payshap. Ref.Ik Pay 487882. 24Nov 13_57.eml</x:v>
      </x:c>
    </x:row>
    <x:row r="77">
      <x:c r="A77" s="15" t="str">
        <x:v>Current a/c..512781</x:v>
      </x:c>
      <x:c r="B77" s="34" t="n">
        <x:v>45986.677083333336</x:v>
      </x:c>
      <x:c r="C77" s="15" t="str">
        <x:v>R2000.00 t/fer from Current a/c..512781 to Current a/c..261544 @ Smartapp. Avail R5707. 25Nov 16:15</x:v>
      </x:c>
      <x:c r="D77" s="38" t="n">
        <x:v>0</x:v>
      </x:c>
      <x:c r="E77" s="38" t="n">
        <x:v>0</x:v>
      </x:c>
      <x:c r="F77" s="38" t="n">
        <x:v>2000</x:v>
      </x:c>
      <x:c r="G77" s="38" t="n">
        <x:v>5707</x:v>
      </x:c>
      <x:c r="H77" s="15" t="str">
        <x:v>Inter-account transfer</x:v>
      </x:c>
      <x:c r="I77" s="15" t="str">
        <x:v>Current a/c..261544</x:v>
      </x:c>
      <x:c r="J77" s="15" t="str">
        <x:v>eml_ALL_currentac__512781 (2).zip &gt; eml10currentac__512781.zip / FNB _-) R2000.00 t_fer from Current a_c..512781 to Current a_c..261544 @ Smartapp. 25Nov 16_15.eml</x:v>
      </x:c>
    </x:row>
    <x:row r="78">
      <x:c r="A78" s="15" t="str">
        <x:v>Current a/c..512781</x:v>
      </x:c>
      <x:c r="B78" s="34" t="n">
        <x:v>45987.544444444444</x:v>
      </x:c>
      <x:c r="C78" s="15" t="str">
        <x:v>R1484.00 paid from Current a/c..512781 @ Smartapp. Avail R3791. Ref.Dinner Box 102794. 26Nov 13:04</x:v>
      </x:c>
      <x:c r="D78" s="38" t="n">
        <x:v>0</x:v>
      </x:c>
      <x:c r="E78" s="38" t="n">
        <x:v>1484</x:v>
      </x:c>
      <x:c r="F78" s="38" t="n">
        <x:v>0</x:v>
      </x:c>
      <x:c r="G78" s="38" t="n">
        <x:v>3791</x:v>
      </x:c>
      <x:c r="H78" s="15" t="str">
        <x:v>Meals / restaurants / entertainment</x:v>
      </x:c>
      <x:c r="I78" s="15" t="str">
        <x:v>Dinner Box 102794</x:v>
      </x:c>
      <x:c r="J78" s="15" t="str">
        <x:v>eml_ALL_currentac__512781 (2).zip &gt; eml10currentac__512781.zip / FNB _-) R1484.00 paid from Current a_c..512781 @ Smartapp. Ref.Dinner Box 102794. 26Nov 13_04.eml</x:v>
      </x:c>
    </x:row>
    <x:row r="79">
      <x:c r="A79" s="15" t="str">
        <x:v>Current a/c..512781</x:v>
      </x:c>
      <x:c r="B79" s="34" t="n">
        <x:v>45987.57986111111</x:v>
      </x:c>
      <x:c r="C79" s="15" t="str">
        <x:v>R4186.49 paid to Current a/c..512781 @ Payshap. Ref.Ik Pay 487882. 26Nov 13:55</x:v>
      </x:c>
      <x:c r="D79" s="38" t="n">
        <x:v>4186.49</x:v>
      </x:c>
      <x:c r="E79" s="38" t="n">
        <x:v>0</x:v>
      </x:c>
      <x:c r="F79" s="38" t="n">
        <x:v>0</x:v>
      </x:c>
      <x:c r="G79" s="38"/>
      <x:c r="H79" s="15" t="str">
        <x:v>Sales / customer receipts</x:v>
      </x:c>
      <x:c r="I79" s="15" t="str">
        <x:v>Ik Pay 487882</x:v>
      </x:c>
      <x:c r="J79" s="15" t="str">
        <x:v>eml_ALL_currentac__512781 (2).zip &gt; eml10currentac__512781.zip / FNB _-) R4186.49 paid to Current a_c..512781 @ Payshap. Ref.Ik Pay 487882. 26Nov 13_55.eml</x:v>
      </x:c>
    </x:row>
    <x:row r="80">
      <x:c r="A80" s="15" t="str">
        <x:v>Current a/c..512781</x:v>
      </x:c>
      <x:c r="B80" s="34" t="n">
        <x:v>45987.65</x:v>
      </x:c>
      <x:c r="C80" s="15" t="str">
        <x:v>R2440.00 paid from Current a/c..512781 @ Smartapp. Avail R4718. Ref.Kruger Safari 1668. 26Nov 15:36</x:v>
      </x:c>
      <x:c r="D80" s="38" t="n">
        <x:v>0</x:v>
      </x:c>
      <x:c r="E80" s="38" t="n">
        <x:v>2440</x:v>
      </x:c>
      <x:c r="F80" s="38" t="n">
        <x:v>0</x:v>
      </x:c>
      <x:c r="G80" s="38" t="n">
        <x:v>4718</x:v>
      </x:c>
      <x:c r="H80" s="15" t="str">
        <x:v>Supplier payments</x:v>
      </x:c>
      <x:c r="I80" s="15" t="str">
        <x:v>Kruger Safari 1668</x:v>
      </x:c>
      <x:c r="J80" s="15" t="str">
        <x:v>eml_ALL_currentac__512781 (2).zip &gt; eml10currentac__512781.zip / FNB _-) R2440.00 paid from Current a_c..512781 @ Smartapp. Ref.Kruger Safari 1668. 26Nov 15_36.eml</x:v>
      </x:c>
    </x:row>
    <x:row r="81">
      <x:c r="A81" s="15" t="str">
        <x:v>Current a/c..512781</x:v>
      </x:c>
      <x:c r="B81" s="34" t="n">
        <x:v>45988.11736111111</x:v>
      </x:c>
      <x:c r="C81" s="15" t="str">
        <x:v>R2910.00 paid from Current a/c..512781 @ Smartapp. Avail R1790. Ref.Kruger Safari 1669. 27Nov 02:49</x:v>
      </x:c>
      <x:c r="D81" s="38" t="n">
        <x:v>0</x:v>
      </x:c>
      <x:c r="E81" s="38" t="n">
        <x:v>2910</x:v>
      </x:c>
      <x:c r="F81" s="38" t="n">
        <x:v>0</x:v>
      </x:c>
      <x:c r="G81" s="38" t="n">
        <x:v>1790</x:v>
      </x:c>
      <x:c r="H81" s="15" t="str">
        <x:v>Supplier payments</x:v>
      </x:c>
      <x:c r="I81" s="15" t="str">
        <x:v>Kruger Safari 1669</x:v>
      </x:c>
      <x:c r="J81" s="15" t="str">
        <x:v>eml_ALL_currentac__512781 (2).zip &gt; eml10currentac__512781.zip / FNB _-) R2910.00 paid from Current a_c..512781 @ Smartapp. Ref.Kruger Safari 1669. 27Nov 02_49.eml</x:v>
      </x:c>
    </x:row>
    <x:row r="82">
      <x:c r="A82" s="15" t="str">
        <x:v>Current a/c..512781</x:v>
      </x:c>
      <x:c r="B82" s="34" t="n">
        <x:v>45988.58125</x:v>
      </x:c>
      <x:c r="C82" s="15" t="str">
        <x:v>R10359.20 paid to Current a/c..512781 @ Payshap. Ref.Ik Pay 487882. 27Nov 13:57</x:v>
      </x:c>
      <x:c r="D82" s="38" t="n">
        <x:v>10359.2</x:v>
      </x:c>
      <x:c r="E82" s="38" t="n">
        <x:v>0</x:v>
      </x:c>
      <x:c r="F82" s="38" t="n">
        <x:v>0</x:v>
      </x:c>
      <x:c r="G82" s="38"/>
      <x:c r="H82" s="15" t="str">
        <x:v>Sales / customer receipts</x:v>
      </x:c>
      <x:c r="I82" s="15" t="str">
        <x:v>Ik Pay 487882</x:v>
      </x:c>
      <x:c r="J82" s="15" t="str">
        <x:v>eml_ALL_currentac__512781 (2).zip &gt; eml10currentac__512781.zip / FNB _-) R10359.20 paid to Current a_c..512781 @ Payshap. Ref.Ik Pay 487882. 27Nov 13_57.eml</x:v>
      </x:c>
    </x:row>
    <x:row r="83">
      <x:c r="A83" s="15" t="str">
        <x:v>Current a/c..512781</x:v>
      </x:c>
      <x:c r="B83" s="34" t="n">
        <x:v>45989.59444444445</x:v>
      </x:c>
      <x:c r="C83" s="15" t="str">
        <x:v>R19163.49 paid to Current a/c..512781 @ Retail Forex. Ref.R025k2rz50 Booking.c. 28Nov 14:16</x:v>
      </x:c>
      <x:c r="D83" s="38" t="n">
        <x:v>19163.49</x:v>
      </x:c>
      <x:c r="E83" s="38" t="n">
        <x:v>0</x:v>
      </x:c>
      <x:c r="F83" s="38" t="n">
        <x:v>0</x:v>
      </x:c>
      <x:c r="G83" s="38"/>
      <x:c r="H83" s="15" t="str">
        <x:v>Sales / customer receipts</x:v>
      </x:c>
      <x:c r="I83" s="15" t="str">
        <x:v>R025k2rz50 Booking.c</x:v>
      </x:c>
      <x:c r="J83" s="15" t="str">
        <x:v>eml_ALL_currentac__512781 (2).zip &gt; eml10currentac__512781.zip / FNB _-) R19163.49 paid to Current a_c..512781 @ Retail Forex. Ref.R025k2rz50 Booking.c. 28Nov 14_16.eml</x:v>
      </x:c>
    </x:row>
    <x:row r="84">
      <x:c r="A84" s="15" t="str">
        <x:v>Current a/c..512781</x:v>
      </x:c>
      <x:c r="B84" s="34" t="n">
        <x:v>45990.46944444445</x:v>
      </x:c>
      <x:c r="C84" s="15" t="str">
        <x:v>R1915.42 paid to Current a/c..512781 @ Real Time Cl. Ref.6111002148. 29Nov 11:16</x:v>
      </x:c>
      <x:c r="D84" s="38" t="n">
        <x:v>1915.42</x:v>
      </x:c>
      <x:c r="E84" s="38" t="n">
        <x:v>0</x:v>
      </x:c>
      <x:c r="F84" s="38" t="n">
        <x:v>0</x:v>
      </x:c>
      <x:c r="G84" s="38"/>
      <x:c r="H84" s="15" t="str">
        <x:v>Sales / customer receipts</x:v>
      </x:c>
      <x:c r="I84" s="15" t="str">
        <x:v>6111002148</x:v>
      </x:c>
      <x:c r="J84" s="15" t="str">
        <x:v>eml_ALL_currentac__512781 (2).zip &gt; eml10currentac__512781.zip / FNB _-) R1915.42 paid to Current a_c..512781 @ Real Time Cl. Ref.6111002148. 29Nov 11_16.eml</x:v>
      </x:c>
    </x:row>
    <x:row r="85">
      <x:c r="A85" s="15" t="str">
        <x:v>Current a/c..512781</x:v>
      </x:c>
      <x:c r="B85" s="34" t="n">
        <x:v>45990.575694444444</x:v>
      </x:c>
      <x:c r="C85" s="15" t="str">
        <x:v>R5000.00 paid from Current a/c..512781 @ Gen Ph. Avail R25725. Ref.Repayment. 29Nov 13:49</x:v>
      </x:c>
      <x:c r="D85" s="38" t="n">
        <x:v>0</x:v>
      </x:c>
      <x:c r="E85" s="38" t="n">
        <x:v>5000</x:v>
      </x:c>
      <x:c r="F85" s="38" t="n">
        <x:v>0</x:v>
      </x:c>
      <x:c r="G85" s="38" t="n">
        <x:v>25725</x:v>
      </x:c>
      <x:c r="H85" s="15" t="str">
        <x:v>Supplier payments</x:v>
      </x:c>
      <x:c r="I85" s="15" t="str">
        <x:v>Repayment</x:v>
      </x:c>
      <x:c r="J85" s="15" t="str">
        <x:v>eml_ALL_currentac__512781 (2).zip &gt; eml10currentac__512781.zip / FNB _-) R5000.00 paid from Current a_c..512781 @ Gen Ph. Ref.Repayment. 29Nov 13_49.eml</x:v>
      </x:c>
    </x:row>
    <x:row r="86">
      <x:c r="A86" s="15" t="str">
        <x:v>Current a/c..512781</x:v>
      </x:c>
      <x:c r="B86" s="34" t="n">
        <x:v>45991.00833333333</x:v>
      </x:c>
      <x:c r="C86" s="15" t="str">
        <x:v>R5000.00 paid from Current a/c..512781 @ Gen Ph. Avail R20596. Ref.Staff Tips For Sept. 30Nov 00:12</x:v>
      </x:c>
      <x:c r="D86" s="38" t="n">
        <x:v>0</x:v>
      </x:c>
      <x:c r="E86" s="38" t="n">
        <x:v>5000</x:v>
      </x:c>
      <x:c r="F86" s="38" t="n">
        <x:v>0</x:v>
      </x:c>
      <x:c r="G86" s="38" t="n">
        <x:v>20596</x:v>
      </x:c>
      <x:c r="H86" s="15" t="str">
        <x:v>Salary / wages</x:v>
      </x:c>
      <x:c r="I86" s="15" t="str">
        <x:v>Staff Tips For Sept</x:v>
      </x:c>
      <x:c r="J86" s="15" t="str">
        <x:v>eml_ALL_currentac__512781 (2).zip &gt; eml10currentac__512781.zip / FNB _-) R5000.00 paid from Current a_c..512781 @ Gen Ph. Ref.Staff Tips For Sept. 30Nov 00_12.eml</x:v>
      </x:c>
    </x:row>
    <x:row r="87">
      <x:c r="A87" s="15" t="str">
        <x:v>Current a/c..512781</x:v>
      </x:c>
      <x:c r="B87" s="34" t="n">
        <x:v>45991.08819444444</x:v>
      </x:c>
      <x:c r="C87" s="15" t="str">
        <x:v>R4000.00 paid from Current a/c..512781 @ Gen Ph. Avail R16596. Ref.Staff Tips For Oct. 30Nov 02:07</x:v>
      </x:c>
      <x:c r="D87" s="38" t="n">
        <x:v>0</x:v>
      </x:c>
      <x:c r="E87" s="38" t="n">
        <x:v>4000</x:v>
      </x:c>
      <x:c r="F87" s="38" t="n">
        <x:v>0</x:v>
      </x:c>
      <x:c r="G87" s="38" t="n">
        <x:v>16596</x:v>
      </x:c>
      <x:c r="H87" s="15" t="str">
        <x:v>Salary / wages</x:v>
      </x:c>
      <x:c r="I87" s="15" t="str">
        <x:v>Staff Tips For Oct</x:v>
      </x:c>
      <x:c r="J87" s="15" t="str">
        <x:v>eml_ALL_currentac__512781 (2).zip &gt; eml10currentac__512781.zip / FNB _-) R4000.00 paid from Current a_c..512781 @ Gen Ph. Ref.Staff Tips For Oct. 30Nov 02_07.eml</x:v>
      </x:c>
    </x:row>
    <x:row r="88">
      <x:c r="A88" s="15" t="str">
        <x:v>Current a/c..512781</x:v>
      </x:c>
      <x:c r="B88" s="34" t="n">
        <x:v>45991.42361111111</x:v>
      </x:c>
      <x:c r="C88" s="15" t="str">
        <x:v>R4500.00 paid from Current a/c..512781 @ Gen Ph. Avail R12096. Ref.Phindi Salary Nov. 30Nov 10:10</x:v>
      </x:c>
      <x:c r="D88" s="38" t="n">
        <x:v>0</x:v>
      </x:c>
      <x:c r="E88" s="38" t="n">
        <x:v>4500</x:v>
      </x:c>
      <x:c r="F88" s="38" t="n">
        <x:v>0</x:v>
      </x:c>
      <x:c r="G88" s="38" t="n">
        <x:v>12096</x:v>
      </x:c>
      <x:c r="H88" s="15" t="str">
        <x:v>Salary / wages</x:v>
      </x:c>
      <x:c r="I88" s="15" t="str">
        <x:v>Phindi Salary Nov</x:v>
      </x:c>
      <x:c r="J88" s="15" t="str">
        <x:v>eml_ALL_currentac__512781 (2).zip &gt; eml10currentac__512781.zip / FNB _-) R4500.00 paid from Current a_c..512781 @ Gen Ph. Ref.Phindi Salary Nov. 30Nov 10_10.eml</x:v>
      </x:c>
    </x:row>
    <x:row r="89">
      <x:c r="A89" s="15" t="str">
        <x:v>Current a/c..512781</x:v>
      </x:c>
      <x:c r="B89" s="34" t="n">
        <x:v>45991.76736111111</x:v>
      </x:c>
      <x:c r="C89" s="15" t="str">
        <x:v>R11280.00 paid from Current a/c..512781 @ Gen Ph. Avail R642. Ref.Jsl - 9/12 Nov. 30Nov 18:25</x:v>
      </x:c>
      <x:c r="D89" s="38" t="n">
        <x:v>0</x:v>
      </x:c>
      <x:c r="E89" s="38" t="n">
        <x:v>11280</x:v>
      </x:c>
      <x:c r="F89" s="38" t="n">
        <x:v>0</x:v>
      </x:c>
      <x:c r="G89" s="38" t="n">
        <x:v>642</x:v>
      </x:c>
      <x:c r="H89" s="15" t="str">
        <x:v>Supplier payments</x:v>
      </x:c>
      <x:c r="I89" s="15" t="str">
        <x:v>Jsl - 9/12 Nov</x:v>
      </x:c>
      <x:c r="J89" s="15" t="str">
        <x:v>eml_ALL_currentac__512781 (2).zip &gt; eml10currentac__512781.zip / FNB _-) R11280.00 paid from Current a_c..512781 @ Gen Ph. Ref.Jsl - 9_12 Nov. 30Nov 18_25.eml</x:v>
      </x:c>
    </x:row>
    <x:row r="90">
      <x:c r="A90" s="15" t="str">
        <x:v>Current a/c..512781</x:v>
      </x:c>
      <x:c r="B90" s="34" t="n">
        <x:v>46017.728472222225</x:v>
      </x:c>
      <x:c r="C90" s="15" t="str">
        <x:v>R3000.00 paid from Current a/c..512781 @ Smartapp. Avail R15054. Ref.Vacation. 26Dec 17:29</x:v>
      </x:c>
      <x:c r="D90" s="38" t="n">
        <x:v>0</x:v>
      </x:c>
      <x:c r="E90" s="38" t="n">
        <x:v>3000</x:v>
      </x:c>
      <x:c r="F90" s="38" t="n">
        <x:v>0</x:v>
      </x:c>
      <x:c r="G90" s="38" t="n">
        <x:v>15054</x:v>
      </x:c>
      <x:c r="H90" s="15" t="str">
        <x:v>Supplier payments</x:v>
      </x:c>
      <x:c r="I90" s="15" t="str">
        <x:v>Vacation</x:v>
      </x:c>
      <x:c r="J90" s="15" t="str">
        <x:v>eml_ALL_currentac__512781 (2).zip &gt; eml8currentac__512781.zip / FNB _-) R3000.00 paid from Current a_c..512781 @ Smartapp. Ref.Vacation. 26Dec 17_29.eml</x:v>
      </x:c>
    </x:row>
    <x:row r="91">
      <x:c r="A91" s="15" t="str">
        <x:v>Current a/c..512781</x:v>
      </x:c>
      <x:c r="B91" s="34" t="n">
        <x:v>46018.438888888886</x:v>
      </x:c>
      <x:c r="C91" s="15" t="str">
        <x:v>R5340.06 paid to Current a/c..512781 @ Payshap. Ref.Ik Pay 487882. 27Dec 10:32</x:v>
      </x:c>
      <x:c r="D91" s="38" t="n">
        <x:v>5340.06</x:v>
      </x:c>
      <x:c r="E91" s="38" t="n">
        <x:v>0</x:v>
      </x:c>
      <x:c r="F91" s="38" t="n">
        <x:v>0</x:v>
      </x:c>
      <x:c r="G91" s="38"/>
      <x:c r="H91" s="15" t="str">
        <x:v>Sales / customer receipts</x:v>
      </x:c>
      <x:c r="I91" s="15" t="str">
        <x:v>Ik Pay 487882</x:v>
      </x:c>
      <x:c r="J91" s="15" t="str">
        <x:v>eml_ALL_currentac__512781 (2).zip &gt; eml8currentac__512781.zip / FNB _-) R5340.06 paid to Current a_c..512781 @ Payshap. Ref.Ik Pay 487882. 27Dec 10_32.eml</x:v>
      </x:c>
    </x:row>
    <x:row r="92">
      <x:c r="A92" s="15" t="str">
        <x:v>Current a/c..512781</x:v>
      </x:c>
      <x:c r="B92" s="34" t="n">
        <x:v>46018.64791666667</x:v>
      </x:c>
      <x:c r="C92" s="15" t="str">
        <x:v>R1273.00 paid from Current a/c..512781 @ Smartapp. Avail R17230. Ref.Waterkloof Gas 10266. 27Dec 15:33</x:v>
      </x:c>
      <x:c r="D92" s="38" t="n">
        <x:v>0</x:v>
      </x:c>
      <x:c r="E92" s="38" t="n">
        <x:v>1273</x:v>
      </x:c>
      <x:c r="F92" s="38" t="n">
        <x:v>0</x:v>
      </x:c>
      <x:c r="G92" s="38" t="n">
        <x:v>17230</x:v>
      </x:c>
      <x:c r="H92" s="15" t="str">
        <x:v>Supplier payments</x:v>
      </x:c>
      <x:c r="I92" s="15" t="str">
        <x:v>Waterkloof Gas 10266</x:v>
      </x:c>
      <x:c r="J92" s="15" t="str">
        <x:v>eml_ALL_currentac__512781 (2).zip &gt; eml8currentac__512781.zip / FNB _-) R1273.00 paid from Current a_c..512781 @ Smartapp. Ref.Waterkloof Gas 10266. 27Dec 15_33.eml</x:v>
      </x:c>
    </x:row>
    <x:row r="93">
      <x:c r="A93" s="15" t="str">
        <x:v>Current a/c..512781</x:v>
      </x:c>
      <x:c r="B93" s="34" t="n">
        <x:v>46018.82986111111</x:v>
      </x:c>
      <x:c r="C93" s="15" t="str">
        <x:v>R5000.00 paid from Current a/c..512781 @ Gen Ph. Avail R12215. Ref.Gd Hoffman Wages. 27Dec 19:55</x:v>
      </x:c>
      <x:c r="D93" s="38" t="n">
        <x:v>0</x:v>
      </x:c>
      <x:c r="E93" s="38" t="n">
        <x:v>5000</x:v>
      </x:c>
      <x:c r="F93" s="38" t="n">
        <x:v>0</x:v>
      </x:c>
      <x:c r="G93" s="38" t="n">
        <x:v>12215</x:v>
      </x:c>
      <x:c r="H93" s="15" t="str">
        <x:v>Salary / wages</x:v>
      </x:c>
      <x:c r="I93" s="15" t="str">
        <x:v>Gd Hoffman Wages</x:v>
      </x:c>
      <x:c r="J93" s="15" t="str">
        <x:v>eml_ALL_currentac__512781 (2).zip &gt; eml8currentac__512781.zip / FNB _-) R5000.00 paid from Current a_c..512781 @ Gen Ph. Ref.Gd Hoffman Wages. 27Dec 19_55.eml</x:v>
      </x:c>
    </x:row>
    <x:row r="94">
      <x:c r="A94" s="15" t="str">
        <x:v>Current a/c..512781</x:v>
      </x:c>
      <x:c r="B94" s="34" t="n">
        <x:v>46019.38888888889</x:v>
      </x:c>
      <x:c r="C94" s="15" t="str">
        <x:v>R750.00 paid from Current a/c..512781 @ Smartapp. Avail R11169. Ref.Phindi Wages. 28Dec 09:20</x:v>
      </x:c>
      <x:c r="D94" s="38" t="n">
        <x:v>0</x:v>
      </x:c>
      <x:c r="E94" s="38" t="n">
        <x:v>750</x:v>
      </x:c>
      <x:c r="F94" s="38" t="n">
        <x:v>0</x:v>
      </x:c>
      <x:c r="G94" s="38" t="n">
        <x:v>11169</x:v>
      </x:c>
      <x:c r="H94" s="15" t="str">
        <x:v>Salary / wages</x:v>
      </x:c>
      <x:c r="I94" s="15" t="str">
        <x:v>Phindi Wages</x:v>
      </x:c>
      <x:c r="J94" s="15" t="str">
        <x:v>eml_ALL_currentac__512781 (2).zip &gt; eml8currentac__512781.zip / FNB _-) R750.00 paid from Current a_c..512781 @ Smartapp. Ref.Phindi Wages. 28Dec 09_20.eml</x:v>
      </x:c>
    </x:row>
    <x:row r="95">
      <x:c r="A95" s="15" t="str">
        <x:v>Current a/c..512781</x:v>
      </x:c>
      <x:c r="B95" s="34" t="n">
        <x:v>46019.52222222222</x:v>
      </x:c>
      <x:c r="C95" s="15" t="str">
        <x:v>Payment Link created from Current a/c..512781 To Lynne Warner..201049 @ Smartapp. 28Dec 12:32 Call 087 575 9404 for help.</x:v>
      </x:c>
      <x:c r="D95" s="38" t="n">
        <x:v>0</x:v>
      </x:c>
      <x:c r="E95" s="38" t="n">
        <x:v>0</x:v>
      </x:c>
      <x:c r="F95" s="38" t="n">
        <x:v>0</x:v>
      </x:c>
      <x:c r="G95" s="38"/>
      <x:c r="H95" s="15" t="str">
        <x:v>Other</x:v>
      </x:c>
      <x:c r="I95" s="15" t="str">
        <x:v>Lynne Warner..201049</x:v>
      </x:c>
      <x:c r="J95" s="15" t="str">
        <x:v>eml_ALL_currentac__512781 (2).zip &gt; eml8currentac__512781.zip / FNB _-) Payment Link created from Current a_c..512781 To Lynne Warner..201049 @ Smartapp. 28Dec 12_32 Call 087 575 9404  for help..eml</x:v>
      </x:c>
    </x:row>
    <x:row r="96">
      <x:c r="A96" s="15" t="str">
        <x:v>Current a/c..512781</x:v>
      </x:c>
      <x:c r="B96" s="34" t="n">
        <x:v>46019.52291666667</x:v>
      </x:c>
      <x:c r="C96" s="15" t="str">
        <x:v>R857.18 paid from Current a/c..512781 @ Smartapp. Avail R10304. Ref.Asbe - Comm. 28Dec 12:33</x:v>
      </x:c>
      <x:c r="D96" s="38" t="n">
        <x:v>0</x:v>
      </x:c>
      <x:c r="E96" s="38" t="n">
        <x:v>857.18</x:v>
      </x:c>
      <x:c r="F96" s="38" t="n">
        <x:v>0</x:v>
      </x:c>
      <x:c r="G96" s="38" t="n">
        <x:v>10304</x:v>
      </x:c>
      <x:c r="H96" s="15" t="str">
        <x:v>Supplier payments</x:v>
      </x:c>
      <x:c r="I96" s="15" t="str">
        <x:v>Asbe - Comm</x:v>
      </x:c>
      <x:c r="J96" s="15" t="str">
        <x:v>eml_ALL_currentac__512781 (2).zip &gt; eml8currentac__512781.zip / FNB _-) R857.18 paid from Current a_c..512781 @ Smartapp. Ref.Asbe - Comm. 28Dec 12_33.eml</x:v>
      </x:c>
    </x:row>
    <x:row r="97">
      <x:c r="A97" s="15" t="str">
        <x:v>Current a/c..512781</x:v>
      </x:c>
      <x:c r="B97" s="34" t="n">
        <x:v>46021.44236111111</x:v>
      </x:c>
      <x:c r="C97" s="15" t="str">
        <x:v>R17245.52 paid to Current a/c..512781 @ Retail Forex. Ref.R025hthth0 Booking.c. 30Dec 10:37</x:v>
      </x:c>
      <x:c r="D97" s="38" t="n">
        <x:v>17245.52</x:v>
      </x:c>
      <x:c r="E97" s="38" t="n">
        <x:v>0</x:v>
      </x:c>
      <x:c r="F97" s="38" t="n">
        <x:v>0</x:v>
      </x:c>
      <x:c r="G97" s="38"/>
      <x:c r="H97" s="15" t="str">
        <x:v>Sales / customer receipts</x:v>
      </x:c>
      <x:c r="I97" s="15" t="str">
        <x:v>R025hthth0 Booking.c</x:v>
      </x:c>
      <x:c r="J97" s="15" t="str">
        <x:v>eml_ALL_currentac__512781 (2).zip &gt; eml8currentac__512781.zip / FNB _-) R17245.52 paid to Current a_c..512781 @ Retail Forex. Ref.R025hthth0 Booking.c. 30Dec 10_37.eml</x:v>
      </x:c>
    </x:row>
    <x:row r="98">
      <x:c r="A98" s="15" t="str">
        <x:v>Current a/c..512781</x:v>
      </x:c>
      <x:c r="B98" s="34" t="n">
        <x:v>46021.444444444445</x:v>
      </x:c>
      <x:c r="C98" s="15" t="str">
        <x:v>R13095.00 paid from Current a/c..512781 @ Gen Ph. Avail R13999. Ref.Kruger Safari 1673. 30Dec 10:40</x:v>
      </x:c>
      <x:c r="D98" s="38" t="n">
        <x:v>0</x:v>
      </x:c>
      <x:c r="E98" s="38" t="n">
        <x:v>13095</x:v>
      </x:c>
      <x:c r="F98" s="38" t="n">
        <x:v>0</x:v>
      </x:c>
      <x:c r="G98" s="38" t="n">
        <x:v>13999</x:v>
      </x:c>
      <x:c r="H98" s="15" t="str">
        <x:v>Supplier payments</x:v>
      </x:c>
      <x:c r="I98" s="15" t="str">
        <x:v>Kruger Safari 1673</x:v>
      </x:c>
      <x:c r="J98" s="15" t="str">
        <x:v>eml_ALL_currentac__512781 (2).zip &gt; eml8currentac__512781.zip / FNB _-) R13095.00 paid from Current a_c..512781 @ Gen Ph. Ref.Kruger Safari 1673. 30Dec 10_40.eml</x:v>
      </x:c>
    </x:row>
    <x:row r="99">
      <x:c r="A99" s="15" t="str">
        <x:v>Current a/c..512781</x:v>
      </x:c>
      <x:c r="B99" s="34" t="n">
        <x:v>46022.48611111111</x:v>
      </x:c>
      <x:c r="C99" s="15" t="str">
        <x:v>R4250.00 paid from Current a/c..512781 @ Gen Ph. Avail R5550. Ref.Phindi Salary Dec. 31Dec 11:40</x:v>
      </x:c>
      <x:c r="D99" s="38" t="n">
        <x:v>0</x:v>
      </x:c>
      <x:c r="E99" s="38" t="n">
        <x:v>4250</x:v>
      </x:c>
      <x:c r="F99" s="38" t="n">
        <x:v>0</x:v>
      </x:c>
      <x:c r="G99" s="38" t="n">
        <x:v>5550</x:v>
      </x:c>
      <x:c r="H99" s="15" t="str">
        <x:v>Salary / wages</x:v>
      </x:c>
      <x:c r="I99" s="15" t="str">
        <x:v>Phindi Salary Dec</x:v>
      </x:c>
      <x:c r="J99" s="15" t="str">
        <x:v>eml_ALL_currentac__512781 (2).zip &gt; eml8currentac__512781.zip / FNB _-) R4250.00 paid from Current a_c..512781 @ Gen Ph. Ref.Phindi Salary Dec. 31Dec 11_40.eml</x:v>
      </x:c>
    </x:row>
    <x:row r="100">
      <x:c r="A100" s="15" t="str">
        <x:v>Current a/c..512781</x:v>
      </x:c>
      <x:c r="B100" s="34" t="n">
        <x:v>46022.57847222222</x:v>
      </x:c>
      <x:c r="C100" s="15" t="str">
        <x:v>R1794.86 paid to Current a/c..512781 @ Payshap. Ref.Ik Pay 487882. 31Dec 13:53</x:v>
      </x:c>
      <x:c r="D100" s="38" t="n">
        <x:v>1794.86</x:v>
      </x:c>
      <x:c r="E100" s="38" t="n">
        <x:v>0</x:v>
      </x:c>
      <x:c r="F100" s="38" t="n">
        <x:v>0</x:v>
      </x:c>
      <x:c r="G100" s="38"/>
      <x:c r="H100" s="15" t="str">
        <x:v>Sales / customer receipts</x:v>
      </x:c>
      <x:c r="I100" s="15" t="str">
        <x:v>Ik Pay 487882</x:v>
      </x:c>
      <x:c r="J100" s="15" t="str">
        <x:v>eml_ALL_currentac__512781 (2).zip &gt; eml8currentac__512781.zip / FNB _-) R1794.86 paid to Current a_c..512781 @ Payshap. Ref.Ik Pay 487882. 31Dec 13_53.eml</x:v>
      </x:c>
    </x:row>
    <x:row r="101">
      <x:c r="A101" s="15" t="str">
        <x:v>Current a/c..512781</x:v>
      </x:c>
      <x:c r="B101" s="34" t="n">
        <x:v>46024.57916666667</x:v>
      </x:c>
      <x:c r="C101" s="15" t="str">
        <x:v>R1890.19 paid to Current a/c..512781 @ Payshap. Ref.Ik Pay 487882. 2Jan 13:54</x:v>
      </x:c>
      <x:c r="D101" s="38" t="n">
        <x:v>1890.19</x:v>
      </x:c>
      <x:c r="E101" s="38" t="n">
        <x:v>0</x:v>
      </x:c>
      <x:c r="F101" s="38" t="n">
        <x:v>0</x:v>
      </x:c>
      <x:c r="G101" s="38"/>
      <x:c r="H101" s="15" t="str">
        <x:v>Sales / customer receipts</x:v>
      </x:c>
      <x:c r="I101" s="15" t="str">
        <x:v>Ik Pay 487882</x:v>
      </x:c>
      <x:c r="J101" s="15" t="str">
        <x:v>eml_ALL_currentac__512781 (2).zip &gt; eml8currentac__512781.zip / FNB _-) R1890.19 paid to Current a_c..512781 @ Payshap. Ref.Ik Pay 487882.  2Jan 13_54.eml</x:v>
      </x:c>
    </x:row>
    <x:row r="102">
      <x:c r="A102" s="15" t="str">
        <x:v>Current a/c..512781</x:v>
      </x:c>
      <x:c r="B102" s="34" t="n">
        <x:v>46025.44027777778</x:v>
      </x:c>
      <x:c r="C102" s="15" t="str">
        <x:v>R1624.82 paid to Current a/c..512781 @ Payshap. Ref.Ik Pay 487882. 3Jan 10:34</x:v>
      </x:c>
      <x:c r="D102" s="38" t="n">
        <x:v>1624.82</x:v>
      </x:c>
      <x:c r="E102" s="38" t="n">
        <x:v>0</x:v>
      </x:c>
      <x:c r="F102" s="38" t="n">
        <x:v>0</x:v>
      </x:c>
      <x:c r="G102" s="38"/>
      <x:c r="H102" s="15" t="str">
        <x:v>Sales / customer receipts</x:v>
      </x:c>
      <x:c r="I102" s="15" t="str">
        <x:v>Ik Pay 487882</x:v>
      </x:c>
      <x:c r="J102" s="15" t="str">
        <x:v>eml_ALL_currentac__512781 (2).zip &gt; eml8currentac__512781.zip / FNB _-) R1624.82 paid to Current a_c..512781 @ Payshap. Ref.Ik Pay 487882.  3Jan 10_34.eml</x:v>
      </x:c>
    </x:row>
    <x:row r="103">
      <x:c r="A103" s="15" t="str">
        <x:v>Current a/c..512781</x:v>
      </x:c>
      <x:c r="B103" s="34" t="n">
        <x:v>46025.73541666667</x:v>
      </x:c>
      <x:c r="C103" s="15" t="str">
        <x:v>Payment Link created from Current a/c..512781 To Annemarie Hoffman..829416 @ Smartapp. 3Jan 17:39 Call 087 575 9404 for help.</x:v>
      </x:c>
      <x:c r="D103" s="38" t="n">
        <x:v>0</x:v>
      </x:c>
      <x:c r="E103" s="38" t="n">
        <x:v>0</x:v>
      </x:c>
      <x:c r="F103" s="38" t="n">
        <x:v>0</x:v>
      </x:c>
      <x:c r="G103" s="38"/>
      <x:c r="H103" s="15" t="str">
        <x:v>Other</x:v>
      </x:c>
      <x:c r="I103" s="15" t="str">
        <x:v>Annemarie Hoffman..829416</x:v>
      </x:c>
      <x:c r="J103" s="15" t="str">
        <x:v>eml_ALL_currentac__512781 (2).zip &gt; eml8currentac__512781.zip / FNB _-) Payment Link created from Current a_c..512781 To Annemarie Hoffman..829416 @ Smartapp.  3Jan 17_39 Call 087 575 9404  for help..eml</x:v>
      </x:c>
    </x:row>
    <x:row r="104">
      <x:c r="A104" s="15" t="str">
        <x:v>Current a/c..512781</x:v>
      </x:c>
      <x:c r="B104" s="34" t="n">
        <x:v>46025.74097222222</x:v>
      </x:c>
      <x:c r="C104" s="15" t="str">
        <x:v>R5000.00 paid from Current a/c..512781 @ Smartapp. Avail R1353. Ref.Staff Nason. 3Jan 17:47</x:v>
      </x:c>
      <x:c r="D104" s="38" t="n">
        <x:v>0</x:v>
      </x:c>
      <x:c r="E104" s="38" t="n">
        <x:v>5000</x:v>
      </x:c>
      <x:c r="F104" s="38" t="n">
        <x:v>0</x:v>
      </x:c>
      <x:c r="G104" s="38" t="n">
        <x:v>1353</x:v>
      </x:c>
      <x:c r="H104" s="15" t="str">
        <x:v>Salary / wages</x:v>
      </x:c>
      <x:c r="I104" s="15" t="str">
        <x:v>Staff Nason</x:v>
      </x:c>
      <x:c r="J104" s="15" t="str">
        <x:v>eml_ALL_currentac__512781 (2).zip &gt; eml8currentac__512781.zip / FNB _-) R5000.00 paid from Current a_c..512781 @ Smartapp. Ref.Staff Nason.  3Jan 17_47.eml</x:v>
      </x:c>
    </x:row>
    <x:row r="105">
      <x:c r="A105" s="15" t="str">
        <x:v>Current a/c..512781</x:v>
      </x:c>
      <x:c r="B105" s="34" t="n">
        <x:v>46026.41458333333</x:v>
      </x:c>
      <x:c r="C105" s="15" t="str">
        <x:v>R5000.00 paid from Current a/c..512781 @ Gen Ph. Avail R1288. Ref.Am Hoffman Wages. 4Jan 09:57</x:v>
      </x:c>
      <x:c r="D105" s="38" t="n">
        <x:v>0</x:v>
      </x:c>
      <x:c r="E105" s="38" t="n">
        <x:v>5000</x:v>
      </x:c>
      <x:c r="F105" s="38" t="n">
        <x:v>0</x:v>
      </x:c>
      <x:c r="G105" s="38" t="n">
        <x:v>1288</x:v>
      </x:c>
      <x:c r="H105" s="15" t="str">
        <x:v>Salary / wages</x:v>
      </x:c>
      <x:c r="I105" s="15" t="str">
        <x:v>Am Hoffman Wages</x:v>
      </x:c>
      <x:c r="J105" s="15" t="str">
        <x:v>eml_ALL_currentac__512781 (2).zip &gt; eml8currentac__512781.zip / FNB _-) R5000.00 paid from Current a_c..512781 @ Gen Ph. Ref.Am Hoffman Wages.  4Jan 09_57.eml</x:v>
      </x:c>
    </x:row>
    <x:row r="106">
      <x:c r="A106" s="15" t="str">
        <x:v>Current a/c..512781</x:v>
      </x:c>
      <x:c r="B106" s="34" t="n">
        <x:v>46027.388194444444</x:v>
      </x:c>
      <x:c r="C106" s="15" t="str">
        <x:v>R325.00 paid from Current a/c..512781 @ Smartapp. Avail R332. Ref.Waterkloof Gas 10355. 5Jan 09:19</x:v>
      </x:c>
      <x:c r="D106" s="38" t="n">
        <x:v>0</x:v>
      </x:c>
      <x:c r="E106" s="38" t="n">
        <x:v>325</x:v>
      </x:c>
      <x:c r="F106" s="38" t="n">
        <x:v>0</x:v>
      </x:c>
      <x:c r="G106" s="38" t="n">
        <x:v>332</x:v>
      </x:c>
      <x:c r="H106" s="15" t="str">
        <x:v>Supplier payments</x:v>
      </x:c>
      <x:c r="I106" s="15" t="str">
        <x:v>Waterkloof Gas 10355</x:v>
      </x:c>
      <x:c r="J106" s="15" t="str">
        <x:v>eml_ALL_currentac__512781 (2).zip &gt; eml8currentac__512781.zip / FNB _-) R325.00 paid from Current a_c..512781 @ Smartapp. Ref.Waterkloof Gas 10355.  5Jan 09_19.eml</x:v>
      </x:c>
    </x:row>
    <x:row r="107">
      <x:c r="A107" s="15" t="str">
        <x:v>Current a/c..512781</x:v>
      </x:c>
      <x:c r="B107" s="34" t="n">
        <x:v>46027.518055555556</x:v>
      </x:c>
      <x:c r="C107" s="15" t="str">
        <x:v>R18851.23 paid to Current a/c..512781 @ Retail Forex. Ref.R026zvfqh0 Booking.c. 5Jan 12:26</x:v>
      </x:c>
      <x:c r="D107" s="38" t="n">
        <x:v>18851.23</x:v>
      </x:c>
      <x:c r="E107" s="38" t="n">
        <x:v>0</x:v>
      </x:c>
      <x:c r="F107" s="38" t="n">
        <x:v>0</x:v>
      </x:c>
      <x:c r="G107" s="38"/>
      <x:c r="H107" s="15" t="str">
        <x:v>Sales / customer receipts</x:v>
      </x:c>
      <x:c r="I107" s="15" t="str">
        <x:v>R026zvfqh0 Booking.c</x:v>
      </x:c>
      <x:c r="J107" s="15" t="str">
        <x:v>eml_ALL_currentac__512781 (2).zip &gt; eml8currentac__512781.zip / FNB _-) R18851.23 paid to Current a_c..512781 @ Retail Forex. Ref.R026zvfqh0 Booking.c.  5Jan 12_26.eml</x:v>
      </x:c>
    </x:row>
    <x:row r="108">
      <x:c r="A108" s="15" t="str">
        <x:v>Current a/c..512781</x:v>
      </x:c>
      <x:c r="B108" s="34" t="n">
        <x:v>46028.38263888889</x:v>
      </x:c>
      <x:c r="C108" s="15" t="str">
        <x:v>R500.00 paid from Current a/c..512781 @ Smartapp. Avail R15867. Ref.Electricity 04294887. 6Jan 09:11</x:v>
      </x:c>
      <x:c r="D108" s="38" t="n">
        <x:v>0</x:v>
      </x:c>
      <x:c r="E108" s="38" t="n">
        <x:v>500</x:v>
      </x:c>
      <x:c r="F108" s="38" t="n">
        <x:v>0</x:v>
      </x:c>
      <x:c r="G108" s="38" t="n">
        <x:v>15867</x:v>
      </x:c>
      <x:c r="H108" s="15" t="str">
        <x:v>Telecom / utilities</x:v>
      </x:c>
      <x:c r="I108" s="15" t="str">
        <x:v>Electricity 04294887</x:v>
      </x:c>
      <x:c r="J108" s="15" t="str">
        <x:v>eml_ALL_currentac__512781 (2).zip &gt; eml8currentac__512781.zip / FNB _-) R500.00 paid from Current a_c..512781 @ Smartapp. Ref.Electricity 04294887.  6Jan 09_11.eml</x:v>
      </x:c>
    </x:row>
    <x:row r="109">
      <x:c r="A109" s="15" t="str">
        <x:v>Current a/c..512781</x:v>
      </x:c>
      <x:c r="B109" s="34" t="n">
        <x:v>46028.57708333333</x:v>
      </x:c>
      <x:c r="C109" s="15" t="str">
        <x:v>R2803.13 paid to Current a/c..512781 @ Payshap. Ref.Ik Pay 487882. 6Jan 13:51</x:v>
      </x:c>
      <x:c r="D109" s="38" t="n">
        <x:v>2803.13</x:v>
      </x:c>
      <x:c r="E109" s="38" t="n">
        <x:v>0</x:v>
      </x:c>
      <x:c r="F109" s="38" t="n">
        <x:v>0</x:v>
      </x:c>
      <x:c r="G109" s="38"/>
      <x:c r="H109" s="15" t="str">
        <x:v>Sales / customer receipts</x:v>
      </x:c>
      <x:c r="I109" s="15" t="str">
        <x:v>Ik Pay 487882</x:v>
      </x:c>
      <x:c r="J109" s="15" t="str">
        <x:v>eml_ALL_currentac__512781 (2).zip &gt; eml8currentac__512781.zip / FNB _-) R2803.13 paid to Current a_c..512781 @ Payshap. Ref.Ik Pay 487882.  6Jan 13_51.eml</x:v>
      </x:c>
    </x:row>
    <x:row r="110">
      <x:c r="A110" s="15" t="str">
        <x:v>Current a/c..512781</x:v>
      </x:c>
      <x:c r="B110" s="34" t="n">
        <x:v>46028.77638888889</x:v>
      </x:c>
      <x:c r="C110" s="15" t="str">
        <x:v>R500.00 paid from Current a/c..512781 @ Smartapp. Avail R17927. Ref.Kpci - C1736. 6Jan 18:38</x:v>
      </x:c>
      <x:c r="D110" s="38" t="n">
        <x:v>0</x:v>
      </x:c>
      <x:c r="E110" s="38" t="n">
        <x:v>500</x:v>
      </x:c>
      <x:c r="F110" s="38" t="n">
        <x:v>0</x:v>
      </x:c>
      <x:c r="G110" s="38" t="n">
        <x:v>17927</x:v>
      </x:c>
      <x:c r="H110" s="15" t="str">
        <x:v>Supplier payments</x:v>
      </x:c>
      <x:c r="I110" s="15" t="str">
        <x:v>Kpci - C1736</x:v>
      </x:c>
      <x:c r="J110" s="15" t="str">
        <x:v>eml_ALL_currentac__512781 (2).zip &gt; eml8currentac__512781.zip / FNB _-) R500.00 paid from Current a_c..512781 @ Smartapp. Ref.Kpci - C1736.  6Jan 18_38.eml</x:v>
      </x:c>
    </x:row>
    <x:row r="111">
      <x:c r="A111" s="15" t="str">
        <x:v>Current a/c..512781</x:v>
      </x:c>
      <x:c r="B111" s="34" t="n">
        <x:v>46028.77777777778</x:v>
      </x:c>
      <x:c r="C111" s="15" t="str">
        <x:v>R300.00 paid from Current a/c..512781 @ Smartapp. Avail R17619. Ref.Deon"s Diy 4377. 6Jan 18:40</x:v>
      </x:c>
      <x:c r="D111" s="38" t="n">
        <x:v>0</x:v>
      </x:c>
      <x:c r="E111" s="38" t="n">
        <x:v>300</x:v>
      </x:c>
      <x:c r="F111" s="38" t="n">
        <x:v>0</x:v>
      </x:c>
      <x:c r="G111" s="38" t="n">
        <x:v>17619</x:v>
      </x:c>
      <x:c r="H111" s="15" t="str">
        <x:v>Supplier payments</x:v>
      </x:c>
      <x:c r="I111" s="15" t="str">
        <x:v>Deon"s Diy 4377</x:v>
      </x:c>
      <x:c r="J111" s="15" t="str">
        <x:v>eml_ALL_currentac__512781 (2).zip &gt; eml8currentac__512781.zip / FNB _-) R300.00 paid from Current a_c..512781 @ Smartapp. Ref.Deon_s Diy 4377.  6Jan 18_40.eml</x:v>
      </x:c>
    </x:row>
    <x:row r="112">
      <x:c r="A112" s="15" t="str">
        <x:v>Current a/c..512781</x:v>
      </x:c>
      <x:c r="B112" s="34" t="n">
        <x:v>46028.77916666667</x:v>
      </x:c>
      <x:c r="C112" s="15" t="str">
        <x:v>R2500.00 paid from Current a/c..512781 @ Smartapp. Avail R15116. Ref.Dreyer Salary. 6Jan 18:42</x:v>
      </x:c>
      <x:c r="D112" s="38" t="n">
        <x:v>0</x:v>
      </x:c>
      <x:c r="E112" s="38" t="n">
        <x:v>2500</x:v>
      </x:c>
      <x:c r="F112" s="38" t="n">
        <x:v>0</x:v>
      </x:c>
      <x:c r="G112" s="38" t="n">
        <x:v>15116</x:v>
      </x:c>
      <x:c r="H112" s="15" t="str">
        <x:v>Salary / wages</x:v>
      </x:c>
      <x:c r="I112" s="15" t="str">
        <x:v>Dreyer Salary</x:v>
      </x:c>
      <x:c r="J112" s="15" t="str">
        <x:v>eml_ALL_currentac__512781 (2).zip &gt; eml8currentac__512781.zip / FNB _-) R2500.00 paid from Current a_c..512781 @ Smartapp. Ref.Dreyer Salary.  6Jan 18_42.eml</x:v>
      </x:c>
    </x:row>
    <x:row r="113">
      <x:c r="A113" s="15" t="str">
        <x:v>Current a/c..512781</x:v>
      </x:c>
      <x:c r="B113" s="34" t="n">
        <x:v>46029.65</x:v>
      </x:c>
      <x:c r="C113" s="15" t="str">
        <x:v>R912.35 paid from Current a/c..512781 @ Smartapp. Avail R13747. Ref.Bon Express 1/07/26. 7Jan 15:36</x:v>
      </x:c>
      <x:c r="D113" s="38" t="n">
        <x:v>0</x:v>
      </x:c>
      <x:c r="E113" s="38" t="n">
        <x:v>912.35</x:v>
      </x:c>
      <x:c r="F113" s="38" t="n">
        <x:v>0</x:v>
      </x:c>
      <x:c r="G113" s="38" t="n">
        <x:v>13747</x:v>
      </x:c>
      <x:c r="H113" s="15" t="str">
        <x:v>Supplier payments</x:v>
      </x:c>
      <x:c r="I113" s="15" t="str">
        <x:v>Bon Express 1/07/26</x:v>
      </x:c>
      <x:c r="J113" s="15" t="str">
        <x:v>eml_ALL_currentac__512781 (2).zip &gt; eml8currentac__512781.zip / FNB _-) R912.35 paid from Current a_c..512781 @ Smartapp. Ref.Bon Express 1_07_26.  7Jan 15_36.eml</x:v>
      </x:c>
    </x:row>
    <x:row r="114">
      <x:c r="A114" s="15" t="str">
        <x:v>Current a/c..512781</x:v>
      </x:c>
      <x:c r="B114" s="34" t="n">
        <x:v>46030.57708333333</x:v>
      </x:c>
      <x:c r="C114" s="15" t="str">
        <x:v>R15045.67 paid to Current a/c..512781 @ Payshap. Ref.Ik Pay 487882. 8Jan 13:51</x:v>
      </x:c>
      <x:c r="D114" s="38" t="n">
        <x:v>15045.67</x:v>
      </x:c>
      <x:c r="E114" s="38" t="n">
        <x:v>0</x:v>
      </x:c>
      <x:c r="F114" s="38" t="n">
        <x:v>0</x:v>
      </x:c>
      <x:c r="G114" s="38"/>
      <x:c r="H114" s="15" t="str">
        <x:v>Sales / customer receipts</x:v>
      </x:c>
      <x:c r="I114" s="15" t="str">
        <x:v>Ik Pay 487882</x:v>
      </x:c>
      <x:c r="J114" s="15" t="str">
        <x:v>eml_ALL_currentac__512781 (2).zip &gt; eml8currentac__512781.zip / FNB _-) R15045.67 paid to Current a_c..512781 @ Payshap. Ref.Ik Pay 487882.  8Jan 13_51.eml</x:v>
      </x:c>
    </x:row>
    <x:row r="115">
      <x:c r="A115" s="15" t="str">
        <x:v>Current a/c..512781</x:v>
      </x:c>
      <x:c r="B115" s="34" t="n">
        <x:v>46030.60972222222</x:v>
      </x:c>
      <x:c r="C115" s="15" t="str">
        <x:v>R3000.00 paid from Current a/c..512781 @ Smartapp. Avail R25674. Ref.Dreyer Ticket Jhb. 8Jan 14:38</x:v>
      </x:c>
      <x:c r="D115" s="38" t="n">
        <x:v>0</x:v>
      </x:c>
      <x:c r="E115" s="38" t="n">
        <x:v>3000</x:v>
      </x:c>
      <x:c r="F115" s="38" t="n">
        <x:v>0</x:v>
      </x:c>
      <x:c r="G115" s="38" t="n">
        <x:v>25674</x:v>
      </x:c>
      <x:c r="H115" s="15" t="str">
        <x:v>Supplier payments</x:v>
      </x:c>
      <x:c r="I115" s="15" t="str">
        <x:v>Dreyer Ticket Jhb</x:v>
      </x:c>
      <x:c r="J115" s="15" t="str">
        <x:v>eml_ALL_currentac__512781 (2).zip &gt; eml8currentac__512781.zip / FNB _-) R3000.00 paid from Current a_c..512781 @ Smartapp. Ref.Dreyer Ticket Jhb.  8Jan 14_38.eml</x:v>
      </x:c>
    </x:row>
    <x:row r="116">
      <x:c r="A116" s="15" t="str">
        <x:v>Current a/c..512781</x:v>
      </x:c>
      <x:c r="B116" s="34" t="n">
        <x:v>46030.625</x:v>
      </x:c>
      <x:c r="C116" s="15" t="str">
        <x:v>R2904.00 paid from Current a/c..512781 @ Smartapp. Avail R22767. Ref.Kruger Safari 1675. 8Jan 15:00</x:v>
      </x:c>
      <x:c r="D116" s="38" t="n">
        <x:v>0</x:v>
      </x:c>
      <x:c r="E116" s="38" t="n">
        <x:v>2904</x:v>
      </x:c>
      <x:c r="F116" s="38" t="n">
        <x:v>0</x:v>
      </x:c>
      <x:c r="G116" s="38" t="n">
        <x:v>22767</x:v>
      </x:c>
      <x:c r="H116" s="15" t="str">
        <x:v>Supplier payments</x:v>
      </x:c>
      <x:c r="I116" s="15" t="str">
        <x:v>Kruger Safari 1675</x:v>
      </x:c>
      <x:c r="J116" s="15" t="str">
        <x:v>eml_ALL_currentac__512781 (2).zip &gt; eml8currentac__512781.zip / FNB _-) R2904.00 paid from Current a_c..512781 @ Smartapp. Ref.Kruger Safari 1675.  8Jan 15_00.eml</x:v>
      </x:c>
    </x:row>
    <x:row r="117">
      <x:c r="A117" s="15" t="str">
        <x:v>Current a/c..512781</x:v>
      </x:c>
      <x:c r="B117" s="34" t="n">
        <x:v>46030.626388888886</x:v>
      </x:c>
      <x:c r="C117" s="15" t="str">
        <x:v>R2904.00 paid from Current a/c..512781 @ Smartapp. Avail R19855. Ref.Kruger Safari 1674. 8Jan 15:02</x:v>
      </x:c>
      <x:c r="D117" s="38" t="n">
        <x:v>0</x:v>
      </x:c>
      <x:c r="E117" s="38" t="n">
        <x:v>2904</x:v>
      </x:c>
      <x:c r="F117" s="38" t="n">
        <x:v>0</x:v>
      </x:c>
      <x:c r="G117" s="38" t="n">
        <x:v>19855</x:v>
      </x:c>
      <x:c r="H117" s="15" t="str">
        <x:v>Supplier payments</x:v>
      </x:c>
      <x:c r="I117" s="15" t="str">
        <x:v>Kruger Safari 1674</x:v>
      </x:c>
      <x:c r="J117" s="15" t="str">
        <x:v>eml_ALL_currentac__512781 (2).zip &gt; eml8currentac__512781.zip / FNB _-) R2904.00 paid from Current a_c..512781 @ Smartapp. Ref.Kruger Safari 1674.  8Jan 15_02.eml</x:v>
      </x:c>
    </x:row>
    <x:row r="118">
      <x:c r="A118" s="15" t="str">
        <x:v>Current a/c..512781</x:v>
      </x:c>
      <x:c r="B118" s="34" t="n">
        <x:v>46030.740277777775</x:v>
      </x:c>
      <x:c r="C118" s="15" t="str">
        <x:v>R7000.00 paid from Current a/c..512781 @ Smartapp. Avail R12509. Ref.Salary Nason Dec. 8Jan 17:46</x:v>
      </x:c>
      <x:c r="D118" s="38" t="n">
        <x:v>0</x:v>
      </x:c>
      <x:c r="E118" s="38" t="n">
        <x:v>7000</x:v>
      </x:c>
      <x:c r="F118" s="38" t="n">
        <x:v>0</x:v>
      </x:c>
      <x:c r="G118" s="38" t="n">
        <x:v>12509</x:v>
      </x:c>
      <x:c r="H118" s="15" t="str">
        <x:v>Salary / wages</x:v>
      </x:c>
      <x:c r="I118" s="15" t="str">
        <x:v>Salary Nason Dec</x:v>
      </x:c>
      <x:c r="J118" s="15" t="str">
        <x:v>eml_ALL_currentac__512781 (2).zip &gt; eml8currentac__512781.zip / FNB _-) R7000.00 paid from Current a_c..512781 @ Smartapp. Ref.Salary Nason Dec.  8Jan 17_46.eml</x:v>
      </x:c>
    </x:row>
    <x:row r="119">
      <x:c r="A119" s="15" t="str">
        <x:v>Current a/c..512781</x:v>
      </x:c>
      <x:c r="B119" s="34" t="n">
        <x:v>46031.36736111111</x:v>
      </x:c>
      <x:c r="C119" s="15" t="str">
        <x:v>R240.20 paid from Current a/c..512781 @ Smartapp. Avail R12239. Ref.Oasis Water 8830. 9Jan 08:49</x:v>
      </x:c>
      <x:c r="D119" s="38" t="n">
        <x:v>0</x:v>
      </x:c>
      <x:c r="E119" s="38" t="n">
        <x:v>240.2</x:v>
      </x:c>
      <x:c r="F119" s="38" t="n">
        <x:v>0</x:v>
      </x:c>
      <x:c r="G119" s="38" t="n">
        <x:v>12239</x:v>
      </x:c>
      <x:c r="H119" s="15" t="str">
        <x:v>Supplier payments</x:v>
      </x:c>
      <x:c r="I119" s="15" t="str">
        <x:v>Oasis Water 8830</x:v>
      </x:c>
      <x:c r="J119" s="15" t="str">
        <x:v>eml_ALL_currentac__512781 (2).zip &gt; eml8currentac__512781.zip / FNB _-) R240.20 paid from Current a_c..512781 @ Smartapp. Ref.Oasis Water 8830.  9Jan 08_49.eml</x:v>
      </x:c>
    </x:row>
    <x:row r="120">
      <x:c r="A120" s="15" t="str">
        <x:v>Current a/c..512781</x:v>
      </x:c>
      <x:c r="B120" s="34" t="n">
        <x:v>46031.46111111111</x:v>
      </x:c>
      <x:c r="C120" s="15" t="str">
        <x:v>R33960.52 paid to Current a/c..512781 @ Retail Forex. Ref.R026znlj30 Booking.c. 9Jan 11:04</x:v>
      </x:c>
      <x:c r="D120" s="38" t="n">
        <x:v>33960.52</x:v>
      </x:c>
      <x:c r="E120" s="38" t="n">
        <x:v>0</x:v>
      </x:c>
      <x:c r="F120" s="38" t="n">
        <x:v>0</x:v>
      </x:c>
      <x:c r="G120" s="38"/>
      <x:c r="H120" s="15" t="str">
        <x:v>Sales / customer receipts</x:v>
      </x:c>
      <x:c r="I120" s="15" t="str">
        <x:v>R026znlj30 Booking.c</x:v>
      </x:c>
      <x:c r="J120" s="15" t="str">
        <x:v>eml_ALL_currentac__512781 (2).zip &gt; eml8currentac__512781.zip / FNB _-) R33960.52 paid to Current a_c..512781 @ Retail Forex. Ref.R026znlj30 Booking.c.  9Jan 11_04.eml</x:v>
      </x:c>
    </x:row>
    <x:row r="121">
      <x:c r="A121" s="15" t="str">
        <x:v>Current a/c..512781</x:v>
      </x:c>
      <x:c r="B121" s="34" t="n">
        <x:v>46031.572916666664</x:v>
      </x:c>
      <x:c r="C121" s="15" t="str">
        <x:v>R1174.79 paid to Current a/c..512781 @ Payshap. Ref.Ik Pay 487882. 9Jan 13:45</x:v>
      </x:c>
      <x:c r="D121" s="38" t="n">
        <x:v>1174.79</x:v>
      </x:c>
      <x:c r="E121" s="38" t="n">
        <x:v>0</x:v>
      </x:c>
      <x:c r="F121" s="38" t="n">
        <x:v>0</x:v>
      </x:c>
      <x:c r="G121" s="38"/>
      <x:c r="H121" s="15" t="str">
        <x:v>Sales / customer receipts</x:v>
      </x:c>
      <x:c r="I121" s="15" t="str">
        <x:v>Ik Pay 487882</x:v>
      </x:c>
      <x:c r="J121" s="15" t="str">
        <x:v>eml_ALL_currentac__512781 (2).zip &gt; eml8currentac__512781.zip / FNB _-) R1174.79 paid to Current a_c..512781 @ Payshap. Ref.Ik Pay 487882.  9Jan 13_45.eml</x:v>
      </x:c>
    </x:row>
    <x:row r="122">
      <x:c r="A122" s="15" t="str">
        <x:v>Current a/c..512781</x:v>
      </x:c>
      <x:c r="B122" s="34" t="n">
        <x:v>46031.697222222225</x:v>
      </x:c>
      <x:c r="C122" s="15" t="str">
        <x:v>R4740.00 paid from Current a/c..512781 @ Gen Ph. Avail R39061. Ref.Royal Bush 3617. 9Jan 16:44</x:v>
      </x:c>
      <x:c r="D122" s="38" t="n">
        <x:v>0</x:v>
      </x:c>
      <x:c r="E122" s="38" t="n">
        <x:v>4740</x:v>
      </x:c>
      <x:c r="F122" s="38" t="n">
        <x:v>0</x:v>
      </x:c>
      <x:c r="G122" s="38" t="n">
        <x:v>39061</x:v>
      </x:c>
      <x:c r="H122" s="15" t="str">
        <x:v>Supplier payments</x:v>
      </x:c>
      <x:c r="I122" s="15" t="str">
        <x:v>Royal Bush 3617</x:v>
      </x:c>
      <x:c r="J122" s="15" t="str">
        <x:v>eml_ALL_currentac__512781 (2).zip &gt; eml8currentac__512781.zip / FNB _-) R4740.00 paid from Current a_c..512781 @ Gen Ph. Ref.Royal Bush 3617.  9Jan 16_44.eml</x:v>
      </x:c>
    </x:row>
    <x:row r="123">
      <x:c r="A123" s="15" t="str">
        <x:v>Current a/c..512781</x:v>
      </x:c>
      <x:c r="B123" s="34" t="n">
        <x:v>46031.833333333336</x:v>
      </x:c>
      <x:c r="C123" s="15" t="str">
        <x:v>R4372.34 paid from Current a/c..512781 @ Smartapp. Avail R34681. Ref.Asbe - 002 Comm Jan. 9Jan 20:00</x:v>
      </x:c>
      <x:c r="D123" s="38" t="n">
        <x:v>0</x:v>
      </x:c>
      <x:c r="E123" s="38" t="n">
        <x:v>4372.34</x:v>
      </x:c>
      <x:c r="F123" s="38" t="n">
        <x:v>0</x:v>
      </x:c>
      <x:c r="G123" s="38" t="n">
        <x:v>34681</x:v>
      </x:c>
      <x:c r="H123" s="15" t="str">
        <x:v>Supplier payments</x:v>
      </x:c>
      <x:c r="I123" s="15" t="str">
        <x:v>Asbe - 002 Comm Jan</x:v>
      </x:c>
      <x:c r="J123" s="15" t="str">
        <x:v>eml_ALL_currentac__512781 (2).zip &gt; eml8currentac__512781.zip / FNB _-) R4372.34 paid from Current a_c..512781 @ Smartapp. Ref.Asbe - 002 Comm Jan.  9Jan 20_00.eml</x:v>
      </x:c>
    </x:row>
    <x:row r="124">
      <x:c r="A124" s="15" t="str">
        <x:v>Current a/c..512781</x:v>
      </x:c>
      <x:c r="B124" s="34" t="n">
        <x:v>46032.527083333334</x:v>
      </x:c>
      <x:c r="C124" s="15" t="str">
        <x:v>R500.00 paid from Current a/c..512781 @ Smartapp. Avail R34165. Ref.Electricity 04294887. 10Jan 12:39</x:v>
      </x:c>
      <x:c r="D124" s="38" t="n">
        <x:v>0</x:v>
      </x:c>
      <x:c r="E124" s="38" t="n">
        <x:v>500</x:v>
      </x:c>
      <x:c r="F124" s="38" t="n">
        <x:v>0</x:v>
      </x:c>
      <x:c r="G124" s="38" t="n">
        <x:v>34165</x:v>
      </x:c>
      <x:c r="H124" s="15" t="str">
        <x:v>Telecom / utilities</x:v>
      </x:c>
      <x:c r="I124" s="15" t="str">
        <x:v>Electricity 04294887</x:v>
      </x:c>
      <x:c r="J124" s="15" t="str">
        <x:v>eml_ALL_currentac__512781 (2).zip &gt; eml8currentac__512781.zip / FNB _-) R500.00 paid from Current a_c..512781 @ Smartapp. Ref.Electricity 04294887. 10Jan 12_39.eml</x:v>
      </x:c>
    </x:row>
    <x:row r="125">
      <x:c r="A125" s="15" t="str">
        <x:v>Current a/c..512781</x:v>
      </x:c>
      <x:c r="B125" s="34" t="n">
        <x:v>46032.529861111114</x:v>
      </x:c>
      <x:c r="C125" s="15" t="str">
        <x:v>R5408.00 paid from Current a/c..512781 @ Gen Ph. Avail R28742. Ref.Kruger Safari 1676. 10Jan 12:43</x:v>
      </x:c>
      <x:c r="D125" s="38" t="n">
        <x:v>0</x:v>
      </x:c>
      <x:c r="E125" s="38" t="n">
        <x:v>5408</x:v>
      </x:c>
      <x:c r="F125" s="38" t="n">
        <x:v>0</x:v>
      </x:c>
      <x:c r="G125" s="38" t="n">
        <x:v>28742</x:v>
      </x:c>
      <x:c r="H125" s="15" t="str">
        <x:v>Supplier payments</x:v>
      </x:c>
      <x:c r="I125" s="15" t="str">
        <x:v>Kruger Safari 1676</x:v>
      </x:c>
      <x:c r="J125" s="15" t="str">
        <x:v>eml_ALL_currentac__512781 (2).zip &gt; eml8currentac__512781.zip / FNB _-) R5408.00 paid from Current a_c..512781 @ Gen Ph. Ref.Kruger Safari 1676. 10Jan 12_43.eml</x:v>
      </x:c>
    </x:row>
    <x:row r="126">
      <x:c r="A126" s="15" t="str">
        <x:v>Current a/c..512781</x:v>
      </x:c>
      <x:c r="B126" s="34" t="n">
        <x:v>46033.56597222222</x:v>
      </x:c>
      <x:c r="C126" s="15" t="str">
        <x:v>R1000.00 paid from Current a/c..512781 @ Smartapp. Avail R26993. Ref.Dreyer Salary Portio. 11Jan 13:35</x:v>
      </x:c>
      <x:c r="D126" s="38" t="n">
        <x:v>0</x:v>
      </x:c>
      <x:c r="E126" s="38" t="n">
        <x:v>1000</x:v>
      </x:c>
      <x:c r="F126" s="38" t="n">
        <x:v>0</x:v>
      </x:c>
      <x:c r="G126" s="38" t="n">
        <x:v>26993</x:v>
      </x:c>
      <x:c r="H126" s="15" t="str">
        <x:v>Salary / wages</x:v>
      </x:c>
      <x:c r="I126" s="15" t="str">
        <x:v>Dreyer Salary Portio</x:v>
      </x:c>
      <x:c r="J126" s="15" t="str">
        <x:v>eml_ALL_currentac__512781 (2).zip &gt; eml8currentac__512781.zip / FNB _-) R1000.00 paid from Current a_c..512781 @ Smartapp. Ref.Dreyer Salary Portio. 11Jan 13_35.eml</x:v>
      </x:c>
    </x:row>
    <x:row r="127">
      <x:c r="A127" s="15" t="str">
        <x:v>Current a/c..512781</x:v>
      </x:c>
      <x:c r="B127" s="34" t="n">
        <x:v>46034.57638888889</x:v>
      </x:c>
      <x:c r="C127" s="15" t="str">
        <x:v>R20850.99 paid to Current a/c..512781 @ Payshap. Ref.Ik Pay 487882. 12Jan 13:50</x:v>
      </x:c>
      <x:c r="D127" s="38" t="n">
        <x:v>20850.99</x:v>
      </x:c>
      <x:c r="E127" s="38" t="n">
        <x:v>0</x:v>
      </x:c>
      <x:c r="F127" s="38" t="n">
        <x:v>0</x:v>
      </x:c>
      <x:c r="G127" s="38"/>
      <x:c r="H127" s="15" t="str">
        <x:v>Sales / customer receipts</x:v>
      </x:c>
      <x:c r="I127" s="15" t="str">
        <x:v>Ik Pay 487882</x:v>
      </x:c>
      <x:c r="J127" s="15" t="str">
        <x:v>eml_ALL_currentac__512781 (2).zip &gt; eml8currentac__512781.zip / FNB _-) R20850.99 paid to Current a_c..512781 @ Payshap. Ref.Ik Pay 487882. 12Jan 13_50.eml</x:v>
      </x:c>
    </x:row>
    <x:row r="128">
      <x:c r="A128" s="15" t="str">
        <x:v>Current a/c..512781</x:v>
      </x:c>
      <x:c r="B128" s="34" t="n">
        <x:v>46035.57638888889</x:v>
      </x:c>
      <x:c r="C128" s="15" t="str">
        <x:v>R2699.11 paid to Current a/c..512781 @ Payshap. Ref.Ik Pay 487882. 13Jan 13:50</x:v>
      </x:c>
      <x:c r="D128" s="38" t="n">
        <x:v>2699.11</x:v>
      </x:c>
      <x:c r="E128" s="38" t="n">
        <x:v>0</x:v>
      </x:c>
      <x:c r="F128" s="38" t="n">
        <x:v>0</x:v>
      </x:c>
      <x:c r="G128" s="38"/>
      <x:c r="H128" s="15" t="str">
        <x:v>Sales / customer receipts</x:v>
      </x:c>
      <x:c r="I128" s="15" t="str">
        <x:v>Ik Pay 487882</x:v>
      </x:c>
      <x:c r="J128" s="15" t="str">
        <x:v>eml_ALL_currentac__512781 (2).zip &gt; eml8currentac__512781.zip / FNB _-) R2699.11 paid to Current a_c..512781 @ Payshap. Ref.Ik Pay 487882. 13Jan 13_50.eml</x:v>
      </x:c>
    </x:row>
    <x:row r="129">
      <x:c r="A129" s="15" t="str">
        <x:v>Current a/c..512781</x:v>
      </x:c>
      <x:c r="B129" s="34" t="n">
        <x:v>46036.4625</x:v>
      </x:c>
      <x:c r="C129" s="15" t="str">
        <x:v>R1326.00 paid from Current a/c..512781 @ Smartapp. Avail R43907. Ref.Dinner Box 105110. 14Jan 11:06</x:v>
      </x:c>
      <x:c r="D129" s="38" t="n">
        <x:v>0</x:v>
      </x:c>
      <x:c r="E129" s="38" t="n">
        <x:v>1326</x:v>
      </x:c>
      <x:c r="F129" s="38" t="n">
        <x:v>0</x:v>
      </x:c>
      <x:c r="G129" s="38" t="n">
        <x:v>43907</x:v>
      </x:c>
      <x:c r="H129" s="15" t="str">
        <x:v>Meals / restaurants / entertainment</x:v>
      </x:c>
      <x:c r="I129" s="15" t="str">
        <x:v>Dinner Box 105110</x:v>
      </x:c>
      <x:c r="J129" s="15" t="str">
        <x:v>eml_ALL_currentac__512781 (2).zip &gt; eml8currentac__512781.zip / FNB _-) R1326.00 paid from Current a_c..512781 @ Smartapp. Ref.Dinner Box 105110. 14Jan 11_06.eml</x:v>
      </x:c>
    </x:row>
    <x:row r="130">
      <x:c r="A130" s="15" t="str">
        <x:v>Current a/c..512781</x:v>
      </x:c>
      <x:c r="B130" s="34" t="n">
        <x:v>46037.481944444444</x:v>
      </x:c>
      <x:c r="C130" s="15" t="str">
        <x:v>R7008.00 paid from Current a/c..512781 @ Smartapp. Avail R36197. Ref.Kruger Safari 1677. 15Jan 11:34</x:v>
      </x:c>
      <x:c r="D130" s="38" t="n">
        <x:v>0</x:v>
      </x:c>
      <x:c r="E130" s="38" t="n">
        <x:v>7008</x:v>
      </x:c>
      <x:c r="F130" s="38" t="n">
        <x:v>0</x:v>
      </x:c>
      <x:c r="G130" s="38" t="n">
        <x:v>36197</x:v>
      </x:c>
      <x:c r="H130" s="15" t="str">
        <x:v>Supplier payments</x:v>
      </x:c>
      <x:c r="I130" s="15" t="str">
        <x:v>Kruger Safari 1677</x:v>
      </x:c>
      <x:c r="J130" s="15" t="str">
        <x:v>eml_ALL_currentac__512781 (2).zip &gt; eml8currentac__512781.zip / FNB _-) R7008.00 paid from Current a_c..512781 @ Smartapp. Ref.Kruger Safari 1677. 15Jan 11_34.eml</x:v>
      </x:c>
    </x:row>
    <x:row r="131">
      <x:c r="A131" s="15" t="str">
        <x:v>Current a/c..512781</x:v>
      </x:c>
      <x:c r="B131" s="34" t="n">
        <x:v>46037.53333333333</x:v>
      </x:c>
      <x:c r="C131" s="15" t="str">
        <x:v>R2000.00 paid from Current a/c..512781 @ Smartapp. Avail R34194. Ref.Cellphone. 15Jan 12:48</x:v>
      </x:c>
      <x:c r="D131" s="38" t="n">
        <x:v>0</x:v>
      </x:c>
      <x:c r="E131" s="38" t="n">
        <x:v>2000</x:v>
      </x:c>
      <x:c r="F131" s="38" t="n">
        <x:v>0</x:v>
      </x:c>
      <x:c r="G131" s="38" t="n">
        <x:v>34194</x:v>
      </x:c>
      <x:c r="H131" s="15" t="str">
        <x:v>Supplier payments</x:v>
      </x:c>
      <x:c r="I131" s="15" t="str">
        <x:v>Cellphone</x:v>
      </x:c>
      <x:c r="J131" s="15" t="str">
        <x:v>eml_ALL_currentac__512781 (2).zip &gt; eml8currentac__512781.zip / FNB _-) R2000.00 paid from Current a_c..512781 @ Smartapp. Ref.Cellphone. 15Jan 12_48.eml</x:v>
      </x:c>
    </x:row>
    <x:row r="132">
      <x:c r="A132" s="15" t="str">
        <x:v>Current a/c..512781</x:v>
      </x:c>
      <x:c r="B132" s="34" t="n">
        <x:v>46038.368055555555</x:v>
      </x:c>
      <x:c r="C132" s="15" t="str">
        <x:v>R45321.13 paid to Current a/c..512781 @ Retail Forex. Ref.R026zdm6s0 Booking.c. 16Jan 08:50</x:v>
      </x:c>
      <x:c r="D132" s="38" t="n">
        <x:v>45321.13</x:v>
      </x:c>
      <x:c r="E132" s="38" t="n">
        <x:v>0</x:v>
      </x:c>
      <x:c r="F132" s="38" t="n">
        <x:v>0</x:v>
      </x:c>
      <x:c r="G132" s="38"/>
      <x:c r="H132" s="15" t="str">
        <x:v>Sales / customer receipts</x:v>
      </x:c>
      <x:c r="I132" s="15" t="str">
        <x:v>R026zdm6s0 Booking.c</x:v>
      </x:c>
      <x:c r="J132" s="15" t="str">
        <x:v>eml_ALL_currentac__512781 (2).zip &gt; eml8currentac__512781.zip / FNB _-) R45321.13 paid to Current a_c..512781 @ Retail Forex. Ref.R026zdm6s0 Booking.c. 16Jan 08_50.eml</x:v>
      </x:c>
    </x:row>
    <x:row r="133">
      <x:c r="A133" s="15" t="str">
        <x:v>Current a/c..512781</x:v>
      </x:c>
      <x:c r="B133" s="34" t="n">
        <x:v>46038.42013888889</x:v>
      </x:c>
      <x:c r="C133" s="15" t="str">
        <x:v>R13006.93 paid to Current a/c..512781 @ Retail Forex. Ref.R026zd2np0 Booking.c. 16Jan 10:05</x:v>
      </x:c>
      <x:c r="D133" s="38" t="n">
        <x:v>13006.93</x:v>
      </x:c>
      <x:c r="E133" s="38" t="n">
        <x:v>0</x:v>
      </x:c>
      <x:c r="F133" s="38" t="n">
        <x:v>0</x:v>
      </x:c>
      <x:c r="G133" s="38"/>
      <x:c r="H133" s="15" t="str">
        <x:v>Sales / customer receipts</x:v>
      </x:c>
      <x:c r="I133" s="15" t="str">
        <x:v>R026zd2np0 Booking.c</x:v>
      </x:c>
      <x:c r="J133" s="15" t="str">
        <x:v>eml_ALL_currentac__512781 (2).zip &gt; eml8currentac__512781.zip / FNB _-) R13006.93 paid to Current a_c..512781 @ Retail Forex. Ref.R026zd2np0 Booking.c. 16Jan 10_05.eml</x:v>
      </x:c>
    </x:row>
    <x:row r="134">
      <x:c r="A134" s="15" t="str">
        <x:v>Current a/c..512781</x:v>
      </x:c>
      <x:c r="B134" s="34" t="n">
        <x:v>46038.59444444445</x:v>
      </x:c>
      <x:c r="C134" s="15" t="str">
        <x:v>Payment Link created from Current a/c..512781 To S Gamedze - Wage..334428 @ Smartapp. 16Jan 14:16 Call 087 575 9404 for help.</x:v>
      </x:c>
      <x:c r="D134" s="38" t="n">
        <x:v>0</x:v>
      </x:c>
      <x:c r="E134" s="38" t="n">
        <x:v>0</x:v>
      </x:c>
      <x:c r="F134" s="38" t="n">
        <x:v>0</x:v>
      </x:c>
      <x:c r="G134" s="38"/>
      <x:c r="H134" s="15" t="str">
        <x:v>Other</x:v>
      </x:c>
      <x:c r="I134" s="15" t="str">
        <x:v>S Gamedze - Wage..334428</x:v>
      </x:c>
      <x:c r="J134" s="15" t="str">
        <x:v>eml_ALL_currentac__512781 (2).zip &gt; eml8currentac__512781.zip / FNB _-) Payment Link created from Current a_c..512781 To S Gamedze - Wage..334428 @ Smartapp. 16Jan 14_16 Call 087 575 9404  for help..eml</x:v>
      </x:c>
    </x:row>
    <x:row r="135">
      <x:c r="A135" s="15" t="str">
        <x:v>Current a/c..512781</x:v>
      </x:c>
      <x:c r="B135" s="34" t="n">
        <x:v>46038.59444444445</x:v>
      </x:c>
      <x:c r="C135" s="15" t="str">
        <x:v>R2500.00 paid from Current a/c..512781 @ Smartapp. Avail R88703. Ref.Sakkie Wages Jan. 16Jan 14:16</x:v>
      </x:c>
      <x:c r="D135" s="38" t="n">
        <x:v>0</x:v>
      </x:c>
      <x:c r="E135" s="38" t="n">
        <x:v>2500</x:v>
      </x:c>
      <x:c r="F135" s="38" t="n">
        <x:v>0</x:v>
      </x:c>
      <x:c r="G135" s="38" t="n">
        <x:v>88703</x:v>
      </x:c>
      <x:c r="H135" s="15" t="str">
        <x:v>Salary / wages</x:v>
      </x:c>
      <x:c r="I135" s="15" t="str">
        <x:v>Sakkie Wages Jan</x:v>
      </x:c>
      <x:c r="J135" s="15" t="str">
        <x:v>eml_ALL_currentac__512781 (2).zip &gt; eml8currentac__512781.zip / FNB _-) R2500.00 paid from Current a_c..512781 @ Smartapp. Ref.Sakkie Wages Jan. 16Jan 14_16.eml</x:v>
      </x:c>
    </x:row>
    <x:row r="136">
      <x:c r="A136" s="15" t="str">
        <x:v>Current a/c..512781</x:v>
      </x:c>
      <x:c r="B136" s="34" t="n">
        <x:v>46038.64236111111</x:v>
      </x:c>
      <x:c r="C136" s="15" t="str">
        <x:v>R6500.00 paid from Current a/c..512781 @ Gen Ph. Avail R82188. Ref.Wage. 16Jan 15:25</x:v>
      </x:c>
      <x:c r="D136" s="38" t="n">
        <x:v>0</x:v>
      </x:c>
      <x:c r="E136" s="38" t="n">
        <x:v>6500</x:v>
      </x:c>
      <x:c r="F136" s="38" t="n">
        <x:v>0</x:v>
      </x:c>
      <x:c r="G136" s="38" t="n">
        <x:v>82188</x:v>
      </x:c>
      <x:c r="H136" s="15" t="str">
        <x:v>Salary / wages</x:v>
      </x:c>
      <x:c r="I136" s="15" t="str">
        <x:v>Wage</x:v>
      </x:c>
      <x:c r="J136" s="15" t="str">
        <x:v>eml_ALL_currentac__512781 (2).zip &gt; eml8currentac__512781.zip / FNB _-) R6500.00 paid from Current a_c..512781 @ Gen Ph. Ref.Wage. 16Jan 15_25.eml</x:v>
      </x:c>
    </x:row>
    <x:row r="137">
      <x:c r="A137" s="15" t="str">
        <x:v>Current a/c..512781</x:v>
      </x:c>
      <x:c r="B137" s="34" t="n">
        <x:v>46038.643055555556</x:v>
      </x:c>
      <x:c r="C137" s="15" t="str">
        <x:v>R7510.00 paid from Current a/c..512781 @ Smartapp. Avail R74670. Ref.Kruger Safari 1678. 16Jan 15:26</x:v>
      </x:c>
      <x:c r="D137" s="38" t="n">
        <x:v>0</x:v>
      </x:c>
      <x:c r="E137" s="38" t="n">
        <x:v>7510</x:v>
      </x:c>
      <x:c r="F137" s="38" t="n">
        <x:v>0</x:v>
      </x:c>
      <x:c r="G137" s="38" t="n">
        <x:v>74670</x:v>
      </x:c>
      <x:c r="H137" s="15" t="str">
        <x:v>Supplier payments</x:v>
      </x:c>
      <x:c r="I137" s="15" t="str">
        <x:v>Kruger Safari 1678</x:v>
      </x:c>
      <x:c r="J137" s="15" t="str">
        <x:v>eml_ALL_currentac__512781 (2).zip &gt; eml7currentac__512781.zip / FNB _-) R7510.00 paid from Current a_c..512781 @ Smartapp. Ref.Kruger Safari 1678. 16Jan 15_26.eml</x:v>
      </x:c>
    </x:row>
    <x:row r="138">
      <x:c r="A138" s="15" t="str">
        <x:v>Current a/c..512781</x:v>
      </x:c>
      <x:c r="B138" s="34" t="n">
        <x:v>46038.64513888889</x:v>
      </x:c>
      <x:c r="C138" s="15" t="str">
        <x:v>R707.25 paid from Current a/c..512781 @ Smartapp. Avail R73955. Ref.Nb N992820. 16Jan 15:29</x:v>
      </x:c>
      <x:c r="D138" s="38" t="n">
        <x:v>0</x:v>
      </x:c>
      <x:c r="E138" s="38" t="n">
        <x:v>707.25</x:v>
      </x:c>
      <x:c r="F138" s="38" t="n">
        <x:v>0</x:v>
      </x:c>
      <x:c r="G138" s="38" t="n">
        <x:v>73955</x:v>
      </x:c>
      <x:c r="H138" s="15" t="str">
        <x:v>Supplier payments</x:v>
      </x:c>
      <x:c r="I138" s="15" t="str">
        <x:v>Nb N992820</x:v>
      </x:c>
      <x:c r="J138" s="15" t="str">
        <x:v>eml_ALL_currentac__512781 (2).zip &gt; eml7currentac__512781.zip / FNB _-) R707.25 paid from Current a_c..512781 @ Smartapp. Ref.Nb N992820. 16Jan 15_29.eml</x:v>
      </x:c>
    </x:row>
    <x:row r="139">
      <x:c r="A139" s="15" t="str">
        <x:v>Current a/c..512781</x:v>
      </x:c>
      <x:c r="B139" s="34" t="n">
        <x:v>46038.645833333336</x:v>
      </x:c>
      <x:c r="C139" s="15" t="str">
        <x:v>R707.25 paid from Current a/c..512781 @ Smartapp. Avail R73240. Ref.Nb N992820. 16Jan 15:30</x:v>
      </x:c>
      <x:c r="D139" s="38" t="n">
        <x:v>0</x:v>
      </x:c>
      <x:c r="E139" s="38" t="n">
        <x:v>707.25</x:v>
      </x:c>
      <x:c r="F139" s="38" t="n">
        <x:v>0</x:v>
      </x:c>
      <x:c r="G139" s="38" t="n">
        <x:v>73240</x:v>
      </x:c>
      <x:c r="H139" s="15" t="str">
        <x:v>Supplier payments</x:v>
      </x:c>
      <x:c r="I139" s="15" t="str">
        <x:v>Nb N992820</x:v>
      </x:c>
      <x:c r="J139" s="15" t="str">
        <x:v>eml_ALL_currentac__512781 (2).zip &gt; eml7currentac__512781.zip / FNB _-) R707.25 paid from Current a_c..512781 @ Smartapp. Ref.Nb N992820. 16Jan 15_30.eml</x:v>
      </x:c>
    </x:row>
    <x:row r="140">
      <x:c r="A140" s="15" t="str">
        <x:v>Current a/c..512781</x:v>
      </x:c>
      <x:c r="B140" s="34" t="n">
        <x:v>46038.65833333333</x:v>
      </x:c>
      <x:c r="C140" s="15" t="str">
        <x:v>Payment Link created from Current a/c..512781 To Jnb Property Mainten..877149 @ Smartapp. 16Jan 15:48 Call 087 575 9404 for help.</x:v>
      </x:c>
      <x:c r="D140" s="38" t="n">
        <x:v>0</x:v>
      </x:c>
      <x:c r="E140" s="38" t="n">
        <x:v>0</x:v>
      </x:c>
      <x:c r="F140" s="38" t="n">
        <x:v>0</x:v>
      </x:c>
      <x:c r="G140" s="38"/>
      <x:c r="H140" s="15" t="str">
        <x:v>Other</x:v>
      </x:c>
      <x:c r="I140" s="15" t="str">
        <x:v>Jnb Property Mainten..877149</x:v>
      </x:c>
      <x:c r="J140" s="15" t="str">
        <x:v>eml_ALL_currentac__512781 (2).zip &gt; eml7currentac__512781.zip / FNB _-) Payment Link created from Current a_c..512781 To Jnb Property Mainten..877149 @ Smartapp. 16Jan 15_48 Call 087 575 9404  for help..eml</x:v>
      </x:c>
    </x:row>
    <x:row r="141">
      <x:c r="A141" s="15" t="str">
        <x:v>Current a/c..512781</x:v>
      </x:c>
      <x:c r="B141" s="34" t="n">
        <x:v>46038.65833333333</x:v>
      </x:c>
      <x:c r="C141" s="15" t="str">
        <x:v>R3550.00 paid from Current a/c..512781 @ Smartapp. Avail R69682. Ref.Big Bay Maintenance. 16Jan 15:48</x:v>
      </x:c>
      <x:c r="D141" s="38" t="n">
        <x:v>0</x:v>
      </x:c>
      <x:c r="E141" s="38" t="n">
        <x:v>3550</x:v>
      </x:c>
      <x:c r="F141" s="38" t="n">
        <x:v>0</x:v>
      </x:c>
      <x:c r="G141" s="38" t="n">
        <x:v>69682</x:v>
      </x:c>
      <x:c r="H141" s="15" t="str">
        <x:v>Rent / property</x:v>
      </x:c>
      <x:c r="I141" s="15" t="str">
        <x:v>Big Bay Maintenance</x:v>
      </x:c>
      <x:c r="J141" s="15" t="str">
        <x:v>eml_ALL_currentac__512781 (2).zip &gt; eml7currentac__512781.zip / FNB _-) R3550.00 paid from Current a_c..512781 @ Smartapp. Ref.Big Bay Maintenance. 16Jan 15_48.eml</x:v>
      </x:c>
    </x:row>
    <x:row r="142">
      <x:c r="A142" s="15" t="str">
        <x:v>Current a/c..512781</x:v>
      </x:c>
      <x:c r="B142" s="34" t="n">
        <x:v>46039.447916666664</x:v>
      </x:c>
      <x:c r="C142" s="15" t="str">
        <x:v>R9773.91 paid to Current a/c..512781 @ Payshap. Ref.Ik Pay 487882. 17Jan 10:45</x:v>
      </x:c>
      <x:c r="D142" s="38" t="n">
        <x:v>9773.91</x:v>
      </x:c>
      <x:c r="E142" s="38" t="n">
        <x:v>0</x:v>
      </x:c>
      <x:c r="F142" s="38" t="n">
        <x:v>0</x:v>
      </x:c>
      <x:c r="G142" s="38"/>
      <x:c r="H142" s="15" t="str">
        <x:v>Sales / customer receipts</x:v>
      </x:c>
      <x:c r="I142" s="15" t="str">
        <x:v>Ik Pay 487882</x:v>
      </x:c>
      <x:c r="J142" s="15" t="str">
        <x:v>eml_ALL_currentac__512781 (2).zip &gt; eml7currentac__512781.zip / FNB _-) R9773.91 paid to Current a_c..512781 @ Payshap. Ref.Ik Pay 487882. 17Jan 10_45.eml</x:v>
      </x:c>
    </x:row>
    <x:row r="143">
      <x:c r="A143" s="15" t="str">
        <x:v>Current a/c..512781</x:v>
      </x:c>
      <x:c r="B143" s="34" t="n">
        <x:v>46040.350694444445</x:v>
      </x:c>
      <x:c r="C143" s="15" t="str">
        <x:v>R16500.00 paid from Current a/c..512781 @ Gen Ph. Avail R62321. Ref.Pj Els. 18Jan 08:25</x:v>
      </x:c>
      <x:c r="D143" s="38" t="n">
        <x:v>0</x:v>
      </x:c>
      <x:c r="E143" s="38" t="n">
        <x:v>16500</x:v>
      </x:c>
      <x:c r="F143" s="38" t="n">
        <x:v>0</x:v>
      </x:c>
      <x:c r="G143" s="38" t="n">
        <x:v>62321</x:v>
      </x:c>
      <x:c r="H143" s="15" t="str">
        <x:v>Supplier payments</x:v>
      </x:c>
      <x:c r="I143" s="15" t="str">
        <x:v>Pj Els</x:v>
      </x:c>
      <x:c r="J143" s="15" t="str">
        <x:v>eml_ALL_currentac__512781 (2).zip &gt; eml7currentac__512781.zip / FNB _-) R16500.00 paid from Current a_c..512781 @ Gen Ph. Ref.Pj Els. 18Jan 08_25.eml</x:v>
      </x:c>
    </x:row>
    <x:row r="144">
      <x:c r="A144" s="15" t="str">
        <x:v>Current a/c..512781</x:v>
      </x:c>
      <x:c r="B144" s="34" t="n">
        <x:v>46041.416666666664</x:v>
      </x:c>
      <x:c r="C144" s="15" t="str">
        <x:v>R500.00 paid from Current a/c..512781 @ Smartapp. Avail R61761. Ref.Electricity 04294887. 19Jan 10:00</x:v>
      </x:c>
      <x:c r="D144" s="38" t="n">
        <x:v>0</x:v>
      </x:c>
      <x:c r="E144" s="38" t="n">
        <x:v>500</x:v>
      </x:c>
      <x:c r="F144" s="38" t="n">
        <x:v>0</x:v>
      </x:c>
      <x:c r="G144" s="38" t="n">
        <x:v>61761</x:v>
      </x:c>
      <x:c r="H144" s="15" t="str">
        <x:v>Telecom / utilities</x:v>
      </x:c>
      <x:c r="I144" s="15" t="str">
        <x:v>Electricity 04294887</x:v>
      </x:c>
      <x:c r="J144" s="15" t="str">
        <x:v>eml_ALL_currentac__512781 (2).zip &gt; eml7currentac__512781.zip / FNB _-) R500.00 paid from Current a_c..512781 @ Smartapp. Ref.Electricity 04294887. 19Jan 10_00.eml</x:v>
      </x:c>
    </x:row>
    <x:row r="145">
      <x:c r="A145" s="15" t="str">
        <x:v>Current a/c..512781</x:v>
      </x:c>
      <x:c r="B145" s="34" t="n">
        <x:v>46041.419444444444</x:v>
      </x:c>
      <x:c r="C145" s="15" t="str">
        <x:v>R1344.45 paid from Current a/c..512781 @ Smartapp. Avail R60408. Ref.Asbe - Comm Jan. 19Jan 10:04</x:v>
      </x:c>
      <x:c r="D145" s="38" t="n">
        <x:v>0</x:v>
      </x:c>
      <x:c r="E145" s="38" t="n">
        <x:v>1344.45</x:v>
      </x:c>
      <x:c r="F145" s="38" t="n">
        <x:v>0</x:v>
      </x:c>
      <x:c r="G145" s="38" t="n">
        <x:v>60408</x:v>
      </x:c>
      <x:c r="H145" s="15" t="str">
        <x:v>Supplier payments</x:v>
      </x:c>
      <x:c r="I145" s="15" t="str">
        <x:v>Asbe - Comm Jan</x:v>
      </x:c>
      <x:c r="J145" s="15" t="str">
        <x:v>eml_ALL_currentac__512781 (2).zip &gt; eml7currentac__512781.zip / FNB _-) R1344.45 paid from Current a_c..512781 @ Smartapp. Ref.Asbe - Comm Jan. 19Jan 10_04.eml</x:v>
      </x:c>
    </x:row>
    <x:row r="146">
      <x:c r="A146" s="15" t="str">
        <x:v>Current a/c..512781</x:v>
      </x:c>
      <x:c r="B146" s="34" t="n">
        <x:v>46043.56805555556</x:v>
      </x:c>
      <x:c r="C146" s="15" t="str">
        <x:v>R23287.50 paid to Current a/c..512781 @ Retail Forex. Ref.R026z3l840 De Pauw D. 21Jan 13:38</x:v>
      </x:c>
      <x:c r="D146" s="38" t="n">
        <x:v>23287.5</x:v>
      </x:c>
      <x:c r="E146" s="38" t="n">
        <x:v>0</x:v>
      </x:c>
      <x:c r="F146" s="38" t="n">
        <x:v>0</x:v>
      </x:c>
      <x:c r="G146" s="38"/>
      <x:c r="H146" s="15" t="str">
        <x:v>Sales / customer receipts</x:v>
      </x:c>
      <x:c r="I146" s="15" t="str">
        <x:v>R026z3l840 De Pauw D</x:v>
      </x:c>
      <x:c r="J146" s="15" t="str">
        <x:v>eml_ALL_currentac__512781 (2).zip &gt; eml7currentac__512781.zip / FNB _-) R23287.50 paid to Current a_c..512781 @ Retail Forex. Ref.R026z3l840 De Pauw D. 21Jan 13_38.eml</x:v>
      </x:c>
    </x:row>
    <x:row r="147">
      <x:c r="A147" s="15" t="str">
        <x:v>Current a/c..512781</x:v>
      </x:c>
      <x:c r="B147" s="34" t="n">
        <x:v>46045.34305555555</x:v>
      </x:c>
      <x:c r="C147" s="15" t="str">
        <x:v>R2000.00 paid from Current a/c..512781 @ Smartapp. Avail R76706. Ref.Pj Els - Showp. 23Jan 08:14</x:v>
      </x:c>
      <x:c r="D147" s="38" t="n">
        <x:v>0</x:v>
      </x:c>
      <x:c r="E147" s="38" t="n">
        <x:v>2000</x:v>
      </x:c>
      <x:c r="F147" s="38" t="n">
        <x:v>0</x:v>
      </x:c>
      <x:c r="G147" s="38" t="n">
        <x:v>76706</x:v>
      </x:c>
      <x:c r="H147" s="15" t="str">
        <x:v>Supplier payments</x:v>
      </x:c>
      <x:c r="I147" s="15" t="str">
        <x:v>Pj Els - Showp</x:v>
      </x:c>
      <x:c r="J147" s="15" t="str">
        <x:v>eml_ALL_currentac__512781 (2).zip &gt; eml7currentac__512781.zip / FNB _-) R2000.00 paid from Current a_c..512781 @ Smartapp. Ref.Pj Els - Showp. 23Jan 08_14.eml</x:v>
      </x:c>
    </x:row>
    <x:row r="148">
      <x:c r="A148" s="15" t="str">
        <x:v>Current a/c..512781</x:v>
      </x:c>
      <x:c r="B148" s="34" t="n">
        <x:v>46045.410416666666</x:v>
      </x:c>
      <x:c r="C148" s="15" t="str">
        <x:v>R12786.76 paid to Current a/c..512781 @ Retail Forex. Ref.R026z6vq90 Booking.c. 23Jan 09:51</x:v>
      </x:c>
      <x:c r="D148" s="38" t="n">
        <x:v>12786.76</x:v>
      </x:c>
      <x:c r="E148" s="38" t="n">
        <x:v>0</x:v>
      </x:c>
      <x:c r="F148" s="38" t="n">
        <x:v>0</x:v>
      </x:c>
      <x:c r="G148" s="38"/>
      <x:c r="H148" s="15" t="str">
        <x:v>Sales / customer receipts</x:v>
      </x:c>
      <x:c r="I148" s="15" t="str">
        <x:v>R026z6vq90 Booking.c</x:v>
      </x:c>
      <x:c r="J148" s="15" t="str">
        <x:v>eml_ALL_currentac__512781 (2).zip &gt; eml7currentac__512781.zip / FNB _-) R12786.76 paid to Current a_c..512781 @ Retail Forex. Ref.R026z6vq90 Booking.c. 23Jan 09_51.eml</x:v>
      </x:c>
    </x:row>
    <x:row r="149">
      <x:c r="A149" s="15" t="str">
        <x:v>Current a/c..512781</x:v>
      </x:c>
      <x:c r="B149" s="34" t="n">
        <x:v>46045.6625</x:v>
      </x:c>
      <x:c r="C149" s="15" t="str">
        <x:v>Payment Link created from Current a/c..512781 To Stratton Property Ma..072310 @ Smartapp. 23Jan 15:54 Call 087 575 9404 for help.</x:v>
      </x:c>
      <x:c r="D149" s="38" t="n">
        <x:v>0</x:v>
      </x:c>
      <x:c r="E149" s="38" t="n">
        <x:v>0</x:v>
      </x:c>
      <x:c r="F149" s="38" t="n">
        <x:v>0</x:v>
      </x:c>
      <x:c r="G149" s="38"/>
      <x:c r="H149" s="15" t="str">
        <x:v>Other</x:v>
      </x:c>
      <x:c r="I149" s="15" t="str">
        <x:v>Stratton Property Ma..072310</x:v>
      </x:c>
      <x:c r="J149" s="15" t="str">
        <x:v>eml_ALL_currentac__512781 (2).zip &gt; eml7currentac__512781.zip / FNB _-) Payment Link created from Current a_c..512781 To Stratton Property Ma..072310 @ Smartapp. 23Jan 15_54 Call 087 575 9404  for help..eml</x:v>
      </x:c>
    </x:row>
    <x:row r="150">
      <x:c r="A150" s="15" t="str">
        <x:v>Current a/c..512781</x:v>
      </x:c>
      <x:c r="B150" s="34" t="n">
        <x:v>46045.6625</x:v>
      </x:c>
      <x:c r="C150" s="15" t="str">
        <x:v>R13271.53 paid from Current a/c..512781 @ Smartapp. Avail R75895. Ref.Stratton Prop Mng. 23Jan 15:54</x:v>
      </x:c>
      <x:c r="D150" s="38" t="n">
        <x:v>0</x:v>
      </x:c>
      <x:c r="E150" s="38" t="n">
        <x:v>13271.53</x:v>
      </x:c>
      <x:c r="F150" s="38" t="n">
        <x:v>0</x:v>
      </x:c>
      <x:c r="G150" s="38" t="n">
        <x:v>75895</x:v>
      </x:c>
      <x:c r="H150" s="15" t="str">
        <x:v>Supplier payments</x:v>
      </x:c>
      <x:c r="I150" s="15" t="str">
        <x:v>Stratton Prop Mng</x:v>
      </x:c>
      <x:c r="J150" s="15" t="str">
        <x:v>eml_ALL_currentac__512781 (2).zip &gt; eml7currentac__512781.zip / FNB _-) R13271.53 paid from Current a_c..512781 @ Smartapp. Ref.Stratton Prop Mng. 23Jan 15_54.eml</x:v>
      </x:c>
    </x:row>
    <x:row r="151">
      <x:c r="A151" s="15" t="str">
        <x:v>Current a/c..512781</x:v>
      </x:c>
      <x:c r="B151" s="34" t="n">
        <x:v>46045.697222222225</x:v>
      </x:c>
      <x:c r="C151" s="15" t="str">
        <x:v>R1000.00 paid from Current a/c..512781 @ Smartapp. Avail R74892. Ref.Electricity 04279376. 23Jan 16:44</x:v>
      </x:c>
      <x:c r="D151" s="38" t="n">
        <x:v>0</x:v>
      </x:c>
      <x:c r="E151" s="38" t="n">
        <x:v>1000</x:v>
      </x:c>
      <x:c r="F151" s="38" t="n">
        <x:v>0</x:v>
      </x:c>
      <x:c r="G151" s="38" t="n">
        <x:v>74892</x:v>
      </x:c>
      <x:c r="H151" s="15" t="str">
        <x:v>Telecom / utilities</x:v>
      </x:c>
      <x:c r="I151" s="15" t="str">
        <x:v>Electricity 04279376</x:v>
      </x:c>
      <x:c r="J151" s="15" t="str">
        <x:v>eml_ALL_currentac__512781 (2).zip &gt; eml7currentac__512781.zip / FNB _-) R1000.00 paid from Current a_c..512781 @ Smartapp. Ref.Electricity 04279376. 23Jan 16_44.eml</x:v>
      </x:c>
    </x:row>
    <x:row r="152">
      <x:c r="A152" s="15" t="str">
        <x:v>Current a/c..512781</x:v>
      </x:c>
      <x:c r="B152" s="34" t="n">
        <x:v>46046.44375</x:v>
      </x:c>
      <x:c r="C152" s="15" t="str">
        <x:v>R819.47 paid to Current a/c..512781 @ Payshap. Ref.Ik Pay 487882. 24Jan 10:39</x:v>
      </x:c>
      <x:c r="D152" s="38" t="n">
        <x:v>819.47</x:v>
      </x:c>
      <x:c r="E152" s="38" t="n">
        <x:v>0</x:v>
      </x:c>
      <x:c r="F152" s="38" t="n">
        <x:v>0</x:v>
      </x:c>
      <x:c r="G152" s="38"/>
      <x:c r="H152" s="15" t="str">
        <x:v>Sales / customer receipts</x:v>
      </x:c>
      <x:c r="I152" s="15" t="str">
        <x:v>Ik Pay 487882</x:v>
      </x:c>
      <x:c r="J152" s="15" t="str">
        <x:v>eml_ALL_currentac__512781 (2).zip &gt; eml7currentac__512781.zip / FNB _-) R819.47 paid to Current a_c..512781 @ Payshap. Ref.Ik Pay 487882. 24Jan 10_39.eml</x:v>
      </x:c>
    </x:row>
    <x:row r="153">
      <x:c r="A153" s="15" t="str">
        <x:v>Current a/c..512781</x:v>
      </x:c>
      <x:c r="B153" s="34" t="n">
        <x:v>46046.92638888889</x:v>
      </x:c>
      <x:c r="C153" s="15" t="str">
        <x:v>R4000.00 paid from Current a/c..512781 @ Gen Ph. Avail R69379. Ref.Staff Tips For Dec. 24Jan 22:14</x:v>
      </x:c>
      <x:c r="D153" s="38" t="n">
        <x:v>0</x:v>
      </x:c>
      <x:c r="E153" s="38" t="n">
        <x:v>4000</x:v>
      </x:c>
      <x:c r="F153" s="38" t="n">
        <x:v>0</x:v>
      </x:c>
      <x:c r="G153" s="38" t="n">
        <x:v>69379</x:v>
      </x:c>
      <x:c r="H153" s="15" t="str">
        <x:v>Salary / wages</x:v>
      </x:c>
      <x:c r="I153" s="15" t="str">
        <x:v>Staff Tips For Dec</x:v>
      </x:c>
      <x:c r="J153" s="15" t="str">
        <x:v>eml_ALL_currentac__512781 (2).zip &gt; eml7currentac__512781.zip / FNB _-) R4000.00 paid from Current a_c..512781 @ Gen Ph. Ref.Staff Tips For Dec. 24Jan 22_14.eml</x:v>
      </x:c>
    </x:row>
    <x:row r="154">
      <x:c r="A154" s="15" t="str">
        <x:v>Current a/c..512781</x:v>
      </x:c>
      <x:c r="B154" s="34" t="n">
        <x:v>46047.01736111111</x:v>
      </x:c>
      <x:c r="C154" s="15" t="str">
        <x:v>R5250.00 paid from Current a/c..512781 @ Gen Ph. Avail R64129. Ref.Staff Tips Jan. 25Jan 00:25</x:v>
      </x:c>
      <x:c r="D154" s="38" t="n">
        <x:v>0</x:v>
      </x:c>
      <x:c r="E154" s="38" t="n">
        <x:v>5250</x:v>
      </x:c>
      <x:c r="F154" s="38" t="n">
        <x:v>0</x:v>
      </x:c>
      <x:c r="G154" s="38" t="n">
        <x:v>64129</x:v>
      </x:c>
      <x:c r="H154" s="15" t="str">
        <x:v>Salary / wages</x:v>
      </x:c>
      <x:c r="I154" s="15" t="str">
        <x:v>Staff Tips Jan</x:v>
      </x:c>
      <x:c r="J154" s="15" t="str">
        <x:v>eml_ALL_currentac__512781 (2).zip &gt; eml7currentac__512781.zip / FNB _-) R5250.00 paid from Current a_c..512781 @ Gen Ph. Ref.Staff Tips Jan. 25Jan 00_25.eml</x:v>
      </x:c>
    </x:row>
    <x:row r="155">
      <x:c r="A155" s="15" t="str">
        <x:v>Current a/c..512781</x:v>
      </x:c>
      <x:c r="B155" s="34" t="n">
        <x:v>46047.03680555556</x:v>
      </x:c>
      <x:c r="C155" s="15" t="str">
        <x:v>R4000.00 paid from Current a/c..512781 @ Gen Ph. Avail R60129. Ref.Staff Tips. 25Jan 00:53</x:v>
      </x:c>
      <x:c r="D155" s="38" t="n">
        <x:v>0</x:v>
      </x:c>
      <x:c r="E155" s="38" t="n">
        <x:v>4000</x:v>
      </x:c>
      <x:c r="F155" s="38" t="n">
        <x:v>0</x:v>
      </x:c>
      <x:c r="G155" s="38" t="n">
        <x:v>60129</x:v>
      </x:c>
      <x:c r="H155" s="15" t="str">
        <x:v>Salary / wages</x:v>
      </x:c>
      <x:c r="I155" s="15" t="str">
        <x:v>Staff Tips</x:v>
      </x:c>
      <x:c r="J155" s="15" t="str">
        <x:v>eml_ALL_currentac__512781 (2).zip &gt; eml7currentac__512781.zip / FNB _-) R4000.00 paid from Current a_c..512781 @ Gen Ph. Ref.Staff Tips. 25Jan 00_53.eml</x:v>
      </x:c>
    </x:row>
    <x:row r="156">
      <x:c r="A156" s="15" t="str">
        <x:v>Current a/c..512781</x:v>
      </x:c>
      <x:c r="B156" s="34" t="n">
        <x:v>46048.370833333334</x:v>
      </x:c>
      <x:c r="C156" s="15" t="str">
        <x:v>R6500.00 paid from Current a/c..512781 @ Gen Ph. Avail R53552. Ref.Pj Els - Showp. 26Jan 08:54</x:v>
      </x:c>
      <x:c r="D156" s="38" t="n">
        <x:v>0</x:v>
      </x:c>
      <x:c r="E156" s="38" t="n">
        <x:v>6500</x:v>
      </x:c>
      <x:c r="F156" s="38" t="n">
        <x:v>0</x:v>
      </x:c>
      <x:c r="G156" s="38" t="n">
        <x:v>53552</x:v>
      </x:c>
      <x:c r="H156" s="15" t="str">
        <x:v>Supplier payments</x:v>
      </x:c>
      <x:c r="I156" s="15" t="str">
        <x:v>Pj Els - Showp</x:v>
      </x:c>
      <x:c r="J156" s="15" t="str">
        <x:v>eml_ALL_currentac__512781 (2).zip &gt; eml7currentac__512781.zip / FNB _-) R6500.00 paid from Current a_c..512781 @ Gen Ph. Ref.Pj Els - Showp. 26Jan 08_54.eml</x:v>
      </x:c>
    </x:row>
    <x:row r="157">
      <x:c r="A157" s="15" t="str">
        <x:v>Current a/c..512781</x:v>
      </x:c>
      <x:c r="B157" s="34" t="n">
        <x:v>46048.45694444444</x:v>
      </x:c>
      <x:c r="C157" s="15" t="str">
        <x:v>Payment Link created from Current a/c..512781 To Lebombo Verkoeling..990821 @ Smartapp. 26Jan 10:58 Call 087 575 9404 for help.</x:v>
      </x:c>
      <x:c r="D157" s="38" t="n">
        <x:v>0</x:v>
      </x:c>
      <x:c r="E157" s="38" t="n">
        <x:v>0</x:v>
      </x:c>
      <x:c r="F157" s="38" t="n">
        <x:v>0</x:v>
      </x:c>
      <x:c r="G157" s="38"/>
      <x:c r="H157" s="15" t="str">
        <x:v>Other</x:v>
      </x:c>
      <x:c r="I157" s="15" t="str">
        <x:v>Lebombo Verkoeling..990821</x:v>
      </x:c>
      <x:c r="J157" s="15" t="str">
        <x:v>eml_ALL_currentac__512781 (2).zip &gt; eml7currentac__512781.zip / FNB _-) Payment Link created from Current a_c..512781 To Lebombo Verkoeling..990821 @ Smartapp. 26Jan 10_58 Call 087 575 9404  for help..eml</x:v>
      </x:c>
    </x:row>
    <x:row r="158">
      <x:c r="A158" s="15" t="str">
        <x:v>Current a/c..512781</x:v>
      </x:c>
      <x:c r="B158" s="34" t="n">
        <x:v>46048.45694444444</x:v>
      </x:c>
      <x:c r="C158" s="15" t="str">
        <x:v>R1625.00 paid from Current a/c..512781 @ Smartapp. Avail R51919. Ref.Lebombo Washing Mach. 26Jan 10:58</x:v>
      </x:c>
      <x:c r="D158" s="38" t="n">
        <x:v>0</x:v>
      </x:c>
      <x:c r="E158" s="38" t="n">
        <x:v>1625</x:v>
      </x:c>
      <x:c r="F158" s="38" t="n">
        <x:v>0</x:v>
      </x:c>
      <x:c r="G158" s="38" t="n">
        <x:v>51919</x:v>
      </x:c>
      <x:c r="H158" s="15" t="str">
        <x:v>Supplier payments</x:v>
      </x:c>
      <x:c r="I158" s="15" t="str">
        <x:v>Lebombo Washing Mach</x:v>
      </x:c>
      <x:c r="J158" s="15" t="str">
        <x:v>eml_ALL_currentac__512781 (2).zip &gt; eml7currentac__512781.zip / FNB _-) R1625.00 paid from Current a_c..512781 @ Smartapp. Ref.Lebombo Washing Mach. 26Jan 10_58.eml</x:v>
      </x:c>
    </x:row>
    <x:row r="159">
      <x:c r="A159" s="15" t="str">
        <x:v>Current a/c..512781</x:v>
      </x:c>
      <x:c r="B159" s="34" t="n">
        <x:v>46048.88888888889</x:v>
      </x:c>
      <x:c r="C159" s="15" t="str">
        <x:v>R15000.00 paid from Current a/c..512781 @ Smartapp. Avail R36304. Ref.Repairs + Maintenanc. 26Jan 21:20</x:v>
      </x:c>
      <x:c r="D159" s="38" t="n">
        <x:v>0</x:v>
      </x:c>
      <x:c r="E159" s="38" t="n">
        <x:v>15000</x:v>
      </x:c>
      <x:c r="F159" s="38" t="n">
        <x:v>0</x:v>
      </x:c>
      <x:c r="G159" s="38" t="n">
        <x:v>36304</x:v>
      </x:c>
      <x:c r="H159" s="15" t="str">
        <x:v>Supplier payments</x:v>
      </x:c>
      <x:c r="I159" s="15" t="str">
        <x:v>Repairs + Maintenanc</x:v>
      </x:c>
      <x:c r="J159" s="15" t="str">
        <x:v>eml_ALL_currentac__512781 (2).zip &gt; eml7currentac__512781.zip / FNB _-) R15000.00 paid from Current a_c..512781 @ Smartapp. Ref.Repairs + Maintenanc. 26Jan 21_20.eml</x:v>
      </x:c>
    </x:row>
    <x:row r="160">
      <x:c r="A160" s="15" t="str">
        <x:v>Current a/c..512781</x:v>
      </x:c>
      <x:c r="B160" s="34" t="n">
        <x:v>46049</x:v>
      </x:c>
      <x:c r="C160" s="15" t="str">
        <x:v>R5071.50 paid to Current a/c..512781 @ Eft. Ref.Capitec I Strydom. 27Jan 00:00</x:v>
      </x:c>
      <x:c r="D160" s="38" t="n">
        <x:v>5071.5</x:v>
      </x:c>
      <x:c r="E160" s="38" t="n">
        <x:v>0</x:v>
      </x:c>
      <x:c r="F160" s="38" t="n">
        <x:v>0</x:v>
      </x:c>
      <x:c r="G160" s="38"/>
      <x:c r="H160" s="15" t="str">
        <x:v>Sales / customer receipts</x:v>
      </x:c>
      <x:c r="I160" s="15" t="str">
        <x:v>Capitec I Strydom</x:v>
      </x:c>
      <x:c r="J160" s="15" t="str">
        <x:v>eml_ALL_currentac__512781 (2).zip &gt; eml7currentac__512781.zip / FNB _-) R5071.50 paid to Current a_c..512781 @ Eft. Ref.Capitec I Strydom. 27Jan 00_00.eml</x:v>
      </x:c>
    </x:row>
    <x:row r="161">
      <x:c r="A161" s="15" t="str">
        <x:v>Current a/c..512781</x:v>
      </x:c>
      <x:c r="B161" s="34" t="n">
        <x:v>46049.365277777775</x:v>
      </x:c>
      <x:c r="C161" s="15" t="str">
        <x:v>R500.00 paid from Current a/c..512781 @ Smartapp. Avail R40824. Ref.Electricity 04294887. 27Jan 08:46</x:v>
      </x:c>
      <x:c r="D161" s="38" t="n">
        <x:v>0</x:v>
      </x:c>
      <x:c r="E161" s="38" t="n">
        <x:v>500</x:v>
      </x:c>
      <x:c r="F161" s="38" t="n">
        <x:v>0</x:v>
      </x:c>
      <x:c r="G161" s="38" t="n">
        <x:v>40824</x:v>
      </x:c>
      <x:c r="H161" s="15" t="str">
        <x:v>Telecom / utilities</x:v>
      </x:c>
      <x:c r="I161" s="15" t="str">
        <x:v>Electricity 04294887</x:v>
      </x:c>
      <x:c r="J161" s="15" t="str">
        <x:v>eml_ALL_currentac__512781 (2).zip &gt; eml7currentac__512781.zip / FNB _-) R500.00 paid from Current a_c..512781 @ Smartapp. Ref.Electricity 04294887. 27Jan 08_46.eml</x:v>
      </x:c>
    </x:row>
    <x:row r="162">
      <x:c r="A162" s="15" t="str">
        <x:v>Current a/c..512781</x:v>
      </x:c>
      <x:c r="B162" s="34" t="n">
        <x:v>46049.39236111111</x:v>
      </x:c>
      <x:c r="C162" s="15" t="str">
        <x:v>R3004.00 paid from Current a/c..512781 @ Gen Ph. Avail R37805. Ref.Kruger Safari 1679. 27Jan 09:25</x:v>
      </x:c>
      <x:c r="D162" s="38" t="n">
        <x:v>0</x:v>
      </x:c>
      <x:c r="E162" s="38" t="n">
        <x:v>3004</x:v>
      </x:c>
      <x:c r="F162" s="38" t="n">
        <x:v>0</x:v>
      </x:c>
      <x:c r="G162" s="38" t="n">
        <x:v>37805</x:v>
      </x:c>
      <x:c r="H162" s="15" t="str">
        <x:v>Supplier payments</x:v>
      </x:c>
      <x:c r="I162" s="15" t="str">
        <x:v>Kruger Safari 1679</x:v>
      </x:c>
      <x:c r="J162" s="15" t="str">
        <x:v>eml_ALL_currentac__512781 (2).zip &gt; eml7currentac__512781.zip / FNB _-) R3004.00 paid from Current a_c..512781 @ Gen Ph. Ref.Kruger Safari 1679. 27Jan 09_25.eml</x:v>
      </x:c>
    </x:row>
    <x:row r="163">
      <x:c r="A163" s="15" t="str">
        <x:v>Current a/c..512781</x:v>
      </x:c>
      <x:c r="B163" s="34" t="n">
        <x:v>46049.393055555556</x:v>
      </x:c>
      <x:c r="C163" s="15" t="str">
        <x:v>R1768.20 paid from Current a/c..512781 @ Smartapp. Avail R36029. Ref.Dinner Box 105910. 27Jan 09:26</x:v>
      </x:c>
      <x:c r="D163" s="38" t="n">
        <x:v>0</x:v>
      </x:c>
      <x:c r="E163" s="38" t="n">
        <x:v>1768.2</x:v>
      </x:c>
      <x:c r="F163" s="38" t="n">
        <x:v>0</x:v>
      </x:c>
      <x:c r="G163" s="38" t="n">
        <x:v>36029</x:v>
      </x:c>
      <x:c r="H163" s="15" t="str">
        <x:v>Meals / restaurants / entertainment</x:v>
      </x:c>
      <x:c r="I163" s="15" t="str">
        <x:v>Dinner Box 105910</x:v>
      </x:c>
      <x:c r="J163" s="15" t="str">
        <x:v>eml_ALL_currentac__512781 (2).zip &gt; eml7currentac__512781.zip / FNB _-) R1768.20 paid from Current a_c..512781 @ Smartapp. Ref.Dinner Box 105910. 27Jan 09_26.eml</x:v>
      </x:c>
    </x:row>
    <x:row r="164">
      <x:c r="A164" s="15" t="str">
        <x:v>Current a/c..512781</x:v>
      </x:c>
      <x:c r="B164" s="34" t="n">
        <x:v>46049.58125</x:v>
      </x:c>
      <x:c r="C164" s="15" t="str">
        <x:v>R5773.25 paid to Current a/c..512781 @ Payshap. Ref.Ik Pay 487882. 27Jan 13:57</x:v>
      </x:c>
      <x:c r="D164" s="38" t="n">
        <x:v>5773.25</x:v>
      </x:c>
      <x:c r="E164" s="38" t="n">
        <x:v>0</x:v>
      </x:c>
      <x:c r="F164" s="38" t="n">
        <x:v>0</x:v>
      </x:c>
      <x:c r="G164" s="38"/>
      <x:c r="H164" s="15" t="str">
        <x:v>Sales / customer receipts</x:v>
      </x:c>
      <x:c r="I164" s="15" t="str">
        <x:v>Ik Pay 487882</x:v>
      </x:c>
      <x:c r="J164" s="15" t="str">
        <x:v>eml_ALL_currentac__512781 (2).zip &gt; eml7currentac__512781.zip / FNB _-) R5773.25 paid to Current a_c..512781 @ Payshap. Ref.Ik Pay 487882. 27Jan 13_57.eml</x:v>
      </x:c>
    </x:row>
    <x:row r="165">
      <x:c r="A165" s="15" t="str">
        <x:v>Current a/c..512781</x:v>
      </x:c>
      <x:c r="B165" s="34" t="n">
        <x:v>46051.57916666667</x:v>
      </x:c>
      <x:c r="C165" s="15" t="str">
        <x:v>R1312.64 paid to Current a/c..512781 @ Payshap. Ref.Ik Pay 487882. 29Jan 13:54</x:v>
      </x:c>
      <x:c r="D165" s="38" t="n">
        <x:v>1312.64</x:v>
      </x:c>
      <x:c r="E165" s="38" t="n">
        <x:v>0</x:v>
      </x:c>
      <x:c r="F165" s="38" t="n">
        <x:v>0</x:v>
      </x:c>
      <x:c r="G165" s="38"/>
      <x:c r="H165" s="15" t="str">
        <x:v>Sales / customer receipts</x:v>
      </x:c>
      <x:c r="I165" s="15" t="str">
        <x:v>Ik Pay 487882</x:v>
      </x:c>
      <x:c r="J165" s="15" t="str">
        <x:v>eml_ALL_currentac__512781 (2).zip &gt; eml7currentac__512781.zip / FNB _-) R1312.64 paid to Current a_c..512781 @ Payshap. Ref.Ik Pay 487882. 29Jan 13_54.eml</x:v>
      </x:c>
    </x:row>
    <x:row r="166">
      <x:c r="A166" s="15" t="str">
        <x:v>Current a/c..512781</x:v>
      </x:c>
      <x:c r="B166" s="34" t="n">
        <x:v>46052.42222222222</x:v>
      </x:c>
      <x:c r="C166" s="15" t="str">
        <x:v>R11313.46 paid to Current a/c..512781 @ Retail Forex. Ref.R026xr9cp0 Booking.c. 30Jan 10:08</x:v>
      </x:c>
      <x:c r="D166" s="38" t="n">
        <x:v>11313.46</x:v>
      </x:c>
      <x:c r="E166" s="38" t="n">
        <x:v>0</x:v>
      </x:c>
      <x:c r="F166" s="38" t="n">
        <x:v>0</x:v>
      </x:c>
      <x:c r="G166" s="38"/>
      <x:c r="H166" s="15" t="str">
        <x:v>Sales / customer receipts</x:v>
      </x:c>
      <x:c r="I166" s="15" t="str">
        <x:v>R026xr9cp0 Booking.c</x:v>
      </x:c>
      <x:c r="J166" s="15" t="str">
        <x:v>eml_ALL_currentac__512781 (2).zip &gt; eml7currentac__512781.zip / FNB _-) R11313.46 paid to Current a_c..512781 @ Retail Forex. Ref.R026xr9cp0 Booking.c. 30Jan 10_08.eml</x:v>
      </x:c>
    </x:row>
    <x:row r="167">
      <x:c r="A167" s="15" t="str">
        <x:v>Current a/c..512781</x:v>
      </x:c>
      <x:c r="B167" s="34" t="n">
        <x:v>46052.54722222222</x:v>
      </x:c>
      <x:c r="C167" s="15" t="str">
        <x:v>R6008.00 paid from Current a/c..512781 @ Smartapp. Avail R43109. Ref.Kruger Safari 1680. 30Jan 13:08</x:v>
      </x:c>
      <x:c r="D167" s="38" t="n">
        <x:v>0</x:v>
      </x:c>
      <x:c r="E167" s="38" t="n">
        <x:v>6008</x:v>
      </x:c>
      <x:c r="F167" s="38" t="n">
        <x:v>0</x:v>
      </x:c>
      <x:c r="G167" s="38" t="n">
        <x:v>43109</x:v>
      </x:c>
      <x:c r="H167" s="15" t="str">
        <x:v>Supplier payments</x:v>
      </x:c>
      <x:c r="I167" s="15" t="str">
        <x:v>Kruger Safari 1680</x:v>
      </x:c>
      <x:c r="J167" s="15" t="str">
        <x:v>eml_ALL_currentac__512781 (2).zip &gt; eml7currentac__512781.zip / FNB _-) R6008.00 paid from Current a_c..512781 @ Smartapp. Ref.Kruger Safari 1680. 30Jan 13_08.eml</x:v>
      </x:c>
    </x:row>
    <x:row r="168">
      <x:c r="A168" s="15" t="str">
        <x:v>Current a/c..512781</x:v>
      </x:c>
      <x:c r="B168" s="34" t="n">
        <x:v>46052.54791666667</x:v>
      </x:c>
      <x:c r="C168" s="15" t="str">
        <x:v>R2500.00 paid from Current a/c..512781 @ Smartapp. Avail R40601. Ref.Sakkie Wages Jan. 30Jan 13:09</x:v>
      </x:c>
      <x:c r="D168" s="38" t="n">
        <x:v>0</x:v>
      </x:c>
      <x:c r="E168" s="38" t="n">
        <x:v>2500</x:v>
      </x:c>
      <x:c r="F168" s="38" t="n">
        <x:v>0</x:v>
      </x:c>
      <x:c r="G168" s="38" t="n">
        <x:v>40601</x:v>
      </x:c>
      <x:c r="H168" s="15" t="str">
        <x:v>Salary / wages</x:v>
      </x:c>
      <x:c r="I168" s="15" t="str">
        <x:v>Sakkie Wages Jan</x:v>
      </x:c>
      <x:c r="J168" s="15" t="str">
        <x:v>eml_ALL_currentac__512781 (2).zip &gt; eml7currentac__512781.zip / FNB _-) R2500.00 paid from Current a_c..512781 @ Smartapp. Ref.Sakkie Wages Jan. 30Jan 13_09.eml</x:v>
      </x:c>
    </x:row>
    <x:row r="169">
      <x:c r="A169" s="15" t="str">
        <x:v>Current a/c..512781</x:v>
      </x:c>
      <x:c r="B169" s="34" t="n">
        <x:v>46052.580555555556</x:v>
      </x:c>
      <x:c r="C169" s="15" t="str">
        <x:v>R8951.66 paid to Current a/c..512781 @ Payshap. Ref.Ik Pay 487882. 30Jan 13:56</x:v>
      </x:c>
      <x:c r="D169" s="38" t="n">
        <x:v>8951.66</x:v>
      </x:c>
      <x:c r="E169" s="38" t="n">
        <x:v>0</x:v>
      </x:c>
      <x:c r="F169" s="38" t="n">
        <x:v>0</x:v>
      </x:c>
      <x:c r="G169" s="38"/>
      <x:c r="H169" s="15" t="str">
        <x:v>Sales / customer receipts</x:v>
      </x:c>
      <x:c r="I169" s="15" t="str">
        <x:v>Ik Pay 487882</x:v>
      </x:c>
      <x:c r="J169" s="15" t="str">
        <x:v>eml_ALL_currentac__512781 (2).zip &gt; eml7currentac__512781.zip / FNB _-) R8951.66 paid to Current a_c..512781 @ Payshap. Ref.Ik Pay 487882. 30Jan 13_56.eml</x:v>
      </x:c>
    </x:row>
    <x:row r="170">
      <x:c r="A170" s="15" t="str">
        <x:v>Current a/c..512781</x:v>
      </x:c>
      <x:c r="B170" s="34" t="n">
        <x:v>46053.55694444444</x:v>
      </x:c>
      <x:c r="C170" s="15" t="str">
        <x:v>R15000.00 paid from Current a/c..512781 @ Smartapp. Avail R32926. Ref.Wage Jan. 31Jan 13:22</x:v>
      </x:c>
      <x:c r="D170" s="38" t="n">
        <x:v>0</x:v>
      </x:c>
      <x:c r="E170" s="38" t="n">
        <x:v>15000</x:v>
      </x:c>
      <x:c r="F170" s="38" t="n">
        <x:v>0</x:v>
      </x:c>
      <x:c r="G170" s="38" t="n">
        <x:v>32926</x:v>
      </x:c>
      <x:c r="H170" s="15" t="str">
        <x:v>Salary / wages</x:v>
      </x:c>
      <x:c r="I170" s="15" t="str">
        <x:v>Wage Jan</x:v>
      </x:c>
      <x:c r="J170" s="15" t="str">
        <x:v>eml_ALL_currentac__512781 (2).zip &gt; eml7currentac__512781.zip / FNB _-) R15000.00 paid from Current a_c..512781 @ Smartapp. Ref.Wage Jan. 31Jan 13_22.eml</x:v>
      </x:c>
    </x:row>
    <x:row r="171">
      <x:c r="A171" s="15" t="str">
        <x:v>Current a/c..512781</x:v>
      </x:c>
      <x:c r="B171" s="34" t="n">
        <x:v>46053.55763888889</x:v>
      </x:c>
      <x:c r="C171" s="15" t="str">
        <x:v>R12000.00 paid from Current a/c..512781 @ Smartapp. Avail R20918. Ref.Wage - Jan 2026. 31Jan 13:23</x:v>
      </x:c>
      <x:c r="D171" s="38" t="n">
        <x:v>0</x:v>
      </x:c>
      <x:c r="E171" s="38" t="n">
        <x:v>12000</x:v>
      </x:c>
      <x:c r="F171" s="38" t="n">
        <x:v>0</x:v>
      </x:c>
      <x:c r="G171" s="38" t="n">
        <x:v>20918</x:v>
      </x:c>
      <x:c r="H171" s="15" t="str">
        <x:v>Salary / wages</x:v>
      </x:c>
      <x:c r="I171" s="15" t="str">
        <x:v>Wage - Jan 2026</x:v>
      </x:c>
      <x:c r="J171" s="15" t="str">
        <x:v>eml_ALL_currentac__512781 (2).zip &gt; eml7currentac__512781.zip / FNB _-) R12000.00 paid from Current a_c..512781 @ Smartapp. Ref.Wage - Jan 2026. 31Jan 13_23.eml</x:v>
      </x:c>
    </x:row>
    <x:row r="172">
      <x:c r="A172" s="15" t="str">
        <x:v>Current a/c..512781</x:v>
      </x:c>
      <x:c r="B172" s="34" t="n">
        <x:v>46053.55902777778</x:v>
      </x:c>
      <x:c r="C172" s="15" t="str">
        <x:v>R500.00 paid from Current a/c..512781 @ Smartapp. Avail R20416. Ref.Electricity 04294887. 31Jan 13:25</x:v>
      </x:c>
      <x:c r="D172" s="38" t="n">
        <x:v>0</x:v>
      </x:c>
      <x:c r="E172" s="38" t="n">
        <x:v>500</x:v>
      </x:c>
      <x:c r="F172" s="38" t="n">
        <x:v>0</x:v>
      </x:c>
      <x:c r="G172" s="38" t="n">
        <x:v>20416</x:v>
      </x:c>
      <x:c r="H172" s="15" t="str">
        <x:v>Telecom / utilities</x:v>
      </x:c>
      <x:c r="I172" s="15" t="str">
        <x:v>Electricity 04294887</x:v>
      </x:c>
      <x:c r="J172" s="15" t="str">
        <x:v>eml_ALL_currentac__512781 (2).zip &gt; eml7currentac__512781.zip / FNB _-) R500.00 paid from Current a_c..512781 @ Smartapp. Ref.Electricity 04294887. 31Jan 13_25.eml</x:v>
      </x:c>
    </x:row>
    <x:row r="173">
      <x:c r="A173" s="15" t="str">
        <x:v>Current a/c..512781</x:v>
      </x:c>
      <x:c r="B173" s="34" t="n">
        <x:v>46054.34583333333</x:v>
      </x:c>
      <x:c r="C173" s="15" t="str">
        <x:v>R1707.86 paid from Current a/c..512781 @ Smartapp. Avail R17005. Ref.Ac De Jager Vleis. 1Feb 08:18</x:v>
      </x:c>
      <x:c r="D173" s="38" t="n">
        <x:v>0</x:v>
      </x:c>
      <x:c r="E173" s="38" t="n">
        <x:v>1707.86</x:v>
      </x:c>
      <x:c r="F173" s="38" t="n">
        <x:v>0</x:v>
      </x:c>
      <x:c r="G173" s="38" t="n">
        <x:v>17005</x:v>
      </x:c>
      <x:c r="H173" s="15" t="str">
        <x:v>Supplier payments</x:v>
      </x:c>
      <x:c r="I173" s="15" t="str">
        <x:v>Ac De Jager Vleis</x:v>
      </x:c>
      <x:c r="J173" s="15" t="str">
        <x:v>eml_ALL_currentac__512781 (2).zip &gt; eml7currentac__512781.zip / FNB _-) R1707.86 paid from Current a_c..512781 @ Smartapp. Ref.Ac De Jager Vleis.  1Feb 08_18.eml</x:v>
      </x:c>
    </x:row>
    <x:row r="174">
      <x:c r="A174" s="15" t="str">
        <x:v>Current a/c..512781</x:v>
      </x:c>
      <x:c r="B174" s="34" t="n">
        <x:v>46054.46527777778</x:v>
      </x:c>
      <x:c r="C174" s="15" t="str">
        <x:v>Payment Link created from Current a/c..512781 To Dj Ludik Honeysucker..496920 @ Smartapp. 1Feb 11:10 Call 087 575 9404 for help.</x:v>
      </x:c>
      <x:c r="D174" s="38" t="n">
        <x:v>0</x:v>
      </x:c>
      <x:c r="E174" s="38" t="n">
        <x:v>0</x:v>
      </x:c>
      <x:c r="F174" s="38" t="n">
        <x:v>0</x:v>
      </x:c>
      <x:c r="G174" s="38"/>
      <x:c r="H174" s="15" t="str">
        <x:v>Other</x:v>
      </x:c>
      <x:c r="I174" s="15" t="str">
        <x:v>Dj Ludik Honeysucker..496920</x:v>
      </x:c>
      <x:c r="J174" s="15" t="str">
        <x:v>eml_ALL_currentac__512781 (2).zip &gt; eml7currentac__512781.zip / FNB _-) Payment Link created from Current a_c..512781 To Dj Ludik Honeysucker..496920 @ Smartapp.  1Feb 11_10 Call 087 575 9404  for help..eml</x:v>
      </x:c>
    </x:row>
    <x:row r="175">
      <x:c r="A175" s="15" t="str">
        <x:v>Current a/c..512781</x:v>
      </x:c>
      <x:c r="B175" s="34" t="n">
        <x:v>46054.46597222222</x:v>
      </x:c>
      <x:c r="C175" s="15" t="str">
        <x:v>R1500.00 paid from Current a/c..512781 @ Smartapp. Avail R15505. Ref.Honeysucker. 1Feb 11:11</x:v>
      </x:c>
      <x:c r="D175" s="38" t="n">
        <x:v>0</x:v>
      </x:c>
      <x:c r="E175" s="38" t="n">
        <x:v>1500</x:v>
      </x:c>
      <x:c r="F175" s="38" t="n">
        <x:v>0</x:v>
      </x:c>
      <x:c r="G175" s="38" t="n">
        <x:v>15505</x:v>
      </x:c>
      <x:c r="H175" s="15" t="str">
        <x:v>Supplier payments</x:v>
      </x:c>
      <x:c r="I175" s="15" t="str">
        <x:v>Honeysucker</x:v>
      </x:c>
      <x:c r="J175" s="15" t="str">
        <x:v>eml_ALL_currentac__512781 (2).zip &gt; eml7currentac__512781.zip / FNB _-) R1500.00 paid from Current a_c..512781 @ Smartapp. Ref.Honeysucker.  1Feb 11_11.eml</x:v>
      </x:c>
    </x:row>
    <x:row r="176">
      <x:c r="A176" s="15" t="str">
        <x:v>Current a/c..512781</x:v>
      </x:c>
      <x:c r="B176" s="34" t="n">
        <x:v>46055.41527777778</x:v>
      </x:c>
      <x:c r="C176" s="15" t="str">
        <x:v>R500.00 paid from Current a/c..512781 @ Smartapp. Avail R13961. Ref.Kpci - C1736 Feb. 2Feb 09:58</x:v>
      </x:c>
      <x:c r="D176" s="38" t="n">
        <x:v>0</x:v>
      </x:c>
      <x:c r="E176" s="38" t="n">
        <x:v>500</x:v>
      </x:c>
      <x:c r="F176" s="38" t="n">
        <x:v>0</x:v>
      </x:c>
      <x:c r="G176" s="38" t="n">
        <x:v>13961</x:v>
      </x:c>
      <x:c r="H176" s="15" t="str">
        <x:v>Supplier payments</x:v>
      </x:c>
      <x:c r="I176" s="15" t="str">
        <x:v>Kpci - C1736 Feb</x:v>
      </x:c>
      <x:c r="J176" s="15" t="str">
        <x:v>eml_ALL_currentac__512781 (2).zip &gt; eml7currentac__512781.zip / FNB _-) R500.00 paid from Current a_c..512781 @ Smartapp. Ref.Kpci - C1736 Feb.  2Feb 09_58.eml</x:v>
      </x:c>
    </x:row>
    <x:row r="177">
      <x:c r="A177" s="15" t="str">
        <x:v>Current a/c..512781</x:v>
      </x:c>
      <x:c r="B177" s="34" t="n">
        <x:v>46055.416666666664</x:v>
      </x:c>
      <x:c r="C177" s="15" t="str">
        <x:v>R300.00 paid from Current a/c..512781 @ Smartapp. Avail R13661. Ref.Deon"s Diy. 2Feb 10:00</x:v>
      </x:c>
      <x:c r="D177" s="38" t="n">
        <x:v>0</x:v>
      </x:c>
      <x:c r="E177" s="38" t="n">
        <x:v>300</x:v>
      </x:c>
      <x:c r="F177" s="38" t="n">
        <x:v>0</x:v>
      </x:c>
      <x:c r="G177" s="38" t="n">
        <x:v>13661</x:v>
      </x:c>
      <x:c r="H177" s="15" t="str">
        <x:v>Supplier payments</x:v>
      </x:c>
      <x:c r="I177" s="15" t="str">
        <x:v>Deon"s Diy</x:v>
      </x:c>
      <x:c r="J177" s="15" t="str">
        <x:v>eml_ALL_currentac__512781 (2).zip &gt; eml7currentac__512781.zip / FNB _-) R300.00 paid from Current a_c..512781 @ Smartapp. Ref.Deon_s Diy.  2Feb 10_00.eml</x:v>
      </x:c>
    </x:row>
    <x:row r="178">
      <x:c r="A178" s="15" t="str">
        <x:v>Current a/c..512781</x:v>
      </x:c>
      <x:c r="B178" s="34" t="n">
        <x:v>46055.42638888889</x:v>
      </x:c>
      <x:c r="C178" s="15" t="str">
        <x:v>Payment Link created from Current a/c..512781 To Southern Kruger Saf..698317 @ Smartapp. 2Feb 10:14 Call 087 575 9404 for help.</x:v>
      </x:c>
      <x:c r="D178" s="38" t="n">
        <x:v>0</x:v>
      </x:c>
      <x:c r="E178" s="38" t="n">
        <x:v>0</x:v>
      </x:c>
      <x:c r="F178" s="38" t="n">
        <x:v>0</x:v>
      </x:c>
      <x:c r="G178" s="38"/>
      <x:c r="H178" s="15" t="str">
        <x:v>Other</x:v>
      </x:c>
      <x:c r="I178" s="15" t="str">
        <x:v>Southern Kruger Saf..698317</x:v>
      </x:c>
      <x:c r="J178" s="15" t="str">
        <x:v>eml_ALL_currentac__512781 (2).zip &gt; eml7currentac__512781.zip / FNB _-) Payment Link created from Current a_c..512781 To Southern Kruger Saf..698317 @ Smartapp.  2Feb 10_14 Call 087 575 9404  for help..eml</x:v>
      </x:c>
    </x:row>
    <x:row r="179">
      <x:c r="A179" s="15" t="str">
        <x:v>Current a/c..512781</x:v>
      </x:c>
      <x:c r="B179" s="34" t="n">
        <x:v>46055.42638888889</x:v>
      </x:c>
      <x:c r="C179" s="15" t="str">
        <x:v>R4900.00 paid from Current a/c..512781 @ Smartapp. Avail R8761. Ref.Southern Kruger - Sw. 2Feb 10:14</x:v>
      </x:c>
      <x:c r="D179" s="38" t="n">
        <x:v>0</x:v>
      </x:c>
      <x:c r="E179" s="38" t="n">
        <x:v>4900</x:v>
      </x:c>
      <x:c r="F179" s="38" t="n">
        <x:v>0</x:v>
      </x:c>
      <x:c r="G179" s="38" t="n">
        <x:v>8761</x:v>
      </x:c>
      <x:c r="H179" s="15" t="str">
        <x:v>Supplier payments</x:v>
      </x:c>
      <x:c r="I179" s="15" t="str">
        <x:v>Southern Kruger - Sw</x:v>
      </x:c>
      <x:c r="J179" s="15" t="str">
        <x:v>eml_ALL_currentac__512781 (2).zip &gt; eml7currentac__512781.zip / FNB _-) R4900.00 paid from Current a_c..512781 @ Smartapp. Ref.Southern Kruger - Sw.  2Feb 10_14.eml</x:v>
      </x:c>
    </x:row>
    <x:row r="180">
      <x:c r="A180" s="15" t="str">
        <x:v>Current a/c..512781</x:v>
      </x:c>
      <x:c r="B180" s="34" t="n">
        <x:v>46055.580555555556</x:v>
      </x:c>
      <x:c r="C180" s="15" t="str">
        <x:v>R17517.27 paid to Current a/c..512781 @ Payshap. Ref.Ik Pay 487882. 2Feb 13:56</x:v>
      </x:c>
      <x:c r="D180" s="38" t="n">
        <x:v>17517.27</x:v>
      </x:c>
      <x:c r="E180" s="38" t="n">
        <x:v>0</x:v>
      </x:c>
      <x:c r="F180" s="38" t="n">
        <x:v>0</x:v>
      </x:c>
      <x:c r="G180" s="38"/>
      <x:c r="H180" s="15" t="str">
        <x:v>Sales / customer receipts</x:v>
      </x:c>
      <x:c r="I180" s="15" t="str">
        <x:v>Ik Pay 487882</x:v>
      </x:c>
      <x:c r="J180" s="15" t="str">
        <x:v>eml_ALL_currentac__512781 (2).zip &gt; eml7currentac__512781.zip / FNB _-) R17517.27 paid to Current a_c..512781 @ Payshap. Ref.Ik Pay 487882.  2Feb 13_56.eml</x:v>
      </x:c>
    </x:row>
    <x:row r="181">
      <x:c r="A181" s="15" t="str">
        <x:v>Current a/c..512781</x:v>
      </x:c>
      <x:c r="B181" s="34" t="n">
        <x:v>46055.626388888886</x:v>
      </x:c>
      <x:c r="C181" s="15" t="str">
        <x:v>R257.18 paid to Current a/c..512781 @ Payshap. Ref.Warner. 2Feb 15:02</x:v>
      </x:c>
      <x:c r="D181" s="38" t="n">
        <x:v>257.18</x:v>
      </x:c>
      <x:c r="E181" s="38" t="n">
        <x:v>0</x:v>
      </x:c>
      <x:c r="F181" s="38" t="n">
        <x:v>0</x:v>
      </x:c>
      <x:c r="G181" s="38"/>
      <x:c r="H181" s="15" t="str">
        <x:v>Sales / customer receipts</x:v>
      </x:c>
      <x:c r="I181" s="15" t="str">
        <x:v>Warner</x:v>
      </x:c>
      <x:c r="J181" s="15" t="str">
        <x:v>eml_ALL_currentac__512781 (2).zip &gt; eml7currentac__512781.zip / FNB _-) R257.18 paid to Current a_c..512781 @ Payshap. Ref.Warner.  2Feb 15_02.eml</x:v>
      </x:c>
    </x:row>
    <x:row r="182">
      <x:c r="A182" s="15" t="str">
        <x:v>Current a/c..512781</x:v>
      </x:c>
      <x:c r="B182" s="34" t="n">
        <x:v>46055.63333333333</x:v>
      </x:c>
      <x:c r="C182" s="15" t="str">
        <x:v>R6472.00 paid from Current a/c..512781 @ Smartapp. Avail R19950. Ref.Royal Bush 3597. 2Feb 15:12</x:v>
      </x:c>
      <x:c r="D182" s="38" t="n">
        <x:v>0</x:v>
      </x:c>
      <x:c r="E182" s="38" t="n">
        <x:v>6472</x:v>
      </x:c>
      <x:c r="F182" s="38" t="n">
        <x:v>0</x:v>
      </x:c>
      <x:c r="G182" s="38" t="n">
        <x:v>19950</x:v>
      </x:c>
      <x:c r="H182" s="15" t="str">
        <x:v>Supplier payments</x:v>
      </x:c>
      <x:c r="I182" s="15" t="str">
        <x:v>Royal Bush 3597</x:v>
      </x:c>
      <x:c r="J182" s="15" t="str">
        <x:v>eml_ALL_currentac__512781 (2).zip &gt; eml7currentac__512781.zip / FNB _-) R6472.00 paid from Current a_c..512781 @ Smartapp. Ref.Royal Bush 3597.  2Feb 15_12.eml</x:v>
      </x:c>
    </x:row>
    <x:row r="183">
      <x:c r="A183" s="15" t="str">
        <x:v>Current a/c..512781</x:v>
      </x:c>
      <x:c r="B183" s="34" t="n">
        <x:v>46057.333333333336</x:v>
      </x:c>
      <x:c r="C183" s="15" t="str">
        <x:v>R500.00 paid from Current a/c..512781 @ Smartapp. Avail R18194. Ref.Electricity 04294887. 4Feb 08:00</x:v>
      </x:c>
      <x:c r="D183" s="38" t="n">
        <x:v>0</x:v>
      </x:c>
      <x:c r="E183" s="38" t="n">
        <x:v>500</x:v>
      </x:c>
      <x:c r="F183" s="38" t="n">
        <x:v>0</x:v>
      </x:c>
      <x:c r="G183" s="38" t="n">
        <x:v>18194</x:v>
      </x:c>
      <x:c r="H183" s="15" t="str">
        <x:v>Telecom / utilities</x:v>
      </x:c>
      <x:c r="I183" s="15" t="str">
        <x:v>Electricity 04294887</x:v>
      </x:c>
      <x:c r="J183" s="15" t="str">
        <x:v>eml_ALL_currentac__512781 (2).zip &gt; eml7currentac__512781.zip / FNB _-) R500.00 paid from Current a_c..512781 @ Smartapp. Ref.Electricity 04294887.  4Feb 08_00.eml</x:v>
      </x:c>
    </x:row>
    <x:row r="184">
      <x:c r="A184" s="15" t="str">
        <x:v>Current a/c..512781</x:v>
      </x:c>
      <x:c r="B184" s="34" t="n">
        <x:v>46057.51527777778</x:v>
      </x:c>
      <x:c r="C184" s="15" t="str">
        <x:v>R6008.00 paid from Current a/c..512781 @ Gen Ph. Avail R12171. Ref.Kruger Safari 1681. 4Feb 12:22</x:v>
      </x:c>
      <x:c r="D184" s="38" t="n">
        <x:v>0</x:v>
      </x:c>
      <x:c r="E184" s="38" t="n">
        <x:v>6008</x:v>
      </x:c>
      <x:c r="F184" s="38" t="n">
        <x:v>0</x:v>
      </x:c>
      <x:c r="G184" s="38" t="n">
        <x:v>12171</x:v>
      </x:c>
      <x:c r="H184" s="15" t="str">
        <x:v>Supplier payments</x:v>
      </x:c>
      <x:c r="I184" s="15" t="str">
        <x:v>Kruger Safari 1681</x:v>
      </x:c>
      <x:c r="J184" s="15" t="str">
        <x:v>eml_ALL_currentac__512781 (2).zip &gt; eml7currentac__512781.zip / FNB _-) R6008.00 paid from Current a_c..512781 @ Gen Ph. Ref.Kruger Safari 1681.  4Feb 12_22.eml</x:v>
      </x:c>
    </x:row>
    <x:row r="185">
      <x:c r="A185" s="15" t="str">
        <x:v>Current a/c..512781</x:v>
      </x:c>
      <x:c r="B185" s="34" t="n">
        <x:v>46058.38333333333</x:v>
      </x:c>
      <x:c r="C185" s="15" t="str">
        <x:v>Payment Link created from Current a/c..512781 To L Meiring Laundry..679185 @ Smartapp. 5Feb 09:12 Call 087 575 9404 for help.</x:v>
      </x:c>
      <x:c r="D185" s="38" t="n">
        <x:v>0</x:v>
      </x:c>
      <x:c r="E185" s="38" t="n">
        <x:v>0</x:v>
      </x:c>
      <x:c r="F185" s="38" t="n">
        <x:v>0</x:v>
      </x:c>
      <x:c r="G185" s="38"/>
      <x:c r="H185" s="15" t="str">
        <x:v>Other</x:v>
      </x:c>
      <x:c r="I185" s="15" t="str">
        <x:v>L Meiring Laundry..679185</x:v>
      </x:c>
      <x:c r="J185" s="15" t="str">
        <x:v>eml_ALL_currentac__512781 (2).zip &gt; eml7currentac__512781.zip / FNB _-) Payment Link created from Current a_c..512781 To L Meiring Laundry..679185 @ Smartapp.  5Feb 09_12 Call 087 575 9404  for help..eml</x:v>
      </x:c>
    </x:row>
    <x:row r="186">
      <x:c r="A186" s="15" t="str">
        <x:v>Current a/c..512781</x:v>
      </x:c>
      <x:c r="B186" s="34" t="n">
        <x:v>46058.38333333333</x:v>
      </x:c>
      <x:c r="C186" s="15" t="str">
        <x:v>R442.25 paid from Current a/c..512781 @ Smartapp. Avail R11189. Ref.Laundry Bigbay. 5Feb 09:12</x:v>
      </x:c>
      <x:c r="D186" s="38" t="n">
        <x:v>0</x:v>
      </x:c>
      <x:c r="E186" s="38" t="n">
        <x:v>442.25</x:v>
      </x:c>
      <x:c r="F186" s="38" t="n">
        <x:v>0</x:v>
      </x:c>
      <x:c r="G186" s="38" t="n">
        <x:v>11189</x:v>
      </x:c>
      <x:c r="H186" s="15" t="str">
        <x:v>Supplier payments</x:v>
      </x:c>
      <x:c r="I186" s="15" t="str">
        <x:v>Laundry Bigbay</x:v>
      </x:c>
      <x:c r="J186" s="15" t="str">
        <x:v>eml_ALL_currentac__512781 (2).zip &gt; eml7currentac__512781.zip / FNB _-) R442.25 paid from Current a_c..512781 @ Smartapp. Ref.Laundry Bigbay.  5Feb 09_12.eml</x:v>
      </x:c>
    </x:row>
    <x:row r="187">
      <x:c r="A187" s="15" t="str">
        <x:v>Current a/c..512781</x:v>
      </x:c>
      <x:c r="B187" s="34" t="n">
        <x:v>46059.07361111111</x:v>
      </x:c>
      <x:c r="C187" s="15" t="str">
        <x:v>R5000.00 paid from Current a/c..512781 @ Gen Ph. Avail R3174. Ref.Salary Jan. 6Feb 01:46</x:v>
      </x:c>
      <x:c r="D187" s="38" t="n">
        <x:v>0</x:v>
      </x:c>
      <x:c r="E187" s="38" t="n">
        <x:v>5000</x:v>
      </x:c>
      <x:c r="F187" s="38" t="n">
        <x:v>0</x:v>
      </x:c>
      <x:c r="G187" s="38" t="n">
        <x:v>3174</x:v>
      </x:c>
      <x:c r="H187" s="15" t="str">
        <x:v>Salary / wages</x:v>
      </x:c>
      <x:c r="I187" s="15" t="str">
        <x:v>Salary Jan</x:v>
      </x:c>
      <x:c r="J187" s="15" t="str">
        <x:v>eml_ALL_currentac__512781 (2).zip &gt; eml6currentac__512781.zip / FNB _-) R5000.00 paid from Current a_c..512781 @ Gen Ph. Ref.Salary Jan.  6Feb 01_46.eml</x:v>
      </x:c>
    </x:row>
    <x:row r="188">
      <x:c r="A188" s="15" t="str">
        <x:v>Current a/c..512781</x:v>
      </x:c>
      <x:c r="B188" s="34" t="n">
        <x:v>46059.17986111111</x:v>
      </x:c>
      <x:c r="C188" s="15" t="str">
        <x:v>R2000.00 paid from Current a/c..512781 @ Smartapp. Avail R1171. Ref.Salary Jan. 6Feb 04:19</x:v>
      </x:c>
      <x:c r="D188" s="38" t="n">
        <x:v>0</x:v>
      </x:c>
      <x:c r="E188" s="38" t="n">
        <x:v>2000</x:v>
      </x:c>
      <x:c r="F188" s="38" t="n">
        <x:v>0</x:v>
      </x:c>
      <x:c r="G188" s="38" t="n">
        <x:v>1171</x:v>
      </x:c>
      <x:c r="H188" s="15" t="str">
        <x:v>Salary / wages</x:v>
      </x:c>
      <x:c r="I188" s="15" t="str">
        <x:v>Salary Jan</x:v>
      </x:c>
      <x:c r="J188" s="15" t="str">
        <x:v>eml_ALL_currentac__512781 (2).zip &gt; eml6currentac__512781.zip / FNB _-) R2000.00 paid from Current a_c..512781 @ Smartapp. Ref.Salary Jan.  6Feb 04_19.eml</x:v>
      </x:c>
    </x:row>
    <x:row r="189">
      <x:c r="A189" s="15" t="str">
        <x:v>Current a/c..512781</x:v>
      </x:c>
      <x:c r="B189" s="34" t="n">
        <x:v>46059.42361111111</x:v>
      </x:c>
      <x:c r="C189" s="15" t="str">
        <x:v>R12861.68 paid to Current a/c..512781 @ Retail Forex. Ref.R026xf8n60 Booking.c. 6Feb 10:10</x:v>
      </x:c>
      <x:c r="D189" s="38" t="n">
        <x:v>12861.68</x:v>
      </x:c>
      <x:c r="E189" s="38" t="n">
        <x:v>0</x:v>
      </x:c>
      <x:c r="F189" s="38" t="n">
        <x:v>0</x:v>
      </x:c>
      <x:c r="G189" s="38"/>
      <x:c r="H189" s="15" t="str">
        <x:v>Sales / customer receipts</x:v>
      </x:c>
      <x:c r="I189" s="15" t="str">
        <x:v>R026xf8n60 Booking.c</x:v>
      </x:c>
      <x:c r="J189" s="15" t="str">
        <x:v>eml_ALL_currentac__512781 (2).zip &gt; eml6currentac__512781.zip / FNB _-) R12861.68 paid to Current a_c..512781 @ Retail Forex. Ref.R026xf8n60 Booking.c.  6Feb 10_10.eml</x:v>
      </x:c>
    </x:row>
    <x:row r="190">
      <x:c r="A190" s="15" t="str">
        <x:v>Current a/c..512781</x:v>
      </x:c>
      <x:c r="B190" s="34" t="n">
        <x:v>46059.65833333333</x:v>
      </x:c>
      <x:c r="C190" s="15" t="str">
        <x:v>R600.00 paid from Current a/c..512781 @ Smartapp. Avail R12167. Ref.Sakkie Wages. 6Feb 15:48</x:v>
      </x:c>
      <x:c r="D190" s="38" t="n">
        <x:v>0</x:v>
      </x:c>
      <x:c r="E190" s="38" t="n">
        <x:v>600</x:v>
      </x:c>
      <x:c r="F190" s="38" t="n">
        <x:v>0</x:v>
      </x:c>
      <x:c r="G190" s="38" t="n">
        <x:v>12167</x:v>
      </x:c>
      <x:c r="H190" s="15" t="str">
        <x:v>Salary / wages</x:v>
      </x:c>
      <x:c r="I190" s="15" t="str">
        <x:v>Sakkie Wages</x:v>
      </x:c>
      <x:c r="J190" s="15" t="str">
        <x:v>eml_ALL_currentac__512781 (2).zip &gt; eml6currentac__512781.zip / FNB _-) R600.00 paid from Current a_c..512781 @ Smartapp. Ref.Sakkie Wages.  6Feb 15_48.eml</x:v>
      </x:c>
    </x:row>
    <x:row r="191">
      <x:c r="A191" s="15" t="str">
        <x:v>Current a/c..512781</x:v>
      </x:c>
      <x:c r="B191" s="34" t="n">
        <x:v>46060.44861111111</x:v>
      </x:c>
      <x:c r="C191" s="15" t="str">
        <x:v>R6094.96 paid to Current a/c..512781 @ Payshap. Ref.Ik Pay 487882. 7Feb 10:46</x:v>
      </x:c>
      <x:c r="D191" s="38" t="n">
        <x:v>6094.96</x:v>
      </x:c>
      <x:c r="E191" s="38" t="n">
        <x:v>0</x:v>
      </x:c>
      <x:c r="F191" s="38" t="n">
        <x:v>0</x:v>
      </x:c>
      <x:c r="G191" s="38"/>
      <x:c r="H191" s="15" t="str">
        <x:v>Sales / customer receipts</x:v>
      </x:c>
      <x:c r="I191" s="15" t="str">
        <x:v>Ik Pay 487882</x:v>
      </x:c>
      <x:c r="J191" s="15" t="str">
        <x:v>eml_ALL_currentac__512781 (2).zip &gt; eml6currentac__512781.zip / FNB _-) R6094.96 paid to Current a_c..512781 @ Payshap. Ref.Ik Pay 487882.  7Feb 10_46.eml</x:v>
      </x:c>
    </x:row>
    <x:row r="192">
      <x:c r="A192" s="15" t="str">
        <x:v>Current a/c..512781</x:v>
      </x:c>
      <x:c r="B192" s="34" t="n">
        <x:v>46060.53472222222</x:v>
      </x:c>
      <x:c r="C192" s="15" t="str">
        <x:v>REVERSAL of R200.00 withdrawn from Current a/c..512781. 7Feb 12:50</x:v>
      </x:c>
      <x:c r="D192" s="38" t="n">
        <x:v>200</x:v>
      </x:c>
      <x:c r="E192" s="38" t="n">
        <x:v>0</x:v>
      </x:c>
      <x:c r="F192" s="38" t="n">
        <x:v>0</x:v>
      </x:c>
      <x:c r="G192" s="38"/>
      <x:c r="H192" s="15" t="str">
        <x:v>Refunds / reversals</x:v>
      </x:c>
      <x:c r="I192" s="15" t="str">
        <x:v>Cash withdrawal reversal</x:v>
      </x:c>
      <x:c r="J192" s="15" t="str">
        <x:v>eml_ALL_currentac__512781 (2).zip &gt; eml6currentac__512781.zip / FNB _-) REVERSAL of R200.00 withdrawn from Current a_c..512781.  7Feb 12_50.eml</x:v>
      </x:c>
    </x:row>
    <x:row r="193">
      <x:c r="A193" s="15" t="str">
        <x:v>Current a/c..512781</x:v>
      </x:c>
      <x:c r="B193" s="34" t="n">
        <x:v>46060.70694444444</x:v>
      </x:c>
      <x:c r="C193" s="15" t="str">
        <x:v>R500.00 paid from Current a/c..512781 @ Smartapp. Avail R15619. Ref.Electricity 04294887. 7Feb 16:58</x:v>
      </x:c>
      <x:c r="D193" s="38" t="n">
        <x:v>0</x:v>
      </x:c>
      <x:c r="E193" s="38" t="n">
        <x:v>500</x:v>
      </x:c>
      <x:c r="F193" s="38" t="n">
        <x:v>0</x:v>
      </x:c>
      <x:c r="G193" s="38" t="n">
        <x:v>15619</x:v>
      </x:c>
      <x:c r="H193" s="15" t="str">
        <x:v>Telecom / utilities</x:v>
      </x:c>
      <x:c r="I193" s="15" t="str">
        <x:v>Electricity 04294887</x:v>
      </x:c>
      <x:c r="J193" s="15" t="str">
        <x:v>eml_ALL_currentac__512781 (2).zip &gt; eml6currentac__512781.zip / FNB _-) R500.00 paid from Current a_c..512781 @ Smartapp. Ref.Electricity 04294887.  7Feb 16_58.eml</x:v>
      </x:c>
    </x:row>
    <x:row r="194">
      <x:c r="A194" s="15" t="str">
        <x:v>Current a/c..512781</x:v>
      </x:c>
      <x:c r="B194" s="34" t="n">
        <x:v>46062.57152777778</x:v>
      </x:c>
      <x:c r="C194" s="15" t="str">
        <x:v>R14766.58 paid to Current a/c..512781 @ Payshap. Ref.Ik Pay 487882. 9Feb 13:43</x:v>
      </x:c>
      <x:c r="D194" s="38" t="n">
        <x:v>14766.58</x:v>
      </x:c>
      <x:c r="E194" s="38" t="n">
        <x:v>0</x:v>
      </x:c>
      <x:c r="F194" s="38" t="n">
        <x:v>0</x:v>
      </x:c>
      <x:c r="G194" s="38"/>
      <x:c r="H194" s="15" t="str">
        <x:v>Sales / customer receipts</x:v>
      </x:c>
      <x:c r="I194" s="15" t="str">
        <x:v>Ik Pay 487882</x:v>
      </x:c>
      <x:c r="J194" s="15" t="str">
        <x:v>eml_ALL_currentac__512781 (2).zip &gt; eml6currentac__512781.zip / FNB _-) R14766.58 paid to Current a_c..512781 @ Payshap. Ref.Ik Pay 487882.  9Feb 13_43.eml</x:v>
      </x:c>
    </x:row>
    <x:row r="195">
      <x:c r="A195" s="15" t="str">
        <x:v>Current a/c..512781</x:v>
      </x:c>
      <x:c r="B195" s="34" t="n">
        <x:v>46062.59027777778</x:v>
      </x:c>
      <x:c r="C195" s="15" t="str">
        <x:v>R759.00 paid from Current a/c..512781 @ Smartapp. Avail R29539. Ref.Nb 26696. 9Feb 14:10</x:v>
      </x:c>
      <x:c r="D195" s="38" t="n">
        <x:v>0</x:v>
      </x:c>
      <x:c r="E195" s="38" t="n">
        <x:v>759</x:v>
      </x:c>
      <x:c r="F195" s="38" t="n">
        <x:v>0</x:v>
      </x:c>
      <x:c r="G195" s="38" t="n">
        <x:v>29539</x:v>
      </x:c>
      <x:c r="H195" s="15" t="str">
        <x:v>Supplier payments</x:v>
      </x:c>
      <x:c r="I195" s="15" t="str">
        <x:v>Nb 26696</x:v>
      </x:c>
      <x:c r="J195" s="15" t="str">
        <x:v>eml_ALL_currentac__512781 (2).zip &gt; eml6currentac__512781.zip / FNB _-) R759.00 paid from Current a_c..512781 @ Smartapp. Ref.Nb 26696.  9Feb 14_10.eml</x:v>
      </x:c>
    </x:row>
    <x:row r="196">
      <x:c r="A196" s="15" t="str">
        <x:v>Current a/c..512781</x:v>
      </x:c>
      <x:c r="B196" s="34" t="n">
        <x:v>46062.59097222222</x:v>
      </x:c>
      <x:c r="C196" s="15" t="str">
        <x:v>R3036.00 paid from Current a/c..512781 @ Smartapp. Avail R26495. Ref.Royal Bush 3610. 9Feb 14:11</x:v>
      </x:c>
      <x:c r="D196" s="38" t="n">
        <x:v>0</x:v>
      </x:c>
      <x:c r="E196" s="38" t="n">
        <x:v>3036</x:v>
      </x:c>
      <x:c r="F196" s="38" t="n">
        <x:v>0</x:v>
      </x:c>
      <x:c r="G196" s="38" t="n">
        <x:v>26495</x:v>
      </x:c>
      <x:c r="H196" s="15" t="str">
        <x:v>Supplier payments</x:v>
      </x:c>
      <x:c r="I196" s="15" t="str">
        <x:v>Royal Bush 3610</x:v>
      </x:c>
      <x:c r="J196" s="15" t="str">
        <x:v>eml_ALL_currentac__512781 (2).zip &gt; eml6currentac__512781.zip / FNB _-) R3036.00 paid from Current a_c..512781 @ Smartapp. Ref.Royal Bush 3610.  9Feb 14_11.eml</x:v>
      </x:c>
    </x:row>
    <x:row r="197">
      <x:c r="A197" s="15" t="str">
        <x:v>Current a/c..512781</x:v>
      </x:c>
      <x:c r="B197" s="34" t="n">
        <x:v>46063.57777777778</x:v>
      </x:c>
      <x:c r="C197" s="15" t="str">
        <x:v>R2266.11 paid to Current a/c..512781 @ Payshap. Ref.Ik Pay 487882. 10Feb 13:52</x:v>
      </x:c>
      <x:c r="D197" s="38" t="n">
        <x:v>2266.11</x:v>
      </x:c>
      <x:c r="E197" s="38" t="n">
        <x:v>0</x:v>
      </x:c>
      <x:c r="F197" s="38" t="n">
        <x:v>0</x:v>
      </x:c>
      <x:c r="G197" s="38"/>
      <x:c r="H197" s="15" t="str">
        <x:v>Sales / customer receipts</x:v>
      </x:c>
      <x:c r="I197" s="15" t="str">
        <x:v>Ik Pay 487882</x:v>
      </x:c>
      <x:c r="J197" s="15" t="str">
        <x:v>eml_ALL_currentac__512781 (2).zip &gt; eml6currentac__512781.zip / FNB _-) R2266.11 paid to Current a_c..512781 @ Payshap. Ref.Ik Pay 487882. 10Feb 13_52.eml</x:v>
      </x:c>
    </x:row>
    <x:row r="198">
      <x:c r="A198" s="15" t="str">
        <x:v>Current a/c..512781</x:v>
      </x:c>
      <x:c r="B198" s="34" t="n">
        <x:v>46064</x:v>
      </x:c>
      <x:c r="C198" s="15" t="str">
        <x:v>R200.00 paid to Current a/c..512781 @ Eft. Ref.Rev Ag18 3884 Olif. 11Feb 00:00</x:v>
      </x:c>
      <x:c r="D198" s="38" t="n">
        <x:v>200</x:v>
      </x:c>
      <x:c r="E198" s="38" t="n">
        <x:v>0</x:v>
      </x:c>
      <x:c r="F198" s="38" t="n">
        <x:v>0</x:v>
      </x:c>
      <x:c r="G198" s="38"/>
      <x:c r="H198" s="15" t="str">
        <x:v>Sales / customer receipts</x:v>
      </x:c>
      <x:c r="I198" s="15" t="str">
        <x:v>Rev Ag18 3884 Olif</x:v>
      </x:c>
      <x:c r="J198" s="15" t="str">
        <x:v>eml_ALL_currentac__512781 (2).zip &gt; eml6currentac__512781.zip / FNB _-) R200.00 paid to Current a_c..512781 @ Eft. Ref.Rev Ag18 3884 Olif. 11Feb 00_00.eml</x:v>
      </x:c>
    </x:row>
    <x:row r="199">
      <x:c r="A199" s="15" t="str">
        <x:v>Current a/c..512781</x:v>
      </x:c>
      <x:c r="B199" s="34" t="n">
        <x:v>46064</x:v>
      </x:c>
      <x:c r="C199" s="15" t="str">
        <x:v>R200.00 paid from Current a/c..512781 @ Eft. Avail R24852. Ref.Cash Ag18 3884 Olif. 11Feb 00:00</x:v>
      </x:c>
      <x:c r="D199" s="38" t="n">
        <x:v>0</x:v>
      </x:c>
      <x:c r="E199" s="38" t="n">
        <x:v>200</x:v>
      </x:c>
      <x:c r="F199" s="38" t="n">
        <x:v>0</x:v>
      </x:c>
      <x:c r="G199" s="38" t="n">
        <x:v>24852</x:v>
      </x:c>
      <x:c r="H199" s="15" t="str">
        <x:v>Cash withdrawal</x:v>
      </x:c>
      <x:c r="I199" s="15" t="str">
        <x:v>Cash Ag18 3884 Olif</x:v>
      </x:c>
      <x:c r="J199" s="15" t="str">
        <x:v>eml_ALL_currentac__512781 (2).zip &gt; eml6currentac__512781.zip / Payments for 11 Feb.eml</x:v>
      </x:c>
    </x:row>
    <x:row r="200">
      <x:c r="A200" s="15" t="str">
        <x:v>Current a/c..512781</x:v>
      </x:c>
      <x:c r="B200" s="34" t="n">
        <x:v>46064.521527777775</x:v>
      </x:c>
      <x:c r="C200" s="15" t="str">
        <x:v>Payment Link created from Current a/c..512781 To Mj Taback..052173 @ Smartapp. 11Feb 12:31 Call 087 575 9404 for help.</x:v>
      </x:c>
      <x:c r="D200" s="38" t="n">
        <x:v>0</x:v>
      </x:c>
      <x:c r="E200" s="38" t="n">
        <x:v>0</x:v>
      </x:c>
      <x:c r="F200" s="38" t="n">
        <x:v>0</x:v>
      </x:c>
      <x:c r="G200" s="38"/>
      <x:c r="H200" s="15" t="str">
        <x:v>Other</x:v>
      </x:c>
      <x:c r="I200" s="15" t="str">
        <x:v>Mj Taback..052173</x:v>
      </x:c>
      <x:c r="J200" s="15" t="str">
        <x:v>eml_ALL_currentac__512781 (2).zip &gt; eml6currentac__512781.zip / FNB _-) Payment Link created from Current a_c..512781 To Mj Taback..052173 @ Smartapp. 11Feb 12_31 Call 087 575 9404  for help..eml</x:v>
      </x:c>
    </x:row>
    <x:row r="201">
      <x:c r="A201" s="15" t="str">
        <x:v>Current a/c..512781</x:v>
      </x:c>
      <x:c r="B201" s="34" t="n">
        <x:v>46064.521527777775</x:v>
      </x:c>
      <x:c r="C201" s="15" t="str">
        <x:v>R2049.00 paid from Current a/c..512781 @ Smartapp. Avail R22595. Ref.Cf Moto Saf - Inv 1.. 11Feb 12:31</x:v>
      </x:c>
      <x:c r="D201" s="38" t="n">
        <x:v>0</x:v>
      </x:c>
      <x:c r="E201" s="38" t="n">
        <x:v>2049</x:v>
      </x:c>
      <x:c r="F201" s="38" t="n">
        <x:v>0</x:v>
      </x:c>
      <x:c r="G201" s="38" t="n">
        <x:v>22595</x:v>
      </x:c>
      <x:c r="H201" s="15" t="str">
        <x:v>Supplier payments</x:v>
      </x:c>
      <x:c r="I201" s="15" t="str">
        <x:v>Cf Moto Saf - Inv 1</x:v>
      </x:c>
      <x:c r="J201" s="15" t="str">
        <x:v>eml_ALL_currentac__512781 (2).zip &gt; eml6currentac__512781.zip / FNB _-) R2049.00 paid from Current a_c..512781 @ Smartapp. Ref.Cf Moto Saf - Inv 1.. 11Feb 12_31.eml</x:v>
      </x:c>
    </x:row>
    <x:row r="202">
      <x:c r="A202" s="15" t="str">
        <x:v>Current a/c..512781</x:v>
      </x:c>
      <x:c r="B202" s="34" t="n">
        <x:v>46064.52291666667</x:v>
      </x:c>
      <x:c r="C202" s="15" t="str">
        <x:v>R1760.00 paid from Current a/c..512781 @ Smartapp. Avail R20827. Ref.Dinner Box 106824. 11Feb 12:33</x:v>
      </x:c>
      <x:c r="D202" s="38" t="n">
        <x:v>0</x:v>
      </x:c>
      <x:c r="E202" s="38" t="n">
        <x:v>1760</x:v>
      </x:c>
      <x:c r="F202" s="38" t="n">
        <x:v>0</x:v>
      </x:c>
      <x:c r="G202" s="38" t="n">
        <x:v>20827</x:v>
      </x:c>
      <x:c r="H202" s="15" t="str">
        <x:v>Meals / restaurants / entertainment</x:v>
      </x:c>
      <x:c r="I202" s="15" t="str">
        <x:v>Dinner Box 106824</x:v>
      </x:c>
      <x:c r="J202" s="15" t="str">
        <x:v>eml_ALL_currentac__512781 (2).zip &gt; eml6currentac__512781.zip / FNB _-) R1760.00 paid from Current a_c..512781 @ Smartapp. Ref.Dinner Box 106824. 11Feb 12_33.eml</x:v>
      </x:c>
    </x:row>
    <x:row r="203">
      <x:c r="A203" s="15" t="str">
        <x:v>Current a/c..512781</x:v>
      </x:c>
      <x:c r="B203" s="34" t="n">
        <x:v>46064.525</x:v>
      </x:c>
      <x:c r="C203" s="15" t="str">
        <x:v>R3000.00 paid from Current a/c..512781 @ Smartapp. Avail R17824. Ref.Salary Jan. 11Feb 12:36</x:v>
      </x:c>
      <x:c r="D203" s="38" t="n">
        <x:v>0</x:v>
      </x:c>
      <x:c r="E203" s="38" t="n">
        <x:v>3000</x:v>
      </x:c>
      <x:c r="F203" s="38" t="n">
        <x:v>0</x:v>
      </x:c>
      <x:c r="G203" s="38" t="n">
        <x:v>17824</x:v>
      </x:c>
      <x:c r="H203" s="15" t="str">
        <x:v>Salary / wages</x:v>
      </x:c>
      <x:c r="I203" s="15" t="str">
        <x:v>Salary Jan</x:v>
      </x:c>
      <x:c r="J203" s="15" t="str">
        <x:v>eml_ALL_currentac__512781 (2).zip &gt; eml6currentac__512781.zip / FNB _-) R3000.00 paid from Current a_c..512781 @ Smartapp. Ref.Salary Jan. 11Feb 12_36.eml</x:v>
      </x:c>
    </x:row>
    <x:row r="204">
      <x:c r="A204" s="15" t="str">
        <x:v>Current a/c..512781</x:v>
      </x:c>
      <x:c r="B204" s="34" t="n">
        <x:v>46065.353472222225</x:v>
      </x:c>
      <x:c r="C204" s="15" t="str">
        <x:v>R35459.34 paid to Current a/c..512781 @ Retail Forex. Ref.R026x4wv90 Booking.c. 12Feb 08:29</x:v>
      </x:c>
      <x:c r="D204" s="38" t="n">
        <x:v>35459.34</x:v>
      </x:c>
      <x:c r="E204" s="38" t="n">
        <x:v>0</x:v>
      </x:c>
      <x:c r="F204" s="38" t="n">
        <x:v>0</x:v>
      </x:c>
      <x:c r="G204" s="38"/>
      <x:c r="H204" s="15" t="str">
        <x:v>Sales / customer receipts</x:v>
      </x:c>
      <x:c r="I204" s="15" t="str">
        <x:v>R026x4wv90 Booking.c</x:v>
      </x:c>
      <x:c r="J204" s="15" t="str">
        <x:v>eml_ALL_currentac__512781 (2).zip &gt; eml6currentac__512781.zip / FNB _-) R35459.34 paid to Current a_c..512781 @ Retail Forex. Ref.R026x4wv90 Booking.c. 12Feb 08_29.eml</x:v>
      </x:c>
    </x:row>
    <x:row r="205">
      <x:c r="A205" s="15" t="str">
        <x:v>Current a/c..512781</x:v>
      </x:c>
      <x:c r="B205" s="34" t="n">
        <x:v>46065.43194444444</x:v>
      </x:c>
      <x:c r="C205" s="15" t="str">
        <x:v>R345.00 paid from Current a/c..512781 @ Smartapp. Avail R51708. Ref.Bon Express 007661. 12Feb 10:22</x:v>
      </x:c>
      <x:c r="D205" s="38" t="n">
        <x:v>0</x:v>
      </x:c>
      <x:c r="E205" s="38" t="n">
        <x:v>345</x:v>
      </x:c>
      <x:c r="F205" s="38" t="n">
        <x:v>0</x:v>
      </x:c>
      <x:c r="G205" s="38" t="n">
        <x:v>51708</x:v>
      </x:c>
      <x:c r="H205" s="15" t="str">
        <x:v>Supplier payments</x:v>
      </x:c>
      <x:c r="I205" s="15" t="str">
        <x:v>Bon Express 007661</x:v>
      </x:c>
      <x:c r="J205" s="15" t="str">
        <x:v>eml_ALL_currentac__512781 (2).zip &gt; eml6currentac__512781.zip / FNB _-) R345.00 paid from Current a_c..512781 @ Smartapp. Ref.Bon Express 007661. 12Feb 10_22.eml</x:v>
      </x:c>
    </x:row>
    <x:row r="206">
      <x:c r="A206" s="15" t="str">
        <x:v>Current a/c..512781</x:v>
      </x:c>
      <x:c r="B206" s="34" t="n">
        <x:v>46065.43194444444</x:v>
      </x:c>
      <x:c r="C206" s="15" t="str">
        <x:v>R380.65 paid from Current a/c..512781 @ Smartapp. Avail R52061. Ref.Bon Express 007623. 12Feb 10:22</x:v>
      </x:c>
      <x:c r="D206" s="38" t="n">
        <x:v>0</x:v>
      </x:c>
      <x:c r="E206" s="38" t="n">
        <x:v>380.65</x:v>
      </x:c>
      <x:c r="F206" s="38" t="n">
        <x:v>0</x:v>
      </x:c>
      <x:c r="G206" s="38" t="n">
        <x:v>52061</x:v>
      </x:c>
      <x:c r="H206" s="15" t="str">
        <x:v>Supplier payments</x:v>
      </x:c>
      <x:c r="I206" s="15" t="str">
        <x:v>Bon Express 007623</x:v>
      </x:c>
      <x:c r="J206" s="15" t="str">
        <x:v>eml_ALL_currentac__512781 (2).zip &gt; eml6currentac__512781.zip / FNB _-) R380.65 paid from Current a_c..512781 @ Smartapp. Ref.Bon Express 007623. 12Feb 10_22.eml</x:v>
      </x:c>
    </x:row>
    <x:row r="207">
      <x:c r="A207" s="15" t="str">
        <x:v>Current a/c..512781</x:v>
      </x:c>
      <x:c r="B207" s="34" t="n">
        <x:v>46065.43402777778</x:v>
      </x:c>
      <x:c r="C207" s="15" t="str">
        <x:v>Payment Link created from Current a/c..512781 To Fr Steyn..296546 @ Smartapp. 12Feb 10:25 Call 087 575 9404 for help.</x:v>
      </x:c>
      <x:c r="D207" s="38" t="n">
        <x:v>0</x:v>
      </x:c>
      <x:c r="E207" s="38" t="n">
        <x:v>0</x:v>
      </x:c>
      <x:c r="F207" s="38" t="n">
        <x:v>0</x:v>
      </x:c>
      <x:c r="G207" s="38"/>
      <x:c r="H207" s="15" t="str">
        <x:v>Other</x:v>
      </x:c>
      <x:c r="I207" s="15" t="str">
        <x:v>Fr Steyn..296546</x:v>
      </x:c>
      <x:c r="J207" s="15" t="str">
        <x:v>eml_ALL_currentac__512781 (2).zip &gt; eml6currentac__512781.zip / FNB _-) Payment Link created from Current a_c..512781 To Fr Steyn..296546 @ Smartapp. 12Feb 10_25 Call 087 575 9404  for help..eml</x:v>
      </x:c>
    </x:row>
    <x:row r="208">
      <x:c r="A208" s="15" t="str">
        <x:v>Current a/c..512781</x:v>
      </x:c>
      <x:c r="B208" s="34" t="n">
        <x:v>46065.43402777778</x:v>
      </x:c>
      <x:c r="C208" s="15" t="str">
        <x:v>R815.00 paid from Current a/c..512781 @ Smartapp. Avail R50885. Ref.Printing. 12Feb 10:25</x:v>
      </x:c>
      <x:c r="D208" s="38" t="n">
        <x:v>0</x:v>
      </x:c>
      <x:c r="E208" s="38" t="n">
        <x:v>815</x:v>
      </x:c>
      <x:c r="F208" s="38" t="n">
        <x:v>0</x:v>
      </x:c>
      <x:c r="G208" s="38" t="n">
        <x:v>50885</x:v>
      </x:c>
      <x:c r="H208" s="15" t="str">
        <x:v>Supplier payments</x:v>
      </x:c>
      <x:c r="I208" s="15" t="str">
        <x:v>Printing</x:v>
      </x:c>
      <x:c r="J208" s="15" t="str">
        <x:v>eml_ALL_currentac__512781 (2).zip &gt; eml6currentac__512781.zip / FNB _-) R815.00 paid from Current a_c..512781 @ Smartapp. Ref.Printing. 12Feb 10_25.eml</x:v>
      </x:c>
    </x:row>
    <x:row r="209">
      <x:c r="A209" s="15" t="str">
        <x:v>Current a/c..512781</x:v>
      </x:c>
      <x:c r="B209" s="34" t="n">
        <x:v>46065.43541666667</x:v>
      </x:c>
      <x:c r="C209" s="15" t="str">
        <x:v>R5708.00 paid from Current a/c..512781 @ Smartapp. Avail R45169. Ref.Kruger Safari 1682. 12Feb 10:27</x:v>
      </x:c>
      <x:c r="D209" s="38" t="n">
        <x:v>0</x:v>
      </x:c>
      <x:c r="E209" s="38" t="n">
        <x:v>5708</x:v>
      </x:c>
      <x:c r="F209" s="38" t="n">
        <x:v>0</x:v>
      </x:c>
      <x:c r="G209" s="38" t="n">
        <x:v>45169</x:v>
      </x:c>
      <x:c r="H209" s="15" t="str">
        <x:v>Supplier payments</x:v>
      </x:c>
      <x:c r="I209" s="15" t="str">
        <x:v>Kruger Safari 1682</x:v>
      </x:c>
      <x:c r="J209" s="15" t="str">
        <x:v>eml_ALL_currentac__512781 (2).zip &gt; eml6currentac__512781.zip / FNB _-) R5708.00 paid from Current a_c..512781 @ Smartapp. Ref.Kruger Safari 1682. 12Feb 10_27.eml</x:v>
      </x:c>
    </x:row>
    <x:row r="210">
      <x:c r="A210" s="15" t="str">
        <x:v>Current a/c..512781</x:v>
      </x:c>
      <x:c r="B210" s="34" t="n">
        <x:v>46065.58611111111</x:v>
      </x:c>
      <x:c r="C210" s="15" t="str">
        <x:v>R3559.21 paid to Current a/c..512781 @ Payshap. Ref.Ik Pay 487882. 12Feb 14:04</x:v>
      </x:c>
      <x:c r="D210" s="38" t="n">
        <x:v>3559.21</x:v>
      </x:c>
      <x:c r="E210" s="38" t="n">
        <x:v>0</x:v>
      </x:c>
      <x:c r="F210" s="38" t="n">
        <x:v>0</x:v>
      </x:c>
      <x:c r="G210" s="38"/>
      <x:c r="H210" s="15" t="str">
        <x:v>Sales / customer receipts</x:v>
      </x:c>
      <x:c r="I210" s="15" t="str">
        <x:v>Ik Pay 487882</x:v>
      </x:c>
      <x:c r="J210" s="15" t="str">
        <x:v>eml_ALL_currentac__512781 (2).zip &gt; eml6currentac__512781.zip / FNB _-) R3559.21 paid to Current a_c..512781 @ Payshap. Ref.Ik Pay 487882. 12Feb 14_04.eml</x:v>
      </x:c>
    </x:row>
    <x:row r="211">
      <x:c r="A211" s="15" t="str">
        <x:v>Current a/c..512781</x:v>
      </x:c>
      <x:c r="B211" s="34" t="n">
        <x:v>46066.67847222222</x:v>
      </x:c>
      <x:c r="C211" s="15" t="str">
        <x:v>R500.00 paid from Current a/c..512781 @ Smartapp. Avail R40449. Ref.Electricity 04294887. 13Feb 16:17</x:v>
      </x:c>
      <x:c r="D211" s="38" t="n">
        <x:v>0</x:v>
      </x:c>
      <x:c r="E211" s="38" t="n">
        <x:v>500</x:v>
      </x:c>
      <x:c r="F211" s="38" t="n">
        <x:v>0</x:v>
      </x:c>
      <x:c r="G211" s="38" t="n">
        <x:v>40449</x:v>
      </x:c>
      <x:c r="H211" s="15" t="str">
        <x:v>Telecom / utilities</x:v>
      </x:c>
      <x:c r="I211" s="15" t="str">
        <x:v>Electricity 04294887</x:v>
      </x:c>
      <x:c r="J211" s="15" t="str">
        <x:v>eml_ALL_currentac__512781 (2).zip &gt; eml6currentac__512781.zip / FNB _-) R500.00 paid from Current a_c..512781 @ Smartapp. Ref.Electricity 04294887. 13Feb 16_17.eml</x:v>
      </x:c>
    </x:row>
    <x:row r="212">
      <x:c r="A212" s="15" t="str">
        <x:v>Current a/c..512781</x:v>
      </x:c>
      <x:c r="B212" s="34" t="n">
        <x:v>46066.68263888889</x:v>
      </x:c>
      <x:c r="C212" s="15" t="str">
        <x:v>R1000.00 paid from Current a/c..512781 @ Smartapp. Avail R39441. Ref.Seaside Village Elec. 13Feb 16:23</x:v>
      </x:c>
      <x:c r="D212" s="38" t="n">
        <x:v>0</x:v>
      </x:c>
      <x:c r="E212" s="38" t="n">
        <x:v>1000</x:v>
      </x:c>
      <x:c r="F212" s="38" t="n">
        <x:v>0</x:v>
      </x:c>
      <x:c r="G212" s="38" t="n">
        <x:v>39441</x:v>
      </x:c>
      <x:c r="H212" s="15" t="str">
        <x:v>Accommodation / hotels</x:v>
      </x:c>
      <x:c r="I212" s="15" t="str">
        <x:v>Seaside Village Elec</x:v>
      </x:c>
      <x:c r="J212" s="15" t="str">
        <x:v>eml_ALL_currentac__512781 (2).zip &gt; eml6currentac__512781.zip / FNB _-) R1000.00 paid from Current a_c..512781 @ Smartapp. Ref.Seaside Village Elec. 13Feb 16_23.eml</x:v>
      </x:c>
    </x:row>
    <x:row r="213">
      <x:c r="A213" s="15" t="str">
        <x:v>Current a/c..512781</x:v>
      </x:c>
      <x:c r="B213" s="34" t="n">
        <x:v>46066.861805555556</x:v>
      </x:c>
      <x:c r="C213" s="15" t="str">
        <x:v>R3000.00 paid from Current a/c..512781 @ Smartapp. Avail R36438. Ref.Salary Feb. 13Feb 20:41</x:v>
      </x:c>
      <x:c r="D213" s="38" t="n">
        <x:v>0</x:v>
      </x:c>
      <x:c r="E213" s="38" t="n">
        <x:v>3000</x:v>
      </x:c>
      <x:c r="F213" s="38" t="n">
        <x:v>0</x:v>
      </x:c>
      <x:c r="G213" s="38" t="n">
        <x:v>36438</x:v>
      </x:c>
      <x:c r="H213" s="15" t="str">
        <x:v>Salary / wages</x:v>
      </x:c>
      <x:c r="I213" s="15" t="str">
        <x:v>Salary Feb</x:v>
      </x:c>
      <x:c r="J213" s="15" t="str">
        <x:v>eml_ALL_currentac__512781 (2).zip &gt; eml6currentac__512781.zip / FNB _-) R3000.00 paid from Current a_c..512781 @ Smartapp. Ref.Salary Feb. 13Feb 20_41.eml</x:v>
      </x:c>
    </x:row>
    <x:row r="214">
      <x:c r="A214" s="15" t="str">
        <x:v>Current a/c..512781</x:v>
      </x:c>
      <x:c r="B214" s="34" t="n">
        <x:v>46066.92291666667</x:v>
      </x:c>
      <x:c r="C214" s="15" t="str">
        <x:v>R5000.00 paid from Current a/c..512781 @ Gen Ph. Avail R31438. Ref.Staff Tips For Aug. 13Feb 22:09</x:v>
      </x:c>
      <x:c r="D214" s="38" t="n">
        <x:v>0</x:v>
      </x:c>
      <x:c r="E214" s="38" t="n">
        <x:v>5000</x:v>
      </x:c>
      <x:c r="F214" s="38" t="n">
        <x:v>0</x:v>
      </x:c>
      <x:c r="G214" s="38" t="n">
        <x:v>31438</x:v>
      </x:c>
      <x:c r="H214" s="15" t="str">
        <x:v>Salary / wages</x:v>
      </x:c>
      <x:c r="I214" s="15" t="str">
        <x:v>Staff Tips For Aug</x:v>
      </x:c>
      <x:c r="J214" s="15" t="str">
        <x:v>eml_ALL_currentac__512781 (2).zip &gt; eml6currentac__512781.zip / FNB _-) R5000.00 paid from Current a_c..512781 @ Gen Ph. Ref.Staff Tips For Aug. 13Feb 22_09.eml</x:v>
      </x:c>
    </x:row>
    <x:row r="215">
      <x:c r="A215" s="15" t="str">
        <x:v>Current a/c..512781</x:v>
      </x:c>
      <x:c r="B215" s="34" t="n">
        <x:v>46067.00833333333</x:v>
      </x:c>
      <x:c r="C215" s="15" t="str">
        <x:v>R3000.00 paid from Current a/c..512781 @ Smartapp. Avail R28420. Ref.Dreyer. 14Feb 00:12</x:v>
      </x:c>
      <x:c r="D215" s="38" t="n">
        <x:v>0</x:v>
      </x:c>
      <x:c r="E215" s="38" t="n">
        <x:v>3000</x:v>
      </x:c>
      <x:c r="F215" s="38" t="n">
        <x:v>0</x:v>
      </x:c>
      <x:c r="G215" s="38" t="n">
        <x:v>28420</x:v>
      </x:c>
      <x:c r="H215" s="15" t="str">
        <x:v>Supplier payments</x:v>
      </x:c>
      <x:c r="I215" s="15" t="str">
        <x:v>Dreyer</x:v>
      </x:c>
      <x:c r="J215" s="15" t="str">
        <x:v>eml_ALL_currentac__512781 (2).zip &gt; eml6currentac__512781.zip / FNB _-) R3000.00 paid from Current a_c..512781 @ Smartapp. Ref.Dreyer. 14Feb 00_12.eml</x:v>
      </x:c>
    </x:row>
    <x:row r="216">
      <x:c r="A216" s="15" t="str">
        <x:v>Current a/c..512781</x:v>
      </x:c>
      <x:c r="B216" s="34" t="n">
        <x:v>46067.36597222222</x:v>
      </x:c>
      <x:c r="C216" s="15" t="str">
        <x:v>R2000.00 paid from Current a/c..512781 @ Smartapp. Avail R26412. Ref.Sakkie Wages. 14Feb 08:47</x:v>
      </x:c>
      <x:c r="D216" s="38" t="n">
        <x:v>0</x:v>
      </x:c>
      <x:c r="E216" s="38" t="n">
        <x:v>2000</x:v>
      </x:c>
      <x:c r="F216" s="38" t="n">
        <x:v>0</x:v>
      </x:c>
      <x:c r="G216" s="38" t="n">
        <x:v>26412</x:v>
      </x:c>
      <x:c r="H216" s="15" t="str">
        <x:v>Salary / wages</x:v>
      </x:c>
      <x:c r="I216" s="15" t="str">
        <x:v>Sakkie Wages</x:v>
      </x:c>
      <x:c r="J216" s="15" t="str">
        <x:v>eml_ALL_currentac__512781 (2).zip &gt; eml6currentac__512781.zip / FNB _-) R2000.00 paid from Current a_c..512781 @ Smartapp. Ref.Sakkie Wages. 14Feb 08_47.eml</x:v>
      </x:c>
    </x:row>
    <x:row r="217">
      <x:c r="A217" s="15" t="str">
        <x:v>Current a/c..512781</x:v>
      </x:c>
      <x:c r="B217" s="34" t="n">
        <x:v>46069.50069444445</x:v>
      </x:c>
      <x:c r="C217" s="15" t="str">
        <x:v>R4000.00 t/fer from Current a/c..512781 to Private Cheq Acc..566332 @ Smartapp. Avail R21545. 16Feb 12:01</x:v>
      </x:c>
      <x:c r="D217" s="38" t="n">
        <x:v>0</x:v>
      </x:c>
      <x:c r="E217" s="38" t="n">
        <x:v>0</x:v>
      </x:c>
      <x:c r="F217" s="38" t="n">
        <x:v>4000</x:v>
      </x:c>
      <x:c r="G217" s="38" t="n">
        <x:v>21545</x:v>
      </x:c>
      <x:c r="H217" s="15" t="str">
        <x:v>Inter-account transfer</x:v>
      </x:c>
      <x:c r="I217" s="15" t="str">
        <x:v>Private Cheq Acc..566332</x:v>
      </x:c>
      <x:c r="J217" s="15" t="str">
        <x:v>eml_ALL_currentac__512781 (2).zip &gt; eml6currentac__512781.zip / FNB _-) R4000.00 t_fer from Current a_c..512781 to Private Cheq Acc..566332 @ Smartapp. 16Feb 12_01.eml</x:v>
      </x:c>
    </x:row>
    <x:row r="218">
      <x:c r="A218" s="15" t="str">
        <x:v>Current a/c..512781</x:v>
      </x:c>
      <x:c r="B218" s="34" t="n">
        <x:v>46069.57430555556</x:v>
      </x:c>
      <x:c r="C218" s="15" t="str">
        <x:v>R7869.08 paid to Current a/c..512781 @ Payshap. Ref.Ik Pay 487882. 16Feb 13:47</x:v>
      </x:c>
      <x:c r="D218" s="38" t="n">
        <x:v>7869.08</x:v>
      </x:c>
      <x:c r="E218" s="38" t="n">
        <x:v>0</x:v>
      </x:c>
      <x:c r="F218" s="38" t="n">
        <x:v>0</x:v>
      </x:c>
      <x:c r="G218" s="38"/>
      <x:c r="H218" s="15" t="str">
        <x:v>Sales / customer receipts</x:v>
      </x:c>
      <x:c r="I218" s="15" t="str">
        <x:v>Ik Pay 487882</x:v>
      </x:c>
      <x:c r="J218" s="15" t="str">
        <x:v>eml_ALL_currentac__512781 (2).zip &gt; eml6currentac__512781.zip / FNB _-) R7869.08 paid to Current a_c..512781 @ Payshap. Ref.Ik Pay 487882. 16Feb 13_47.eml</x:v>
      </x:c>
    </x:row>
    <x:row r="219">
      <x:c r="A219" s="15" t="str">
        <x:v>Current a/c..512781</x:v>
      </x:c>
      <x:c r="B219" s="34" t="n">
        <x:v>46070.43680555555</x:v>
      </x:c>
      <x:c r="C219" s="15" t="str">
        <x:v>R2000.00 paid from Current a/c..512781 @ Smartapp. Avail R24931. Ref.Showpls Roofing. 17Feb 10:29</x:v>
      </x:c>
      <x:c r="D219" s="38" t="n">
        <x:v>0</x:v>
      </x:c>
      <x:c r="E219" s="38" t="n">
        <x:v>2000</x:v>
      </x:c>
      <x:c r="F219" s="38" t="n">
        <x:v>0</x:v>
      </x:c>
      <x:c r="G219" s="38" t="n">
        <x:v>24931</x:v>
      </x:c>
      <x:c r="H219" s="15" t="str">
        <x:v>Supplier payments</x:v>
      </x:c>
      <x:c r="I219" s="15" t="str">
        <x:v>Showpls Roofing</x:v>
      </x:c>
      <x:c r="J219" s="15" t="str">
        <x:v>eml_ALL_currentac__512781 (2).zip &gt; eml6currentac__512781.zip / FNB _-) R2000.00 paid from Current a_c..512781 @ Smartapp. Ref.Showpls Roofing. 17Feb 10_29.eml</x:v>
      </x:c>
    </x:row>
    <x:row r="220">
      <x:c r="A220" s="15" t="str">
        <x:v>Current a/c..512781</x:v>
      </x:c>
      <x:c r="B220" s="34" t="n">
        <x:v>46070.461805555555</x:v>
      </x:c>
      <x:c r="C220" s="15" t="str">
        <x:v>R4506.00 paid from Current a/c..512781 @ Gen Ph. Avail R20410. Ref.Kruger Safari 1683. 17Feb 11:05</x:v>
      </x:c>
      <x:c r="D220" s="38" t="n">
        <x:v>0</x:v>
      </x:c>
      <x:c r="E220" s="38" t="n">
        <x:v>4506</x:v>
      </x:c>
      <x:c r="F220" s="38" t="n">
        <x:v>0</x:v>
      </x:c>
      <x:c r="G220" s="38" t="n">
        <x:v>20410</x:v>
      </x:c>
      <x:c r="H220" s="15" t="str">
        <x:v>Supplier payments</x:v>
      </x:c>
      <x:c r="I220" s="15" t="str">
        <x:v>Kruger Safari 1683</x:v>
      </x:c>
      <x:c r="J220" s="15" t="str">
        <x:v>eml_ALL_currentac__512781 (2).zip &gt; eml6currentac__512781.zip / FNB _-) R4506.00 paid from Current a_c..512781 @ Gen Ph. Ref.Kruger Safari 1683. 17Feb 11_05.eml</x:v>
      </x:c>
    </x:row>
    <x:row r="221">
      <x:c r="A221" s="15" t="str">
        <x:v>Current a/c..512781</x:v>
      </x:c>
      <x:c r="B221" s="34" t="n">
        <x:v>46072.35</x:v>
      </x:c>
      <x:c r="C221" s="15" t="str">
        <x:v>R26868.57 paid to Current a/c..512781 @ Retail Forex. Ref.R026wwtl60 Booking.c. 19Feb 08:24</x:v>
      </x:c>
      <x:c r="D221" s="38" t="n">
        <x:v>26868.57</x:v>
      </x:c>
      <x:c r="E221" s="38" t="n">
        <x:v>0</x:v>
      </x:c>
      <x:c r="F221" s="38" t="n">
        <x:v>0</x:v>
      </x:c>
      <x:c r="G221" s="38"/>
      <x:c r="H221" s="15" t="str">
        <x:v>Sales / customer receipts</x:v>
      </x:c>
      <x:c r="I221" s="15" t="str">
        <x:v>R026wwtl60 Booking.c</x:v>
      </x:c>
      <x:c r="J221" s="15" t="str">
        <x:v>eml_ALL_currentac__512781 (2).zip &gt; eml6currentac__512781.zip / FNB _-) R26868.57 paid to Current a_c..512781 @ Retail Forex. Ref.R026wwtl60 Booking.c. 19Feb 08_24.eml</x:v>
      </x:c>
    </x:row>
    <x:row r="222">
      <x:c r="A222" s="15" t="str">
        <x:v>Current a/c..512781</x:v>
      </x:c>
      <x:c r="B222" s="34" t="n">
        <x:v>46072.47430555556</x:v>
      </x:c>
      <x:c r="C222" s="15" t="str">
        <x:v>Payment Link created from Current a/c..512781 To G Van Der Merwe..529150 @ Smartapp. 19Feb 11:23 Call 087 575 9404 for help.</x:v>
      </x:c>
      <x:c r="D222" s="38" t="n">
        <x:v>0</x:v>
      </x:c>
      <x:c r="E222" s="38" t="n">
        <x:v>0</x:v>
      </x:c>
      <x:c r="F222" s="38" t="n">
        <x:v>0</x:v>
      </x:c>
      <x:c r="G222" s="38"/>
      <x:c r="H222" s="15" t="str">
        <x:v>Other</x:v>
      </x:c>
      <x:c r="I222" s="15" t="str">
        <x:v>G Van Der Merwe..529150</x:v>
      </x:c>
      <x:c r="J222" s="15" t="str">
        <x:v>eml_ALL_currentac__512781 (2).zip &gt; eml6currentac__512781.zip / FNB _-) Payment Link created from Current a_c..512781 To G Van Der Merwe..529150 @ Smartapp. 19Feb 11_23 Call 087 575 9404  for help..eml</x:v>
      </x:c>
    </x:row>
    <x:row r="223">
      <x:c r="A223" s="15" t="str">
        <x:v>Current a/c..512781</x:v>
      </x:c>
      <x:c r="B223" s="34" t="n">
        <x:v>46072.47430555556</x:v>
      </x:c>
      <x:c r="C223" s="15" t="str">
        <x:v>R3525.00 paid from Current a/c..512781 @ Smartapp. Avail R40154. Ref.Screens X 5. 19Feb 11:23</x:v>
      </x:c>
      <x:c r="D223" s="38" t="n">
        <x:v>0</x:v>
      </x:c>
      <x:c r="E223" s="38" t="n">
        <x:v>3525</x:v>
      </x:c>
      <x:c r="F223" s="38" t="n">
        <x:v>0</x:v>
      </x:c>
      <x:c r="G223" s="38" t="n">
        <x:v>40154</x:v>
      </x:c>
      <x:c r="H223" s="15" t="str">
        <x:v>Supplier payments</x:v>
      </x:c>
      <x:c r="I223" s="15" t="str">
        <x:v>Screens X 5</x:v>
      </x:c>
      <x:c r="J223" s="15" t="str">
        <x:v>eml_ALL_currentac__512781 (2).zip &gt; eml6currentac__512781.zip / FNB _-) R3525.00 paid from Current a_c..512781 @ Smartapp. Ref.Screens X 5. 19Feb 11_23.eml</x:v>
      </x:c>
    </x:row>
    <x:row r="224">
      <x:c r="A224" s="15" t="str">
        <x:v>Current a/c..512781</x:v>
      </x:c>
      <x:c r="B224" s="34" t="n">
        <x:v>46072.57638888889</x:v>
      </x:c>
      <x:c r="C224" s="15" t="str">
        <x:v>R13138.92 paid to Current a/c..512781 @ Payshap. Ref.Ik Pay 487882. 19Feb 13:50</x:v>
      </x:c>
      <x:c r="D224" s="38" t="n">
        <x:v>13138.92</x:v>
      </x:c>
      <x:c r="E224" s="38" t="n">
        <x:v>0</x:v>
      </x:c>
      <x:c r="F224" s="38" t="n">
        <x:v>0</x:v>
      </x:c>
      <x:c r="G224" s="38"/>
      <x:c r="H224" s="15" t="str">
        <x:v>Sales / customer receipts</x:v>
      </x:c>
      <x:c r="I224" s="15" t="str">
        <x:v>Ik Pay 487882</x:v>
      </x:c>
      <x:c r="J224" s="15" t="str">
        <x:v>eml_ALL_currentac__512781 (2).zip &gt; eml6currentac__512781.zip / FNB _-) R13138.92 paid to Current a_c..512781 @ Payshap. Ref.Ik Pay 487882. 19Feb 13_50.eml</x:v>
      </x:c>
    </x:row>
    <x:row r="225">
      <x:c r="A225" s="15" t="str">
        <x:v>Current a/c..512781</x:v>
      </x:c>
      <x:c r="B225" s="34" t="n">
        <x:v>46072.63055555556</x:v>
      </x:c>
      <x:c r="C225" s="15" t="str">
        <x:v>R132.25 paid from Current a/c..512781 @ Smartapp. Avail R53153. Ref.Bon Express 007757. 19Feb 15:08</x:v>
      </x:c>
      <x:c r="D225" s="38" t="n">
        <x:v>0</x:v>
      </x:c>
      <x:c r="E225" s="38" t="n">
        <x:v>132.25</x:v>
      </x:c>
      <x:c r="F225" s="38" t="n">
        <x:v>0</x:v>
      </x:c>
      <x:c r="G225" s="38" t="n">
        <x:v>53153</x:v>
      </x:c>
      <x:c r="H225" s="15" t="str">
        <x:v>Supplier payments</x:v>
      </x:c>
      <x:c r="I225" s="15" t="str">
        <x:v>Bon Express 007757</x:v>
      </x:c>
      <x:c r="J225" s="15" t="str">
        <x:v>eml_ALL_currentac__512781 (2).zip &gt; eml6currentac__512781.zip / FNB _-) R132.25 paid from Current a_c..512781 @ Smartapp. Ref.Bon Express 007757. 19Feb 15_08.eml</x:v>
      </x:c>
    </x:row>
    <x:row r="226">
      <x:c r="A226" s="15" t="str">
        <x:v>Current a/c..512781</x:v>
      </x:c>
      <x:c r="B226" s="34" t="n">
        <x:v>46072.79861111111</x:v>
      </x:c>
      <x:c r="C226" s="15" t="str">
        <x:v>Payment Link created from Current a/c..512781 To Captured Views Photo..937400 @ Smartapp. 19Feb 19:10 Call 087 575 9404 for help.</x:v>
      </x:c>
      <x:c r="D226" s="38" t="n">
        <x:v>0</x:v>
      </x:c>
      <x:c r="E226" s="38" t="n">
        <x:v>0</x:v>
      </x:c>
      <x:c r="F226" s="38" t="n">
        <x:v>0</x:v>
      </x:c>
      <x:c r="G226" s="38"/>
      <x:c r="H226" s="15" t="str">
        <x:v>Other</x:v>
      </x:c>
      <x:c r="I226" s="15" t="str">
        <x:v>Captured Views Photo..937400</x:v>
      </x:c>
      <x:c r="J226" s="15" t="str">
        <x:v>eml_ALL_currentac__512781 (2).zip &gt; eml6currentac__512781.zip / FNB _-) Payment Link created from Current a_c..512781 To Captured Views Photo..937400 @ Smartapp. 19Feb 19_10 Call 087 575 9404  for help..eml</x:v>
      </x:c>
    </x:row>
    <x:row r="227">
      <x:c r="A227" s="15" t="str">
        <x:v>Current a/c..512781</x:v>
      </x:c>
      <x:c r="B227" s="34" t="n">
        <x:v>46072.79861111111</x:v>
      </x:c>
      <x:c r="C227" s="15" t="str">
        <x:v>R545.00 paid from Current a/c..512781 @ Smartapp. Avail R52428. Ref.Inv 20260138. 19Feb 19:10</x:v>
      </x:c>
      <x:c r="D227" s="38" t="n">
        <x:v>0</x:v>
      </x:c>
      <x:c r="E227" s="38" t="n">
        <x:v>545</x:v>
      </x:c>
      <x:c r="F227" s="38" t="n">
        <x:v>0</x:v>
      </x:c>
      <x:c r="G227" s="38" t="n">
        <x:v>52428</x:v>
      </x:c>
      <x:c r="H227" s="15" t="str">
        <x:v>Supplier payments</x:v>
      </x:c>
      <x:c r="I227" s="15" t="str">
        <x:v>Inv 20260138</x:v>
      </x:c>
      <x:c r="J227" s="15" t="str">
        <x:v>eml_ALL_currentac__512781 (2).zip &gt; eml6currentac__512781.zip / FNB _-) R545.00 paid from Current a_c..512781 @ Smartapp. Ref.Inv 20260138. 19Feb 19_10.eml</x:v>
      </x:c>
    </x:row>
    <x:row r="228">
      <x:c r="A228" s="15" t="str">
        <x:v>Current a/c..512781</x:v>
      </x:c>
      <x:c r="B228" s="34" t="n">
        <x:v>46073.39097222222</x:v>
      </x:c>
      <x:c r="C228" s="15" t="str">
        <x:v>Payment Link created from Current a/c..512781 To Komatipoort..134128 @ Smartapp. 20Feb 09:23 Call 087 575 9404 for help.</x:v>
      </x:c>
      <x:c r="D228" s="38" t="n">
        <x:v>0</x:v>
      </x:c>
      <x:c r="E228" s="38" t="n">
        <x:v>0</x:v>
      </x:c>
      <x:c r="F228" s="38" t="n">
        <x:v>0</x:v>
      </x:c>
      <x:c r="G228" s="38"/>
      <x:c r="H228" s="15" t="str">
        <x:v>Other</x:v>
      </x:c>
      <x:c r="I228" s="15" t="str">
        <x:v>Komatipoort..134128</x:v>
      </x:c>
      <x:c r="J228" s="15" t="str">
        <x:v>eml_ALL_currentac__512781 (2).zip &gt; eml6currentac__512781.zip / FNB _-) Payment Link created from Current a_c..512781 To Komatipoort..134128 @ Smartapp. 20Feb 09_23 Call 087 575 9404  for help..eml</x:v>
      </x:c>
    </x:row>
    <x:row r="229">
      <x:c r="A229" s="15" t="str">
        <x:v>Current a/c..512781</x:v>
      </x:c>
      <x:c r="B229" s="34" t="n">
        <x:v>46073.39097222222</x:v>
      </x:c>
      <x:c r="C229" s="15" t="str">
        <x:v>R845.00 paid from Current a/c..512781 @ Smartapp. Avail R51567. Ref.Komatipoort. 20Feb 09:23</x:v>
      </x:c>
      <x:c r="D229" s="38" t="n">
        <x:v>0</x:v>
      </x:c>
      <x:c r="E229" s="38" t="n">
        <x:v>845</x:v>
      </x:c>
      <x:c r="F229" s="38" t="n">
        <x:v>0</x:v>
      </x:c>
      <x:c r="G229" s="38" t="n">
        <x:v>51567</x:v>
      </x:c>
      <x:c r="H229" s="15" t="str">
        <x:v>Supplier payments</x:v>
      </x:c>
      <x:c r="I229" s="15" t="str">
        <x:v>Komatipoort</x:v>
      </x:c>
      <x:c r="J229" s="15" t="str">
        <x:v>eml_ALL_currentac__512781 (2).zip &gt; eml6currentac__512781.zip / FNB _-) R845.00 paid from Current a_c..512781 @ Smartapp. Ref.Komatipoort. 20Feb 09_23.eml</x:v>
      </x:c>
    </x:row>
    <x:row r="230">
      <x:c r="A230" s="15" t="str">
        <x:v>Current a/c..512781</x:v>
      </x:c>
      <x:c r="B230" s="34" t="n">
        <x:v>46073.39166666667</x:v>
      </x:c>
      <x:c r="C230" s="15" t="str">
        <x:v>R12000.00 paid to Current a/c..512781 @ Smartapp. Ref.Candace Osbourn. 20Feb 09:24</x:v>
      </x:c>
      <x:c r="D230" s="38" t="n">
        <x:v>12000</x:v>
      </x:c>
      <x:c r="E230" s="38" t="n">
        <x:v>0</x:v>
      </x:c>
      <x:c r="F230" s="38" t="n">
        <x:v>0</x:v>
      </x:c>
      <x:c r="G230" s="38"/>
      <x:c r="H230" s="15" t="str">
        <x:v>Sales / customer receipts</x:v>
      </x:c>
      <x:c r="I230" s="15" t="str">
        <x:v>Candace Osbourn</x:v>
      </x:c>
      <x:c r="J230" s="15" t="str">
        <x:v>eml_ALL_currentac__512781 (2).zip &gt; eml6currentac__512781.zip / FNB _-) R12000.00 paid to Current a_c..512781 @ Smartapp. Ref.Candace Osbourn. 20Feb 09_24.eml</x:v>
      </x:c>
    </x:row>
    <x:row r="231">
      <x:c r="A231" s="15" t="str">
        <x:v>Current a/c..512781</x:v>
      </x:c>
      <x:c r="B231" s="34" t="n">
        <x:v>46073.572222222225</x:v>
      </x:c>
      <x:c r="C231" s="15" t="str">
        <x:v>R18036.32 paid to Current a/c..512781 @ Payshap. Ref.Ik Pay 487882. 20Feb 13:44</x:v>
      </x:c>
      <x:c r="D231" s="38" t="n">
        <x:v>18036.32</x:v>
      </x:c>
      <x:c r="E231" s="38" t="n">
        <x:v>0</x:v>
      </x:c>
      <x:c r="F231" s="38" t="n">
        <x:v>0</x:v>
      </x:c>
      <x:c r="G231" s="38"/>
      <x:c r="H231" s="15" t="str">
        <x:v>Sales / customer receipts</x:v>
      </x:c>
      <x:c r="I231" s="15" t="str">
        <x:v>Ik Pay 487882</x:v>
      </x:c>
      <x:c r="J231" s="15" t="str">
        <x:v>eml_ALL_currentac__512781 (2).zip &gt; eml6currentac__512781.zip / FNB _-) R18036.32 paid to Current a_c..512781 @ Payshap. Ref.Ik Pay 487882. 20Feb 13_44.eml</x:v>
      </x:c>
    </x:row>
    <x:row r="232">
      <x:c r="A232" s="15" t="str">
        <x:v>Current a/c..512781</x:v>
      </x:c>
      <x:c r="B232" s="34" t="n">
        <x:v>46073.58125</x:v>
      </x:c>
      <x:c r="C232" s="15" t="str">
        <x:v>R6008.00 paid from Current a/c..512781 @ Smartapp. Avail R75588. Ref.Kruger Safari 1684. 20Feb 13:57</x:v>
      </x:c>
      <x:c r="D232" s="38" t="n">
        <x:v>0</x:v>
      </x:c>
      <x:c r="E232" s="38" t="n">
        <x:v>6008</x:v>
      </x:c>
      <x:c r="F232" s="38" t="n">
        <x:v>0</x:v>
      </x:c>
      <x:c r="G232" s="38" t="n">
        <x:v>75588</x:v>
      </x:c>
      <x:c r="H232" s="15" t="str">
        <x:v>Supplier payments</x:v>
      </x:c>
      <x:c r="I232" s="15" t="str">
        <x:v>Kruger Safari 1684</x:v>
      </x:c>
      <x:c r="J232" s="15" t="str">
        <x:v>eml_ALL_currentac__512781 (2).zip &gt; eml6currentac__512781.zip / FNB _-) R6008.00 paid from Current a_c..512781 @ Smartapp. Ref.Kruger Safari 1684. 20Feb 13_57.eml</x:v>
      </x:c>
    </x:row>
    <x:row r="233">
      <x:c r="A233" s="15" t="str">
        <x:v>Current a/c..512781</x:v>
      </x:c>
      <x:c r="B233" s="34" t="n">
        <x:v>46073.80416666667</x:v>
      </x:c>
      <x:c r="C233" s="15" t="str">
        <x:v>Payment Link created from Current a/c..512781 To Ms Cp Nsingwane..561030 @ Smartapp. 20Feb 19:18 Call 087 575 9404 for help.</x:v>
      </x:c>
      <x:c r="D233" s="38" t="n">
        <x:v>0</x:v>
      </x:c>
      <x:c r="E233" s="38" t="n">
        <x:v>0</x:v>
      </x:c>
      <x:c r="F233" s="38" t="n">
        <x:v>0</x:v>
      </x:c>
      <x:c r="G233" s="38"/>
      <x:c r="H233" s="15" t="str">
        <x:v>Other</x:v>
      </x:c>
      <x:c r="I233" s="15" t="str">
        <x:v>Ms Cp Nsingwane..561030</x:v>
      </x:c>
      <x:c r="J233" s="15" t="str">
        <x:v>eml_ALL_currentac__512781 (2).zip &gt; eml6currentac__512781.zip / FNB _-) Payment Link created from Current a_c..512781 To Ms Cp Nsingwane..561030 @ Smartapp. 20Feb 19_18 Call 087 575 9404  for help..eml</x:v>
      </x:c>
    </x:row>
    <x:row r="234">
      <x:c r="A234" s="15" t="str">
        <x:v>Current a/c..512781</x:v>
      </x:c>
      <x:c r="B234" s="34" t="n">
        <x:v>46073.80416666667</x:v>
      </x:c>
      <x:c r="C234" s="15" t="str">
        <x:v>R2000.00 paid from Current a/c..512781 @ Smartapp. Avail R72741. Ref.Gas. 20Feb 19:18</x:v>
      </x:c>
      <x:c r="D234" s="38" t="n">
        <x:v>0</x:v>
      </x:c>
      <x:c r="E234" s="38" t="n">
        <x:v>2000</x:v>
      </x:c>
      <x:c r="F234" s="38" t="n">
        <x:v>0</x:v>
      </x:c>
      <x:c r="G234" s="38" t="n">
        <x:v>72741</x:v>
      </x:c>
      <x:c r="H234" s="15" t="str">
        <x:v>Supplier payments</x:v>
      </x:c>
      <x:c r="I234" s="15" t="str">
        <x:v>Gas</x:v>
      </x:c>
      <x:c r="J234" s="15" t="str">
        <x:v>eml_ALL_currentac__512781 (2).zip &gt; eml6currentac__512781.zip / FNB _-) R2000.00 paid from Current a_c..512781 @ Smartapp. Ref.Gas. 20Feb 19_18.eml</x:v>
      </x:c>
    </x:row>
    <x:row r="235">
      <x:c r="A235" s="15" t="str">
        <x:v>Current a/c..512781</x:v>
      </x:c>
      <x:c r="B235" s="34" t="n">
        <x:v>46074.819444444445</x:v>
      </x:c>
      <x:c r="C235" s="15" t="str">
        <x:v>R500.00 paid from Current a/c..512781 @ Smartapp. Avail R68936. Ref.Electricity 04294887. 21Feb 19:40</x:v>
      </x:c>
      <x:c r="D235" s="38" t="n">
        <x:v>0</x:v>
      </x:c>
      <x:c r="E235" s="38" t="n">
        <x:v>500</x:v>
      </x:c>
      <x:c r="F235" s="38" t="n">
        <x:v>0</x:v>
      </x:c>
      <x:c r="G235" s="38" t="n">
        <x:v>68936</x:v>
      </x:c>
      <x:c r="H235" s="15" t="str">
        <x:v>Telecom / utilities</x:v>
      </x:c>
      <x:c r="I235" s="15" t="str">
        <x:v>Electricity 04294887</x:v>
      </x:c>
      <x:c r="J235" s="15" t="str">
        <x:v>eml_ALL_currentac__512781 (2).zip &gt; eml6currentac__512781.zip / FNB _-) R500.00 paid from Current a_c..512781 @ Smartapp. Ref.Electricity 04294887. 21Feb 19_40.eml</x:v>
      </x:c>
    </x:row>
    <x:row r="236">
      <x:c r="A236" s="15" t="str">
        <x:v>Current a/c..512781</x:v>
      </x:c>
      <x:c r="B236" s="34" t="n">
        <x:v>46075.39097222222</x:v>
      </x:c>
      <x:c r="C236" s="15" t="str">
        <x:v>R512.33 paid to Current a/c..512781 @ Payshap. Ref.#inv-000167. 22Feb 09:23</x:v>
      </x:c>
      <x:c r="D236" s="38" t="n">
        <x:v>512.33</x:v>
      </x:c>
      <x:c r="E236" s="38" t="n">
        <x:v>0</x:v>
      </x:c>
      <x:c r="F236" s="38" t="n">
        <x:v>0</x:v>
      </x:c>
      <x:c r="G236" s="38"/>
      <x:c r="H236" s="15" t="str">
        <x:v>Sales / customer receipts</x:v>
      </x:c>
      <x:c r="I236" s="15" t="str">
        <x:v>#inv-000167</x:v>
      </x:c>
      <x:c r="J236" s="15" t="str">
        <x:v>eml_ALL_currentac__512781 (2).zip &gt; eml6currentac__512781.zip / FNB _-) R512.33 paid to Current a_c..512781 @ Payshap. Ref.#inv-000167. 22Feb 09_23.eml</x:v>
      </x:c>
    </x:row>
    <x:row r="237">
      <x:c r="A237" s="15" t="str">
        <x:v>Current a/c..512781</x:v>
      </x:c>
      <x:c r="B237" s="34" t="n">
        <x:v>46075.50902777778</x:v>
      </x:c>
      <x:c r="C237" s="15" t="str">
        <x:v>R350.00 paid from Current a/c..512781 @ Smartapp. Avail R69098. Ref.Cindy Wages. 22Feb 12:13</x:v>
      </x:c>
      <x:c r="D237" s="38" t="n">
        <x:v>0</x:v>
      </x:c>
      <x:c r="E237" s="38" t="n">
        <x:v>350</x:v>
      </x:c>
      <x:c r="F237" s="38" t="n">
        <x:v>0</x:v>
      </x:c>
      <x:c r="G237" s="38" t="n">
        <x:v>69098</x:v>
      </x:c>
      <x:c r="H237" s="15" t="str">
        <x:v>Salary / wages</x:v>
      </x:c>
      <x:c r="I237" s="15" t="str">
        <x:v>Cindy Wages</x:v>
      </x:c>
      <x:c r="J237" s="15" t="str">
        <x:v>eml_ALL_currentac__512781 (2).zip &gt; eml6currentac__512781.zip / FNB _-) R350.00 paid from Current a_c..512781 @ Smartapp. Ref.Cindy Wages. 22Feb 12_13.eml</x:v>
      </x:c>
    </x:row>
    <x:row r="238">
      <x:c r="A238" s="15" t="str">
        <x:v>Current a/c..512781</x:v>
      </x:c>
      <x:c r="B238" s="34" t="n">
        <x:v>46076.54861111111</x:v>
      </x:c>
      <x:c r="C238" s="15" t="str">
        <x:v>R1707.00 paid from Current a/c..512781 @ Smartapp. Avail R65068. Ref.Dinner Box 107370. 23Feb 13:10</x:v>
      </x:c>
      <x:c r="D238" s="38" t="n">
        <x:v>0</x:v>
      </x:c>
      <x:c r="E238" s="38" t="n">
        <x:v>1707</x:v>
      </x:c>
      <x:c r="F238" s="38" t="n">
        <x:v>0</x:v>
      </x:c>
      <x:c r="G238" s="38" t="n">
        <x:v>65068</x:v>
      </x:c>
      <x:c r="H238" s="15" t="str">
        <x:v>Meals / restaurants / entertainment</x:v>
      </x:c>
      <x:c r="I238" s="15" t="str">
        <x:v>Dinner Box 107370</x:v>
      </x:c>
      <x:c r="J238" s="15" t="str">
        <x:v>eml_ALL_currentac__512781 (2).zip &gt; eml5currentac__512781.zip / FNB _-) R1707.00 paid from Current a_c..512781 @ Smartapp. Ref.Dinner Box 107370. 23Feb 13_10.eml</x:v>
      </x:c>
    </x:row>
    <x:row r="239">
      <x:c r="A239" s="15" t="str">
        <x:v>Current a/c..512781</x:v>
      </x:c>
      <x:c r="B239" s="34" t="n">
        <x:v>46077.46597222222</x:v>
      </x:c>
      <x:c r="C239" s="15" t="str">
        <x:v>R8480.00 paid from Current a/c..512781 @ Smartapp. Avail R54049. Ref.Royal Bush 3751. 24Feb 11:11</x:v>
      </x:c>
      <x:c r="D239" s="38" t="n">
        <x:v>0</x:v>
      </x:c>
      <x:c r="E239" s="38" t="n">
        <x:v>8480</x:v>
      </x:c>
      <x:c r="F239" s="38" t="n">
        <x:v>0</x:v>
      </x:c>
      <x:c r="G239" s="38" t="n">
        <x:v>54049</x:v>
      </x:c>
      <x:c r="H239" s="15" t="str">
        <x:v>Supplier payments</x:v>
      </x:c>
      <x:c r="I239" s="15" t="str">
        <x:v>Royal Bush 3751</x:v>
      </x:c>
      <x:c r="J239" s="15" t="str">
        <x:v>eml_ALL_currentac__512781 (2).zip &gt; eml5currentac__512781.zip / FNB _-) R8480.00 paid from Current a_c..512781 @ Smartapp. Ref.Royal Bush 3751. 24Feb 11_11.eml</x:v>
      </x:c>
    </x:row>
    <x:row r="240">
      <x:c r="A240" s="15" t="str">
        <x:v>Current a/c..512781</x:v>
      </x:c>
      <x:c r="B240" s="34" t="n">
        <x:v>46078.34722222222</x:v>
      </x:c>
      <x:c r="C240" s="15" t="str">
        <x:v>R2000.00 t/fer from Current a/c..512781 to Private Cheq Acc..566332 @ Smartapp. Avail R52021. 25Feb 08:20</x:v>
      </x:c>
      <x:c r="D240" s="38" t="n">
        <x:v>0</x:v>
      </x:c>
      <x:c r="E240" s="38" t="n">
        <x:v>0</x:v>
      </x:c>
      <x:c r="F240" s="38" t="n">
        <x:v>2000</x:v>
      </x:c>
      <x:c r="G240" s="38" t="n">
        <x:v>52021</x:v>
      </x:c>
      <x:c r="H240" s="15" t="str">
        <x:v>Inter-account transfer</x:v>
      </x:c>
      <x:c r="I240" s="15" t="str">
        <x:v>Private Cheq Acc..566332</x:v>
      </x:c>
      <x:c r="J240" s="15" t="str">
        <x:v>eml_ALL_currentac__512781 (2).zip &gt; eml5currentac__512781.zip / FNB _-) R2000.00 t_fer from Current a_c..512781 to Private Cheq Acc..566332 @ Smartapp. 25Feb 08_20.eml</x:v>
      </x:c>
    </x:row>
    <x:row r="241">
      <x:c r="A241" s="15" t="str">
        <x:v>Current a/c..512781</x:v>
      </x:c>
      <x:c r="B241" s="34" t="n">
        <x:v>46078.489583333336</x:v>
      </x:c>
      <x:c r="C241" s="15" t="str">
        <x:v>R500.00 paid from Current a/c..512781 @ Smartapp. Avail R51518. Ref.Electricity 04294887. 25Feb 11:45</x:v>
      </x:c>
      <x:c r="D241" s="38" t="n">
        <x:v>0</x:v>
      </x:c>
      <x:c r="E241" s="38" t="n">
        <x:v>500</x:v>
      </x:c>
      <x:c r="F241" s="38" t="n">
        <x:v>0</x:v>
      </x:c>
      <x:c r="G241" s="38" t="n">
        <x:v>51518</x:v>
      </x:c>
      <x:c r="H241" s="15" t="str">
        <x:v>Telecom / utilities</x:v>
      </x:c>
      <x:c r="I241" s="15" t="str">
        <x:v>Electricity 04294887</x:v>
      </x:c>
      <x:c r="J241" s="15" t="str">
        <x:v>eml_ALL_currentac__512781 (2).zip &gt; eml5currentac__512781.zip / FNB _-) R500.00 paid from Current a_c..512781 @ Smartapp. Ref.Electricity 04294887. 25Feb 11_45.eml</x:v>
      </x:c>
    </x:row>
    <x:row r="242">
      <x:c r="A242" s="15" t="str">
        <x:v>Current a/c..512781</x:v>
      </x:c>
      <x:c r="B242" s="34" t="n">
        <x:v>46078.489583333336</x:v>
      </x:c>
      <x:c r="C242" s="15" t="str">
        <x:v>R500.00 paid to Current a/c..512781 @ Smartapp. Ref.274689,04294887007. 25Feb 11:45</x:v>
      </x:c>
      <x:c r="D242" s="38" t="n">
        <x:v>500</x:v>
      </x:c>
      <x:c r="E242" s="38" t="n">
        <x:v>0</x:v>
      </x:c>
      <x:c r="F242" s="38" t="n">
        <x:v>0</x:v>
      </x:c>
      <x:c r="G242" s="38"/>
      <x:c r="H242" s="15" t="str">
        <x:v>Sales / customer receipts</x:v>
      </x:c>
      <x:c r="I242" s="15" t="str">
        <x:v>274689,04294887007</x:v>
      </x:c>
      <x:c r="J242" s="15" t="str">
        <x:v>eml_ALL_currentac__512781 (2).zip &gt; eml5currentac__512781.zip / FNB _-) R500.00 paid to Current a_c..512781 @ Smartapp. Ref.274689,04294887007. 25Feb 11_45.eml</x:v>
      </x:c>
    </x:row>
    <x:row r="243">
      <x:c r="A243" s="15" t="str">
        <x:v>Current a/c..512781</x:v>
      </x:c>
      <x:c r="B243" s="34" t="n">
        <x:v>46078.49097222222</x:v>
      </x:c>
      <x:c r="C243" s="15" t="str">
        <x:v>R500.00 paid from Current a/c..512781 @ Smartapp. Avail R51518. Ref.Electricity 04294887. 25Feb 11:47</x:v>
      </x:c>
      <x:c r="D243" s="38" t="n">
        <x:v>0</x:v>
      </x:c>
      <x:c r="E243" s="38" t="n">
        <x:v>500</x:v>
      </x:c>
      <x:c r="F243" s="38" t="n">
        <x:v>0</x:v>
      </x:c>
      <x:c r="G243" s="38" t="n">
        <x:v>51518</x:v>
      </x:c>
      <x:c r="H243" s="15" t="str">
        <x:v>Telecom / utilities</x:v>
      </x:c>
      <x:c r="I243" s="15" t="str">
        <x:v>Electricity 04294887</x:v>
      </x:c>
      <x:c r="J243" s="15" t="str">
        <x:v>eml_ALL_currentac__512781 (2).zip &gt; eml5currentac__512781.zip / FNB _-) R500.00 paid from Current a_c..512781 @ Smartapp. Ref.Electricity 04294887. 25Feb 11_47.eml</x:v>
      </x:c>
    </x:row>
    <x:row r="244">
      <x:c r="A244" s="15" t="str">
        <x:v>Current a/c..512781</x:v>
      </x:c>
      <x:c r="B244" s="34" t="n">
        <x:v>46078.49097222222</x:v>
      </x:c>
      <x:c r="C244" s="15" t="str">
        <x:v>R500.00 paid to Current a/c..512781 @ Smartapp. Ref.274942,04294887007. 25Feb 11:47</x:v>
      </x:c>
      <x:c r="D244" s="38" t="n">
        <x:v>500</x:v>
      </x:c>
      <x:c r="E244" s="38" t="n">
        <x:v>0</x:v>
      </x:c>
      <x:c r="F244" s="38" t="n">
        <x:v>0</x:v>
      </x:c>
      <x:c r="G244" s="38"/>
      <x:c r="H244" s="15" t="str">
        <x:v>Sales / customer receipts</x:v>
      </x:c>
      <x:c r="I244" s="15" t="str">
        <x:v>274942,04294887007</x:v>
      </x:c>
      <x:c r="J244" s="15" t="str">
        <x:v>eml_ALL_currentac__512781 (2).zip &gt; eml5currentac__512781.zip / FNB _-) R500.00 paid to Current a_c..512781 @ Smartapp. Ref.274942,04294887007. 25Feb 11_47.eml</x:v>
      </x:c>
    </x:row>
    <x:row r="245">
      <x:c r="A245" s="15" t="str">
        <x:v>Current a/c..512781</x:v>
      </x:c>
      <x:c r="B245" s="34" t="n">
        <x:v>46078.52222222222</x:v>
      </x:c>
      <x:c r="C245" s="15" t="str">
        <x:v>R500.00 paid from Current a/c..512781 @ Smartapp. Avail R51518. Ref.Electricity 04294887. 25Feb 12:32</x:v>
      </x:c>
      <x:c r="D245" s="38" t="n">
        <x:v>0</x:v>
      </x:c>
      <x:c r="E245" s="38" t="n">
        <x:v>500</x:v>
      </x:c>
      <x:c r="F245" s="38" t="n">
        <x:v>0</x:v>
      </x:c>
      <x:c r="G245" s="38" t="n">
        <x:v>51518</x:v>
      </x:c>
      <x:c r="H245" s="15" t="str">
        <x:v>Telecom / utilities</x:v>
      </x:c>
      <x:c r="I245" s="15" t="str">
        <x:v>Electricity 04294887</x:v>
      </x:c>
      <x:c r="J245" s="15" t="str">
        <x:v>eml_ALL_currentac__512781 (2).zip &gt; eml5currentac__512781.zip / FNB _-) R500.00 paid from Current a_c..512781 @ Smartapp. Ref.Electricity 04294887. 25Feb 12_32.eml</x:v>
      </x:c>
    </x:row>
    <x:row r="246">
      <x:c r="A246" s="15" t="str">
        <x:v>Current a/c..512781</x:v>
      </x:c>
      <x:c r="B246" s="34" t="n">
        <x:v>46078.52222222222</x:v>
      </x:c>
      <x:c r="C246" s="15" t="str">
        <x:v>R500.00 paid to Current a/c..512781 @ Smartapp. Ref.281057,04294887007. 25Feb 12:32</x:v>
      </x:c>
      <x:c r="D246" s="38" t="n">
        <x:v>500</x:v>
      </x:c>
      <x:c r="E246" s="38" t="n">
        <x:v>0</x:v>
      </x:c>
      <x:c r="F246" s="38" t="n">
        <x:v>0</x:v>
      </x:c>
      <x:c r="G246" s="38"/>
      <x:c r="H246" s="15" t="str">
        <x:v>Sales / customer receipts</x:v>
      </x:c>
      <x:c r="I246" s="15" t="str">
        <x:v>281057,04294887007</x:v>
      </x:c>
      <x:c r="J246" s="15" t="str">
        <x:v>eml_ALL_currentac__512781 (2).zip &gt; eml5currentac__512781.zip / FNB _-) R500.00 paid to Current a_c..512781 @ Smartapp. Ref.281057,04294887007. 25Feb 12_32.eml</x:v>
      </x:c>
    </x:row>
    <x:row r="247">
      <x:c r="A247" s="15" t="str">
        <x:v>Current a/c..512781</x:v>
      </x:c>
      <x:c r="B247" s="34" t="n">
        <x:v>46078.55138888889</x:v>
      </x:c>
      <x:c r="C247" s="15" t="str">
        <x:v>R450.00 paid from Current a/c..512781 @ Smartapp. Avail R51563. Ref.Lebombo 24/01/2026. 25Feb 13:14</x:v>
      </x:c>
      <x:c r="D247" s="38" t="n">
        <x:v>0</x:v>
      </x:c>
      <x:c r="E247" s="38" t="n">
        <x:v>450</x:v>
      </x:c>
      <x:c r="F247" s="38" t="n">
        <x:v>0</x:v>
      </x:c>
      <x:c r="G247" s="38" t="n">
        <x:v>51563</x:v>
      </x:c>
      <x:c r="H247" s="15" t="str">
        <x:v>Supplier payments</x:v>
      </x:c>
      <x:c r="I247" s="15" t="str">
        <x:v>Lebombo 24/01/2026</x:v>
      </x:c>
      <x:c r="J247" s="15" t="str">
        <x:v>eml_ALL_currentac__512781 (2).zip &gt; eml5currentac__512781.zip / FNB _-) R450.00 paid from Current a_c..512781 @ Smartapp. Ref.Lebombo 24_01_2026. 25Feb 13_14.eml</x:v>
      </x:c>
    </x:row>
    <x:row r="248">
      <x:c r="A248" s="15" t="str">
        <x:v>Current a/c..512781</x:v>
      </x:c>
      <x:c r="B248" s="34" t="n">
        <x:v>46078.552083333336</x:v>
      </x:c>
      <x:c r="C248" s="15" t="str">
        <x:v>R500.00 paid from Current a/c..512781 @ Smartapp. Avail R51060. Ref.Electricity 04294887. 25Feb 13:15</x:v>
      </x:c>
      <x:c r="D248" s="38" t="n">
        <x:v>0</x:v>
      </x:c>
      <x:c r="E248" s="38" t="n">
        <x:v>500</x:v>
      </x:c>
      <x:c r="F248" s="38" t="n">
        <x:v>0</x:v>
      </x:c>
      <x:c r="G248" s="38" t="n">
        <x:v>51060</x:v>
      </x:c>
      <x:c r="H248" s="15" t="str">
        <x:v>Telecom / utilities</x:v>
      </x:c>
      <x:c r="I248" s="15" t="str">
        <x:v>Electricity 04294887</x:v>
      </x:c>
      <x:c r="J248" s="15" t="str">
        <x:v>eml_ALL_currentac__512781 (2).zip &gt; eml5currentac__512781.zip / FNB _-) R500.00 paid from Current a_c..512781 @ Smartapp. Ref.Electricity 04294887. 25Feb 13_15.eml</x:v>
      </x:c>
    </x:row>
    <x:row r="249">
      <x:c r="A249" s="15" t="str">
        <x:v>Current a/c..512781</x:v>
      </x:c>
      <x:c r="B249" s="34" t="n">
        <x:v>46078.552083333336</x:v>
      </x:c>
      <x:c r="C249" s="15" t="str">
        <x:v>R500.00 paid to Current a/c..512781 @ Smartapp. Ref.286562,04294887007. 25Feb 13:15</x:v>
      </x:c>
      <x:c r="D249" s="38" t="n">
        <x:v>500</x:v>
      </x:c>
      <x:c r="E249" s="38" t="n">
        <x:v>0</x:v>
      </x:c>
      <x:c r="F249" s="38" t="n">
        <x:v>0</x:v>
      </x:c>
      <x:c r="G249" s="38"/>
      <x:c r="H249" s="15" t="str">
        <x:v>Sales / customer receipts</x:v>
      </x:c>
      <x:c r="I249" s="15" t="str">
        <x:v>286562,04294887007</x:v>
      </x:c>
      <x:c r="J249" s="15" t="str">
        <x:v>eml_ALL_currentac__512781 (2).zip &gt; eml5currentac__512781.zip / FNB _-) R500.00 paid to Current a_c..512781 @ Smartapp. Ref.286562,04294887007. 25Feb 13_15.eml</x:v>
      </x:c>
    </x:row>
    <x:row r="250">
      <x:c r="A250" s="15" t="str">
        <x:v>Current a/c..512781</x:v>
      </x:c>
      <x:c r="B250" s="34" t="n">
        <x:v>46078.74097222222</x:v>
      </x:c>
      <x:c r="C250" s="15" t="str">
        <x:v>R27000.00 t/fer from Current a/c..512781 to Current a/c..261544 @ Smartapp. Avail R24521. 25Feb 17:47</x:v>
      </x:c>
      <x:c r="D250" s="38" t="n">
        <x:v>0</x:v>
      </x:c>
      <x:c r="E250" s="38" t="n">
        <x:v>0</x:v>
      </x:c>
      <x:c r="F250" s="38" t="n">
        <x:v>27000</x:v>
      </x:c>
      <x:c r="G250" s="38" t="n">
        <x:v>24521</x:v>
      </x:c>
      <x:c r="H250" s="15" t="str">
        <x:v>Inter-account transfer</x:v>
      </x:c>
      <x:c r="I250" s="15" t="str">
        <x:v>Current a/c..261544</x:v>
      </x:c>
      <x:c r="J250" s="15" t="str">
        <x:v>eml_ALL_currentac__512781 (2).zip &gt; eml5currentac__512781.zip / FNB _-) R27000.00 t_fer from Current a_c..512781 to Current a_c..261544 @ Smartapp. 25Feb 17_47.eml</x:v>
      </x:c>
    </x:row>
    <x:row r="251">
      <x:c r="A251" s="15" t="str">
        <x:v>Current a/c..512781</x:v>
      </x:c>
      <x:c r="B251" s="34" t="n">
        <x:v>46078.75625</x:v>
      </x:c>
      <x:c r="C251" s="15" t="str">
        <x:v>R500.00 paid from Current a/c..512781 @ Smartapp. Avail R24018. Ref.Electricity 04294887. 25Feb 18:09</x:v>
      </x:c>
      <x:c r="D251" s="38" t="n">
        <x:v>0</x:v>
      </x:c>
      <x:c r="E251" s="38" t="n">
        <x:v>500</x:v>
      </x:c>
      <x:c r="F251" s="38" t="n">
        <x:v>0</x:v>
      </x:c>
      <x:c r="G251" s="38" t="n">
        <x:v>24018</x:v>
      </x:c>
      <x:c r="H251" s="15" t="str">
        <x:v>Telecom / utilities</x:v>
      </x:c>
      <x:c r="I251" s="15" t="str">
        <x:v>Electricity 04294887</x:v>
      </x:c>
      <x:c r="J251" s="15" t="str">
        <x:v>eml_ALL_currentac__512781 (2).zip &gt; eml5currentac__512781.zip / FNB _-) R500.00 paid from Current a_c..512781 @ Smartapp. Ref.Electricity 04294887. 25Feb 18_09.eml</x:v>
      </x:c>
    </x:row>
    <x:row r="252">
      <x:c r="A252" s="15" t="str">
        <x:v>Current a/c..512781</x:v>
      </x:c>
      <x:c r="B252" s="34" t="n">
        <x:v>46078.75625</x:v>
      </x:c>
      <x:c r="C252" s="15" t="str">
        <x:v>R500.00 paid to Current a/c..512781 @ Smartapp. Ref.338139,04294887007. 25Feb 18:09</x:v>
      </x:c>
      <x:c r="D252" s="38" t="n">
        <x:v>500</x:v>
      </x:c>
      <x:c r="E252" s="38" t="n">
        <x:v>0</x:v>
      </x:c>
      <x:c r="F252" s="38" t="n">
        <x:v>0</x:v>
      </x:c>
      <x:c r="G252" s="38"/>
      <x:c r="H252" s="15" t="str">
        <x:v>Sales / customer receipts</x:v>
      </x:c>
      <x:c r="I252" s="15" t="str">
        <x:v>338139,04294887007</x:v>
      </x:c>
      <x:c r="J252" s="15" t="str">
        <x:v>eml_ALL_currentac__512781 (2).zip &gt; eml5currentac__512781.zip / FNB _-) R500.00 paid to Current a_c..512781 @ Smartapp. Ref.338139,04294887007. 25Feb 18_09.eml</x:v>
      </x:c>
    </x:row>
    <x:row r="253">
      <x:c r="A253" s="15" t="str">
        <x:v>Current a/c..512781</x:v>
      </x:c>
      <x:c r="B253" s="34" t="n">
        <x:v>46078.75763888889</x:v>
      </x:c>
      <x:c r="C253" s="15" t="str">
        <x:v>R500.00 paid from Current a/c..512781 @ Smartapp. Avail R24018. Ref.Electricity. 25Feb 18:11</x:v>
      </x:c>
      <x:c r="D253" s="38" t="n">
        <x:v>0</x:v>
      </x:c>
      <x:c r="E253" s="38" t="n">
        <x:v>500</x:v>
      </x:c>
      <x:c r="F253" s="38" t="n">
        <x:v>0</x:v>
      </x:c>
      <x:c r="G253" s="38" t="n">
        <x:v>24018</x:v>
      </x:c>
      <x:c r="H253" s="15" t="str">
        <x:v>Telecom / utilities</x:v>
      </x:c>
      <x:c r="I253" s="15" t="str">
        <x:v>Electricity</x:v>
      </x:c>
      <x:c r="J253" s="15" t="str">
        <x:v>eml_ALL_currentac__512781 (2).zip &gt; eml5currentac__512781.zip / FNB _-) R500.00 paid from Current a_c..512781 @ Smartapp. Ref.Electricity. 25Feb 18_11.eml</x:v>
      </x:c>
    </x:row>
    <x:row r="254">
      <x:c r="A254" s="15" t="str">
        <x:v>Current a/c..512781</x:v>
      </x:c>
      <x:c r="B254" s="34" t="n">
        <x:v>46079.342361111114</x:v>
      </x:c>
      <x:c r="C254" s="15" t="str">
        <x:v>R521.64 paid to Current a/c..512781 @ Payshap. Ref.Inv# - 000170. 26Feb 08:13</x:v>
      </x:c>
      <x:c r="D254" s="38" t="n">
        <x:v>521.64</x:v>
      </x:c>
      <x:c r="E254" s="38" t="n">
        <x:v>0</x:v>
      </x:c>
      <x:c r="F254" s="38" t="n">
        <x:v>0</x:v>
      </x:c>
      <x:c r="G254" s="38"/>
      <x:c r="H254" s="15" t="str">
        <x:v>Sales / customer receipts</x:v>
      </x:c>
      <x:c r="I254" s="15" t="str">
        <x:v>Inv# - 000170</x:v>
      </x:c>
      <x:c r="J254" s="15" t="str">
        <x:v>eml_ALL_currentac__512781 (2).zip &gt; eml5currentac__512781.zip / FNB _-) R521.64 paid to Current a_c..512781 @ Payshap. Ref.Inv# - 000170. 26Feb 08_13.eml</x:v>
      </x:c>
    </x:row>
    <x:row r="255">
      <x:c r="A255" s="15" t="str">
        <x:v>Current a/c..512781</x:v>
      </x:c>
      <x:c r="B255" s="34" t="n">
        <x:v>46079.478472222225</x:v>
      </x:c>
      <x:c r="C255" s="15" t="str">
        <x:v>R500.00 paid from Current a/c..512781 @ Smartapp. Avail R15594. Ref.Electricity 04294887. 26Feb 11:29</x:v>
      </x:c>
      <x:c r="D255" s="38" t="n">
        <x:v>0</x:v>
      </x:c>
      <x:c r="E255" s="38" t="n">
        <x:v>500</x:v>
      </x:c>
      <x:c r="F255" s="38" t="n">
        <x:v>0</x:v>
      </x:c>
      <x:c r="G255" s="38" t="n">
        <x:v>15594</x:v>
      </x:c>
      <x:c r="H255" s="15" t="str">
        <x:v>Telecom / utilities</x:v>
      </x:c>
      <x:c r="I255" s="15" t="str">
        <x:v>Electricity 04294887</x:v>
      </x:c>
      <x:c r="J255" s="15" t="str">
        <x:v>eml_ALL_currentac__512781 (2).zip &gt; eml5currentac__512781.zip / FNB _-) R500.00 paid from Current a_c..512781 @ Smartapp. Ref.Electricity 04294887. 26Feb 11_29.eml</x:v>
      </x:c>
    </x:row>
    <x:row r="256">
      <x:c r="A256" s="15" t="str">
        <x:v>Current a/c..512781</x:v>
      </x:c>
      <x:c r="B256" s="34" t="n">
        <x:v>46079.57361111111</x:v>
      </x:c>
      <x:c r="C256" s="15" t="str">
        <x:v>R2172.96 paid to Current a/c..512781 @ Payshap. Ref.Ik Pay 487882. 26Feb 13:46</x:v>
      </x:c>
      <x:c r="D256" s="38" t="n">
        <x:v>2172.96</x:v>
      </x:c>
      <x:c r="E256" s="38" t="n">
        <x:v>0</x:v>
      </x:c>
      <x:c r="F256" s="38" t="n">
        <x:v>0</x:v>
      </x:c>
      <x:c r="G256" s="38"/>
      <x:c r="H256" s="15" t="str">
        <x:v>Sales / customer receipts</x:v>
      </x:c>
      <x:c r="I256" s="15" t="str">
        <x:v>Ik Pay 487882</x:v>
      </x:c>
      <x:c r="J256" s="15" t="str">
        <x:v>eml_ALL_currentac__512781 (2).zip &gt; eml5currentac__512781.zip / FNB _-) R2172.96 paid to Current a_c..512781 @ Payshap. Ref.Ik Pay 487882. 26Feb 13_46.eml</x:v>
      </x:c>
    </x:row>
    <x:row r="257">
      <x:c r="A257" s="15" t="str">
        <x:v>Current a/c..512781</x:v>
      </x:c>
      <x:c r="B257" s="34" t="n">
        <x:v>46080.41805555556</x:v>
      </x:c>
      <x:c r="C257" s="15" t="str">
        <x:v>R30949.25 paid to Current a/c..512781 @ Retail Forex. Ref.R026wj48l0 Booking.c. 27Feb 10:02</x:v>
      </x:c>
      <x:c r="D257" s="38" t="n">
        <x:v>30949.25</x:v>
      </x:c>
      <x:c r="E257" s="38" t="n">
        <x:v>0</x:v>
      </x:c>
      <x:c r="F257" s="38" t="n">
        <x:v>0</x:v>
      </x:c>
      <x:c r="G257" s="38"/>
      <x:c r="H257" s="15" t="str">
        <x:v>Sales / customer receipts</x:v>
      </x:c>
      <x:c r="I257" s="15" t="str">
        <x:v>R026wj48l0 Booking.c</x:v>
      </x:c>
      <x:c r="J257" s="15" t="str">
        <x:v>eml_ALL_currentac__512781 (2).zip &gt; eml5currentac__512781.zip / FNB _-) R30949.25 paid to Current a_c..512781 @ Retail Forex. Ref.R026wj48l0 Booking.c. 27Feb 10_02.eml</x:v>
      </x:c>
    </x:row>
    <x:row r="258">
      <x:c r="A258" s="15" t="str">
        <x:v>Current a/c..512781</x:v>
      </x:c>
      <x:c r="B258" s="34" t="n">
        <x:v>46080.459027777775</x:v>
      </x:c>
      <x:c r="C258" s="15" t="str">
        <x:v>R6450.00 paid from Current a/c..512781 @ Gen Ph. Avail R42251. Ref.Southern Kru 0135. 27Feb 11:01</x:v>
      </x:c>
      <x:c r="D258" s="38" t="n">
        <x:v>0</x:v>
      </x:c>
      <x:c r="E258" s="38" t="n">
        <x:v>6450</x:v>
      </x:c>
      <x:c r="F258" s="38" t="n">
        <x:v>0</x:v>
      </x:c>
      <x:c r="G258" s="38" t="n">
        <x:v>42251</x:v>
      </x:c>
      <x:c r="H258" s="15" t="str">
        <x:v>Supplier payments</x:v>
      </x:c>
      <x:c r="I258" s="15" t="str">
        <x:v>Southern Kru 0135</x:v>
      </x:c>
      <x:c r="J258" s="15" t="str">
        <x:v>eml_ALL_currentac__512781 (2).zip &gt; eml5currentac__512781.zip / FNB _-) R6450.00 paid from Current a_c..512781 @ Gen Ph. Ref.Southern Kru 0135. 27Feb 11_01.eml</x:v>
      </x:c>
    </x:row>
    <x:row r="259">
      <x:c r="A259" s="15" t="str">
        <x:v>Current a/c..512781</x:v>
      </x:c>
      <x:c r="B259" s="34" t="n">
        <x:v>46080.45972222222</x:v>
      </x:c>
      <x:c r="C259" s="15" t="str">
        <x:v>R12000.00 paid from Current a/c..512781 @ Smartapp. Avail R30243. Ref.Staff Salary. 27Feb 11:02</x:v>
      </x:c>
      <x:c r="D259" s="38" t="n">
        <x:v>0</x:v>
      </x:c>
      <x:c r="E259" s="38" t="n">
        <x:v>12000</x:v>
      </x:c>
      <x:c r="F259" s="38" t="n">
        <x:v>0</x:v>
      </x:c>
      <x:c r="G259" s="38" t="n">
        <x:v>30243</x:v>
      </x:c>
      <x:c r="H259" s="15" t="str">
        <x:v>Salary / wages</x:v>
      </x:c>
      <x:c r="I259" s="15" t="str">
        <x:v>Staff Salary</x:v>
      </x:c>
      <x:c r="J259" s="15" t="str">
        <x:v>eml_ALL_currentac__512781 (2).zip &gt; eml5currentac__512781.zip / FNB _-) R12000.00 paid from Current a_c..512781 @ Smartapp. Ref.Staff Salary. 27Feb 11_02.eml</x:v>
      </x:c>
    </x:row>
    <x:row r="260">
      <x:c r="A260" s="15" t="str">
        <x:v>Current a/c..512781</x:v>
      </x:c>
      <x:c r="B260" s="34" t="n">
        <x:v>46080.46111111111</x:v>
      </x:c>
      <x:c r="C260" s="15" t="str">
        <x:v>R2500.00 paid from Current a/c..512781 @ Smartapp. Avail R27735. Ref.Sakkie Wages. 27Feb 11:04</x:v>
      </x:c>
      <x:c r="D260" s="38" t="n">
        <x:v>0</x:v>
      </x:c>
      <x:c r="E260" s="38" t="n">
        <x:v>2500</x:v>
      </x:c>
      <x:c r="F260" s="38" t="n">
        <x:v>0</x:v>
      </x:c>
      <x:c r="G260" s="38" t="n">
        <x:v>27735</x:v>
      </x:c>
      <x:c r="H260" s="15" t="str">
        <x:v>Salary / wages</x:v>
      </x:c>
      <x:c r="I260" s="15" t="str">
        <x:v>Sakkie Wages</x:v>
      </x:c>
      <x:c r="J260" s="15" t="str">
        <x:v>eml_ALL_currentac__512781 (2).zip &gt; eml5currentac__512781.zip / FNB _-) R2500.00 paid from Current a_c..512781 @ Smartapp. Ref.Sakkie Wages. 27Feb 11_04.eml</x:v>
      </x:c>
    </x:row>
    <x:row r="261">
      <x:c r="A261" s="15" t="str">
        <x:v>Current a/c..512781</x:v>
      </x:c>
      <x:c r="B261" s="34" t="n">
        <x:v>46080.57847222222</x:v>
      </x:c>
      <x:c r="C261" s="15" t="str">
        <x:v>R11714.18 paid to Current a/c..512781 @ Payshap. Ref.Ik Pay 487882. 27Feb 13:53</x:v>
      </x:c>
      <x:c r="D261" s="38" t="n">
        <x:v>11714.18</x:v>
      </x:c>
      <x:c r="E261" s="38" t="n">
        <x:v>0</x:v>
      </x:c>
      <x:c r="F261" s="38" t="n">
        <x:v>0</x:v>
      </x:c>
      <x:c r="G261" s="38"/>
      <x:c r="H261" s="15" t="str">
        <x:v>Sales / customer receipts</x:v>
      </x:c>
      <x:c r="I261" s="15" t="str">
        <x:v>Ik Pay 487882</x:v>
      </x:c>
      <x:c r="J261" s="15" t="str">
        <x:v>eml_ALL_currentac__512781 (2).zip &gt; eml5currentac__512781.zip / FNB _-) R11714.18 paid to Current a_c..512781 @ Payshap. Ref.Ik Pay 487882. 27Feb 13_53.eml</x:v>
      </x:c>
    </x:row>
    <x:row r="262">
      <x:c r="A262" s="15" t="str">
        <x:v>Current a/c..512781</x:v>
      </x:c>
      <x:c r="B262" s="34" t="n">
        <x:v>46080.66458333333</x:v>
      </x:c>
      <x:c r="C262" s="15" t="str">
        <x:v>R3004.00 paid from Current a/c..512781 @ Smartapp. Avail R36314. Ref.Kruger Safari 1685. 27Feb 15:57</x:v>
      </x:c>
      <x:c r="D262" s="38" t="n">
        <x:v>0</x:v>
      </x:c>
      <x:c r="E262" s="38" t="n">
        <x:v>3004</x:v>
      </x:c>
      <x:c r="F262" s="38" t="n">
        <x:v>0</x:v>
      </x:c>
      <x:c r="G262" s="38" t="n">
        <x:v>36314</x:v>
      </x:c>
      <x:c r="H262" s="15" t="str">
        <x:v>Supplier payments</x:v>
      </x:c>
      <x:c r="I262" s="15" t="str">
        <x:v>Kruger Safari 1685</x:v>
      </x:c>
      <x:c r="J262" s="15" t="str">
        <x:v>eml_ALL_currentac__512781 (2).zip &gt; eml5currentac__512781.zip / FNB _-) R3004.00 paid from Current a_c..512781 @ Smartapp. Ref.Kruger Safari 1685. 27Feb 15_57.eml</x:v>
      </x:c>
    </x:row>
    <x:row r="263">
      <x:c r="A263" s="15" t="str">
        <x:v>Current a/c..512781</x:v>
      </x:c>
      <x:c r="B263" s="34" t="n">
        <x:v>46080.66805555556</x:v>
      </x:c>
      <x:c r="C263" s="15" t="str">
        <x:v>R14500.00 paid from Current a/c..512781 @ Smartapp. Avail R21806. Ref.Staff Wage - Feb. 27Feb 16:02</x:v>
      </x:c>
      <x:c r="D263" s="38" t="n">
        <x:v>0</x:v>
      </x:c>
      <x:c r="E263" s="38" t="n">
        <x:v>14500</x:v>
      </x:c>
      <x:c r="F263" s="38" t="n">
        <x:v>0</x:v>
      </x:c>
      <x:c r="G263" s="38" t="n">
        <x:v>21806</x:v>
      </x:c>
      <x:c r="H263" s="15" t="str">
        <x:v>Salary / wages</x:v>
      </x:c>
      <x:c r="I263" s="15" t="str">
        <x:v>Staff Wage - Feb</x:v>
      </x:c>
      <x:c r="J263" s="15" t="str">
        <x:v>eml_ALL_currentac__512781 (2).zip &gt; eml5currentac__512781.zip / FNB _-) R14500.00 paid from Current a_c..512781 @ Smartapp. Ref.Staff Wage - Feb. 27Feb 16_02.eml</x:v>
      </x:c>
    </x:row>
    <x:row r="264">
      <x:c r="A264" s="15" t="str">
        <x:v>Current a/c..512781</x:v>
      </x:c>
      <x:c r="B264" s="34" t="n">
        <x:v>46083.436111111114</x:v>
      </x:c>
      <x:c r="C264" s="15" t="str">
        <x:v>R1000.00 paid from Current a/c..512781 @ Smartapp. Avail R16103. Ref.Electricity 04279376. 2Mar 10:28</x:v>
      </x:c>
      <x:c r="D264" s="38" t="n">
        <x:v>0</x:v>
      </x:c>
      <x:c r="E264" s="38" t="n">
        <x:v>1000</x:v>
      </x:c>
      <x:c r="F264" s="38" t="n">
        <x:v>0</x:v>
      </x:c>
      <x:c r="G264" s="38" t="n">
        <x:v>16103</x:v>
      </x:c>
      <x:c r="H264" s="15" t="str">
        <x:v>Telecom / utilities</x:v>
      </x:c>
      <x:c r="I264" s="15" t="str">
        <x:v>Electricity 04279376</x:v>
      </x:c>
      <x:c r="J264" s="15" t="str">
        <x:v>eml_ALL_currentac__512781 (2).zip &gt; eml5currentac__512781.zip / FNB _-) R1000.00 paid from Current a_c..512781 @ Smartapp. Ref.Electricity 04279376.  2Mar 10_28.eml</x:v>
      </x:c>
    </x:row>
    <x:row r="265">
      <x:c r="A265" s="15" t="str">
        <x:v>Current a/c..512781</x:v>
      </x:c>
      <x:c r="B265" s="34" t="n">
        <x:v>46083.592361111114</x:v>
      </x:c>
      <x:c r="C265" s="15" t="str">
        <x:v>R815.00 paid from Current a/c..512781 @ Smartapp. Avail R15288. Ref.Printing. 2Mar 14:13</x:v>
      </x:c>
      <x:c r="D265" s="38" t="n">
        <x:v>0</x:v>
      </x:c>
      <x:c r="E265" s="38" t="n">
        <x:v>815</x:v>
      </x:c>
      <x:c r="F265" s="38" t="n">
        <x:v>0</x:v>
      </x:c>
      <x:c r="G265" s="38" t="n">
        <x:v>15288</x:v>
      </x:c>
      <x:c r="H265" s="15" t="str">
        <x:v>Supplier payments</x:v>
      </x:c>
      <x:c r="I265" s="15" t="str">
        <x:v>Printing</x:v>
      </x:c>
      <x:c r="J265" s="15" t="str">
        <x:v>eml_ALL_currentac__512781 (2).zip &gt; eml5currentac__512781.zip / FNB _-) R815.00 paid from Current a_c..512781 @ Smartapp. Ref.Printing.  2Mar 14_13.eml</x:v>
      </x:c>
    </x:row>
    <x:row r="266">
      <x:c r="A266" s="15" t="str">
        <x:v>Current a/c..512781</x:v>
      </x:c>
      <x:c r="B266" s="34" t="n">
        <x:v>46083.604166666664</x:v>
      </x:c>
      <x:c r="C266" s="15" t="str">
        <x:v>R759.00 paid from Current a/c..512781 @ Smartapp. Avail R14529. Ref.Nb N992820. 2Mar 14:30</x:v>
      </x:c>
      <x:c r="D266" s="38" t="n">
        <x:v>0</x:v>
      </x:c>
      <x:c r="E266" s="38" t="n">
        <x:v>759</x:v>
      </x:c>
      <x:c r="F266" s="38" t="n">
        <x:v>0</x:v>
      </x:c>
      <x:c r="G266" s="38" t="n">
        <x:v>14529</x:v>
      </x:c>
      <x:c r="H266" s="15" t="str">
        <x:v>Supplier payments</x:v>
      </x:c>
      <x:c r="I266" s="15" t="str">
        <x:v>Nb N992820</x:v>
      </x:c>
      <x:c r="J266" s="15" t="str">
        <x:v>eml_ALL_currentac__512781 (2).zip &gt; eml5currentac__512781.zip / FNB _-) R759.00 paid from Current a_c..512781 @ Smartapp. Ref.Nb N992820.  2Mar 14_30.eml</x:v>
      </x:c>
    </x:row>
    <x:row r="267">
      <x:c r="A267" s="15" t="str">
        <x:v>Current a/c..512781</x:v>
      </x:c>
      <x:c r="B267" s="34" t="n">
        <x:v>46083.61111111111</x:v>
      </x:c>
      <x:c r="C267" s="15" t="str">
        <x:v>R500.00 paid from Current a/c..512781 @ Smartapp. Avail R14029. Ref.Kpci - C1736 March. 2Mar 14:40</x:v>
      </x:c>
      <x:c r="D267" s="38" t="n">
        <x:v>0</x:v>
      </x:c>
      <x:c r="E267" s="38" t="n">
        <x:v>500</x:v>
      </x:c>
      <x:c r="F267" s="38" t="n">
        <x:v>0</x:v>
      </x:c>
      <x:c r="G267" s="38" t="n">
        <x:v>14029</x:v>
      </x:c>
      <x:c r="H267" s="15" t="str">
        <x:v>Supplier payments</x:v>
      </x:c>
      <x:c r="I267" s="15" t="str">
        <x:v>Kpci - C1736 March</x:v>
      </x:c>
      <x:c r="J267" s="15" t="str">
        <x:v>eml_ALL_currentac__512781 (2).zip &gt; eml5currentac__512781.zip / FNB _-) R500.00 paid from Current a_c..512781 @ Smartapp. Ref.Kpci - C1736 March.  2Mar 14_40.eml</x:v>
      </x:c>
    </x:row>
    <x:row r="268">
      <x:c r="A268" s="15" t="str">
        <x:v>Current a/c..512781</x:v>
      </x:c>
      <x:c r="B268" s="34" t="n">
        <x:v>46086.35763888889</x:v>
      </x:c>
      <x:c r="C268" s="15" t="str">
        <x:v>R15593.21 paid to Current a/c..512781 @ Retail Forex. Ref.R026w3r9l0 Booking.c. 5Mar 08:35</x:v>
      </x:c>
      <x:c r="D268" s="38" t="n">
        <x:v>15593.21</x:v>
      </x:c>
      <x:c r="E268" s="38" t="n">
        <x:v>0</x:v>
      </x:c>
      <x:c r="F268" s="38" t="n">
        <x:v>0</x:v>
      </x:c>
      <x:c r="G268" s="38"/>
      <x:c r="H268" s="15" t="str">
        <x:v>Sales / customer receipts</x:v>
      </x:c>
      <x:c r="I268" s="15" t="str">
        <x:v>R026w3r9l0 Booking.c</x:v>
      </x:c>
      <x:c r="J268" s="15" t="str">
        <x:v>eml_ALL_currentac__512781 (2).zip &gt; eml5currentac__512781.zip / FNB _-) R15593.21 paid to Current a_c..512781 @ Retail Forex. Ref.R026w3r9l0 Booking.c.  5Mar 08_35.eml</x:v>
      </x:c>
    </x:row>
    <x:row r="269">
      <x:c r="A269" s="15" t="str">
        <x:v>Current a/c..512781</x:v>
      </x:c>
      <x:c r="B269" s="34" t="n">
        <x:v>46087.478472222225</x:v>
      </x:c>
      <x:c r="C269" s="15" t="str">
        <x:v>R5000.00 t/fer from Current a/c..512781 to Private Cheq Acc..566332 @ Smartapp. Avail R20960. 6Mar 11:29</x:v>
      </x:c>
      <x:c r="D269" s="38" t="n">
        <x:v>0</x:v>
      </x:c>
      <x:c r="E269" s="38" t="n">
        <x:v>0</x:v>
      </x:c>
      <x:c r="F269" s="38" t="n">
        <x:v>5000</x:v>
      </x:c>
      <x:c r="G269" s="38" t="n">
        <x:v>20960</x:v>
      </x:c>
      <x:c r="H269" s="15" t="str">
        <x:v>Inter-account transfer</x:v>
      </x:c>
      <x:c r="I269" s="15" t="str">
        <x:v>Private Cheq Acc..566332</x:v>
      </x:c>
      <x:c r="J269" s="15" t="str">
        <x:v>eml_ALL_currentac__512781 (2).zip &gt; eml5currentac__512781.zip / FNB _-) R5000.00 t_fer from Current a_c..512781 to Private Cheq Acc..566332 @ Smartapp.  6Mar 11_29.eml</x:v>
      </x:c>
    </x:row>
    <x:row r="270">
      <x:c r="A270" s="15" t="str">
        <x:v>Current a/c..512781</x:v>
      </x:c>
      <x:c r="B270" s="34" t="n">
        <x:v>46087.57708333333</x:v>
      </x:c>
      <x:c r="C270" s="15" t="str">
        <x:v>R817.06 paid to Current a/c..512781 @ Payshap. Ref.Ik Pay 487882. 6Mar 13:51</x:v>
      </x:c>
      <x:c r="D270" s="38" t="n">
        <x:v>817.06</x:v>
      </x:c>
      <x:c r="E270" s="38" t="n">
        <x:v>0</x:v>
      </x:c>
      <x:c r="F270" s="38" t="n">
        <x:v>0</x:v>
      </x:c>
      <x:c r="G270" s="38"/>
      <x:c r="H270" s="15" t="str">
        <x:v>Sales / customer receipts</x:v>
      </x:c>
      <x:c r="I270" s="15" t="str">
        <x:v>Ik Pay 487882</x:v>
      </x:c>
      <x:c r="J270" s="15" t="str">
        <x:v>eml_ALL_currentac__512781 (2).zip &gt; eml5currentac__512781.zip / FNB _-) R817.06 paid to Current a_c..512781 @ Payshap. Ref.Ik Pay 487882.  6Mar 13_51.eml</x:v>
      </x:c>
    </x:row>
    <x:row r="271">
      <x:c r="A271" s="15" t="str">
        <x:v>Current a/c..512781</x:v>
      </x:c>
      <x:c r="B271" s="34" t="n">
        <x:v>46087.646527777775</x:v>
      </x:c>
      <x:c r="C271" s="15" t="str">
        <x:v>R4240.00 paid from Current a/c..512781 @ Smartapp. Avail R16240. Ref.Royal Bush 3764. 6Mar 15:31</x:v>
      </x:c>
      <x:c r="D271" s="38" t="n">
        <x:v>0</x:v>
      </x:c>
      <x:c r="E271" s="38" t="n">
        <x:v>4240</x:v>
      </x:c>
      <x:c r="F271" s="38" t="n">
        <x:v>0</x:v>
      </x:c>
      <x:c r="G271" s="38" t="n">
        <x:v>16240</x:v>
      </x:c>
      <x:c r="H271" s="15" t="str">
        <x:v>Supplier payments</x:v>
      </x:c>
      <x:c r="I271" s="15" t="str">
        <x:v>Royal Bush 3764</x:v>
      </x:c>
      <x:c r="J271" s="15" t="str">
        <x:v>eml_ALL_currentac__512781 (2).zip &gt; eml5currentac__512781.zip / FNB _-) R4240.00 paid from Current a_c..512781 @ Smartapp. Ref.Royal Bush 3764.  6Mar 15_31.eml</x:v>
      </x:c>
    </x:row>
    <x:row r="272">
      <x:c r="A272" s="15" t="str">
        <x:v>Current a/c..512781</x:v>
      </x:c>
      <x:c r="B272" s="34" t="n">
        <x:v>46087.69236111111</x:v>
      </x:c>
      <x:c r="C272" s="15" t="str">
        <x:v>R200.00 paid from Current a/c..512781 @ Smartapp. Avail R16037. 6Mar 16:37</x:v>
      </x:c>
      <x:c r="D272" s="38" t="n">
        <x:v>0</x:v>
      </x:c>
      <x:c r="E272" s="38" t="n">
        <x:v>200</x:v>
      </x:c>
      <x:c r="F272" s="38" t="n">
        <x:v>0</x:v>
      </x:c>
      <x:c r="G272" s="38" t="n">
        <x:v>16037</x:v>
      </x:c>
      <x:c r="H272" s="15" t="str">
        <x:v>Supplier payments</x:v>
      </x:c>
      <x:c r="I272" s="15" t="str">
        <x:v>Smartapp</x:v>
      </x:c>
      <x:c r="J272" s="15" t="str">
        <x:v>eml_ALL_currentac__512781 (2).zip &gt; eml5currentac__512781.zip / FNB _-) R200.00 paid from Current a_c..512781 @ Smartapp.  6Mar 16_37.eml</x:v>
      </x:c>
    </x:row>
    <x:row r="273">
      <x:c r="A273" s="15" t="str">
        <x:v>Current a/c..512781</x:v>
      </x:c>
      <x:c r="B273" s="34" t="n">
        <x:v>46088.40555555555</x:v>
      </x:c>
      <x:c r="C273" s="15" t="str">
        <x:v>R765.00 paid to Current a/c..512781 @ Online Banking. Ref.Ag1 Seaside Village. 7Mar 09:44</x:v>
      </x:c>
      <x:c r="D273" s="38" t="n">
        <x:v>765</x:v>
      </x:c>
      <x:c r="E273" s="38" t="n">
        <x:v>0</x:v>
      </x:c>
      <x:c r="F273" s="38" t="n">
        <x:v>0</x:v>
      </x:c>
      <x:c r="G273" s="38"/>
      <x:c r="H273" s="15" t="str">
        <x:v>Sales / customer receipts</x:v>
      </x:c>
      <x:c r="I273" s="15" t="str">
        <x:v>Ag1 Seaside Village</x:v>
      </x:c>
      <x:c r="J273" s="15" t="str">
        <x:v>eml_ALL_currentac__512781 (2).zip &gt; eml5currentac__512781.zip / FNB _-) R765.00 paid to Current a_c..512781 @ Online Banking. Ref.Ag1 Seaside Village.  7Mar 09_44.eml</x:v>
      </x:c>
    </x:row>
    <x:row r="274">
      <x:c r="A274" s="15" t="str">
        <x:v>Current a/c..512781</x:v>
      </x:c>
      <x:c r="B274" s="34" t="n">
        <x:v>46088.40694444445</x:v>
      </x:c>
      <x:c r="C274" s="15" t="str">
        <x:v>R18277.16 paid to Current a/c..512781 @ Online Banking. Ref.Ag1 Seaside Village. 7Mar 09:46</x:v>
      </x:c>
      <x:c r="D274" s="38" t="n">
        <x:v>18277.16</x:v>
      </x:c>
      <x:c r="E274" s="38" t="n">
        <x:v>0</x:v>
      </x:c>
      <x:c r="F274" s="38" t="n">
        <x:v>0</x:v>
      </x:c>
      <x:c r="G274" s="38"/>
      <x:c r="H274" s="15" t="str">
        <x:v>Sales / customer receipts</x:v>
      </x:c>
      <x:c r="I274" s="15" t="str">
        <x:v>Ag1 Seaside Village</x:v>
      </x:c>
      <x:c r="J274" s="15" t="str">
        <x:v>eml_ALL_currentac__512781 (2).zip &gt; eml5currentac__512781.zip / FNB _-) R18277.16 paid to Current a_c..512781 @ Online Banking. Ref.Ag1 Seaside Village.  7Mar 09_46.eml</x:v>
      </x:c>
    </x:row>
    <x:row r="275">
      <x:c r="A275" s="15" t="str">
        <x:v>Current a/c..512781</x:v>
      </x:c>
      <x:c r="B275" s="34" t="n">
        <x:v>46088.55625</x:v>
      </x:c>
      <x:c r="C275" s="15" t="str">
        <x:v>R500.00 paid from Current a/c..512781 @ Smartapp. Avail R34457. Ref.Electricity 04294887. 7Mar 13:21</x:v>
      </x:c>
      <x:c r="D275" s="38" t="n">
        <x:v>0</x:v>
      </x:c>
      <x:c r="E275" s="38" t="n">
        <x:v>500</x:v>
      </x:c>
      <x:c r="F275" s="38" t="n">
        <x:v>0</x:v>
      </x:c>
      <x:c r="G275" s="38" t="n">
        <x:v>34457</x:v>
      </x:c>
      <x:c r="H275" s="15" t="str">
        <x:v>Telecom / utilities</x:v>
      </x:c>
      <x:c r="I275" s="15" t="str">
        <x:v>Electricity 04294887</x:v>
      </x:c>
      <x:c r="J275" s="15" t="str">
        <x:v>eml_ALL_currentac__512781 (2).zip &gt; eml5currentac__512781.zip / FNB _-) R500.00 paid from Current a_c..512781 @ Smartapp. Ref.Electricity 04294887.  7Mar 13_21.eml</x:v>
      </x:c>
    </x:row>
    <x:row r="276">
      <x:c r="A276" s="15" t="str">
        <x:v>Current a/c..512781</x:v>
      </x:c>
      <x:c r="B276" s="34" t="n">
        <x:v>46089.55902777778</x:v>
      </x:c>
      <x:c r="C276" s="15" t="str">
        <x:v>R2000.00 paid from Current a/c..512781 @ Smartapp. Avail R31500. Ref.Salary. 8Mar 13:25</x:v>
      </x:c>
      <x:c r="D276" s="38" t="n">
        <x:v>0</x:v>
      </x:c>
      <x:c r="E276" s="38" t="n">
        <x:v>2000</x:v>
      </x:c>
      <x:c r="F276" s="38" t="n">
        <x:v>0</x:v>
      </x:c>
      <x:c r="G276" s="38" t="n">
        <x:v>31500</x:v>
      </x:c>
      <x:c r="H276" s="15" t="str">
        <x:v>Salary / wages</x:v>
      </x:c>
      <x:c r="I276" s="15" t="str">
        <x:v>Salary</x:v>
      </x:c>
      <x:c r="J276" s="15" t="str">
        <x:v>eml_ALL_currentac__512781 (2).zip &gt; eml5currentac__512781.zip / FNB _-) R2000.00 paid from Current a_c..512781 @ Smartapp. Ref.Salary.  8Mar 13_25.eml</x:v>
      </x:c>
    </x:row>
    <x:row r="277">
      <x:c r="A277" s="15" t="str">
        <x:v>Current a/c..512781</x:v>
      </x:c>
      <x:c r="B277" s="34" t="n">
        <x:v>46089.57083333333</x:v>
      </x:c>
      <x:c r="C277" s="15" t="str">
        <x:v>R2830.85 paid to Current a/c..512781 @ Payshap. Ref.7f040 Airbnb Payment. 8Mar 13:42</x:v>
      </x:c>
      <x:c r="D277" s="38" t="n">
        <x:v>2830.85</x:v>
      </x:c>
      <x:c r="E277" s="38" t="n">
        <x:v>0</x:v>
      </x:c>
      <x:c r="F277" s="38" t="n">
        <x:v>0</x:v>
      </x:c>
      <x:c r="G277" s="38"/>
      <x:c r="H277" s="15" t="str">
        <x:v>Sales / customer receipts</x:v>
      </x:c>
      <x:c r="I277" s="15" t="str">
        <x:v>7f040 Airbnb Payment</x:v>
      </x:c>
      <x:c r="J277" s="15" t="str">
        <x:v>eml_ALL_currentac__512781 (2).zip &gt; eml5currentac__512781.zip / FNB _-) R2830.85 paid to Current a_c..512781 @ Payshap. Ref.7f040 Airbnb Payment.  8Mar 13_42.eml</x:v>
      </x:c>
    </x:row>
    <x:row r="278">
      <x:c r="A278" s="15" t="str">
        <x:v>Current a/c..512781</x:v>
      </x:c>
      <x:c r="B278" s="34" t="n">
        <x:v>46089.80902777778</x:v>
      </x:c>
      <x:c r="C278" s="15" t="str">
        <x:v>R200.00 paid from Current a/c..512781 @ Smartapp. Avail R34060. Ref.Electricity 14503572. 8Mar 19:25</x:v>
      </x:c>
      <x:c r="D278" s="38" t="n">
        <x:v>0</x:v>
      </x:c>
      <x:c r="E278" s="38" t="n">
        <x:v>200</x:v>
      </x:c>
      <x:c r="F278" s="38" t="n">
        <x:v>0</x:v>
      </x:c>
      <x:c r="G278" s="38" t="n">
        <x:v>34060</x:v>
      </x:c>
      <x:c r="H278" s="15" t="str">
        <x:v>Telecom / utilities</x:v>
      </x:c>
      <x:c r="I278" s="15" t="str">
        <x:v>Electricity 14503572</x:v>
      </x:c>
      <x:c r="J278" s="15" t="str">
        <x:v>eml_ALL_currentac__512781 (2).zip &gt; eml5currentac__512781.zip / FNB _-) R200.00 paid from Current a_c..512781 @ Smartapp. Ref.Electricity 14503572.  8Mar 19_25.eml</x:v>
      </x:c>
    </x:row>
    <x:row r="279">
      <x:c r="A279" s="15" t="str">
        <x:v>Current a/c..512781</x:v>
      </x:c>
      <x:c r="B279" s="34" t="n">
        <x:v>46091.71041666667</x:v>
      </x:c>
      <x:c r="C279" s="15" t="str">
        <x:v>R150.00 paid from Current a/c..512781 @ Smartapp. Avail R31030. Ref.Electricity 14503572. 10Mar 17:03</x:v>
      </x:c>
      <x:c r="D279" s="38" t="n">
        <x:v>0</x:v>
      </x:c>
      <x:c r="E279" s="38" t="n">
        <x:v>150</x:v>
      </x:c>
      <x:c r="F279" s="38" t="n">
        <x:v>0</x:v>
      </x:c>
      <x:c r="G279" s="38" t="n">
        <x:v>31030</x:v>
      </x:c>
      <x:c r="H279" s="15" t="str">
        <x:v>Telecom / utilities</x:v>
      </x:c>
      <x:c r="I279" s="15" t="str">
        <x:v>Electricity 14503572</x:v>
      </x:c>
      <x:c r="J279" s="15" t="str">
        <x:v>eml_ALL_currentac__512781 (2).zip &gt; eml5currentac__512781.zip / FNB _-) R150.00 paid from Current a_c..512781 @ Smartapp. Ref.Electricity 14503572. 10Mar 17_03.eml</x:v>
      </x:c>
    </x:row>
    <x:row r="280">
      <x:c r="A280" s="15" t="str">
        <x:v>Current a/c..512781</x:v>
      </x:c>
      <x:c r="B280" s="34" t="n">
        <x:v>46092.57638888889</x:v>
      </x:c>
      <x:c r="C280" s="15" t="str">
        <x:v>R6008.00 paid from Current a/c..512781 @ Smartapp. Avail R24996. Ref.Kruger Safari 1686. 11Mar 13:50</x:v>
      </x:c>
      <x:c r="D280" s="38" t="n">
        <x:v>0</x:v>
      </x:c>
      <x:c r="E280" s="38" t="n">
        <x:v>6008</x:v>
      </x:c>
      <x:c r="F280" s="38" t="n">
        <x:v>0</x:v>
      </x:c>
      <x:c r="G280" s="38" t="n">
        <x:v>24996</x:v>
      </x:c>
      <x:c r="H280" s="15" t="str">
        <x:v>Supplier payments</x:v>
      </x:c>
      <x:c r="I280" s="15" t="str">
        <x:v>Kruger Safari 1686</x:v>
      </x:c>
      <x:c r="J280" s="15" t="str">
        <x:v>eml_ALL_currentac__512781 (2).zip &gt; eml5currentac__512781.zip / FNB _-) R6008.00 paid from Current a_c..512781 @ Smartapp. Ref.Kruger Safari 1686. 11Mar 13_50.eml</x:v>
      </x:c>
    </x:row>
    <x:row r="281">
      <x:c r="A281" s="15" t="str">
        <x:v>Current a/c..512781</x:v>
      </x:c>
      <x:c r="B281" s="34" t="n">
        <x:v>46093.34722222222</x:v>
      </x:c>
      <x:c r="C281" s="15" t="str">
        <x:v>R29321.53 paid to Current a/c..512781 @ Retail Forex. Ref.R026vwnk80 Booking.c. 12Mar 08:20</x:v>
      </x:c>
      <x:c r="D281" s="38" t="n">
        <x:v>29321.53</x:v>
      </x:c>
      <x:c r="E281" s="38" t="n">
        <x:v>0</x:v>
      </x:c>
      <x:c r="F281" s="38" t="n">
        <x:v>0</x:v>
      </x:c>
      <x:c r="G281" s="38"/>
      <x:c r="H281" s="15" t="str">
        <x:v>Sales / customer receipts</x:v>
      </x:c>
      <x:c r="I281" s="15" t="str">
        <x:v>R026vwnk80 Booking.c</x:v>
      </x:c>
      <x:c r="J281" s="15" t="str">
        <x:v>eml_ALL_currentac__512781 (2).zip &gt; eml5currentac__512781.zip / FNB _-) R29321.53 paid to Current a_c..512781 @ Retail Forex. Ref.R026vwnk80 Booking.c. 12Mar 08_20.eml</x:v>
      </x:c>
    </x:row>
    <x:row r="282">
      <x:c r="A282" s="15" t="str">
        <x:v>Current a/c..512781</x:v>
      </x:c>
      <x:c r="B282" s="34" t="n">
        <x:v>46093.572222222225</x:v>
      </x:c>
      <x:c r="C282" s="15" t="str">
        <x:v>R1500.00 paid to Current a/c..512781 @ Smartapp. Ref.Reeva. 12Mar 13:44</x:v>
      </x:c>
      <x:c r="D282" s="38" t="n">
        <x:v>1500</x:v>
      </x:c>
      <x:c r="E282" s="38" t="n">
        <x:v>0</x:v>
      </x:c>
      <x:c r="F282" s="38" t="n">
        <x:v>0</x:v>
      </x:c>
      <x:c r="G282" s="38"/>
      <x:c r="H282" s="15" t="str">
        <x:v>Sales / customer receipts</x:v>
      </x:c>
      <x:c r="I282" s="15" t="str">
        <x:v>Reeva</x:v>
      </x:c>
      <x:c r="J282" s="15" t="str">
        <x:v>eml_ALL_currentac__512781 (2).zip &gt; eml5currentac__512781.zip / FNB _-) R1500.00 paid to Current a_c..512781 @ Smartapp. Ref.Reeva. 12Mar 13_44.eml</x:v>
      </x:c>
    </x:row>
    <x:row r="283">
      <x:c r="A283" s="15" t="str">
        <x:v>Current a/c..512781</x:v>
      </x:c>
      <x:c r="B283" s="34" t="n">
        <x:v>46093.575694444444</x:v>
      </x:c>
      <x:c r="C283" s="15" t="str">
        <x:v>R7391.15 paid to Current a/c..512781 @ Payshap. Ref.Ik Pay 487882. 12Mar 13:49</x:v>
      </x:c>
      <x:c r="D283" s="38" t="n">
        <x:v>7391.15</x:v>
      </x:c>
      <x:c r="E283" s="38" t="n">
        <x:v>0</x:v>
      </x:c>
      <x:c r="F283" s="38" t="n">
        <x:v>0</x:v>
      </x:c>
      <x:c r="G283" s="38"/>
      <x:c r="H283" s="15" t="str">
        <x:v>Sales / customer receipts</x:v>
      </x:c>
      <x:c r="I283" s="15" t="str">
        <x:v>Ik Pay 487882</x:v>
      </x:c>
      <x:c r="J283" s="15" t="str">
        <x:v>eml_ALL_currentac__512781 (2).zip &gt; eml5currentac__512781.zip / FNB _-) R7391.15 paid to Current a_c..512781 @ Payshap. Ref.Ik Pay 487882. 12Mar 13_49.eml</x:v>
      </x:c>
    </x:row>
    <x:row r="284">
      <x:c r="A284" s="15" t="str">
        <x:v>Current a/c..512781</x:v>
      </x:c>
      <x:c r="B284" s="34" t="n">
        <x:v>46093.67083333333</x:v>
      </x:c>
      <x:c r="C284" s="15" t="str">
        <x:v>R4240.00 paid from Current a/c..512781 @ Smartapp. Avail R57806. Ref.Royal Bush 3798. 12Mar 16:06</x:v>
      </x:c>
      <x:c r="D284" s="38" t="n">
        <x:v>0</x:v>
      </x:c>
      <x:c r="E284" s="38" t="n">
        <x:v>4240</x:v>
      </x:c>
      <x:c r="F284" s="38" t="n">
        <x:v>0</x:v>
      </x:c>
      <x:c r="G284" s="38" t="n">
        <x:v>57806</x:v>
      </x:c>
      <x:c r="H284" s="15" t="str">
        <x:v>Supplier payments</x:v>
      </x:c>
      <x:c r="I284" s="15" t="str">
        <x:v>Royal Bush 3798</x:v>
      </x:c>
      <x:c r="J284" s="15" t="str">
        <x:v>eml_ALL_currentac__512781 (2).zip &gt; eml5currentac__512781.zip / FNB _-) R4240.00 paid from Current a_c..512781 @ Smartapp. Ref.Royal Bush 3798. 12Mar 16_06.eml</x:v>
      </x:c>
    </x:row>
    <x:row r="285">
      <x:c r="A285" s="15" t="str">
        <x:v>Current a/c..512781</x:v>
      </x:c>
      <x:c r="B285" s="34" t="n">
        <x:v>46093.67222222222</x:v>
      </x:c>
      <x:c r="C285" s="15" t="str">
        <x:v>R4506.00 paid from Current a/c..512781 @ Smartapp. Avail R53292. Ref.Kruger Safari 1687. 12Mar 16:08</x:v>
      </x:c>
      <x:c r="D285" s="38" t="n">
        <x:v>0</x:v>
      </x:c>
      <x:c r="E285" s="38" t="n">
        <x:v>4506</x:v>
      </x:c>
      <x:c r="F285" s="38" t="n">
        <x:v>0</x:v>
      </x:c>
      <x:c r="G285" s="38" t="n">
        <x:v>53292</x:v>
      </x:c>
      <x:c r="H285" s="15" t="str">
        <x:v>Supplier payments</x:v>
      </x:c>
      <x:c r="I285" s="15" t="str">
        <x:v>Kruger Safari 1687</x:v>
      </x:c>
      <x:c r="J285" s="15" t="str">
        <x:v>eml_ALL_currentac__512781 (2).zip &gt; eml5currentac__512781.zip / FNB _-) R4506.00 paid from Current a_c..512781 @ Smartapp. Ref.Kruger Safari 1687. 12Mar 16_08.eml</x:v>
      </x:c>
    </x:row>
    <x:row r="286">
      <x:c r="A286" s="15" t="str">
        <x:v>Current a/c..512781</x:v>
      </x:c>
      <x:c r="B286" s="34" t="n">
        <x:v>46094.16180555556</x:v>
      </x:c>
      <x:c r="C286" s="15" t="str">
        <x:v>R5000.00 paid from Current a/c..512781 @ Smartapp. Avail R48275. Ref.Salary- Feb. 13Mar 03:53</x:v>
      </x:c>
      <x:c r="D286" s="38" t="n">
        <x:v>0</x:v>
      </x:c>
      <x:c r="E286" s="38" t="n">
        <x:v>5000</x:v>
      </x:c>
      <x:c r="F286" s="38" t="n">
        <x:v>0</x:v>
      </x:c>
      <x:c r="G286" s="38" t="n">
        <x:v>48275</x:v>
      </x:c>
      <x:c r="H286" s="15" t="str">
        <x:v>Salary / wages</x:v>
      </x:c>
      <x:c r="I286" s="15" t="str">
        <x:v>Salary- Feb</x:v>
      </x:c>
      <x:c r="J286" s="15" t="str">
        <x:v>eml_ALL_currentac__512781 (2).zip &gt; eml5currentac__512781.zip / FNB _-) R5000.00 paid from Current a_c..512781 @ Smartapp. Ref.Salary- Feb. 13Mar 03_53.eml</x:v>
      </x:c>
    </x:row>
    <x:row r="287">
      <x:c r="A287" s="15" t="str">
        <x:v>Current a/c..512781</x:v>
      </x:c>
      <x:c r="B287" s="34" t="n">
        <x:v>46094.58888888889</x:v>
      </x:c>
      <x:c r="C287" s="15" t="str">
        <x:v>R2500.00 paid from Current a/c..512781 @ Smartapp. Avail R45767. Ref.Sakkie Wages. 13Mar 14:08</x:v>
      </x:c>
      <x:c r="D287" s="38" t="n">
        <x:v>0</x:v>
      </x:c>
      <x:c r="E287" s="38" t="n">
        <x:v>2500</x:v>
      </x:c>
      <x:c r="F287" s="38" t="n">
        <x:v>0</x:v>
      </x:c>
      <x:c r="G287" s="38" t="n">
        <x:v>45767</x:v>
      </x:c>
      <x:c r="H287" s="15" t="str">
        <x:v>Salary / wages</x:v>
      </x:c>
      <x:c r="I287" s="15" t="str">
        <x:v>Sakkie Wages</x:v>
      </x:c>
      <x:c r="J287" s="15" t="str">
        <x:v>eml_ALL_currentac__512781 (2).zip &gt; eml5currentac__512781.zip / FNB _-) R2500.00 paid from Current a_c..512781 @ Smartapp. Ref.Sakkie Wages. 13Mar 14_08.eml</x:v>
      </x:c>
    </x:row>
    <x:row r="288">
      <x:c r="A288" s="15" t="str">
        <x:v>Current a/c..512781</x:v>
      </x:c>
      <x:c r="B288" s="34" t="n">
        <x:v>46096.46319444444</x:v>
      </x:c>
      <x:c r="C288" s="15" t="str">
        <x:v>R150.00 paid from Current a/c..512781 @ Smartapp. Avail R44362. Ref.Electricity 14503572. 15Mar 11:07</x:v>
      </x:c>
      <x:c r="D288" s="38" t="n">
        <x:v>0</x:v>
      </x:c>
      <x:c r="E288" s="38" t="n">
        <x:v>150</x:v>
      </x:c>
      <x:c r="F288" s="38" t="n">
        <x:v>0</x:v>
      </x:c>
      <x:c r="G288" s="38" t="n">
        <x:v>44362</x:v>
      </x:c>
      <x:c r="H288" s="15" t="str">
        <x:v>Telecom / utilities</x:v>
      </x:c>
      <x:c r="I288" s="15" t="str">
        <x:v>Electricity 14503572</x:v>
      </x:c>
      <x:c r="J288" s="15" t="str">
        <x:v>eml_ALL_currentac__512781 (2).zip &gt; eml5currentac__512781.zip / FNB _-) R150.00 paid from Current a_c..512781 @ Smartapp. Ref.Electricity 14503572. 15Mar 11_07.eml</x:v>
      </x:c>
    </x:row>
    <x:row r="289">
      <x:c r="A289" s="15" t="str">
        <x:v>Current a/c..512781</x:v>
      </x:c>
      <x:c r="B289" s="34" t="n">
        <x:v>46097.50625</x:v>
      </x:c>
      <x:c r="C289" s="15" t="str">
        <x:v>R150.00 paid from Current a/c..512781 @ Smartapp. Avail R43287. Ref.Electricity 14503572. 16Mar 12:09</x:v>
      </x:c>
      <x:c r="D289" s="38" t="n">
        <x:v>0</x:v>
      </x:c>
      <x:c r="E289" s="38" t="n">
        <x:v>150</x:v>
      </x:c>
      <x:c r="F289" s="38" t="n">
        <x:v>0</x:v>
      </x:c>
      <x:c r="G289" s="38" t="n">
        <x:v>43287</x:v>
      </x:c>
      <x:c r="H289" s="15" t="str">
        <x:v>Telecom / utilities</x:v>
      </x:c>
      <x:c r="I289" s="15" t="str">
        <x:v>Electricity 14503572</x:v>
      </x:c>
      <x:c r="J289" s="15" t="str">
        <x:v>eml_ALL_currentac__512781 (2).zip &gt; eml5currentac__512781.zip / FNB _-) R150.00 paid from Current a_c..512781 @ Smartapp. Ref.Electricity 14503572. 16Mar 12_09.eml</x:v>
      </x:c>
    </x:row>
    <x:row r="290">
      <x:c r="A290" s="15" t="str">
        <x:v>Current a/c..512781</x:v>
      </x:c>
      <x:c r="B290" s="34" t="n">
        <x:v>46097.71666666667</x:v>
      </x:c>
      <x:c r="C290" s="15" t="str">
        <x:v>R4835.36 paid from Current a/c..512781 @ Smartapp. Avail R38287. Ref.City Of Capetown. 16Mar 17:12</x:v>
      </x:c>
      <x:c r="D290" s="38" t="n">
        <x:v>0</x:v>
      </x:c>
      <x:c r="E290" s="38" t="n">
        <x:v>4835.36</x:v>
      </x:c>
      <x:c r="F290" s="38" t="n">
        <x:v>0</x:v>
      </x:c>
      <x:c r="G290" s="38" t="n">
        <x:v>38287</x:v>
      </x:c>
      <x:c r="H290" s="15" t="str">
        <x:v>Supplier payments</x:v>
      </x:c>
      <x:c r="I290" s="15" t="str">
        <x:v>City Of Capetown</x:v>
      </x:c>
      <x:c r="J290" s="15" t="str">
        <x:v>eml_ALL_currentac__512781 (2).zip &gt; eml5currentac__512781.zip / FNB _-) R4835.36 paid from Current a_c..512781 @ Smartapp. Ref.City Of Capetown. 16Mar 17_12.eml</x:v>
      </x:c>
    </x:row>
    <x:row r="291">
      <x:c r="A291" s="15" t="str">
        <x:v>Current a/c..512781</x:v>
      </x:c>
      <x:c r="B291" s="34" t="n">
        <x:v>46097.75555555556</x:v>
      </x:c>
      <x:c r="C291" s="15" t="str">
        <x:v>R500.00 paid from Current a/c..512781 @ Smartapp. Avail R37784. Ref.Electricity 04294887. 16Mar 18:08</x:v>
      </x:c>
      <x:c r="D291" s="38" t="n">
        <x:v>0</x:v>
      </x:c>
      <x:c r="E291" s="38" t="n">
        <x:v>500</x:v>
      </x:c>
      <x:c r="F291" s="38" t="n">
        <x:v>0</x:v>
      </x:c>
      <x:c r="G291" s="38" t="n">
        <x:v>37784</x:v>
      </x:c>
      <x:c r="H291" s="15" t="str">
        <x:v>Telecom / utilities</x:v>
      </x:c>
      <x:c r="I291" s="15" t="str">
        <x:v>Electricity 04294887</x:v>
      </x:c>
      <x:c r="J291" s="15" t="str">
        <x:v>eml_ALL_currentac__512781 (2).zip &gt; eml5currentac__512781.zip / FNB _-) R500.00 paid from Current a_c..512781 @ Smartapp. Ref.Electricity 04294887. 16Mar 18_08.eml</x:v>
      </x:c>
    </x:row>
    <x:row r="292">
      <x:c r="A292" s="15" t="str">
        <x:v>Current a/c..512781</x:v>
      </x:c>
      <x:c r="B292" s="34" t="n">
        <x:v>46098.589583333334</x:v>
      </x:c>
      <x:c r="C292" s="15" t="str">
        <x:v>R1801.00 paid from Current a/c..512781 @ Smartapp. Avail R35050. Ref.Dinner Box 108599. 17Mar 14:09</x:v>
      </x:c>
      <x:c r="D292" s="38" t="n">
        <x:v>0</x:v>
      </x:c>
      <x:c r="E292" s="38" t="n">
        <x:v>1801</x:v>
      </x:c>
      <x:c r="F292" s="38" t="n">
        <x:v>0</x:v>
      </x:c>
      <x:c r="G292" s="38" t="n">
        <x:v>35050</x:v>
      </x:c>
      <x:c r="H292" s="15" t="str">
        <x:v>Meals / restaurants / entertainment</x:v>
      </x:c>
      <x:c r="I292" s="15" t="str">
        <x:v>Dinner Box 108599</x:v>
      </x:c>
      <x:c r="J292" s="15" t="str">
        <x:v>eml_ALL_currentac__512781 (2).zip &gt; eml4currentac__512781.zip / FNB _-) R1801.00 paid from Current a_c..512781 @ Smartapp. Ref.Dinner Box 108599. 17Mar 14_09.eml</x:v>
      </x:c>
    </x:row>
    <x:row r="293">
      <x:c r="A293" s="15" t="str">
        <x:v>Current a/c..512781</x:v>
      </x:c>
      <x:c r="B293" s="34" t="n">
        <x:v>46099.79236111111</x:v>
      </x:c>
      <x:c r="C293" s="15" t="str">
        <x:v>R1292.00 paid from Current a/c..512781 @ Smartapp. Avail R33452. Ref.Cf Moto Saf - Inv 2. 18Mar 19:01</x:v>
      </x:c>
      <x:c r="D293" s="38" t="n">
        <x:v>0</x:v>
      </x:c>
      <x:c r="E293" s="38" t="n">
        <x:v>1292</x:v>
      </x:c>
      <x:c r="F293" s="38" t="n">
        <x:v>0</x:v>
      </x:c>
      <x:c r="G293" s="38" t="n">
        <x:v>33452</x:v>
      </x:c>
      <x:c r="H293" s="15" t="str">
        <x:v>Supplier payments</x:v>
      </x:c>
      <x:c r="I293" s="15" t="str">
        <x:v>Cf Moto Saf - Inv 2</x:v>
      </x:c>
      <x:c r="J293" s="15" t="str">
        <x:v>eml_ALL_currentac__512781 (2).zip &gt; eml4currentac__512781.zip / FNB _-) R1292.00 paid from Current a_c..512781 @ Smartapp. Ref.Cf Moto Saf - Inv 2. 18Mar 19_01.eml</x:v>
      </x:c>
    </x:row>
    <x:row r="294">
      <x:c r="A294" s="15" t="str">
        <x:v>Current a/c..512781</x:v>
      </x:c>
      <x:c r="B294" s="34" t="n">
        <x:v>46100.34722222222</x:v>
      </x:c>
      <x:c r="C294" s="15" t="str">
        <x:v>R6823.74 paid to Current a/c..512781 @ Retail Forex. Ref.R026vlwjc0 Booking.c. 19Mar 08:20</x:v>
      </x:c>
      <x:c r="D294" s="38" t="n">
        <x:v>6823.74</x:v>
      </x:c>
      <x:c r="E294" s="38" t="n">
        <x:v>0</x:v>
      </x:c>
      <x:c r="F294" s="38" t="n">
        <x:v>0</x:v>
      </x:c>
      <x:c r="G294" s="38"/>
      <x:c r="H294" s="15" t="str">
        <x:v>Sales / customer receipts</x:v>
      </x:c>
      <x:c r="I294" s="15" t="str">
        <x:v>R026vlwjc0 Booking.c</x:v>
      </x:c>
      <x:c r="J294" s="15" t="str">
        <x:v>eml_ALL_currentac__512781 (2).zip &gt; eml4currentac__512781.zip / FNB _-) R6823.74 paid to Current a_c..512781 @ Retail Forex. Ref.R026vlwjc0 Booking.c. 19Mar 08_20.eml</x:v>
      </x:c>
    </x:row>
    <x:row r="295">
      <x:c r="A295" s="15" t="str">
        <x:v>Current a/c..512781</x:v>
      </x:c>
      <x:c r="B295" s="34" t="n">
        <x:v>46102.65416666667</x:v>
      </x:c>
      <x:c r="C295" s="15" t="str">
        <x:v>R2929.00 paid from Current a/c..512781 @ Smartapp. Avail R35411. Ref.Kruger Safari 1688. 21Mar 15:42</x:v>
      </x:c>
      <x:c r="D295" s="38" t="n">
        <x:v>0</x:v>
      </x:c>
      <x:c r="E295" s="38" t="n">
        <x:v>2929</x:v>
      </x:c>
      <x:c r="F295" s="38" t="n">
        <x:v>0</x:v>
      </x:c>
      <x:c r="G295" s="38" t="n">
        <x:v>35411</x:v>
      </x:c>
      <x:c r="H295" s="15" t="str">
        <x:v>Supplier payments</x:v>
      </x:c>
      <x:c r="I295" s="15" t="str">
        <x:v>Kruger Safari 1688</x:v>
      </x:c>
      <x:c r="J295" s="15" t="str">
        <x:v>eml_ALL_currentac__512781 (2).zip &gt; eml4currentac__512781.zip / FNB _-) R2929.00 paid from Current a_c..512781 @ Smartapp. Ref.Kruger Safari 1688. 21Mar 15_42.eml</x:v>
      </x:c>
    </x:row>
    <x:row r="296">
      <x:c r="A296" s="15" t="str">
        <x:v>Current a/c..512781</x:v>
      </x:c>
      <x:c r="B296" s="34" t="n">
        <x:v>46104.51458333333</x:v>
      </x:c>
      <x:c r="C296" s="15" t="str">
        <x:v>R500.00 paid from Current a/c..512781 @ Smartapp. Avail R34908. Ref.Electricity 04294887. 23Mar 12:21</x:v>
      </x:c>
      <x:c r="D296" s="38" t="n">
        <x:v>0</x:v>
      </x:c>
      <x:c r="E296" s="38" t="n">
        <x:v>500</x:v>
      </x:c>
      <x:c r="F296" s="38" t="n">
        <x:v>0</x:v>
      </x:c>
      <x:c r="G296" s="38" t="n">
        <x:v>34908</x:v>
      </x:c>
      <x:c r="H296" s="15" t="str">
        <x:v>Telecom / utilities</x:v>
      </x:c>
      <x:c r="I296" s="15" t="str">
        <x:v>Electricity 04294887</x:v>
      </x:c>
      <x:c r="J296" s="15" t="str">
        <x:v>eml_ALL_currentac__512781 (2).zip &gt; eml4currentac__512781.zip / FNB _-) R500.00 paid from Current a_c..512781 @ Smartapp. Ref.Electricity 04294887. 23Mar 12_21.eml</x:v>
      </x:c>
    </x:row>
    <x:row r="297">
      <x:c r="A297" s="15" t="str">
        <x:v>Current a/c..512781</x:v>
      </x:c>
      <x:c r="B297" s="34" t="n">
        <x:v>46104.580555555556</x:v>
      </x:c>
      <x:c r="C297" s="15" t="str">
        <x:v>R5137.92 paid to Current a/c..512781 @ Payshap. Ref.Ik Pay 487882. 23Mar 13:56</x:v>
      </x:c>
      <x:c r="D297" s="38" t="n">
        <x:v>5137.92</x:v>
      </x:c>
      <x:c r="E297" s="38" t="n">
        <x:v>0</x:v>
      </x:c>
      <x:c r="F297" s="38" t="n">
        <x:v>0</x:v>
      </x:c>
      <x:c r="G297" s="38"/>
      <x:c r="H297" s="15" t="str">
        <x:v>Sales / customer receipts</x:v>
      </x:c>
      <x:c r="I297" s="15" t="str">
        <x:v>Ik Pay 487882</x:v>
      </x:c>
      <x:c r="J297" s="15" t="str">
        <x:v>eml_ALL_currentac__512781 (2).zip &gt; eml4currentac__512781.zip / FNB _-) R5137.92 paid to Current a_c..512781 @ Payshap. Ref.Ik Pay 487882. 23Mar 13_56.eml</x:v>
      </x:c>
    </x:row>
    <x:row r="298">
      <x:c r="A298" s="15" t="str">
        <x:v>Current a/c..512781</x:v>
      </x:c>
      <x:c r="B298" s="34" t="n">
        <x:v>46105.49722222222</x:v>
      </x:c>
      <x:c r="C298" s="15" t="str">
        <x:v>R1000.00 paid from Current a/c..512781 @ Smartapp. Avail R38360. Ref.Dam Staff. 24Mar 11:56</x:v>
      </x:c>
      <x:c r="D298" s="38" t="n">
        <x:v>0</x:v>
      </x:c>
      <x:c r="E298" s="38" t="n">
        <x:v>1000</x:v>
      </x:c>
      <x:c r="F298" s="38" t="n">
        <x:v>0</x:v>
      </x:c>
      <x:c r="G298" s="38" t="n">
        <x:v>38360</x:v>
      </x:c>
      <x:c r="H298" s="15" t="str">
        <x:v>Salary / wages</x:v>
      </x:c>
      <x:c r="I298" s="15" t="str">
        <x:v>Dam Staff</x:v>
      </x:c>
      <x:c r="J298" s="15" t="str">
        <x:v>eml_ALL_currentac__512781 (2).zip &gt; eml4currentac__512781.zip / FNB _-) R1000.00 paid from Current a_c..512781 @ Smartapp. Ref.Dam Staff. 24Mar 11_56.eml</x:v>
      </x:c>
    </x:row>
    <x:row r="299">
      <x:c r="A299" s="15" t="str">
        <x:v>Current a/c..512781</x:v>
      </x:c>
      <x:c r="B299" s="34" t="n">
        <x:v>46105.864583333336</x:v>
      </x:c>
      <x:c r="C299" s="15" t="str">
        <x:v>R150.00 paid from Current a/c..512781 @ Smartapp. Avail R38054. Ref.Electricity 14503572. 24Mar 20:45</x:v>
      </x:c>
      <x:c r="D299" s="38" t="n">
        <x:v>0</x:v>
      </x:c>
      <x:c r="E299" s="38" t="n">
        <x:v>150</x:v>
      </x:c>
      <x:c r="F299" s="38" t="n">
        <x:v>0</x:v>
      </x:c>
      <x:c r="G299" s="38" t="n">
        <x:v>38054</x:v>
      </x:c>
      <x:c r="H299" s="15" t="str">
        <x:v>Telecom / utilities</x:v>
      </x:c>
      <x:c r="I299" s="15" t="str">
        <x:v>Electricity 14503572</x:v>
      </x:c>
      <x:c r="J299" s="15" t="str">
        <x:v>eml_ALL_currentac__512781 (2).zip &gt; eml4currentac__512781.zip / FNB _-) R150.00 paid from Current a_c..512781 @ Smartapp. Ref.Electricity 14503572. 24Mar 20_45.eml</x:v>
      </x:c>
    </x:row>
    <x:row r="300">
      <x:c r="A300" s="15" t="str">
        <x:v>Current a/c..512781</x:v>
      </x:c>
      <x:c r="B300" s="34" t="n">
        <x:v>46106.475</x:v>
      </x:c>
      <x:c r="C300" s="15" t="str">
        <x:v>R1565.00 paid from Current a/c..512781 @ Smartapp. Avail R36486. Ref.Waterkloof Gas 11080. 25Mar 11:24</x:v>
      </x:c>
      <x:c r="D300" s="38" t="n">
        <x:v>0</x:v>
      </x:c>
      <x:c r="E300" s="38" t="n">
        <x:v>1565</x:v>
      </x:c>
      <x:c r="F300" s="38" t="n">
        <x:v>0</x:v>
      </x:c>
      <x:c r="G300" s="38" t="n">
        <x:v>36486</x:v>
      </x:c>
      <x:c r="H300" s="15" t="str">
        <x:v>Supplier payments</x:v>
      </x:c>
      <x:c r="I300" s="15" t="str">
        <x:v>Waterkloof Gas 11080</x:v>
      </x:c>
      <x:c r="J300" s="15" t="str">
        <x:v>eml_ALL_currentac__512781 (2).zip &gt; eml4currentac__512781.zip / FNB _-) R1565.00 paid from Current a_c..512781 @ Smartapp. Ref.Waterkloof Gas 11080. 25Mar 11_24.eml</x:v>
      </x:c>
    </x:row>
    <x:row r="301">
      <x:c r="A301" s="15" t="str">
        <x:v>Current a/c..512781</x:v>
      </x:c>
      <x:c r="B301" s="34" t="n">
        <x:v>46107.308333333334</x:v>
      </x:c>
      <x:c r="C301" s="15" t="str">
        <x:v>R150.00 paid from Current a/c..512781 @ Smartapp. Avail R33553. Ref.Electricity 14503572. 26Mar 07:24</x:v>
      </x:c>
      <x:c r="D301" s="38" t="n">
        <x:v>0</x:v>
      </x:c>
      <x:c r="E301" s="38" t="n">
        <x:v>150</x:v>
      </x:c>
      <x:c r="F301" s="38" t="n">
        <x:v>0</x:v>
      </x:c>
      <x:c r="G301" s="38" t="n">
        <x:v>33553</x:v>
      </x:c>
      <x:c r="H301" s="15" t="str">
        <x:v>Telecom / utilities</x:v>
      </x:c>
      <x:c r="I301" s="15" t="str">
        <x:v>Electricity 14503572</x:v>
      </x:c>
      <x:c r="J301" s="15" t="str">
        <x:v>eml_ALL_currentac__512781 (2).zip &gt; eml4currentac__512781.zip / FNB _-) R150.00 paid from Current a_c..512781 @ Smartapp. Ref.Electricity 14503572. 26Mar 07_24.eml</x:v>
      </x:c>
    </x:row>
    <x:row r="302">
      <x:c r="A302" s="15" t="str">
        <x:v>Current a/c..512781</x:v>
      </x:c>
      <x:c r="B302" s="34" t="n">
        <x:v>46107.33888888889</x:v>
      </x:c>
      <x:c r="C302" s="15" t="str">
        <x:v>R11517.18 paid to Current a/c..512781 @ Retail Forex. Ref.R026v0kzq0 Booking.c. 26Mar 08:08</x:v>
      </x:c>
      <x:c r="D302" s="38" t="n">
        <x:v>11517.18</x:v>
      </x:c>
      <x:c r="E302" s="38" t="n">
        <x:v>0</x:v>
      </x:c>
      <x:c r="F302" s="38" t="n">
        <x:v>0</x:v>
      </x:c>
      <x:c r="G302" s="38"/>
      <x:c r="H302" s="15" t="str">
        <x:v>Sales / customer receipts</x:v>
      </x:c>
      <x:c r="I302" s="15" t="str">
        <x:v>R026v0kzq0 Booking.c</x:v>
      </x:c>
      <x:c r="J302" s="15" t="str">
        <x:v>eml_ALL_currentac__512781 (2).zip &gt; eml4currentac__512781.zip / FNB _-) R11517.18 paid to Current a_c..512781 @ Retail Forex. Ref.R026v0kzq0 Booking.c. 26Mar 08_08.eml</x:v>
      </x:c>
    </x:row>
    <x:row r="303">
      <x:c r="A303" s="15" t="str">
        <x:v>Current a/c..512781</x:v>
      </x:c>
      <x:c r="B303" s="34" t="n">
        <x:v>46107.57777777778</x:v>
      </x:c>
      <x:c r="C303" s="15" t="str">
        <x:v>R1441.44 paid to Current a/c..512781 @ Payshap. Ref.Ik Pay 487882. 26Mar 13:52</x:v>
      </x:c>
      <x:c r="D303" s="38" t="n">
        <x:v>1441.44</x:v>
      </x:c>
      <x:c r="E303" s="38" t="n">
        <x:v>0</x:v>
      </x:c>
      <x:c r="F303" s="38" t="n">
        <x:v>0</x:v>
      </x:c>
      <x:c r="G303" s="38"/>
      <x:c r="H303" s="15" t="str">
        <x:v>Sales / customer receipts</x:v>
      </x:c>
      <x:c r="I303" s="15" t="str">
        <x:v>Ik Pay 487882</x:v>
      </x:c>
      <x:c r="J303" s="15" t="str">
        <x:v>eml_ALL_currentac__512781 (2).zip &gt; eml4currentac__512781.zip / FNB _-) R1441.44 paid to Current a_c..512781 @ Payshap. Ref.Ik Pay 487882. 26Mar 13_52.eml</x:v>
      </x:c>
    </x:row>
    <x:row r="304">
      <x:c r="A304" s="15" t="str">
        <x:v>Current a/c..512781</x:v>
      </x:c>
      <x:c r="B304" s="34" t="n">
        <x:v>46108.595138888886</x:v>
      </x:c>
      <x:c r="C304" s="15" t="str">
        <x:v>R500.00 paid from Current a/c..512781 @ Smartapp. Avail R44028. Ref.Electricity 04294887. 27Mar 14:17</x:v>
      </x:c>
      <x:c r="D304" s="38" t="n">
        <x:v>0</x:v>
      </x:c>
      <x:c r="E304" s="38" t="n">
        <x:v>500</x:v>
      </x:c>
      <x:c r="F304" s="38" t="n">
        <x:v>0</x:v>
      </x:c>
      <x:c r="G304" s="38" t="n">
        <x:v>44028</x:v>
      </x:c>
      <x:c r="H304" s="15" t="str">
        <x:v>Telecom / utilities</x:v>
      </x:c>
      <x:c r="I304" s="15" t="str">
        <x:v>Electricity 04294887</x:v>
      </x:c>
      <x:c r="J304" s="15" t="str">
        <x:v>eml_ALL_currentac__512781 (2).zip &gt; eml4currentac__512781.zip / FNB _-) R500.00 paid from Current a_c..512781 @ Smartapp. Ref.Electricity 04294887. 27Mar 14_17.eml</x:v>
      </x:c>
    </x:row>
    <x:row r="305">
      <x:c r="A305" s="15" t="str">
        <x:v>Current a/c..512781</x:v>
      </x:c>
      <x:c r="B305" s="34" t="n">
        <x:v>46109.521527777775</x:v>
      </x:c>
      <x:c r="C305" s="15" t="str">
        <x:v>R2500.00 paid from Current a/c..512781 @ Smartapp. Avail R41505. Ref.Sakkie Wages. 28Mar 12:31</x:v>
      </x:c>
      <x:c r="D305" s="38" t="n">
        <x:v>0</x:v>
      </x:c>
      <x:c r="E305" s="38" t="n">
        <x:v>2500</x:v>
      </x:c>
      <x:c r="F305" s="38" t="n">
        <x:v>0</x:v>
      </x:c>
      <x:c r="G305" s="38" t="n">
        <x:v>41505</x:v>
      </x:c>
      <x:c r="H305" s="15" t="str">
        <x:v>Salary / wages</x:v>
      </x:c>
      <x:c r="I305" s="15" t="str">
        <x:v>Sakkie Wages</x:v>
      </x:c>
      <x:c r="J305" s="15" t="str">
        <x:v>eml_ALL_currentac__512781 (2).zip &gt; eml4currentac__512781.zip / FNB _-) R2500.00 paid from Current a_c..512781 @ Smartapp. Ref.Sakkie Wages. 28Mar 12_31.eml</x:v>
      </x:c>
    </x:row>
    <x:row r="306">
      <x:c r="A306" s="15" t="str">
        <x:v>Current a/c..512781</x:v>
      </x:c>
      <x:c r="B306" s="34" t="n">
        <x:v>46111.38888888889</x:v>
      </x:c>
      <x:c r="C306" s="15" t="str">
        <x:v>R1500.00 paid from Current a/c..512781 @ Smartapp. Avail R38655. Ref.Lebombo Wash 03/30. 30Mar 09:20</x:v>
      </x:c>
      <x:c r="D306" s="38" t="n">
        <x:v>0</x:v>
      </x:c>
      <x:c r="E306" s="38" t="n">
        <x:v>1500</x:v>
      </x:c>
      <x:c r="F306" s="38" t="n">
        <x:v>0</x:v>
      </x:c>
      <x:c r="G306" s="38" t="n">
        <x:v>38655</x:v>
      </x:c>
      <x:c r="H306" s="15" t="str">
        <x:v>Supplier payments</x:v>
      </x:c>
      <x:c r="I306" s="15" t="str">
        <x:v>Lebombo Wash 03/30</x:v>
      </x:c>
      <x:c r="J306" s="15" t="str">
        <x:v>eml_ALL_currentac__512781 (2).zip &gt; eml4currentac__512781.zip / FNB _-) R1500.00 paid from Current a_c..512781 @ Smartapp. Ref.Lebombo Wash 03_30. 30Mar 09_20.eml</x:v>
      </x:c>
    </x:row>
    <x:row r="307">
      <x:c r="A307" s="15" t="str">
        <x:v>Current a/c..512781</x:v>
      </x:c>
      <x:c r="B307" s="34" t="n">
        <x:v>46111.49513888889</x:v>
      </x:c>
      <x:c r="C307" s="15" t="str">
        <x:v>R142.08 paid from Current a/c..512781 @ Smartapp. Avail R38505. Ref.Bon Express 8018. 30Mar 11:53</x:v>
      </x:c>
      <x:c r="D307" s="38" t="n">
        <x:v>0</x:v>
      </x:c>
      <x:c r="E307" s="38" t="n">
        <x:v>142.08</x:v>
      </x:c>
      <x:c r="F307" s="38" t="n">
        <x:v>0</x:v>
      </x:c>
      <x:c r="G307" s="38" t="n">
        <x:v>38505</x:v>
      </x:c>
      <x:c r="H307" s="15" t="str">
        <x:v>Supplier payments</x:v>
      </x:c>
      <x:c r="I307" s="15" t="str">
        <x:v>Bon Express 8018</x:v>
      </x:c>
      <x:c r="J307" s="15" t="str">
        <x:v>eml_ALL_currentac__512781 (2).zip &gt; eml4currentac__512781.zip / FNB _-) R142.08 paid from Current a_c..512781 @ Smartapp. Ref.Bon Express 8018. 30Mar 11_53.eml</x:v>
      </x:c>
    </x:row>
    <x:row r="308">
      <x:c r="A308" s="15" t="str">
        <x:v>Current a/c..512781</x:v>
      </x:c>
      <x:c r="B308" s="34" t="n">
        <x:v>46111.51458333333</x:v>
      </x:c>
      <x:c r="C308" s="15" t="str">
        <x:v>R23503.00 paid to Current a/c..512781 @ Online Banking. Ref.Ag1 Seaside Village. 30Mar 12:21</x:v>
      </x:c>
      <x:c r="D308" s="38" t="n">
        <x:v>23503</x:v>
      </x:c>
      <x:c r="E308" s="38" t="n">
        <x:v>0</x:v>
      </x:c>
      <x:c r="F308" s="38" t="n">
        <x:v>0</x:v>
      </x:c>
      <x:c r="G308" s="38"/>
      <x:c r="H308" s="15" t="str">
        <x:v>Sales / customer receipts</x:v>
      </x:c>
      <x:c r="I308" s="15" t="str">
        <x:v>Ag1 Seaside Village</x:v>
      </x:c>
      <x:c r="J308" s="15" t="str">
        <x:v>eml_ALL_currentac__512781 (2).zip &gt; eml4currentac__512781.zip / FNB _-) R23503.00 paid to Current a_c..512781 @ Online Banking. Ref.Ag1 Seaside Village. 30Mar 12_21.eml</x:v>
      </x:c>
    </x:row>
    <x:row r="309">
      <x:c r="A309" s="15" t="str">
        <x:v>Current a/c..512781</x:v>
      </x:c>
      <x:c r="B309" s="34" t="n">
        <x:v>46111.57777777778</x:v>
      </x:c>
      <x:c r="C309" s="15" t="str">
        <x:v>R10191.21 paid to Current a/c..512781 @ Payshap. Ref.Ik Pay 487882. 30Mar 13:52</x:v>
      </x:c>
      <x:c r="D309" s="38" t="n">
        <x:v>10191.21</x:v>
      </x:c>
      <x:c r="E309" s="38" t="n">
        <x:v>0</x:v>
      </x:c>
      <x:c r="F309" s="38" t="n">
        <x:v>0</x:v>
      </x:c>
      <x:c r="G309" s="38"/>
      <x:c r="H309" s="15" t="str">
        <x:v>Sales / customer receipts</x:v>
      </x:c>
      <x:c r="I309" s="15" t="str">
        <x:v>Ik Pay 487882</x:v>
      </x:c>
      <x:c r="J309" s="15" t="str">
        <x:v>eml_ALL_currentac__512781 (2).zip &gt; eml4currentac__512781.zip / FNB _-) R10191.21 paid to Current a_c..512781 @ Payshap. Ref.Ik Pay 487882. 30Mar 13_52.eml</x:v>
      </x:c>
    </x:row>
    <x:row r="310">
      <x:c r="A310" s="15" t="str">
        <x:v>Current a/c..512781</x:v>
      </x:c>
      <x:c r="B310" s="34" t="n">
        <x:v>46112.37569444445</x:v>
      </x:c>
      <x:c r="C310" s="15" t="str">
        <x:v>R500.00 paid from Current a/c..512781 @ Smartapp. Avail R71576. Ref.Kpci - C1736 April. 31Mar 09:01</x:v>
      </x:c>
      <x:c r="D310" s="38" t="n">
        <x:v>0</x:v>
      </x:c>
      <x:c r="E310" s="38" t="n">
        <x:v>500</x:v>
      </x:c>
      <x:c r="F310" s="38" t="n">
        <x:v>0</x:v>
      </x:c>
      <x:c r="G310" s="38" t="n">
        <x:v>71576</x:v>
      </x:c>
      <x:c r="H310" s="15" t="str">
        <x:v>Supplier payments</x:v>
      </x:c>
      <x:c r="I310" s="15" t="str">
        <x:v>Kpci - C1736 April</x:v>
      </x:c>
      <x:c r="J310" s="15" t="str">
        <x:v>eml_ALL_currentac__512781 (2).zip &gt; eml4currentac__512781.zip / FNB _-) R500.00 paid from Current a_c..512781 @ Smartapp. Ref.Kpci - C1736 April. 31Mar 09_01.eml</x:v>
      </x:c>
    </x:row>
    <x:row r="311">
      <x:c r="A311" s="15" t="str">
        <x:v>Current a/c..512781</x:v>
      </x:c>
      <x:c r="B311" s="34" t="n">
        <x:v>46112.38125</x:v>
      </x:c>
      <x:c r="C311" s="15" t="str">
        <x:v>R2929.00 paid from Current a/c..512781 @ Smartapp. Avail R68644. Ref.Kruger Safari 1689. 31Mar 09:09</x:v>
      </x:c>
      <x:c r="D311" s="38" t="n">
        <x:v>0</x:v>
      </x:c>
      <x:c r="E311" s="38" t="n">
        <x:v>2929</x:v>
      </x:c>
      <x:c r="F311" s="38" t="n">
        <x:v>0</x:v>
      </x:c>
      <x:c r="G311" s="38" t="n">
        <x:v>68644</x:v>
      </x:c>
      <x:c r="H311" s="15" t="str">
        <x:v>Supplier payments</x:v>
      </x:c>
      <x:c r="I311" s="15" t="str">
        <x:v>Kruger Safari 1689</x:v>
      </x:c>
      <x:c r="J311" s="15" t="str">
        <x:v>eml_ALL_currentac__512781 (2).zip &gt; eml4currentac__512781.zip / FNB _-) R2929.00 paid from Current a_c..512781 @ Smartapp. Ref.Kruger Safari 1689. 31Mar 09_09.eml</x:v>
      </x:c>
    </x:row>
    <x:row r="312">
      <x:c r="A312" s="15" t="str">
        <x:v>Current a/c..512781</x:v>
      </x:c>
      <x:c r="B312" s="34" t="n">
        <x:v>46112.39513888889</x:v>
      </x:c>
      <x:c r="C312" s="15" t="str">
        <x:v>R8480.00 paid from Current a/c..512781 @ Smartapp. Avail R60156. Ref.Royal Bush 3766. 31Mar 09:29</x:v>
      </x:c>
      <x:c r="D312" s="38" t="n">
        <x:v>0</x:v>
      </x:c>
      <x:c r="E312" s="38" t="n">
        <x:v>8480</x:v>
      </x:c>
      <x:c r="F312" s="38" t="n">
        <x:v>0</x:v>
      </x:c>
      <x:c r="G312" s="38" t="n">
        <x:v>60156</x:v>
      </x:c>
      <x:c r="H312" s="15" t="str">
        <x:v>Supplier payments</x:v>
      </x:c>
      <x:c r="I312" s="15" t="str">
        <x:v>Royal Bush 3766</x:v>
      </x:c>
      <x:c r="J312" s="15" t="str">
        <x:v>eml_ALL_currentac__512781 (2).zip &gt; eml4currentac__512781.zip / FNB _-) R8480.00 paid from Current a_c..512781 @ Smartapp. Ref.Royal Bush 3766. 31Mar 09_29.eml</x:v>
      </x:c>
    </x:row>
    <x:row r="313">
      <x:c r="A313" s="15" t="str">
        <x:v>Current a/c..512781</x:v>
      </x:c>
      <x:c r="B313" s="34" t="n">
        <x:v>46112.575694444444</x:v>
      </x:c>
      <x:c r="C313" s="15" t="str">
        <x:v>R150.00 paid from Current a/c..512781 @ Smartapp. Avail R59031. Ref.Electricity 14503572. 31Mar 13:49</x:v>
      </x:c>
      <x:c r="D313" s="38" t="n">
        <x:v>0</x:v>
      </x:c>
      <x:c r="E313" s="38" t="n">
        <x:v>150</x:v>
      </x:c>
      <x:c r="F313" s="38" t="n">
        <x:v>0</x:v>
      </x:c>
      <x:c r="G313" s="38" t="n">
        <x:v>59031</x:v>
      </x:c>
      <x:c r="H313" s="15" t="str">
        <x:v>Telecom / utilities</x:v>
      </x:c>
      <x:c r="I313" s="15" t="str">
        <x:v>Electricity 14503572</x:v>
      </x:c>
      <x:c r="J313" s="15" t="str">
        <x:v>eml_ALL_currentac__512781 (2).zip &gt; eml4currentac__512781.zip / FNB _-) R150.00 paid from Current a_c..512781 @ Smartapp. Ref.Electricity 14503572. 31Mar 13_49.eml</x:v>
      </x:c>
    </x:row>
    <x:row r="314">
      <x:c r="A314" s="15" t="str">
        <x:v>Current a/c..512781</x:v>
      </x:c>
      <x:c r="B314" s="34" t="n">
        <x:v>46112.57708333333</x:v>
      </x:c>
      <x:c r="C314" s="15" t="str">
        <x:v>R9043.16 paid to Current a/c..512781 @ Payshap. Ref.Ik Pay 487882. 31Mar 13:51</x:v>
      </x:c>
      <x:c r="D314" s="38" t="n">
        <x:v>9043.16</x:v>
      </x:c>
      <x:c r="E314" s="38" t="n">
        <x:v>0</x:v>
      </x:c>
      <x:c r="F314" s="38" t="n">
        <x:v>0</x:v>
      </x:c>
      <x:c r="G314" s="38"/>
      <x:c r="H314" s="15" t="str">
        <x:v>Sales / customer receipts</x:v>
      </x:c>
      <x:c r="I314" s="15" t="str">
        <x:v>Ik Pay 487882</x:v>
      </x:c>
      <x:c r="J314" s="15" t="str">
        <x:v>eml_ALL_currentac__512781 (2).zip &gt; eml4currentac__512781.zip / FNB _-) R9043.16 paid to Current a_c..512781 @ Payshap. Ref.Ik Pay 487882. 31Mar 13_51.eml</x:v>
      </x:c>
    </x:row>
    <x:row r="315">
      <x:c r="A315" s="15" t="str">
        <x:v>Current a/c..512781</x:v>
      </x:c>
      <x:c r="B315" s="34" t="n">
        <x:v>46112.740277777775</x:v>
      </x:c>
      <x:c r="C315" s="15" t="str">
        <x:v>R25000.00 t/fer from Current a/c..512781 to Current a/c..261544 @ Smartapp. Avail R42979. 31Mar 17:46</x:v>
      </x:c>
      <x:c r="D315" s="38" t="n">
        <x:v>0</x:v>
      </x:c>
      <x:c r="E315" s="38" t="n">
        <x:v>0</x:v>
      </x:c>
      <x:c r="F315" s="38" t="n">
        <x:v>25000</x:v>
      </x:c>
      <x:c r="G315" s="38" t="n">
        <x:v>42979</x:v>
      </x:c>
      <x:c r="H315" s="15" t="str">
        <x:v>Inter-account transfer</x:v>
      </x:c>
      <x:c r="I315" s="15" t="str">
        <x:v>Current a/c..261544</x:v>
      </x:c>
      <x:c r="J315" s="15" t="str">
        <x:v>eml_ALL_currentac__512781 (2).zip &gt; eml4currentac__512781.zip / FNB _-) R25000.00 t_fer from Current a_c..512781 to Current a_c..261544 @ Smartapp. 31Mar 17_46.eml</x:v>
      </x:c>
    </x:row>
    <x:row r="316">
      <x:c r="A316" s="15" t="str">
        <x:v>Current a/c..512781</x:v>
      </x:c>
      <x:c r="B316" s="34" t="n">
        <x:v>46113.39513888889</x:v>
      </x:c>
      <x:c r="C316" s="15" t="str">
        <x:v>R2037.00 paid from Current a/c..512781 @ Smartapp. Avail R40819. Ref.Kruger Safari 1690. 1Apr 09:29</x:v>
      </x:c>
      <x:c r="D316" s="38" t="n">
        <x:v>0</x:v>
      </x:c>
      <x:c r="E316" s="38" t="n">
        <x:v>2037</x:v>
      </x:c>
      <x:c r="F316" s="38" t="n">
        <x:v>0</x:v>
      </x:c>
      <x:c r="G316" s="38" t="n">
        <x:v>40819</x:v>
      </x:c>
      <x:c r="H316" s="15" t="str">
        <x:v>Supplier payments</x:v>
      </x:c>
      <x:c r="I316" s="15" t="str">
        <x:v>Kruger Safari 1690</x:v>
      </x:c>
      <x:c r="J316" s="15" t="str">
        <x:v>eml_ALL_currentac__512781 (2).zip &gt; eml4currentac__512781.zip / FNB _-) R2037.00 paid from Current a_c..512781 @ Smartapp. Ref.Kruger Safari 1690.  1Apr 09_29.eml</x:v>
      </x:c>
    </x:row>
    <x:row r="317">
      <x:c r="A317" s="15" t="str">
        <x:v>Current a/c..512781</x:v>
      </x:c>
      <x:c r="B317" s="34" t="n">
        <x:v>46113.395833333336</x:v>
      </x:c>
      <x:c r="C317" s="15" t="str">
        <x:v>R12000.00 paid from Current a/c..512781 @ Gen Ph. Avail R16789. Ref.Staff Salary. 1Apr 09:30</x:v>
      </x:c>
      <x:c r="D317" s="38" t="n">
        <x:v>0</x:v>
      </x:c>
      <x:c r="E317" s="38" t="n">
        <x:v>12000</x:v>
      </x:c>
      <x:c r="F317" s="38" t="n">
        <x:v>0</x:v>
      </x:c>
      <x:c r="G317" s="38" t="n">
        <x:v>16789</x:v>
      </x:c>
      <x:c r="H317" s="15" t="str">
        <x:v>Salary / wages</x:v>
      </x:c>
      <x:c r="I317" s="15" t="str">
        <x:v>Staff Salary</x:v>
      </x:c>
      <x:c r="J317" s="15" t="str">
        <x:v>eml_ALL_currentac__512781 (2).zip &gt; eml4currentac__512781.zip / FNB _-) R12000.00 paid from Current a_c..512781 @ Gen Ph. Ref.Staff Salary.  1Apr 09_30.eml</x:v>
      </x:c>
    </x:row>
    <x:row r="318">
      <x:c r="A318" s="15" t="str">
        <x:v>Current a/c..512781</x:v>
      </x:c>
      <x:c r="B318" s="34" t="n">
        <x:v>46113.395833333336</x:v>
      </x:c>
      <x:c r="C318" s="15" t="str">
        <x:v>R12000.00 paid from Current a/c..512781 @ Gen Ph. Avail R28804. Ref.Staff Salary. 1Apr 09:30</x:v>
      </x:c>
      <x:c r="D318" s="38" t="n">
        <x:v>0</x:v>
      </x:c>
      <x:c r="E318" s="38" t="n">
        <x:v>12000</x:v>
      </x:c>
      <x:c r="F318" s="38" t="n">
        <x:v>0</x:v>
      </x:c>
      <x:c r="G318" s="38" t="n">
        <x:v>28804</x:v>
      </x:c>
      <x:c r="H318" s="15" t="str">
        <x:v>Salary / wages</x:v>
      </x:c>
      <x:c r="I318" s="15" t="str">
        <x:v>Staff Salary</x:v>
      </x:c>
      <x:c r="J318" s="15" t="str">
        <x:v>eml_ALL_currentac__512781 (2).zip &gt; eml4currentac__512781.zip / FNB _-) R12000.00 paid from Current a_c..512781 @ Gen Ph. Ref.Staff Salary.  1Apr 09_30_1.eml</x:v>
      </x:c>
    </x:row>
    <x:row r="319">
      <x:c r="A319" s="15" t="str">
        <x:v>Current a/c..512781</x:v>
      </x:c>
      <x:c r="B319" s="34" t="n">
        <x:v>46113.39722222222</x:v>
      </x:c>
      <x:c r="C319" s="15" t="str">
        <x:v>R759.00 paid from Current a/c..512781 @ Smartapp. Avail R16030. Ref.Nb N992820. 1Apr 09:32</x:v>
      </x:c>
      <x:c r="D319" s="38" t="n">
        <x:v>0</x:v>
      </x:c>
      <x:c r="E319" s="38" t="n">
        <x:v>759</x:v>
      </x:c>
      <x:c r="F319" s="38" t="n">
        <x:v>0</x:v>
      </x:c>
      <x:c r="G319" s="38" t="n">
        <x:v>16030</x:v>
      </x:c>
      <x:c r="H319" s="15" t="str">
        <x:v>Supplier payments</x:v>
      </x:c>
      <x:c r="I319" s="15" t="str">
        <x:v>Nb N992820</x:v>
      </x:c>
      <x:c r="J319" s="15" t="str">
        <x:v>eml_ALL_currentac__512781 (2).zip &gt; eml4currentac__512781.zip / FNB _-) R759.00 paid from Current a_c..512781 @ Smartapp. Ref.Nb N992820.  1Apr 09_32.eml</x:v>
      </x:c>
    </x:row>
    <x:row r="320">
      <x:c r="A320" s="15" t="str">
        <x:v>Current a/c..512781</x:v>
      </x:c>
      <x:c r="B320" s="34" t="n">
        <x:v>46113.39791666667</x:v>
      </x:c>
      <x:c r="C320" s="15" t="str">
        <x:v>R3000.00 paid from Current a/c..512781 @ Smartapp. Avail R13027. Ref.Staff Salary. 1Apr 09:33</x:v>
      </x:c>
      <x:c r="D320" s="38" t="n">
        <x:v>0</x:v>
      </x:c>
      <x:c r="E320" s="38" t="n">
        <x:v>3000</x:v>
      </x:c>
      <x:c r="F320" s="38" t="n">
        <x:v>0</x:v>
      </x:c>
      <x:c r="G320" s="38" t="n">
        <x:v>13027</x:v>
      </x:c>
      <x:c r="H320" s="15" t="str">
        <x:v>Salary / wages</x:v>
      </x:c>
      <x:c r="I320" s="15" t="str">
        <x:v>Staff Salary</x:v>
      </x:c>
      <x:c r="J320" s="15" t="str">
        <x:v>eml_ALL_currentac__512781 (2).zip &gt; eml4currentac__512781.zip / FNB _-) R3000.00 paid from Current a_c..512781 @ Smartapp. Ref.Staff Salary.  1Apr 09_33.eml</x:v>
      </x:c>
    </x:row>
    <x:row r="321">
      <x:c r="A321" s="15" t="str">
        <x:v>Current a/c..512781</x:v>
      </x:c>
      <x:c r="B321" s="34" t="n">
        <x:v>46113.42013888889</x:v>
      </x:c>
      <x:c r="C321" s="15" t="str">
        <x:v>R1482.00 paid from Current a/c..512781 @ Smartapp. Avail R11542. Ref.Dinner Box 109255. 1Apr 10:05</x:v>
      </x:c>
      <x:c r="D321" s="38" t="n">
        <x:v>0</x:v>
      </x:c>
      <x:c r="E321" s="38" t="n">
        <x:v>1482</x:v>
      </x:c>
      <x:c r="F321" s="38" t="n">
        <x:v>0</x:v>
      </x:c>
      <x:c r="G321" s="38" t="n">
        <x:v>11542</x:v>
      </x:c>
      <x:c r="H321" s="15" t="str">
        <x:v>Meals / restaurants / entertainment</x:v>
      </x:c>
      <x:c r="I321" s="15" t="str">
        <x:v>Dinner Box 109255</x:v>
      </x:c>
      <x:c r="J321" s="15" t="str">
        <x:v>eml_ALL_currentac__512781 (2).zip &gt; eml4currentac__512781.zip / FNB _-) R1482.00 paid from Current a_c..512781 @ Smartapp. Ref.Dinner Box 109255.  1Apr 10_05.eml</x:v>
      </x:c>
    </x:row>
    <x:row r="322">
      <x:c r="A322" s="15" t="str">
        <x:v>Current a/c..512781</x:v>
      </x:c>
      <x:c r="B322" s="34" t="n">
        <x:v>46113.427083333336</x:v>
      </x:c>
      <x:c r="C322" s="15" t="str">
        <x:v>R284.17 paid from Current a/c..512781 @ Smartapp. Avail R11258. Ref.Bon Express 008072. 1Apr 10:15</x:v>
      </x:c>
      <x:c r="D322" s="38" t="n">
        <x:v>0</x:v>
      </x:c>
      <x:c r="E322" s="38" t="n">
        <x:v>284.17</x:v>
      </x:c>
      <x:c r="F322" s="38" t="n">
        <x:v>0</x:v>
      </x:c>
      <x:c r="G322" s="38" t="n">
        <x:v>11258</x:v>
      </x:c>
      <x:c r="H322" s="15" t="str">
        <x:v>Supplier payments</x:v>
      </x:c>
      <x:c r="I322" s="15" t="str">
        <x:v>Bon Express 008072</x:v>
      </x:c>
      <x:c r="J322" s="15" t="str">
        <x:v>eml_ALL_currentac__512781 (2).zip &gt; eml4currentac__512781.zip / FNB _-) R284.17 paid from Current a_c..512781 @ Smartapp. Ref.Bon Express 008072.  1Apr 10_15.eml</x:v>
      </x:c>
    </x:row>
    <x:row r="323">
      <x:c r="A323" s="15" t="str">
        <x:v>Current a/c..512781</x:v>
      </x:c>
      <x:c r="B323" s="34" t="n">
        <x:v>46114.15138888889</x:v>
      </x:c>
      <x:c r="C323" s="15" t="str">
        <x:v>R2000.00 paid from Current a/c..512781 @ Smartapp. Avail R7646. Ref.Staff. 2Apr 03:38</x:v>
      </x:c>
      <x:c r="D323" s="38" t="n">
        <x:v>0</x:v>
      </x:c>
      <x:c r="E323" s="38" t="n">
        <x:v>2000</x:v>
      </x:c>
      <x:c r="F323" s="38" t="n">
        <x:v>0</x:v>
      </x:c>
      <x:c r="G323" s="38" t="n">
        <x:v>7646</x:v>
      </x:c>
      <x:c r="H323" s="15" t="str">
        <x:v>Salary / wages</x:v>
      </x:c>
      <x:c r="I323" s="15" t="str">
        <x:v>Staff</x:v>
      </x:c>
      <x:c r="J323" s="15" t="str">
        <x:v>eml_ALL_currentac__512781 (2).zip &gt; eml4currentac__512781.zip / FNB _-) R2000.00 paid from Current a_c..512781 @ Smartapp. Ref.Staff.  2Apr 03_38.eml</x:v>
      </x:c>
    </x:row>
    <x:row r="324">
      <x:c r="A324" s="15" t="str">
        <x:v>Current a/c..512781</x:v>
      </x:c>
      <x:c r="B324" s="34" t="n">
        <x:v>46114.228472222225</x:v>
      </x:c>
      <x:c r="C324" s="15" t="str">
        <x:v>R2000.00 paid from Current a/c..512781 @ Smartapp. Avail R5643. Ref.Staff. 2Apr 05:29</x:v>
      </x:c>
      <x:c r="D324" s="38" t="n">
        <x:v>0</x:v>
      </x:c>
      <x:c r="E324" s="38" t="n">
        <x:v>2000</x:v>
      </x:c>
      <x:c r="F324" s="38" t="n">
        <x:v>0</x:v>
      </x:c>
      <x:c r="G324" s="38" t="n">
        <x:v>5643</x:v>
      </x:c>
      <x:c r="H324" s="15" t="str">
        <x:v>Salary / wages</x:v>
      </x:c>
      <x:c r="I324" s="15" t="str">
        <x:v>Staff</x:v>
      </x:c>
      <x:c r="J324" s="15" t="str">
        <x:v>eml_ALL_currentac__512781 (2).zip &gt; eml4currentac__512781.zip / FNB _-) R2000.00 paid from Current a_c..512781 @ Smartapp. Ref.Staff.  2Apr 05_29.eml</x:v>
      </x:c>
    </x:row>
    <x:row r="325">
      <x:c r="A325" s="15" t="str">
        <x:v>Current a/c..512781</x:v>
      </x:c>
      <x:c r="B325" s="34" t="n">
        <x:v>46114.38055555556</x:v>
      </x:c>
      <x:c r="C325" s="15" t="str">
        <x:v>R24034.56 paid to Current a/c..512781 @ Retail Forex. Ref.R026txbl00 Booking.c. 2Apr 09:08</x:v>
      </x:c>
      <x:c r="D325" s="38" t="n">
        <x:v>24034.56</x:v>
      </x:c>
      <x:c r="E325" s="38" t="n">
        <x:v>0</x:v>
      </x:c>
      <x:c r="F325" s="38" t="n">
        <x:v>0</x:v>
      </x:c>
      <x:c r="G325" s="38"/>
      <x:c r="H325" s="15" t="str">
        <x:v>Sales / customer receipts</x:v>
      </x:c>
      <x:c r="I325" s="15" t="str">
        <x:v>R026txbl00 Booking.c</x:v>
      </x:c>
      <x:c r="J325" s="15" t="str">
        <x:v>eml_ALL_currentac__512781 (2).zip &gt; eml4currentac__512781.zip / FNB _-) R24034.56 paid to Current a_c..512781 @ Retail Forex. Ref.R026txbl00 Booking.c.  2Apr 09_08.eml</x:v>
      </x:c>
    </x:row>
    <x:row r="326">
      <x:c r="A326" s="15" t="str">
        <x:v>Current a/c..512781</x:v>
      </x:c>
      <x:c r="B326" s="34" t="n">
        <x:v>46114.68541666667</x:v>
      </x:c>
      <x:c r="C326" s="15" t="str">
        <x:v>R500.00 paid from Current a/c..512781 @ Smartapp. Avail R26785. Ref.Electricity 04294887. 2Apr 16:27</x:v>
      </x:c>
      <x:c r="D326" s="38" t="n">
        <x:v>0</x:v>
      </x:c>
      <x:c r="E326" s="38" t="n">
        <x:v>500</x:v>
      </x:c>
      <x:c r="F326" s="38" t="n">
        <x:v>0</x:v>
      </x:c>
      <x:c r="G326" s="38" t="n">
        <x:v>26785</x:v>
      </x:c>
      <x:c r="H326" s="15" t="str">
        <x:v>Telecom / utilities</x:v>
      </x:c>
      <x:c r="I326" s="15" t="str">
        <x:v>Electricity 04294887</x:v>
      </x:c>
      <x:c r="J326" s="15" t="str">
        <x:v>eml_ALL_currentac__512781 (2).zip &gt; eml4currentac__512781.zip / FNB _-) R500.00 paid from Current a_c..512781 @ Smartapp. Ref.Electricity 04294887.  2Apr 16_27.eml</x:v>
      </x:c>
    </x:row>
    <x:row r="327">
      <x:c r="A327" s="15" t="str">
        <x:v>Current a/c..512781</x:v>
      </x:c>
      <x:c r="B327" s="34" t="n">
        <x:v>46116.45</x:v>
      </x:c>
      <x:c r="C327" s="15" t="str">
        <x:v>R226.65 paid to Current a/c..512781 @ Payshap. Ref.Ik Pay 487882. 4Apr 10:48</x:v>
      </x:c>
      <x:c r="D327" s="38" t="n">
        <x:v>226.65</x:v>
      </x:c>
      <x:c r="E327" s="38" t="n">
        <x:v>0</x:v>
      </x:c>
      <x:c r="F327" s="38" t="n">
        <x:v>0</x:v>
      </x:c>
      <x:c r="G327" s="38"/>
      <x:c r="H327" s="15" t="str">
        <x:v>Sales / customer receipts</x:v>
      </x:c>
      <x:c r="I327" s="15" t="str">
        <x:v>Ik Pay 487882</x:v>
      </x:c>
      <x:c r="J327" s="15" t="str">
        <x:v>eml_ALL_currentac__512781 (2).zip &gt; eml4currentac__512781.zip / FNB _-) R226.65 paid to Current a_c..512781 @ Payshap. Ref.Ik Pay 487882.  4Apr 10_48.eml</x:v>
      </x:c>
    </x:row>
    <x:row r="328">
      <x:c r="A328" s="15" t="str">
        <x:v>Current a/c..512781</x:v>
      </x:c>
      <x:c r="B328" s="34" t="n">
        <x:v>46116.600694444445</x:v>
      </x:c>
      <x:c r="C328" s="15" t="str">
        <x:v>R250.00 paid from Current a/c..512781 @ Smartapp. Avail R24127. Ref.Sakkie Wages. 4Apr 14:25</x:v>
      </x:c>
      <x:c r="D328" s="38" t="n">
        <x:v>0</x:v>
      </x:c>
      <x:c r="E328" s="38" t="n">
        <x:v>250</x:v>
      </x:c>
      <x:c r="F328" s="38" t="n">
        <x:v>0</x:v>
      </x:c>
      <x:c r="G328" s="38" t="n">
        <x:v>24127</x:v>
      </x:c>
      <x:c r="H328" s="15" t="str">
        <x:v>Salary / wages</x:v>
      </x:c>
      <x:c r="I328" s="15" t="str">
        <x:v>Sakkie Wages</x:v>
      </x:c>
      <x:c r="J328" s="15" t="str">
        <x:v>eml_ALL_currentac__512781 (2).zip &gt; eml4currentac__512781.zip / FNB _-) R250.00 paid from Current a_c..512781 @ Smartapp. Ref.Sakkie Wages.  4Apr 14_25.eml</x:v>
      </x:c>
    </x:row>
    <x:row r="329">
      <x:c r="A329" s="15" t="str">
        <x:v>Current a/c..512781</x:v>
      </x:c>
      <x:c r="B329" s="34" t="n">
        <x:v>46119.57708333333</x:v>
      </x:c>
      <x:c r="C329" s="15" t="str">
        <x:v>R27685.14 paid to Current a/c..512781 @ Payshap. Ref.Ik Pay 487882. 7Apr 13:51</x:v>
      </x:c>
      <x:c r="D329" s="38" t="n">
        <x:v>27685.14</x:v>
      </x:c>
      <x:c r="E329" s="38" t="n">
        <x:v>0</x:v>
      </x:c>
      <x:c r="F329" s="38" t="n">
        <x:v>0</x:v>
      </x:c>
      <x:c r="G329" s="38"/>
      <x:c r="H329" s="15" t="str">
        <x:v>Sales / customer receipts</x:v>
      </x:c>
      <x:c r="I329" s="15" t="str">
        <x:v>Ik Pay 487882</x:v>
      </x:c>
      <x:c r="J329" s="15" t="str">
        <x:v>eml_ALL_currentac__512781 (2).zip &gt; eml4currentac__512781.zip / FNB _-) R27685.14 paid to Current a_c..512781 @ Payshap. Ref.Ik Pay 487882.  7Apr 13_51.eml</x:v>
      </x:c>
    </x:row>
    <x:row r="330">
      <x:c r="A330" s="15" t="str">
        <x:v>Current a/c..512781</x:v>
      </x:c>
      <x:c r="B330" s="34" t="n">
        <x:v>46119.68819444445</x:v>
      </x:c>
      <x:c r="C330" s="15" t="str">
        <x:v>R4240.00 paid from Current a/c..512781 @ Smartapp. Avail R45044. Ref.Royal Bush 3783. 7Apr 16:31</x:v>
      </x:c>
      <x:c r="D330" s="38" t="n">
        <x:v>0</x:v>
      </x:c>
      <x:c r="E330" s="38" t="n">
        <x:v>4240</x:v>
      </x:c>
      <x:c r="F330" s="38" t="n">
        <x:v>0</x:v>
      </x:c>
      <x:c r="G330" s="38" t="n">
        <x:v>45044</x:v>
      </x:c>
      <x:c r="H330" s="15" t="str">
        <x:v>Supplier payments</x:v>
      </x:c>
      <x:c r="I330" s="15" t="str">
        <x:v>Royal Bush 3783</x:v>
      </x:c>
      <x:c r="J330" s="15" t="str">
        <x:v>eml_ALL_currentac__512781 (2).zip &gt; eml4currentac__512781.zip / FNB _-) R4240.00 paid from Current a_c..512781 @ Smartapp. Ref.Royal Bush 3783.  7Apr 16_31.eml</x:v>
      </x:c>
    </x:row>
    <x:row r="331">
      <x:c r="A331" s="15" t="str">
        <x:v>Current a/c..512781</x:v>
      </x:c>
      <x:c r="B331" s="34" t="n">
        <x:v>46119.69236111111</x:v>
      </x:c>
      <x:c r="C331" s="15" t="str">
        <x:v>R9176.00 paid from Current a/c..512781 @ Smartapp. Avail R35860. Ref.Kruger Safari 1691. 7Apr 16:37</x:v>
      </x:c>
      <x:c r="D331" s="38" t="n">
        <x:v>0</x:v>
      </x:c>
      <x:c r="E331" s="38" t="n">
        <x:v>9176</x:v>
      </x:c>
      <x:c r="F331" s="38" t="n">
        <x:v>0</x:v>
      </x:c>
      <x:c r="G331" s="38" t="n">
        <x:v>35860</x:v>
      </x:c>
      <x:c r="H331" s="15" t="str">
        <x:v>Supplier payments</x:v>
      </x:c>
      <x:c r="I331" s="15" t="str">
        <x:v>Kruger Safari 1691</x:v>
      </x:c>
      <x:c r="J331" s="15" t="str">
        <x:v>eml_ALL_currentac__512781 (2).zip &gt; eml4currentac__512781.zip / FNB _-) R9176.00 paid from Current a_c..512781 @ Smartapp. Ref.Kruger Safari 1691.  7Apr 16_37.eml</x:v>
      </x:c>
    </x:row>
    <x:row r="332">
      <x:c r="A332" s="15" t="str">
        <x:v>Current a/c..512781</x:v>
      </x:c>
      <x:c r="B332" s="34" t="n">
        <x:v>46119.69305555556</x:v>
      </x:c>
      <x:c r="C332" s="15" t="str">
        <x:v>R5000.00 paid from Current a/c..512781 @ Smartapp. Avail R30857. Ref.Staff. 7Apr 16:38</x:v>
      </x:c>
      <x:c r="D332" s="38" t="n">
        <x:v>0</x:v>
      </x:c>
      <x:c r="E332" s="38" t="n">
        <x:v>5000</x:v>
      </x:c>
      <x:c r="F332" s="38" t="n">
        <x:v>0</x:v>
      </x:c>
      <x:c r="G332" s="38" t="n">
        <x:v>30857</x:v>
      </x:c>
      <x:c r="H332" s="15" t="str">
        <x:v>Salary / wages</x:v>
      </x:c>
      <x:c r="I332" s="15" t="str">
        <x:v>Staff</x:v>
      </x:c>
      <x:c r="J332" s="15" t="str">
        <x:v>eml_ALL_currentac__512781 (2).zip &gt; eml4currentac__512781.zip / FNB _-) R5000.00 paid from Current a_c..512781 @ Smartapp. Ref.Staff.  7Apr 16_38.eml</x:v>
      </x:c>
    </x:row>
    <x:row r="333">
      <x:c r="A333" s="15" t="str">
        <x:v>Current a/c..512781</x:v>
      </x:c>
      <x:c r="B333" s="34" t="n">
        <x:v>46119.75902777778</x:v>
      </x:c>
      <x:c r="C333" s="15" t="str">
        <x:v>R500.00 paid from Current a/c..512781 @ Smartapp. Avail R30354. Ref.Electricity 04294887. 7Apr 18:13</x:v>
      </x:c>
      <x:c r="D333" s="38" t="n">
        <x:v>0</x:v>
      </x:c>
      <x:c r="E333" s="38" t="n">
        <x:v>500</x:v>
      </x:c>
      <x:c r="F333" s="38" t="n">
        <x:v>0</x:v>
      </x:c>
      <x:c r="G333" s="38" t="n">
        <x:v>30354</x:v>
      </x:c>
      <x:c r="H333" s="15" t="str">
        <x:v>Telecom / utilities</x:v>
      </x:c>
      <x:c r="I333" s="15" t="str">
        <x:v>Electricity 04294887</x:v>
      </x:c>
      <x:c r="J333" s="15" t="str">
        <x:v>eml_ALL_currentac__512781 (2).zip &gt; eml4currentac__512781.zip / FNB _-) R500.00 paid from Current a_c..512781 @ Smartapp. Ref.Electricity 04294887.  7Apr 18_13.eml</x:v>
      </x:c>
    </x:row>
    <x:row r="334">
      <x:c r="A334" s="15" t="str">
        <x:v>Current a/c..512781</x:v>
      </x:c>
      <x:c r="B334" s="34" t="n">
        <x:v>46120.57638888889</x:v>
      </x:c>
      <x:c r="C334" s="15" t="str">
        <x:v>R9063.98 paid to Current a/c..512781 @ Payshap. Ref.Ik Pay 487882. 8Apr 13:50</x:v>
      </x:c>
      <x:c r="D334" s="38" t="n">
        <x:v>9063.98</x:v>
      </x:c>
      <x:c r="E334" s="38" t="n">
        <x:v>0</x:v>
      </x:c>
      <x:c r="F334" s="38" t="n">
        <x:v>0</x:v>
      </x:c>
      <x:c r="G334" s="38"/>
      <x:c r="H334" s="15" t="str">
        <x:v>Sales / customer receipts</x:v>
      </x:c>
      <x:c r="I334" s="15" t="str">
        <x:v>Ik Pay 487882</x:v>
      </x:c>
      <x:c r="J334" s="15" t="str">
        <x:v>eml_ALL_currentac__512781 (2).zip &gt; eml4currentac__512781.zip / FNB _-) R9063.98 paid to Current a_c..512781 @ Payshap. Ref.Ik Pay 487882.  8Apr 13_50.eml</x:v>
      </x:c>
    </x:row>
    <x:row r="335">
      <x:c r="A335" s="15" t="str">
        <x:v>Current a/c..512781</x:v>
      </x:c>
      <x:c r="B335" s="34" t="n">
        <x:v>46121.05347222222</x:v>
      </x:c>
      <x:c r="C335" s="15" t="str">
        <x:v>R5000.00 paid from Current a/c..512781 @ Gen Ph. Avail R34292. Ref.African Sky. 9Apr 01:17</x:v>
      </x:c>
      <x:c r="D335" s="38" t="n">
        <x:v>0</x:v>
      </x:c>
      <x:c r="E335" s="38" t="n">
        <x:v>5000</x:v>
      </x:c>
      <x:c r="F335" s="38" t="n">
        <x:v>0</x:v>
      </x:c>
      <x:c r="G335" s="38" t="n">
        <x:v>34292</x:v>
      </x:c>
      <x:c r="H335" s="15" t="str">
        <x:v>Supplier payments</x:v>
      </x:c>
      <x:c r="I335" s="15" t="str">
        <x:v>African Sky</x:v>
      </x:c>
      <x:c r="J335" s="15" t="str">
        <x:v>eml_ALL_currentac__512781 (2).zip &gt; eml4currentac__512781.zip / FNB _-) R5000.00 paid from Current a_c..512781 @ Gen Ph. Ref.African Sky.  9Apr 01_17.eml</x:v>
      </x:c>
    </x:row>
    <x:row r="336">
      <x:c r="A336" s="15" t="str">
        <x:v>Current a/c..512781</x:v>
      </x:c>
      <x:c r="B336" s="34" t="n">
        <x:v>46121.15277777778</x:v>
      </x:c>
      <x:c r="C336" s="15" t="str">
        <x:v>R4000.00 paid from Current a/c..512781 @ Smartapp. Avail R30289. Ref.Staff. 9Apr 03:40</x:v>
      </x:c>
      <x:c r="D336" s="38" t="n">
        <x:v>0</x:v>
      </x:c>
      <x:c r="E336" s="38" t="n">
        <x:v>4000</x:v>
      </x:c>
      <x:c r="F336" s="38" t="n">
        <x:v>0</x:v>
      </x:c>
      <x:c r="G336" s="38" t="n">
        <x:v>30289</x:v>
      </x:c>
      <x:c r="H336" s="15" t="str">
        <x:v>Salary / wages</x:v>
      </x:c>
      <x:c r="I336" s="15" t="str">
        <x:v>Staff</x:v>
      </x:c>
      <x:c r="J336" s="15" t="str">
        <x:v>eml_ALL_currentac__512781 (2).zip &gt; eml4currentac__512781.zip / FNB _-) R4000.00 paid from Current a_c..512781 @ Smartapp. Ref.Staff.  9Apr 03_40.eml</x:v>
      </x:c>
    </x:row>
    <x:row r="337">
      <x:c r="A337" s="15" t="str">
        <x:v>Current a/c..512781</x:v>
      </x:c>
      <x:c r="B337" s="34" t="n">
        <x:v>46121.34722222222</x:v>
      </x:c>
      <x:c r="C337" s="15" t="str">
        <x:v>R35316.64 paid to Current a/c..512781 @ Retail Forex. Ref.R026tnsk50 Booking.c. 9Apr 08:20</x:v>
      </x:c>
      <x:c r="D337" s="38" t="n">
        <x:v>35316.64</x:v>
      </x:c>
      <x:c r="E337" s="38" t="n">
        <x:v>0</x:v>
      </x:c>
      <x:c r="F337" s="38" t="n">
        <x:v>0</x:v>
      </x:c>
      <x:c r="G337" s="38"/>
      <x:c r="H337" s="15" t="str">
        <x:v>Sales / customer receipts</x:v>
      </x:c>
      <x:c r="I337" s="15" t="str">
        <x:v>R026tnsk50 Booking.c</x:v>
      </x:c>
      <x:c r="J337" s="15" t="str">
        <x:v>eml_ALL_currentac__512781 (2).zip &gt; eml4currentac__512781.zip / FNB _-) R35316.64 paid to Current a_c..512781 @ Retail Forex. Ref.R026tnsk50 Booking.c.  9Apr 08_20.eml</x:v>
      </x:c>
    </x:row>
    <x:row r="338">
      <x:c r="A338" s="15" t="str">
        <x:v>Current a/c..512781</x:v>
      </x:c>
      <x:c r="B338" s="34" t="n">
        <x:v>46121.57638888889</x:v>
      </x:c>
      <x:c r="C338" s="15" t="str">
        <x:v>R8506.05 paid to Current a/c..512781 @ Payshap. Ref.Ik Pay 487882. 9Apr 13:50</x:v>
      </x:c>
      <x:c r="D338" s="38" t="n">
        <x:v>8506.05</x:v>
      </x:c>
      <x:c r="E338" s="38" t="n">
        <x:v>0</x:v>
      </x:c>
      <x:c r="F338" s="38" t="n">
        <x:v>0</x:v>
      </x:c>
      <x:c r="G338" s="38"/>
      <x:c r="H338" s="15" t="str">
        <x:v>Sales / customer receipts</x:v>
      </x:c>
      <x:c r="I338" s="15" t="str">
        <x:v>Ik Pay 487882</x:v>
      </x:c>
      <x:c r="J338" s="15" t="str">
        <x:v>eml_ALL_currentac__512781 (2).zip &gt; eml4currentac__512781.zip / FNB _-) R8506.05 paid to Current a_c..512781 @ Payshap. Ref.Ik Pay 487882.  9Apr 13_50.eml</x:v>
      </x:c>
    </x:row>
    <x:row r="339">
      <x:c r="A339" s="15" t="str">
        <x:v>Current a/c..512781</x:v>
      </x:c>
      <x:c r="B339" s="34" t="n">
        <x:v>46121.691666666666</x:v>
      </x:c>
      <x:c r="C339" s="15" t="str">
        <x:v>R150.00 paid from Current a/c..512781 @ Smartapp. Avail R72809. Ref.Electricity 14503572. 9Apr 16:36</x:v>
      </x:c>
      <x:c r="D339" s="38" t="n">
        <x:v>0</x:v>
      </x:c>
      <x:c r="E339" s="38" t="n">
        <x:v>150</x:v>
      </x:c>
      <x:c r="F339" s="38" t="n">
        <x:v>0</x:v>
      </x:c>
      <x:c r="G339" s="38" t="n">
        <x:v>72809</x:v>
      </x:c>
      <x:c r="H339" s="15" t="str">
        <x:v>Telecom / utilities</x:v>
      </x:c>
      <x:c r="I339" s="15" t="str">
        <x:v>Electricity 14503572</x:v>
      </x:c>
      <x:c r="J339" s="15" t="str">
        <x:v>eml_ALL_currentac__512781 (2).zip &gt; eml4currentac__512781.zip / FNB _-) R150.00 paid from Current a_c..512781 @ Smartapp. Ref.Electricity 14503572.  9Apr 16_36.eml</x:v>
      </x:c>
    </x:row>
    <x:row r="340">
      <x:c r="A340" s="15" t="str">
        <x:v>Current a/c..512781</x:v>
      </x:c>
      <x:c r="B340" s="34" t="n">
        <x:v>46122.39166666667</x:v>
      </x:c>
      <x:c r="C340" s="15" t="str">
        <x:v>R8865.50 paid to Current a/c..512781 @ Retail Forex. Ref.R026tlz5b0 Johan Spr. 10Apr 09:24</x:v>
      </x:c>
      <x:c r="D340" s="38" t="n">
        <x:v>8865.5</x:v>
      </x:c>
      <x:c r="E340" s="38" t="n">
        <x:v>0</x:v>
      </x:c>
      <x:c r="F340" s="38" t="n">
        <x:v>0</x:v>
      </x:c>
      <x:c r="G340" s="38"/>
      <x:c r="H340" s="15" t="str">
        <x:v>Sales / customer receipts</x:v>
      </x:c>
      <x:c r="I340" s="15" t="str">
        <x:v>R026tlz5b0 Johan Spr</x:v>
      </x:c>
      <x:c r="J340" s="15" t="str">
        <x:v>eml_ALL_currentac__512781 (2).zip &gt; eml4currentac__512781.zip / FNB _-) R8865.50 paid to Current a_c..512781 @ Retail Forex. Ref.R026tlz5b0 Johan Spr. 10Apr 09_24.eml</x:v>
      </x:c>
    </x:row>
    <x:row r="341">
      <x:c r="A341" s="15" t="str">
        <x:v>Current a/c..512781</x:v>
      </x:c>
      <x:c r="B341" s="34" t="n">
        <x:v>46122.4875</x:v>
      </x:c>
      <x:c r="C341" s="15" t="str">
        <x:v>R2929.00 paid from Current a/c..512781 @ Smartapp. Avail R78702. Ref.Kruger Safari 1693. 10Apr 11:42</x:v>
      </x:c>
      <x:c r="D341" s="38" t="n">
        <x:v>0</x:v>
      </x:c>
      <x:c r="E341" s="38" t="n">
        <x:v>2929</x:v>
      </x:c>
      <x:c r="F341" s="38" t="n">
        <x:v>0</x:v>
      </x:c>
      <x:c r="G341" s="38" t="n">
        <x:v>78702</x:v>
      </x:c>
      <x:c r="H341" s="15" t="str">
        <x:v>Supplier payments</x:v>
      </x:c>
      <x:c r="I341" s="15" t="str">
        <x:v>Kruger Safari 1693</x:v>
      </x:c>
      <x:c r="J341" s="15" t="str">
        <x:v>eml_ALL_currentac__512781 (2).zip &gt; eml4currentac__512781.zip / FNB _-) R2929.00 paid from Current a_c..512781 @ Smartapp. Ref.Kruger Safari 1693. 10Apr 11_42.eml</x:v>
      </x:c>
    </x:row>
    <x:row r="342">
      <x:c r="A342" s="15" t="str">
        <x:v>Current a/c..512781</x:v>
      </x:c>
      <x:c r="B342" s="34" t="n">
        <x:v>46122.49097222222</x:v>
      </x:c>
      <x:c r="C342" s="15" t="str">
        <x:v>R1500.00 paid from Current a/c..512781 @ Smartapp. Avail R77199. Ref.Muncipality Bigbay. 10Apr 11:47</x:v>
      </x:c>
      <x:c r="D342" s="38" t="n">
        <x:v>0</x:v>
      </x:c>
      <x:c r="E342" s="38" t="n">
        <x:v>1500</x:v>
      </x:c>
      <x:c r="F342" s="38" t="n">
        <x:v>0</x:v>
      </x:c>
      <x:c r="G342" s="38" t="n">
        <x:v>77199</x:v>
      </x:c>
      <x:c r="H342" s="15" t="str">
        <x:v>Supplier payments</x:v>
      </x:c>
      <x:c r="I342" s="15" t="str">
        <x:v>Muncipality Bigbay</x:v>
      </x:c>
      <x:c r="J342" s="15" t="str">
        <x:v>eml_ALL_currentac__512781 (2).zip &gt; eml4currentac__512781.zip / FNB _-) R1500.00 paid from Current a_c..512781 @ Smartapp. Ref.Muncipality Bigbay. 10Apr 11_47.eml</x:v>
      </x:c>
    </x:row>
    <x:row r="343">
      <x:c r="A343" s="15" t="str">
        <x:v>Current a/c..512781</x:v>
      </x:c>
      <x:c r="B343" s="34" t="n">
        <x:v>46122.57638888889</x:v>
      </x:c>
      <x:c r="C343" s="15" t="str">
        <x:v>R29586.28 paid to Current a/c..512781 @ Payshap. Ref.Ik Pay 487882. 10Apr 13:50</x:v>
      </x:c>
      <x:c r="D343" s="38" t="n">
        <x:v>29586.28</x:v>
      </x:c>
      <x:c r="E343" s="38" t="n">
        <x:v>0</x:v>
      </x:c>
      <x:c r="F343" s="38" t="n">
        <x:v>0</x:v>
      </x:c>
      <x:c r="G343" s="38"/>
      <x:c r="H343" s="15" t="str">
        <x:v>Sales / customer receipts</x:v>
      </x:c>
      <x:c r="I343" s="15" t="str">
        <x:v>Ik Pay 487882</x:v>
      </x:c>
      <x:c r="J343" s="15" t="str">
        <x:v>eml_ALL_currentac__512781 (2).zip &gt; eml4currentac__512781.zip / FNB _-) R29586.28 paid to Current a_c..512781 @ Payshap. Ref.Ik Pay 487882. 10Apr 13_50.eml</x:v>
      </x:c>
    </x:row>
    <x:row r="344">
      <x:c r="A344" s="15" t="str">
        <x:v>Current a/c..512781</x:v>
      </x:c>
      <x:c r="B344" s="34" t="n">
        <x:v>46122.604166666664</x:v>
      </x:c>
      <x:c r="C344" s="15" t="str">
        <x:v>R2500.00 paid from Current a/c..512781 @ Smartapp. Avail R104278. Ref.Sakkie Wages. 10Apr 14:30</x:v>
      </x:c>
      <x:c r="D344" s="38" t="n">
        <x:v>0</x:v>
      </x:c>
      <x:c r="E344" s="38" t="n">
        <x:v>2500</x:v>
      </x:c>
      <x:c r="F344" s="38" t="n">
        <x:v>0</x:v>
      </x:c>
      <x:c r="G344" s="38" t="n">
        <x:v>104278</x:v>
      </x:c>
      <x:c r="H344" s="15" t="str">
        <x:v>Salary / wages</x:v>
      </x:c>
      <x:c r="I344" s="15" t="str">
        <x:v>Sakkie Wages</x:v>
      </x:c>
      <x:c r="J344" s="15" t="str">
        <x:v>eml_ALL_currentac__512781 (2).zip &gt; eml4currentac__512781.zip / FNB _-) R2500.00 paid from Current a_c..512781 @ Smartapp. Ref.Sakkie Wages. 10Apr 14_30.eml</x:v>
      </x:c>
    </x:row>
    <x:row r="345">
      <x:c r="A345" s="15" t="str">
        <x:v>Current a/c..512781</x:v>
      </x:c>
      <x:c r="B345" s="34" t="n">
        <x:v>46122.60555555556</x:v>
      </x:c>
      <x:c r="C345" s="15" t="str">
        <x:v>R5000.00 paid from Current a/c..512781 @ Smartapp. Avail R99275. Ref.Salary. 10Apr 14:32</x:v>
      </x:c>
      <x:c r="D345" s="38" t="n">
        <x:v>0</x:v>
      </x:c>
      <x:c r="E345" s="38" t="n">
        <x:v>5000</x:v>
      </x:c>
      <x:c r="F345" s="38" t="n">
        <x:v>0</x:v>
      </x:c>
      <x:c r="G345" s="38" t="n">
        <x:v>99275</x:v>
      </x:c>
      <x:c r="H345" s="15" t="str">
        <x:v>Salary / wages</x:v>
      </x:c>
      <x:c r="I345" s="15" t="str">
        <x:v>Salary</x:v>
      </x:c>
      <x:c r="J345" s="15" t="str">
        <x:v>eml_ALL_currentac__512781 (2).zip &gt; eml4currentac__512781.zip / FNB _-) R5000.00 paid from Current a_c..512781 @ Smartapp. Ref.Salary. 10Apr 14_32.eml</x:v>
      </x:c>
    </x:row>
    <x:row r="346">
      <x:c r="A346" s="15" t="str">
        <x:v>Current a/c..512781</x:v>
      </x:c>
      <x:c r="B346" s="34" t="n">
        <x:v>46123.58541666667</x:v>
      </x:c>
      <x:c r="C346" s="15" t="str">
        <x:v>R372.00 paid from Current a/c..512781 @ Smartapp. Avail R97418. Ref.Cf Moto Saf - Inv 3. 11Apr 14:03</x:v>
      </x:c>
      <x:c r="D346" s="38" t="n">
        <x:v>0</x:v>
      </x:c>
      <x:c r="E346" s="38" t="n">
        <x:v>372</x:v>
      </x:c>
      <x:c r="F346" s="38" t="n">
        <x:v>0</x:v>
      </x:c>
      <x:c r="G346" s="38" t="n">
        <x:v>97418</x:v>
      </x:c>
      <x:c r="H346" s="15" t="str">
        <x:v>Supplier payments</x:v>
      </x:c>
      <x:c r="I346" s="15" t="str">
        <x:v>Cf Moto Saf - Inv 3</x:v>
      </x:c>
      <x:c r="J346" s="15" t="str">
        <x:v>eml_ALL_currentac__512781 (2).zip &gt; eml3currentac__512781.zip / FNB _-) R372.00 paid from Current a_c..512781 @ Smartapp. Ref.Cf Moto Saf - Inv 3. 11Apr 14_03.eml</x:v>
      </x:c>
    </x:row>
    <x:row r="347">
      <x:c r="A347" s="15" t="str">
        <x:v>Current a/c..512781</x:v>
      </x:c>
      <x:c r="B347" s="34" t="n">
        <x:v>46125.56736111111</x:v>
      </x:c>
      <x:c r="C347" s="15" t="str">
        <x:v>R3274.00 paid from Current a/c..512781 @ Smartapp. Avail R93140. Ref.Kruger Safari 1694. 13Apr 13:37</x:v>
      </x:c>
      <x:c r="D347" s="38" t="n">
        <x:v>0</x:v>
      </x:c>
      <x:c r="E347" s="38" t="n">
        <x:v>3274</x:v>
      </x:c>
      <x:c r="F347" s="38" t="n">
        <x:v>0</x:v>
      </x:c>
      <x:c r="G347" s="38" t="n">
        <x:v>93140</x:v>
      </x:c>
      <x:c r="H347" s="15" t="str">
        <x:v>Supplier payments</x:v>
      </x:c>
      <x:c r="I347" s="15" t="str">
        <x:v>Kruger Safari 1694</x:v>
      </x:c>
      <x:c r="J347" s="15" t="str">
        <x:v>eml_ALL_currentac__512781 (2).zip &gt; eml3currentac__512781.zip / FNB _-) R3274.00 paid from Current a_c..512781 @ Smartapp. Ref.Kruger Safari 1694. 13Apr 13_37.eml</x:v>
      </x:c>
    </x:row>
    <x:row r="348">
      <x:c r="A348" s="15" t="str">
        <x:v>Current a/c..512781</x:v>
      </x:c>
      <x:c r="B348" s="34" t="n">
        <x:v>46125.84930555556</x:v>
      </x:c>
      <x:c r="C348" s="15" t="str">
        <x:v>R150.00 paid from Current a/c..512781 @ Smartapp. Avail R92913. Ref.Electricity 14503572. 13Apr 20:23</x:v>
      </x:c>
      <x:c r="D348" s="38" t="n">
        <x:v>0</x:v>
      </x:c>
      <x:c r="E348" s="38" t="n">
        <x:v>150</x:v>
      </x:c>
      <x:c r="F348" s="38" t="n">
        <x:v>0</x:v>
      </x:c>
      <x:c r="G348" s="38" t="n">
        <x:v>92913</x:v>
      </x:c>
      <x:c r="H348" s="15" t="str">
        <x:v>Telecom / utilities</x:v>
      </x:c>
      <x:c r="I348" s="15" t="str">
        <x:v>Electricity 14503572</x:v>
      </x:c>
      <x:c r="J348" s="15" t="str">
        <x:v>eml_ALL_currentac__512781 (2).zip &gt; eml3currentac__512781.zip / FNB _-) R150.00 paid from Current a_c..512781 @ Smartapp. Ref.Electricity 14503572. 13Apr 20_23.eml</x:v>
      </x:c>
    </x:row>
    <x:row r="349">
      <x:c r="A349" s="15" t="str">
        <x:v>Current a/c..512781</x:v>
      </x:c>
      <x:c r="B349" s="34" t="n">
        <x:v>46126.37222222222</x:v>
      </x:c>
      <x:c r="C349" s="15" t="str">
        <x:v>R500.00 paid from Current a/c..512781 @ Smartapp. Avail R92378. Ref.Electricity 04294887. 14Apr 08:56</x:v>
      </x:c>
      <x:c r="D349" s="38" t="n">
        <x:v>0</x:v>
      </x:c>
      <x:c r="E349" s="38" t="n">
        <x:v>500</x:v>
      </x:c>
      <x:c r="F349" s="38" t="n">
        <x:v>0</x:v>
      </x:c>
      <x:c r="G349" s="38" t="n">
        <x:v>92378</x:v>
      </x:c>
      <x:c r="H349" s="15" t="str">
        <x:v>Telecom / utilities</x:v>
      </x:c>
      <x:c r="I349" s="15" t="str">
        <x:v>Electricity 04294887</x:v>
      </x:c>
      <x:c r="J349" s="15" t="str">
        <x:v>eml_ALL_currentac__512781 (2).zip &gt; eml3currentac__512781.zip / FNB _-) R500.00 paid from Current a_c..512781 @ Smartapp. Ref.Electricity 04294887. 14Apr 08_56.eml</x:v>
      </x:c>
    </x:row>
    <x:row r="350">
      <x:c r="A350" s="15" t="str">
        <x:v>Current a/c..512781</x:v>
      </x:c>
      <x:c r="B350" s="34" t="n">
        <x:v>46126.575694444444</x:v>
      </x:c>
      <x:c r="C350" s="15" t="str">
        <x:v>R9152.55 paid to Current a/c..512781 @ Payshap. Ref.Ik Pay 487882. 14Apr 13:49</x:v>
      </x:c>
      <x:c r="D350" s="38" t="n">
        <x:v>9152.55</x:v>
      </x:c>
      <x:c r="E350" s="38" t="n">
        <x:v>0</x:v>
      </x:c>
      <x:c r="F350" s="38" t="n">
        <x:v>0</x:v>
      </x:c>
      <x:c r="G350" s="38"/>
      <x:c r="H350" s="15" t="str">
        <x:v>Sales / customer receipts</x:v>
      </x:c>
      <x:c r="I350" s="15" t="str">
        <x:v>Ik Pay 487882</x:v>
      </x:c>
      <x:c r="J350" s="15" t="str">
        <x:v>eml_ALL_currentac__512781 (2).zip &gt; eml3currentac__512781.zip / FNB _-) R9152.55 paid to Current a_c..512781 @ Payshap. Ref.Ik Pay 487882. 14Apr 13_49.eml</x:v>
      </x:c>
    </x:row>
    <x:row r="351">
      <x:c r="A351" s="15" t="str">
        <x:v>Current a/c..512781</x:v>
      </x:c>
      <x:c r="B351" s="34" t="n">
        <x:v>46127.39027777778</x:v>
      </x:c>
      <x:c r="C351" s="15" t="str">
        <x:v>R150.00 paid from Current a/c..512781 @ Smartapp. Avail R99038. Ref.Electricity 14503572. 15Apr 09:22</x:v>
      </x:c>
      <x:c r="D351" s="38" t="n">
        <x:v>0</x:v>
      </x:c>
      <x:c r="E351" s="38" t="n">
        <x:v>150</x:v>
      </x:c>
      <x:c r="F351" s="38" t="n">
        <x:v>0</x:v>
      </x:c>
      <x:c r="G351" s="38" t="n">
        <x:v>99038</x:v>
      </x:c>
      <x:c r="H351" s="15" t="str">
        <x:v>Telecom / utilities</x:v>
      </x:c>
      <x:c r="I351" s="15" t="str">
        <x:v>Electricity 14503572</x:v>
      </x:c>
      <x:c r="J351" s="15" t="str">
        <x:v>eml_ALL_currentac__512781 (2).zip &gt; eml3currentac__512781.zip / FNB _-) R150.00 paid from Current a_c..512781 @ Smartapp. Ref.Electricity 14503572. 15Apr 09_22.eml</x:v>
      </x:c>
    </x:row>
    <x:row r="352">
      <x:c r="A352" s="15" t="str">
        <x:v>Current a/c..512781</x:v>
      </x:c>
      <x:c r="B352" s="34" t="n">
        <x:v>46127.42222222222</x:v>
      </x:c>
      <x:c r="C352" s="15" t="str">
        <x:v>R600.00 paid from Current a/c..512781 @ Smartapp. Avail R98435. Ref.Printing Signboard. 15Apr 10:08</x:v>
      </x:c>
      <x:c r="D352" s="38" t="n">
        <x:v>0</x:v>
      </x:c>
      <x:c r="E352" s="38" t="n">
        <x:v>600</x:v>
      </x:c>
      <x:c r="F352" s="38" t="n">
        <x:v>0</x:v>
      </x:c>
      <x:c r="G352" s="38" t="n">
        <x:v>98435</x:v>
      </x:c>
      <x:c r="H352" s="15" t="str">
        <x:v>Supplier payments</x:v>
      </x:c>
      <x:c r="I352" s="15" t="str">
        <x:v>Printing Signboard</x:v>
      </x:c>
      <x:c r="J352" s="15" t="str">
        <x:v>eml_ALL_currentac__512781 (2).zip &gt; eml3currentac__512781.zip / FNB _-) R600.00 paid from Current a_c..512781 @ Smartapp. Ref.Printing Signboard. 15Apr 10_08.eml</x:v>
      </x:c>
    </x:row>
    <x:row r="353">
      <x:c r="A353" s="15" t="str">
        <x:v>Current a/c..512781</x:v>
      </x:c>
      <x:c r="B353" s="34" t="n">
        <x:v>46127.42222222222</x:v>
      </x:c>
      <x:c r="C353" s="15" t="str">
        <x:v>R600.00 paid to Current a/c..512781 @ Smartapp. Ref.Printing Signboard. 15Apr 10:08</x:v>
      </x:c>
      <x:c r="D353" s="38" t="n">
        <x:v>600</x:v>
      </x:c>
      <x:c r="E353" s="38" t="n">
        <x:v>0</x:v>
      </x:c>
      <x:c r="F353" s="38" t="n">
        <x:v>0</x:v>
      </x:c>
      <x:c r="G353" s="38"/>
      <x:c r="H353" s="15" t="str">
        <x:v>Sales / customer receipts</x:v>
      </x:c>
      <x:c r="I353" s="15" t="str">
        <x:v>Printing Signboard</x:v>
      </x:c>
      <x:c r="J353" s="15" t="str">
        <x:v>eml_ALL_currentac__512781 (2).zip &gt; eml3currentac__512781.zip / FNB _-) R600.00 paid to Current a_c..512781 @ Smartapp. Ref.Printing Signboard. 15Apr 10_08.eml</x:v>
      </x:c>
    </x:row>
    <x:row r="354">
      <x:c r="A354" s="15" t="str">
        <x:v>Current a/c..512781</x:v>
      </x:c>
      <x:c r="B354" s="34" t="n">
        <x:v>46127.427083333336</x:v>
      </x:c>
      <x:c r="C354" s="15" t="str">
        <x:v>R1200.00 paid from Current a/c..512781 @ Gen Ph. Avail R97830. Ref.Printing Signboard. 15Apr 10:15</x:v>
      </x:c>
      <x:c r="D354" s="38" t="n">
        <x:v>0</x:v>
      </x:c>
      <x:c r="E354" s="38" t="n">
        <x:v>1200</x:v>
      </x:c>
      <x:c r="F354" s="38" t="n">
        <x:v>0</x:v>
      </x:c>
      <x:c r="G354" s="38" t="n">
        <x:v>97830</x:v>
      </x:c>
      <x:c r="H354" s="15" t="str">
        <x:v>Supplier payments</x:v>
      </x:c>
      <x:c r="I354" s="15" t="str">
        <x:v>Printing Signboard</x:v>
      </x:c>
      <x:c r="J354" s="15" t="str">
        <x:v>eml_ALL_currentac__512781 (2).zip &gt; eml3currentac__512781.zip / FNB _-) R1200.00 paid from Current a_c..512781 @ Gen Ph. Ref.Printing Signboard. 15Apr 10_15.eml</x:v>
      </x:c>
    </x:row>
    <x:row r="355">
      <x:c r="A355" s="15" t="str">
        <x:v>Current a/c..512781</x:v>
      </x:c>
      <x:c r="B355" s="34" t="n">
        <x:v>46128.35486111111</x:v>
      </x:c>
      <x:c r="C355" s="15" t="str">
        <x:v>R4822.71 paid to Current a/c..512781 @ Retail Forex. Ref.R026tc0tx0 Booking.c. 16Apr 08:31</x:v>
      </x:c>
      <x:c r="D355" s="38" t="n">
        <x:v>4822.71</x:v>
      </x:c>
      <x:c r="E355" s="38" t="n">
        <x:v>0</x:v>
      </x:c>
      <x:c r="F355" s="38" t="n">
        <x:v>0</x:v>
      </x:c>
      <x:c r="G355" s="38"/>
      <x:c r="H355" s="15" t="str">
        <x:v>Sales / customer receipts</x:v>
      </x:c>
      <x:c r="I355" s="15" t="str">
        <x:v>R026tc0tx0 Booking.c</x:v>
      </x:c>
      <x:c r="J355" s="15" t="str">
        <x:v>eml_ALL_currentac__512781 (2).zip &gt; eml3currentac__512781.zip / FNB _-) R4822.71 paid to Current a_c..512781 @ Retail Forex. Ref.R026tc0tx0 Booking.c. 16Apr 08_31.eml</x:v>
      </x:c>
    </x:row>
    <x:row r="356">
      <x:c r="A356" s="15" t="str">
        <x:v>Current a/c..512781</x:v>
      </x:c>
      <x:c r="B356" s="34" t="n">
        <x:v>46128.37777777778</x:v>
      </x:c>
      <x:c r="C356" s="15" t="str">
        <x:v>R1250.00 paid from Current a/c..512781 @ Smartapp. Avail R101272. Ref.Lebombo Washing Mach. 16Apr 09:04</x:v>
      </x:c>
      <x:c r="D356" s="38" t="n">
        <x:v>0</x:v>
      </x:c>
      <x:c r="E356" s="38" t="n">
        <x:v>1250</x:v>
      </x:c>
      <x:c r="F356" s="38" t="n">
        <x:v>0</x:v>
      </x:c>
      <x:c r="G356" s="38" t="n">
        <x:v>101272</x:v>
      </x:c>
      <x:c r="H356" s="15" t="str">
        <x:v>Supplier payments</x:v>
      </x:c>
      <x:c r="I356" s="15" t="str">
        <x:v>Lebombo Washing Mach</x:v>
      </x:c>
      <x:c r="J356" s="15" t="str">
        <x:v>eml_ALL_currentac__512781 (2).zip &gt; eml3currentac__512781.zip / FNB _-) R1250.00 paid from Current a_c..512781 @ Smartapp. Ref.Lebombo Washing Mach. 16Apr 09_04.eml</x:v>
      </x:c>
    </x:row>
    <x:row r="357">
      <x:c r="A357" s="15" t="str">
        <x:v>Current a/c..512781</x:v>
      </x:c>
      <x:c r="B357" s="34" t="n">
        <x:v>46129.25763888889</x:v>
      </x:c>
      <x:c r="C357" s="15" t="str">
        <x:v>R150.00 paid from Current a/c..512781 @ Smartapp. Avail R100877. Ref.Electricity 14503572. 17Apr 06:11</x:v>
      </x:c>
      <x:c r="D357" s="38" t="n">
        <x:v>0</x:v>
      </x:c>
      <x:c r="E357" s="38" t="n">
        <x:v>150</x:v>
      </x:c>
      <x:c r="F357" s="38" t="n">
        <x:v>0</x:v>
      </x:c>
      <x:c r="G357" s="38" t="n">
        <x:v>100877</x:v>
      </x:c>
      <x:c r="H357" s="15" t="str">
        <x:v>Telecom / utilities</x:v>
      </x:c>
      <x:c r="I357" s="15" t="str">
        <x:v>Electricity 14503572</x:v>
      </x:c>
      <x:c r="J357" s="15" t="str">
        <x:v>eml_ALL_currentac__512781 (2).zip &gt; eml3currentac__512781.zip / FNB _-) R150.00 paid from Current a_c..512781 @ Smartapp. Ref.Electricity 14503572. 17Apr 06_11.eml</x:v>
      </x:c>
    </x:row>
    <x:row r="358">
      <x:c r="A358" s="15" t="str">
        <x:v>Current a/c..512781</x:v>
      </x:c>
      <x:c r="B358" s="34" t="n">
        <x:v>46129.51458333333</x:v>
      </x:c>
      <x:c r="C358" s="15" t="str">
        <x:v>Payment Link created from Current a/c..512781 To Impala Asset Fin..067277 @ Smartapp. 17Apr 12:21 Call 087 575 9404 for help.</x:v>
      </x:c>
      <x:c r="D358" s="38" t="n">
        <x:v>0</x:v>
      </x:c>
      <x:c r="E358" s="38" t="n">
        <x:v>0</x:v>
      </x:c>
      <x:c r="F358" s="38" t="n">
        <x:v>0</x:v>
      </x:c>
      <x:c r="G358" s="38"/>
      <x:c r="H358" s="15" t="str">
        <x:v>Other</x:v>
      </x:c>
      <x:c r="I358" s="15" t="str">
        <x:v>Impala Asset Fin..067277</x:v>
      </x:c>
      <x:c r="J358" s="15" t="str">
        <x:v>eml_ALL_currentac__512781 (2).zip &gt; eml3currentac__512781.zip / FNB _-) Payment Link created from Current a_c..512781 To Impala Asset Fin..067277 @ Smartapp. 17Apr 12_21 Call 087 575 9404  for help..eml</x:v>
      </x:c>
    </x:row>
    <x:row r="359">
      <x:c r="A359" s="15" t="str">
        <x:v>Current a/c..512781</x:v>
      </x:c>
      <x:c r="B359" s="34" t="n">
        <x:v>46129.51458333333</x:v>
      </x:c>
      <x:c r="C359" s="15" t="str">
        <x:v>R5000.00 paid from Current a/c..512781 @ Smartapp. Avail R95641. Ref.Car. 17Apr 12:21</x:v>
      </x:c>
      <x:c r="D359" s="38" t="n">
        <x:v>0</x:v>
      </x:c>
      <x:c r="E359" s="38" t="n">
        <x:v>5000</x:v>
      </x:c>
      <x:c r="F359" s="38" t="n">
        <x:v>0</x:v>
      </x:c>
      <x:c r="G359" s="38" t="n">
        <x:v>95641</x:v>
      </x:c>
      <x:c r="H359" s="15" t="str">
        <x:v>Supplier payments</x:v>
      </x:c>
      <x:c r="I359" s="15" t="str">
        <x:v>Car</x:v>
      </x:c>
      <x:c r="J359" s="15" t="str">
        <x:v>eml_ALL_currentac__512781 (2).zip &gt; eml3currentac__512781.zip / FNB _-) R5000.00 paid from Current a_c..512781 @ Smartapp. Ref.Car. 17Apr 12_21.eml</x:v>
      </x:c>
    </x:row>
    <x:row r="360">
      <x:c r="A360" s="15" t="str">
        <x:v>Current a/c..512781</x:v>
      </x:c>
      <x:c r="B360" s="34" t="n">
        <x:v>46130.44027777778</x:v>
      </x:c>
      <x:c r="C360" s="15" t="str">
        <x:v>R6086.11 paid to Current a/c..512781 @ Payshap. Ref.Ik Pay 487882. 18Apr 10:34</x:v>
      </x:c>
      <x:c r="D360" s="38" t="n">
        <x:v>6086.11</x:v>
      </x:c>
      <x:c r="E360" s="38" t="n">
        <x:v>0</x:v>
      </x:c>
      <x:c r="F360" s="38" t="n">
        <x:v>0</x:v>
      </x:c>
      <x:c r="G360" s="38"/>
      <x:c r="H360" s="15" t="str">
        <x:v>Sales / customer receipts</x:v>
      </x:c>
      <x:c r="I360" s="15" t="str">
        <x:v>Ik Pay 487882</x:v>
      </x:c>
      <x:c r="J360" s="15" t="str">
        <x:v>eml_ALL_currentac__512781 (2).zip &gt; eml3currentac__512781.zip / FNB _-) R6086.11 paid to Current a_c..512781 @ Payshap. Ref.Ik Pay 487882. 18Apr 10_34.eml</x:v>
      </x:c>
    </x:row>
    <x:row r="361">
      <x:c r="A361" s="15" t="str">
        <x:v>Current a/c..512781</x:v>
      </x:c>
      <x:c r="B361" s="34" t="n">
        <x:v>46132.638194444444</x:v>
      </x:c>
      <x:c r="C361" s="15" t="str">
        <x:v>R26500.00 t/fer from Current a/c..512781 to home loan a/c..057026 @ Smartapp. Avail R71664. 20Apr 15:19</x:v>
      </x:c>
      <x:c r="D361" s="38" t="n">
        <x:v>0</x:v>
      </x:c>
      <x:c r="E361" s="38" t="n">
        <x:v>0</x:v>
      </x:c>
      <x:c r="F361" s="38" t="n">
        <x:v>26500</x:v>
      </x:c>
      <x:c r="G361" s="38" t="n">
        <x:v>71664</x:v>
      </x:c>
      <x:c r="H361" s="15" t="str">
        <x:v>Inter-account transfer</x:v>
      </x:c>
      <x:c r="I361" s="15" t="str">
        <x:v>home loan a/c..057026</x:v>
      </x:c>
      <x:c r="J361" s="15" t="str">
        <x:v>eml_ALL_currentac__512781 (2).zip &gt; eml3currentac__512781.zip / FNB _-) R26500.00 t_fer from Current a_c..512781 to home loan a_c..057026 @ Smartapp. 20Apr 15_19.eml</x:v>
      </x:c>
    </x:row>
    <x:row r="362">
      <x:c r="A362" s="15" t="str">
        <x:v>Current a/c..512781</x:v>
      </x:c>
      <x:c r="B362" s="34" t="n">
        <x:v>46132.854166666664</x:v>
      </x:c>
      <x:c r="C362" s="15" t="str">
        <x:v>R150.00 paid from Current a/c..512781 @ Smartapp. Avail R71512. Ref.Electricity 14503572. 20Apr 20:30</x:v>
      </x:c>
      <x:c r="D362" s="38" t="n">
        <x:v>0</x:v>
      </x:c>
      <x:c r="E362" s="38" t="n">
        <x:v>150</x:v>
      </x:c>
      <x:c r="F362" s="38" t="n">
        <x:v>0</x:v>
      </x:c>
      <x:c r="G362" s="38" t="n">
        <x:v>71512</x:v>
      </x:c>
      <x:c r="H362" s="15" t="str">
        <x:v>Telecom / utilities</x:v>
      </x:c>
      <x:c r="I362" s="15" t="str">
        <x:v>Electricity 14503572</x:v>
      </x:c>
      <x:c r="J362" s="15" t="str">
        <x:v>eml_ALL_currentac__512781 (2).zip &gt; eml3currentac__512781.zip / FNB _-) R150.00 paid from Current a_c..512781 @ Smartapp. Ref.Electricity 14503572. 20Apr 20_30.eml</x:v>
      </x:c>
    </x:row>
    <x:row r="363">
      <x:c r="A363" s="15" t="str">
        <x:v>Current a/c..512781</x:v>
      </x:c>
      <x:c r="B363" s="34" t="n">
        <x:v>46132.927083333336</x:v>
      </x:c>
      <x:c r="C363" s="15" t="str">
        <x:v>R150.00 paid from Current a/c..512781 @ Smartapp. Avail R71362. Ref.Electricity 14503572. 20Apr 22:15</x:v>
      </x:c>
      <x:c r="D363" s="38" t="n">
        <x:v>0</x:v>
      </x:c>
      <x:c r="E363" s="38" t="n">
        <x:v>150</x:v>
      </x:c>
      <x:c r="F363" s="38" t="n">
        <x:v>0</x:v>
      </x:c>
      <x:c r="G363" s="38" t="n">
        <x:v>71362</x:v>
      </x:c>
      <x:c r="H363" s="15" t="str">
        <x:v>Telecom / utilities</x:v>
      </x:c>
      <x:c r="I363" s="15" t="str">
        <x:v>Electricity 14503572</x:v>
      </x:c>
      <x:c r="J363" s="15" t="str">
        <x:v>eml_ALL_currentac__512781 (2).zip &gt; eml3currentac__512781.zip / FNB _-) R150.00 paid from Current a_c..512781 @ Smartapp. Ref.Electricity 14503572. 20Apr 22_15.eml</x:v>
      </x:c>
    </x:row>
    <x:row r="364">
      <x:c r="A364" s="15" t="str">
        <x:v>Current a/c..512781</x:v>
      </x:c>
      <x:c r="B364" s="34" t="n">
        <x:v>46133.67222222222</x:v>
      </x:c>
      <x:c r="C364" s="15" t="str">
        <x:v>R550.00 paid from Current a/c..512781 @ Smartapp. Avail R66682. Ref.Lebombo Washing Mach. 21Apr 16:08</x:v>
      </x:c>
      <x:c r="D364" s="38" t="n">
        <x:v>0</x:v>
      </x:c>
      <x:c r="E364" s="38" t="n">
        <x:v>550</x:v>
      </x:c>
      <x:c r="F364" s="38" t="n">
        <x:v>0</x:v>
      </x:c>
      <x:c r="G364" s="38" t="n">
        <x:v>66682</x:v>
      </x:c>
      <x:c r="H364" s="15" t="str">
        <x:v>Supplier payments</x:v>
      </x:c>
      <x:c r="I364" s="15" t="str">
        <x:v>Lebombo Washing Mach</x:v>
      </x:c>
      <x:c r="J364" s="15" t="str">
        <x:v>eml_ALL_currentac__512781 (2).zip &gt; eml3currentac__512781.zip / FNB _-) R550.00 paid from Current a_c..512781 @ Smartapp. Ref.Lebombo Washing Mach. 21Apr 16_08.eml</x:v>
      </x:c>
    </x:row>
    <x:row r="365">
      <x:c r="A365" s="15" t="str">
        <x:v>Current a/c..512781</x:v>
      </x:c>
      <x:c r="B365" s="34" t="n">
        <x:v>46134.38680555556</x:v>
      </x:c>
      <x:c r="C365" s="15" t="str">
        <x:v>R850.00 paid from Current a/c..512781 @ Smartapp. Avail R65820. Ref.Deon"s Diy 19/04. 22Apr 09:17</x:v>
      </x:c>
      <x:c r="D365" s="38" t="n">
        <x:v>0</x:v>
      </x:c>
      <x:c r="E365" s="38" t="n">
        <x:v>850</x:v>
      </x:c>
      <x:c r="F365" s="38" t="n">
        <x:v>0</x:v>
      </x:c>
      <x:c r="G365" s="38" t="n">
        <x:v>65820</x:v>
      </x:c>
      <x:c r="H365" s="15" t="str">
        <x:v>Supplier payments</x:v>
      </x:c>
      <x:c r="I365" s="15" t="str">
        <x:v>Deon"s Diy 19/04</x:v>
      </x:c>
      <x:c r="J365" s="15" t="str">
        <x:v>eml_ALL_currentac__512781 (2).zip &gt; eml3currentac__512781.zip / FNB _-) R850.00 paid from Current a_c..512781 @ Smartapp. Ref.Deon_s Diy 19_04. 22Apr 09_17.eml</x:v>
      </x:c>
    </x:row>
    <x:row r="366">
      <x:c r="A366" s="15" t="str">
        <x:v>Current a/c..512781</x:v>
      </x:c>
      <x:c r="B366" s="34" t="n">
        <x:v>46134.388194444444</x:v>
      </x:c>
      <x:c r="C366" s="15" t="str">
        <x:v>R3966.60 paid from Current a/c..512781 @ Smartapp. Avail R61851. Ref.Kruger Safari 1695. 22Apr 09:19</x:v>
      </x:c>
      <x:c r="D366" s="38" t="n">
        <x:v>0</x:v>
      </x:c>
      <x:c r="E366" s="38" t="n">
        <x:v>3966.6</x:v>
      </x:c>
      <x:c r="F366" s="38" t="n">
        <x:v>0</x:v>
      </x:c>
      <x:c r="G366" s="38" t="n">
        <x:v>61851</x:v>
      </x:c>
      <x:c r="H366" s="15" t="str">
        <x:v>Supplier payments</x:v>
      </x:c>
      <x:c r="I366" s="15" t="str">
        <x:v>Kruger Safari 1695</x:v>
      </x:c>
      <x:c r="J366" s="15" t="str">
        <x:v>eml_ALL_currentac__512781 (2).zip &gt; eml3currentac__512781.zip / FNB _-) R3966.60 paid from Current a_c..512781 @ Smartapp. Ref.Kruger Safari 1695. 22Apr 09_19.eml</x:v>
      </x:c>
    </x:row>
    <x:row r="367">
      <x:c r="A367" s="15" t="str">
        <x:v>Current a/c..512781</x:v>
      </x:c>
      <x:c r="B367" s="34" t="n">
        <x:v>46134.38888888889</x:v>
      </x:c>
      <x:c r="C367" s="15" t="str">
        <x:v>R7656.01 paid from Current a/c..512781 @ Smartapp. Avail R54187. Ref.Stratton Prop Mng. 22Apr 09:20</x:v>
      </x:c>
      <x:c r="D367" s="38" t="n">
        <x:v>0</x:v>
      </x:c>
      <x:c r="E367" s="38" t="n">
        <x:v>7656.01</x:v>
      </x:c>
      <x:c r="F367" s="38" t="n">
        <x:v>0</x:v>
      </x:c>
      <x:c r="G367" s="38" t="n">
        <x:v>54187</x:v>
      </x:c>
      <x:c r="H367" s="15" t="str">
        <x:v>Supplier payments</x:v>
      </x:c>
      <x:c r="I367" s="15" t="str">
        <x:v>Stratton Prop Mng</x:v>
      </x:c>
      <x:c r="J367" s="15" t="str">
        <x:v>eml_ALL_currentac__512781 (2).zip &gt; eml3currentac__512781.zip / FNB _-) R7656.01 paid from Current a_c..512781 @ Smartapp. Ref.Stratton Prop Mng. 22Apr 09_20.eml</x:v>
      </x:c>
    </x:row>
    <x:row r="368">
      <x:c r="A368" s="15" t="str">
        <x:v>Current a/c..512781</x:v>
      </x:c>
      <x:c r="B368" s="34" t="n">
        <x:v>46134.72222222222</x:v>
      </x:c>
      <x:c r="C368" s="15" t="str">
        <x:v>R500.00 paid from Current a/c..512781 @ Smartapp. Avail R53151. Ref.Electricity 04294887. 22Apr 17:20</x:v>
      </x:c>
      <x:c r="D368" s="38" t="n">
        <x:v>0</x:v>
      </x:c>
      <x:c r="E368" s="38" t="n">
        <x:v>500</x:v>
      </x:c>
      <x:c r="F368" s="38" t="n">
        <x:v>0</x:v>
      </x:c>
      <x:c r="G368" s="38" t="n">
        <x:v>53151</x:v>
      </x:c>
      <x:c r="H368" s="15" t="str">
        <x:v>Telecom / utilities</x:v>
      </x:c>
      <x:c r="I368" s="15" t="str">
        <x:v>Electricity 04294887</x:v>
      </x:c>
      <x:c r="J368" s="15" t="str">
        <x:v>eml_ALL_currentac__512781 (2).zip &gt; eml3currentac__512781.zip / FNB _-) R500.00 paid from Current a_c..512781 @ Smartapp. Ref.Electricity 04294887. 22Apr 17_20.eml</x:v>
      </x:c>
    </x:row>
    <x:row r="369">
      <x:c r="A369" s="15" t="str">
        <x:v>Current a/c..512781</x:v>
      </x:c>
      <x:c r="B369" s="34" t="n">
        <x:v>46134.729166666664</x:v>
      </x:c>
      <x:c r="C369" s="15" t="str">
        <x:v>R500.00 paid to Current a/c..512781 @ Smartapp. Ref.108964,04294887007. 22Apr 17:30</x:v>
      </x:c>
      <x:c r="D369" s="38" t="n">
        <x:v>500</x:v>
      </x:c>
      <x:c r="E369" s="38" t="n">
        <x:v>0</x:v>
      </x:c>
      <x:c r="F369" s="38" t="n">
        <x:v>0</x:v>
      </x:c>
      <x:c r="G369" s="38"/>
      <x:c r="H369" s="15" t="str">
        <x:v>Sales / customer receipts</x:v>
      </x:c>
      <x:c r="I369" s="15" t="str">
        <x:v>108964,04294887007</x:v>
      </x:c>
      <x:c r="J369" s="15" t="str">
        <x:v>eml_ALL_currentac__512781 (2).zip &gt; eml3currentac__512781.zip / FNB _-) R500.00 paid to Current a_c..512781 @ Smartapp. Ref.108964,04294887007. 22Apr 17_30.eml</x:v>
      </x:c>
    </x:row>
    <x:row r="370">
      <x:c r="A370" s="15" t="str">
        <x:v>Current a/c..512781</x:v>
      </x:c>
      <x:c r="B370" s="34" t="n">
        <x:v>46134.7375</x:v>
      </x:c>
      <x:c r="C370" s="15" t="str">
        <x:v>R500.00 paid from Current a/c..512781 @ Smartapp. Avail R53151. Ref.Electricity 04294887. 22Apr 17:42</x:v>
      </x:c>
      <x:c r="D370" s="38" t="n">
        <x:v>0</x:v>
      </x:c>
      <x:c r="E370" s="38" t="n">
        <x:v>500</x:v>
      </x:c>
      <x:c r="F370" s="38" t="n">
        <x:v>0</x:v>
      </x:c>
      <x:c r="G370" s="38" t="n">
        <x:v>53151</x:v>
      </x:c>
      <x:c r="H370" s="15" t="str">
        <x:v>Telecom / utilities</x:v>
      </x:c>
      <x:c r="I370" s="15" t="str">
        <x:v>Electricity 04294887</x:v>
      </x:c>
      <x:c r="J370" s="15" t="str">
        <x:v>eml_ALL_currentac__512781 (2).zip &gt; eml3currentac__512781.zip / FNB _-) R500.00 paid from Current a_c..512781 @ Smartapp. Ref.Electricity 04294887. 22Apr 17_42.eml</x:v>
      </x:c>
    </x:row>
    <x:row r="371">
      <x:c r="A371" s="15" t="str">
        <x:v>Current a/c..512781</x:v>
      </x:c>
      <x:c r="B371" s="34" t="n">
        <x:v>46135.370833333334</x:v>
      </x:c>
      <x:c r="C371" s="15" t="str">
        <x:v>R7285.89 paid to Current a/c..512781 @ Retail Forex. Ref.R026t8t8r0 Booking.c. 23Apr 08:54</x:v>
      </x:c>
      <x:c r="D371" s="38" t="n">
        <x:v>7285.89</x:v>
      </x:c>
      <x:c r="E371" s="38" t="n">
        <x:v>0</x:v>
      </x:c>
      <x:c r="F371" s="38" t="n">
        <x:v>0</x:v>
      </x:c>
      <x:c r="G371" s="38"/>
      <x:c r="H371" s="15" t="str">
        <x:v>Sales / customer receipts</x:v>
      </x:c>
      <x:c r="I371" s="15" t="str">
        <x:v>R026t8t8r0 Booking.c</x:v>
      </x:c>
      <x:c r="J371" s="15" t="str">
        <x:v>eml_ALL_currentac__512781 (2).zip &gt; eml3currentac__512781.zip / FNB _-) R7285.89 paid to Current a_c..512781 @ Retail Forex. Ref.R026t8t8r0 Booking.c. 23Apr 08_54.eml</x:v>
      </x:c>
    </x:row>
    <x:row r="372">
      <x:c r="A372" s="15" t="str">
        <x:v>Current a/c..512781</x:v>
      </x:c>
      <x:c r="B372" s="34" t="n">
        <x:v>46135.51597222222</x:v>
      </x:c>
      <x:c r="C372" s="15" t="str">
        <x:v>Payment Link created from Current a/c..512781 To Gd Hoffman..999079 @ Smartapp. 23Apr 12:23 Call 087 575 9404 for help.</x:v>
      </x:c>
      <x:c r="D372" s="38" t="n">
        <x:v>0</x:v>
      </x:c>
      <x:c r="E372" s="38" t="n">
        <x:v>0</x:v>
      </x:c>
      <x:c r="F372" s="38" t="n">
        <x:v>0</x:v>
      </x:c>
      <x:c r="G372" s="38"/>
      <x:c r="H372" s="15" t="str">
        <x:v>Other</x:v>
      </x:c>
      <x:c r="I372" s="15" t="str">
        <x:v>Gd Hoffman..999079</x:v>
      </x:c>
      <x:c r="J372" s="15" t="str">
        <x:v>eml_ALL_currentac__512781 (2).zip &gt; eml3currentac__512781.zip / FNB _-) Payment Link created from Current a_c..512781 To Gd Hoffman..999079 @ Smartapp. 23Apr 12_23 Call 087 575 9404  for help..eml</x:v>
      </x:c>
    </x:row>
    <x:row r="373">
      <x:c r="A373" s="15" t="str">
        <x:v>Current a/c..512781</x:v>
      </x:c>
      <x:c r="B373" s="34" t="n">
        <x:v>46135.51597222222</x:v>
      </x:c>
      <x:c r="C373" s="15" t="str">
        <x:v>R5000.00 paid from Current a/c..512781 @ Smartapp. Avail R54592. Ref.Car Deposit. 23Apr 12:23</x:v>
      </x:c>
      <x:c r="D373" s="38" t="n">
        <x:v>0</x:v>
      </x:c>
      <x:c r="E373" s="38" t="n">
        <x:v>5000</x:v>
      </x:c>
      <x:c r="F373" s="38" t="n">
        <x:v>0</x:v>
      </x:c>
      <x:c r="G373" s="38" t="n">
        <x:v>54592</x:v>
      </x:c>
      <x:c r="H373" s="15" t="str">
        <x:v>Supplier payments</x:v>
      </x:c>
      <x:c r="I373" s="15" t="str">
        <x:v>Car Deposit</x:v>
      </x:c>
      <x:c r="J373" s="15" t="str">
        <x:v>eml_ALL_currentac__512781 (2).zip &gt; eml3currentac__512781.zip / FNB _-) R5000.00 paid from Current a_c..512781 @ Smartapp. Ref.Car Deposit. 23Apr 12_23.eml</x:v>
      </x:c>
    </x:row>
    <x:row r="374">
      <x:c r="A374" s="15" t="str">
        <x:v>Current a/c..512781</x:v>
      </x:c>
      <x:c r="B374" s="34" t="n">
        <x:v>46136.73055555556</x:v>
      </x:c>
      <x:c r="C374" s="15" t="str">
        <x:v>R2500.00 paid from Current a/c..512781 @ Smartapp. Avail R50151. Ref.Sakkie Wages. 24Apr 17:32</x:v>
      </x:c>
      <x:c r="D374" s="38" t="n">
        <x:v>0</x:v>
      </x:c>
      <x:c r="E374" s="38" t="n">
        <x:v>2500</x:v>
      </x:c>
      <x:c r="F374" s="38" t="n">
        <x:v>0</x:v>
      </x:c>
      <x:c r="G374" s="38" t="n">
        <x:v>50151</x:v>
      </x:c>
      <x:c r="H374" s="15" t="str">
        <x:v>Salary / wages</x:v>
      </x:c>
      <x:c r="I374" s="15" t="str">
        <x:v>Sakkie Wages</x:v>
      </x:c>
      <x:c r="J374" s="15" t="str">
        <x:v>eml_ALL_currentac__512781 (2).zip &gt; eml3currentac__512781.zip / FNB _-) R2500.00 paid from Current a_c..512781 @ Smartapp. Ref.Sakkie Wages. 24Apr 17_32.eml</x:v>
      </x:c>
    </x:row>
    <x:row r="375">
      <x:c r="A375" s="15" t="str">
        <x:v>Current a/c..512781</x:v>
      </x:c>
      <x:c r="B375" s="34" t="n">
        <x:v>46139.42569444444</x:v>
      </x:c>
      <x:c r="C375" s="15" t="str">
        <x:v>R24373.00 paid to Current a/c..512781 @ Online Banking. Ref.Ag1 Seaside Village. 27Apr 10:13</x:v>
      </x:c>
      <x:c r="D375" s="38" t="n">
        <x:v>24373</x:v>
      </x:c>
      <x:c r="E375" s="38" t="n">
        <x:v>0</x:v>
      </x:c>
      <x:c r="F375" s="38" t="n">
        <x:v>0</x:v>
      </x:c>
      <x:c r="G375" s="38"/>
      <x:c r="H375" s="15" t="str">
        <x:v>Sales / customer receipts</x:v>
      </x:c>
      <x:c r="I375" s="15" t="str">
        <x:v>Ag1 Seaside Village</x:v>
      </x:c>
      <x:c r="J375" s="15" t="str">
        <x:v>eml_ALL_currentac__512781 (2).zip &gt; eml3currentac__512781.zip / FNB _-) R24373.00 paid to Current a_c..512781 @ Online Banking. Ref.Ag1 Seaside Village. 27Apr 10_13.eml</x:v>
      </x:c>
    </x:row>
    <x:row r="376">
      <x:c r="A376" s="15" t="str">
        <x:v>Current a/c..512781</x:v>
      </x:c>
      <x:c r="B376" s="34" t="n">
        <x:v>46140.58263888889</x:v>
      </x:c>
      <x:c r="C376" s="15" t="str">
        <x:v>R2194.44 paid to Current a/c..512781 @ Payshap. Ref.Ik Pay 487882. 28Apr 13:59</x:v>
      </x:c>
      <x:c r="D376" s="38" t="n">
        <x:v>2194.44</x:v>
      </x:c>
      <x:c r="E376" s="38" t="n">
        <x:v>0</x:v>
      </x:c>
      <x:c r="F376" s="38" t="n">
        <x:v>0</x:v>
      </x:c>
      <x:c r="G376" s="38"/>
      <x:c r="H376" s="15" t="str">
        <x:v>Sales / customer receipts</x:v>
      </x:c>
      <x:c r="I376" s="15" t="str">
        <x:v>Ik Pay 487882</x:v>
      </x:c>
      <x:c r="J376" s="15" t="str">
        <x:v>eml_ALL_currentac__512781 (2).zip &gt; eml3currentac__512781.zip / FNB _-) R2194.44 paid to Current a_c..512781 @ Payshap. Ref.Ik Pay 487882. 28Apr 13_59.eml</x:v>
      </x:c>
    </x:row>
    <x:row r="377">
      <x:c r="A377" s="15" t="str">
        <x:v>Current a/c..512781</x:v>
      </x:c>
      <x:c r="B377" s="34" t="n">
        <x:v>46141.419444444444</x:v>
      </x:c>
      <x:c r="C377" s="15" t="str">
        <x:v>R142.08 paid from Current a/c..512781 @ Smartapp. Avail R73172. Ref.Bon Express 008267. 29Apr 10:04</x:v>
      </x:c>
      <x:c r="D377" s="38" t="n">
        <x:v>0</x:v>
      </x:c>
      <x:c r="E377" s="38" t="n">
        <x:v>142.08</x:v>
      </x:c>
      <x:c r="F377" s="38" t="n">
        <x:v>0</x:v>
      </x:c>
      <x:c r="G377" s="38" t="n">
        <x:v>73172</x:v>
      </x:c>
      <x:c r="H377" s="15" t="str">
        <x:v>Supplier payments</x:v>
      </x:c>
      <x:c r="I377" s="15" t="str">
        <x:v>Bon Express 008267</x:v>
      </x:c>
      <x:c r="J377" s="15" t="str">
        <x:v>eml_ALL_currentac__512781 (2).zip &gt; eml3currentac__512781.zip / FNB _-) R142.08 paid from Current a_c..512781 @ Smartapp. Ref.Bon Express 008267. 29Apr 10_04.eml</x:v>
      </x:c>
    </x:row>
    <x:row r="378">
      <x:c r="A378" s="15" t="str">
        <x:v>Current a/c..512781</x:v>
      </x:c>
      <x:c r="B378" s="34" t="n">
        <x:v>46141.46319444444</x:v>
      </x:c>
      <x:c r="C378" s="15" t="str">
        <x:v>R200.00 paid from Current a/c..512781 @ Smartapp. Avail R72919. 29Apr 11:07</x:v>
      </x:c>
      <x:c r="D378" s="38" t="n">
        <x:v>0</x:v>
      </x:c>
      <x:c r="E378" s="38" t="n">
        <x:v>200</x:v>
      </x:c>
      <x:c r="F378" s="38" t="n">
        <x:v>0</x:v>
      </x:c>
      <x:c r="G378" s="38" t="n">
        <x:v>72919</x:v>
      </x:c>
      <x:c r="H378" s="15" t="str">
        <x:v>Supplier payments</x:v>
      </x:c>
      <x:c r="I378" s="15" t="str">
        <x:v>Smartapp</x:v>
      </x:c>
      <x:c r="J378" s="15" t="str">
        <x:v>eml_ALL_currentac__512781 (2).zip &gt; eml3currentac__512781.zip / FNB _-) R200.00 paid from Current a_c..512781 @ Smartapp. 29Apr 11_07.eml</x:v>
      </x:c>
    </x:row>
    <x:row r="379">
      <x:c r="A379" s="15" t="str">
        <x:v>Current a/c..512781</x:v>
      </x:c>
      <x:c r="B379" s="34" t="n">
        <x:v>46141.575694444444</x:v>
      </x:c>
      <x:c r="C379" s="15" t="str">
        <x:v>R19032.06 paid to Current a/c..512781 @ Payshap. Ref.Ik Pay 487882. 29Apr 13:49</x:v>
      </x:c>
      <x:c r="D379" s="38" t="n">
        <x:v>19032.06</x:v>
      </x:c>
      <x:c r="E379" s="38" t="n">
        <x:v>0</x:v>
      </x:c>
      <x:c r="F379" s="38" t="n">
        <x:v>0</x:v>
      </x:c>
      <x:c r="G379" s="38"/>
      <x:c r="H379" s="15" t="str">
        <x:v>Sales / customer receipts</x:v>
      </x:c>
      <x:c r="I379" s="15" t="str">
        <x:v>Ik Pay 487882</x:v>
      </x:c>
      <x:c r="J379" s="15" t="str">
        <x:v>eml_ALL_currentac__512781 (2).zip &gt; eml3currentac__512781.zip / FNB _-) R19032.06 paid to Current a_c..512781 @ Payshap. Ref.Ik Pay 487882. 29Apr 13_49.eml</x:v>
      </x:c>
    </x:row>
    <x:row r="380">
      <x:c r="A380" s="15" t="str">
        <x:v>Current a/c..512781</x:v>
      </x:c>
      <x:c r="B380" s="34" t="n">
        <x:v>46141.67291666667</x:v>
      </x:c>
      <x:c r="C380" s="15" t="str">
        <x:v>R3454.60 paid from Current a/c..512781 @ Smartapp. Avail R88014. Ref.Kruger Safari 1696. 29Apr 16:09</x:v>
      </x:c>
      <x:c r="D380" s="38" t="n">
        <x:v>0</x:v>
      </x:c>
      <x:c r="E380" s="38" t="n">
        <x:v>3454.6</x:v>
      </x:c>
      <x:c r="F380" s="38" t="n">
        <x:v>0</x:v>
      </x:c>
      <x:c r="G380" s="38" t="n">
        <x:v>88014</x:v>
      </x:c>
      <x:c r="H380" s="15" t="str">
        <x:v>Supplier payments</x:v>
      </x:c>
      <x:c r="I380" s="15" t="str">
        <x:v>Kruger Safari 1696</x:v>
      </x:c>
      <x:c r="J380" s="15" t="str">
        <x:v>eml_ALL_currentac__512781 (2).zip &gt; eml3currentac__512781.zip / FNB _-) R3454.60 paid from Current a_c..512781 @ Smartapp. Ref.Kruger Safari 1696. 29Apr 16_09.eml</x:v>
      </x:c>
    </x:row>
    <x:row r="381">
      <x:c r="A381" s="15" t="str">
        <x:v>Current a/c..512781</x:v>
      </x:c>
      <x:c r="B381" s="34" t="n">
        <x:v>46141.69861111111</x:v>
      </x:c>
      <x:c r="C381" s="15" t="str">
        <x:v>R500.00 paid from Current a/c..512781 @ Smartapp. Avail R87512. Ref.Electricity 04294887. 29Apr 16:46</x:v>
      </x:c>
      <x:c r="D381" s="38" t="n">
        <x:v>0</x:v>
      </x:c>
      <x:c r="E381" s="38" t="n">
        <x:v>500</x:v>
      </x:c>
      <x:c r="F381" s="38" t="n">
        <x:v>0</x:v>
      </x:c>
      <x:c r="G381" s="38" t="n">
        <x:v>87512</x:v>
      </x:c>
      <x:c r="H381" s="15" t="str">
        <x:v>Telecom / utilities</x:v>
      </x:c>
      <x:c r="I381" s="15" t="str">
        <x:v>Electricity 04294887</x:v>
      </x:c>
      <x:c r="J381" s="15" t="str">
        <x:v>eml_ALL_currentac__512781 (2).zip &gt; eml3currentac__512781.zip / FNB _-) R500.00 paid from Current a_c..512781 @ Smartapp. Ref.Electricity 04294887. 29Apr 16_46.eml</x:v>
      </x:c>
    </x:row>
    <x:row r="382">
      <x:c r="A382" s="15" t="str">
        <x:v>Current a/c..512781</x:v>
      </x:c>
      <x:c r="B382" s="34" t="n">
        <x:v>46142.39027777778</x:v>
      </x:c>
      <x:c r="C382" s="15" t="str">
        <x:v>R15228.38 paid to Current a/c..512781 @ Retail Forex. Ref.R026snghm0 Booking.c. 30Apr 09:22</x:v>
      </x:c>
      <x:c r="D382" s="38" t="n">
        <x:v>15228.38</x:v>
      </x:c>
      <x:c r="E382" s="38" t="n">
        <x:v>0</x:v>
      </x:c>
      <x:c r="F382" s="38" t="n">
        <x:v>0</x:v>
      </x:c>
      <x:c r="G382" s="38"/>
      <x:c r="H382" s="15" t="str">
        <x:v>Sales / customer receipts</x:v>
      </x:c>
      <x:c r="I382" s="15" t="str">
        <x:v>R026snghm0 Booking.c</x:v>
      </x:c>
      <x:c r="J382" s="15" t="str">
        <x:v>eml_ALL_currentac__512781 (2).zip &gt; eml3currentac__512781.zip / FNB _-) R15228.38 paid to Current a_c..512781 @ Retail Forex. Ref.R026snghm0 Booking.c. 30Apr 09_22.eml</x:v>
      </x:c>
    </x:row>
    <x:row r="383">
      <x:c r="A383" s="15" t="str">
        <x:v>Current a/c..512781</x:v>
      </x:c>
      <x:c r="B383" s="34" t="n">
        <x:v>46142.49930555555</x:v>
      </x:c>
      <x:c r="C383" s="15" t="str">
        <x:v>R1541.00 paid from Current a/c..512781 @ Smartapp. Avail R100564. Ref.Dinner Box 110658. 30Apr 11:59</x:v>
      </x:c>
      <x:c r="D383" s="38" t="n">
        <x:v>0</x:v>
      </x:c>
      <x:c r="E383" s="38" t="n">
        <x:v>1541</x:v>
      </x:c>
      <x:c r="F383" s="38" t="n">
        <x:v>0</x:v>
      </x:c>
      <x:c r="G383" s="38" t="n">
        <x:v>100564</x:v>
      </x:c>
      <x:c r="H383" s="15" t="str">
        <x:v>Meals / restaurants / entertainment</x:v>
      </x:c>
      <x:c r="I383" s="15" t="str">
        <x:v>Dinner Box 110658</x:v>
      </x:c>
      <x:c r="J383" s="15" t="str">
        <x:v>eml_ALL_currentac__512781 (2).zip &gt; eml3currentac__512781.zip / FNB _-) R1541.00 paid from Current a_c..512781 @ Smartapp. Ref.Dinner Box 110658. 30Apr 11_59.eml</x:v>
      </x:c>
    </x:row>
    <x:row r="384">
      <x:c r="A384" s="15" t="str">
        <x:v>Current a/c..512781</x:v>
      </x:c>
      <x:c r="B384" s="34" t="n">
        <x:v>46142.53611111111</x:v>
      </x:c>
      <x:c r="C384" s="15" t="str">
        <x:v>R26500.00 t/fer from Current a/c..512781 to Current a/c..261544 @ Smartapp. Avail R74064. 30Apr 12:52</x:v>
      </x:c>
      <x:c r="D384" s="38" t="n">
        <x:v>0</x:v>
      </x:c>
      <x:c r="E384" s="38" t="n">
        <x:v>0</x:v>
      </x:c>
      <x:c r="F384" s="38" t="n">
        <x:v>26500</x:v>
      </x:c>
      <x:c r="G384" s="38" t="n">
        <x:v>74064</x:v>
      </x:c>
      <x:c r="H384" s="15" t="str">
        <x:v>Inter-account transfer</x:v>
      </x:c>
      <x:c r="I384" s="15" t="str">
        <x:v>Current a/c..261544</x:v>
      </x:c>
      <x:c r="J384" s="15" t="str">
        <x:v>eml_ALL_currentac__512781 (2).zip &gt; eml3currentac__512781.zip / FNB _-) R26500.00 t_fer from Current a_c..512781 to Current a_c..261544 @ Smartapp. 30Apr 12_52.eml</x:v>
      </x:c>
    </x:row>
    <x:row r="385">
      <x:c r="A385" s="15" t="str">
        <x:v>Current a/c..512781</x:v>
      </x:c>
      <x:c r="B385" s="34" t="n">
        <x:v>46143.37777777778</x:v>
      </x:c>
      <x:c r="C385" s="15" t="str">
        <x:v>R12000.00 paid from Current a/c..512781 @ Gen Ph. Avail R46098. Ref.Staff Salary. 1May 09:04</x:v>
      </x:c>
      <x:c r="D385" s="38" t="n">
        <x:v>0</x:v>
      </x:c>
      <x:c r="E385" s="38" t="n">
        <x:v>12000</x:v>
      </x:c>
      <x:c r="F385" s="38" t="n">
        <x:v>0</x:v>
      </x:c>
      <x:c r="G385" s="38" t="n">
        <x:v>46098</x:v>
      </x:c>
      <x:c r="H385" s="15" t="str">
        <x:v>Salary / wages</x:v>
      </x:c>
      <x:c r="I385" s="15" t="str">
        <x:v>Staff Salary</x:v>
      </x:c>
      <x:c r="J385" s="15" t="str">
        <x:v>eml_ALL_currentac__512781 (2).zip &gt; eml3currentac__512781.zip / FNB _-) R12000.00 paid from Current a_c..512781 @ Gen Ph. Ref.Staff Salary.  1May 09_04.eml</x:v>
      </x:c>
    </x:row>
    <x:row r="386">
      <x:c r="A386" s="15" t="str">
        <x:v>Current a/c..512781</x:v>
      </x:c>
      <x:c r="B386" s="34" t="n">
        <x:v>46143.37777777778</x:v>
      </x:c>
      <x:c r="C386" s="15" t="str">
        <x:v>R12000.00 paid from Current a/c..512781 @ Gen Ph. Avail R58113. Ref.Staff Salary. 1May 09:04</x:v>
      </x:c>
      <x:c r="D386" s="38" t="n">
        <x:v>0</x:v>
      </x:c>
      <x:c r="E386" s="38" t="n">
        <x:v>12000</x:v>
      </x:c>
      <x:c r="F386" s="38" t="n">
        <x:v>0</x:v>
      </x:c>
      <x:c r="G386" s="38" t="n">
        <x:v>58113</x:v>
      </x:c>
      <x:c r="H386" s="15" t="str">
        <x:v>Salary / wages</x:v>
      </x:c>
      <x:c r="I386" s="15" t="str">
        <x:v>Staff Salary</x:v>
      </x:c>
      <x:c r="J386" s="15" t="str">
        <x:v>eml_ALL_currentac__512781 (2).zip &gt; eml3currentac__512781.zip / FNB _-) R12000.00 paid from Current a_c..512781 @ Gen Ph. Ref.Staff Salary.  1May 09_04_1.eml</x:v>
      </x:c>
    </x:row>
    <x:row r="387">
      <x:c r="A387" s="15" t="str">
        <x:v>Current a/c..512781</x:v>
      </x:c>
      <x:c r="B387" s="34" t="n">
        <x:v>46143.37847222222</x:v>
      </x:c>
      <x:c r="C387" s="15" t="str">
        <x:v>R759.00 paid from Current a/c..512781 @ Smartapp. Avail R45339. Ref.Nb N992820. 1May 09:05</x:v>
      </x:c>
      <x:c r="D387" s="38" t="n">
        <x:v>0</x:v>
      </x:c>
      <x:c r="E387" s="38" t="n">
        <x:v>759</x:v>
      </x:c>
      <x:c r="F387" s="38" t="n">
        <x:v>0</x:v>
      </x:c>
      <x:c r="G387" s="38" t="n">
        <x:v>45339</x:v>
      </x:c>
      <x:c r="H387" s="15" t="str">
        <x:v>Supplier payments</x:v>
      </x:c>
      <x:c r="I387" s="15" t="str">
        <x:v>Nb N992820</x:v>
      </x:c>
      <x:c r="J387" s="15" t="str">
        <x:v>eml_ALL_currentac__512781 (2).zip &gt; eml3currentac__512781.zip / FNB _-) R759.00 paid from Current a_c..512781 @ Smartapp. Ref.Nb N992820.  1May 09_05.eml</x:v>
      </x:c>
    </x:row>
    <x:row r="388">
      <x:c r="A388" s="15" t="str">
        <x:v>Current a/c..512781</x:v>
      </x:c>
      <x:c r="B388" s="34" t="n">
        <x:v>46143.379166666666</x:v>
      </x:c>
      <x:c r="C388" s="15" t="str">
        <x:v>R500.00 paid from Current a/c..512781 @ Smartapp. Avail R44839. Ref.Kpci - C1736. 1May 09:06</x:v>
      </x:c>
      <x:c r="D388" s="38" t="n">
        <x:v>0</x:v>
      </x:c>
      <x:c r="E388" s="38" t="n">
        <x:v>500</x:v>
      </x:c>
      <x:c r="F388" s="38" t="n">
        <x:v>0</x:v>
      </x:c>
      <x:c r="G388" s="38" t="n">
        <x:v>44839</x:v>
      </x:c>
      <x:c r="H388" s="15" t="str">
        <x:v>Supplier payments</x:v>
      </x:c>
      <x:c r="I388" s="15" t="str">
        <x:v>Kpci - C1736</x:v>
      </x:c>
      <x:c r="J388" s="15" t="str">
        <x:v>eml_ALL_currentac__512781 (2).zip &gt; eml3currentac__512781.zip / FNB _-) R500.00 paid from Current a_c..512781 @ Smartapp. Ref.Kpci - C1736.  1May 09_06.eml</x:v>
      </x:c>
    </x:row>
    <x:row r="389">
      <x:c r="A389" s="15" t="str">
        <x:v>Current a/c..512781</x:v>
      </x:c>
      <x:c r="B389" s="34" t="n">
        <x:v>46144.67222222222</x:v>
      </x:c>
      <x:c r="C389" s="15" t="str">
        <x:v>R1805.86 paid from Current a/c..512781 @ Smartapp. Avail R41315. Ref.Ac De Jager Vleis. 2May 16:08</x:v>
      </x:c>
      <x:c r="D389" s="38" t="n">
        <x:v>0</x:v>
      </x:c>
      <x:c r="E389" s="38" t="n">
        <x:v>1805.86</x:v>
      </x:c>
      <x:c r="F389" s="38" t="n">
        <x:v>0</x:v>
      </x:c>
      <x:c r="G389" s="38" t="n">
        <x:v>41315</x:v>
      </x:c>
      <x:c r="H389" s="15" t="str">
        <x:v>Supplier payments</x:v>
      </x:c>
      <x:c r="I389" s="15" t="str">
        <x:v>Ac De Jager Vleis</x:v>
      </x:c>
      <x:c r="J389" s="15" t="str">
        <x:v>eml_ALL_currentac__512781 (2).zip &gt; eml3currentac__512781.zip / FNB _-) R1805.86 paid from Current a_c..512781 @ Smartapp. Ref.Ac De Jager Vleis.  2May 16_08.eml</x:v>
      </x:c>
    </x:row>
    <x:row r="390">
      <x:c r="A390" s="15" t="str">
        <x:v>Current a/c..512781</x:v>
      </x:c>
      <x:c r="B390" s="34" t="n">
        <x:v>46146.31319444445</x:v>
      </x:c>
      <x:c r="C390" s="15" t="str">
        <x:v>R150.00 paid from Current a/c..512781 @ Smartapp. Avail R40771. Ref.Electricity 14503572. 4May 07:31</x:v>
      </x:c>
      <x:c r="D390" s="38" t="n">
        <x:v>0</x:v>
      </x:c>
      <x:c r="E390" s="38" t="n">
        <x:v>150</x:v>
      </x:c>
      <x:c r="F390" s="38" t="n">
        <x:v>0</x:v>
      </x:c>
      <x:c r="G390" s="38" t="n">
        <x:v>40771</x:v>
      </x:c>
      <x:c r="H390" s="15" t="str">
        <x:v>Telecom / utilities</x:v>
      </x:c>
      <x:c r="I390" s="15" t="str">
        <x:v>Electricity 14503572</x:v>
      </x:c>
      <x:c r="J390" s="15" t="str">
        <x:v>eml_ALL_currentac__512781 (2).zip &gt; eml3currentac__512781.zip / FNB _-) R150.00 paid from Current a_c..512781 @ Smartapp. Ref.Electricity 14503572.  4May 07_31.eml</x:v>
      </x:c>
    </x:row>
    <x:row r="391">
      <x:c r="A391" s="15" t="str">
        <x:v>Current a/c..512781</x:v>
      </x:c>
      <x:c r="B391" s="34" t="n">
        <x:v>46146.575694444444</x:v>
      </x:c>
      <x:c r="C391" s="15" t="str">
        <x:v>R31641.63 paid to Current a/c..512781 @ Payshap. Ref.Ik Pay 487882. 4May 13:49</x:v>
      </x:c>
      <x:c r="D391" s="38" t="n">
        <x:v>31641.63</x:v>
      </x:c>
      <x:c r="E391" s="38" t="n">
        <x:v>0</x:v>
      </x:c>
      <x:c r="F391" s="38" t="n">
        <x:v>0</x:v>
      </x:c>
      <x:c r="G391" s="38"/>
      <x:c r="H391" s="15" t="str">
        <x:v>Sales / customer receipts</x:v>
      </x:c>
      <x:c r="I391" s="15" t="str">
        <x:v>Ik Pay 487882</x:v>
      </x:c>
      <x:c r="J391" s="15" t="str">
        <x:v>eml_ALL_currentac__512781 (2).zip &gt; eml3currentac__512781.zip / FNB _-) R31641.63 paid to Current a_c..512781 @ Payshap. Ref.Ik Pay 487882.  4May 13_49.eml</x:v>
      </x:c>
    </x:row>
    <x:row r="392">
      <x:c r="A392" s="15" t="str">
        <x:v>Current a/c..512781</x:v>
      </x:c>
      <x:c r="B392" s="34" t="n">
        <x:v>46146.65277777778</x:v>
      </x:c>
      <x:c r="C392" s="15" t="str">
        <x:v>R6000.00 paid from Current a/c..512781 @ Smartapp. Avail R66010. Ref.Salary. 4May 15:40</x:v>
      </x:c>
      <x:c r="D392" s="38" t="n">
        <x:v>0</x:v>
      </x:c>
      <x:c r="E392" s="38" t="n">
        <x:v>6000</x:v>
      </x:c>
      <x:c r="F392" s="38" t="n">
        <x:v>0</x:v>
      </x:c>
      <x:c r="G392" s="38" t="n">
        <x:v>66010</x:v>
      </x:c>
      <x:c r="H392" s="15" t="str">
        <x:v>Salary / wages</x:v>
      </x:c>
      <x:c r="I392" s="15" t="str">
        <x:v>Salary</x:v>
      </x:c>
      <x:c r="J392" s="15" t="str">
        <x:v>eml_ALL_currentac__512781 (2).zip &gt; eml3currentac__512781.zip / FNB _-) R6000.00 paid from Current a_c..512781 @ Smartapp. Ref.Salary.  4May 15_40.eml</x:v>
      </x:c>
    </x:row>
    <x:row r="393">
      <x:c r="A393" s="15" t="str">
        <x:v>Current a/c..512781</x:v>
      </x:c>
      <x:c r="B393" s="34" t="n">
        <x:v>46147.379166666666</x:v>
      </x:c>
      <x:c r="C393" s="15" t="str">
        <x:v>R150.00 paid from Current a/c..512781 @ Smartapp. Avail R65858. Ref.Electricity 14503572. 5May 09:06</x:v>
      </x:c>
      <x:c r="D393" s="38" t="n">
        <x:v>0</x:v>
      </x:c>
      <x:c r="E393" s="38" t="n">
        <x:v>150</x:v>
      </x:c>
      <x:c r="F393" s="38" t="n">
        <x:v>0</x:v>
      </x:c>
      <x:c r="G393" s="38" t="n">
        <x:v>65858</x:v>
      </x:c>
      <x:c r="H393" s="15" t="str">
        <x:v>Telecom / utilities</x:v>
      </x:c>
      <x:c r="I393" s="15" t="str">
        <x:v>Electricity 14503572</x:v>
      </x:c>
      <x:c r="J393" s="15" t="str">
        <x:v>eml_ALL_currentac__512781 (2).zip &gt; eml3currentac__512781.zip / FNB _-) R150.00 paid from Current a_c..512781 @ Smartapp. Ref.Electricity 14503572.  5May 09_06.eml</x:v>
      </x:c>
    </x:row>
    <x:row r="394">
      <x:c r="A394" s="15" t="str">
        <x:v>Current a/c..512781</x:v>
      </x:c>
      <x:c r="B394" s="34" t="n">
        <x:v>46147.45138888889</x:v>
      </x:c>
      <x:c r="C394" s="15" t="str">
        <x:v>R13128.00 paid from Current a/c..512781 @ Smartapp. Avail R52722. Ref.Kruger Safari 1697. 5May 10:50</x:v>
      </x:c>
      <x:c r="D394" s="38" t="n">
        <x:v>0</x:v>
      </x:c>
      <x:c r="E394" s="38" t="n">
        <x:v>13128</x:v>
      </x:c>
      <x:c r="F394" s="38" t="n">
        <x:v>0</x:v>
      </x:c>
      <x:c r="G394" s="38" t="n">
        <x:v>52722</x:v>
      </x:c>
      <x:c r="H394" s="15" t="str">
        <x:v>Supplier payments</x:v>
      </x:c>
      <x:c r="I394" s="15" t="str">
        <x:v>Kruger Safari 1697</x:v>
      </x:c>
      <x:c r="J394" s="15" t="str">
        <x:v>eml_ALL_currentac__512781 (2).zip &gt; eml3currentac__512781.zip / FNB _-) R13128.00 paid from Current a_c..512781 @ Smartapp. Ref.Kruger Safari 1697.  5May 10_50.eml</x:v>
      </x:c>
    </x:row>
    <x:row r="395">
      <x:c r="A395" s="15" t="str">
        <x:v>Current a/c..512781</x:v>
      </x:c>
      <x:c r="B395" s="34" t="n">
        <x:v>46147.45208333333</x:v>
      </x:c>
      <x:c r="C395" s="15" t="str">
        <x:v>R8480.00 paid from Current a/c..512781 @ Smartapp. Avail R44234. Ref.Royal Bush 3945. 5May 10:51</x:v>
      </x:c>
      <x:c r="D395" s="38" t="n">
        <x:v>0</x:v>
      </x:c>
      <x:c r="E395" s="38" t="n">
        <x:v>8480</x:v>
      </x:c>
      <x:c r="F395" s="38" t="n">
        <x:v>0</x:v>
      </x:c>
      <x:c r="G395" s="38" t="n">
        <x:v>44234</x:v>
      </x:c>
      <x:c r="H395" s="15" t="str">
        <x:v>Supplier payments</x:v>
      </x:c>
      <x:c r="I395" s="15" t="str">
        <x:v>Royal Bush 3945</x:v>
      </x:c>
      <x:c r="J395" s="15" t="str">
        <x:v>eml_ALL_currentac__512781 (2).zip &gt; eml3currentac__512781.zip / FNB _-) R8480.00 paid from Current a_c..512781 @ Smartapp. Ref.Royal Bush 3945.  5May 10_51.eml</x:v>
      </x:c>
    </x:row>
    <x:row r="396">
      <x:c r="A396" s="15" t="str">
        <x:v>Current a/c..512781</x:v>
      </x:c>
      <x:c r="B396" s="34" t="n">
        <x:v>46149.35</x:v>
      </x:c>
      <x:c r="C396" s="15" t="str">
        <x:v>R17426.63 paid to Current a/c..512781 @ Retail Forex. Ref.R026sb0230 Booking.c. 7May 08:24</x:v>
      </x:c>
      <x:c r="D396" s="38" t="n">
        <x:v>17426.63</x:v>
      </x:c>
      <x:c r="E396" s="38" t="n">
        <x:v>0</x:v>
      </x:c>
      <x:c r="F396" s="38" t="n">
        <x:v>0</x:v>
      </x:c>
      <x:c r="G396" s="38"/>
      <x:c r="H396" s="15" t="str">
        <x:v>Sales / customer receipts</x:v>
      </x:c>
      <x:c r="I396" s="15" t="str">
        <x:v>R026sb0230 Booking.c</x:v>
      </x:c>
      <x:c r="J396" s="15" t="str">
        <x:v>eml_ALL_currentac__512781 (2).zip &gt; eml2currentac__512781.zip / FNB _-) R17426.63 paid to Current a_c..512781 @ Retail Forex. Ref.R026sb0230 Booking.c.  7May 08_24.eml</x:v>
      </x:c>
    </x:row>
    <x:row r="397">
      <x:c r="A397" s="15" t="str">
        <x:v>Current a/c..512781</x:v>
      </x:c>
      <x:c r="B397" s="34" t="n">
        <x:v>46149.49375</x:v>
      </x:c>
      <x:c r="C397" s="15" t="str">
        <x:v>Payment Link created from Current a/c..512781 To Southern Kruger Tran..698317 @ Smartapp. 7May 11:51 Call 087 575 9404 for help.</x:v>
      </x:c>
      <x:c r="D397" s="38" t="n">
        <x:v>0</x:v>
      </x:c>
      <x:c r="E397" s="38" t="n">
        <x:v>0</x:v>
      </x:c>
      <x:c r="F397" s="38" t="n">
        <x:v>0</x:v>
      </x:c>
      <x:c r="G397" s="38"/>
      <x:c r="H397" s="15" t="str">
        <x:v>Other</x:v>
      </x:c>
      <x:c r="I397" s="15" t="str">
        <x:v>Southern Kruger Tran..698317</x:v>
      </x:c>
      <x:c r="J397" s="15" t="str">
        <x:v>eml_ALL_currentac__512781 (2).zip &gt; eml2currentac__512781.zip / FNB _-) Payment Link created from Current a_c..512781 To Southern Kruger Tran..698317 @ Smartapp.  7May 11_51 Call 087 575 9404  for help..eml</x:v>
      </x:c>
    </x:row>
    <x:row r="398">
      <x:c r="A398" s="15" t="str">
        <x:v>Current a/c..512781</x:v>
      </x:c>
      <x:c r="B398" s="34" t="n">
        <x:v>46149.49375</x:v>
      </x:c>
      <x:c r="C398" s="15" t="str">
        <x:v>R2200.00 paid from Current a/c..512781 @ Smartapp. Avail R58530. Ref.Sk Transfer 0194. 7May 11:51</x:v>
      </x:c>
      <x:c r="D398" s="38" t="n">
        <x:v>0</x:v>
      </x:c>
      <x:c r="E398" s="38" t="n">
        <x:v>2200</x:v>
      </x:c>
      <x:c r="F398" s="38" t="n">
        <x:v>0</x:v>
      </x:c>
      <x:c r="G398" s="38" t="n">
        <x:v>58530</x:v>
      </x:c>
      <x:c r="H398" s="15" t="str">
        <x:v>Supplier payments</x:v>
      </x:c>
      <x:c r="I398" s="15" t="str">
        <x:v>Sk Transfer 0194</x:v>
      </x:c>
      <x:c r="J398" s="15" t="str">
        <x:v>eml_ALL_currentac__512781 (2).zip &gt; eml2currentac__512781.zip / FNB _-) R2200.00 paid from Current a_c..512781 @ Smartapp. Ref.Sk Transfer 0194.  7May 11_51.eml</x:v>
      </x:c>
    </x:row>
    <x:row r="399">
      <x:c r="A399" s="15" t="str">
        <x:v>Current a/c..512781</x:v>
      </x:c>
      <x:c r="B399" s="34" t="n">
        <x:v>46149.78402777778</x:v>
      </x:c>
      <x:c r="C399" s="15" t="str">
        <x:v>R500.00 paid from Current a/c..512781 @ Smartapp. Avail R55652. Ref.Electricity 04294887. 7May 18:49</x:v>
      </x:c>
      <x:c r="D399" s="38" t="n">
        <x:v>0</x:v>
      </x:c>
      <x:c r="E399" s="38" t="n">
        <x:v>500</x:v>
      </x:c>
      <x:c r="F399" s="38" t="n">
        <x:v>0</x:v>
      </x:c>
      <x:c r="G399" s="38" t="n">
        <x:v>55652</x:v>
      </x:c>
      <x:c r="H399" s="15" t="str">
        <x:v>Telecom / utilities</x:v>
      </x:c>
      <x:c r="I399" s="15" t="str">
        <x:v>Electricity 04294887</x:v>
      </x:c>
      <x:c r="J399" s="15" t="str">
        <x:v>eml_ALL_currentac__512781 (2).zip &gt; eml2currentac__512781.zip / FNB _-) R500.00 paid from Current a_c..512781 @ Smartapp. Ref.Electricity 04294887.  7May 18_49.eml</x:v>
      </x:c>
    </x:row>
    <x:row r="400">
      <x:c r="A400" s="15" t="str">
        <x:v>Current a/c..512781</x:v>
      </x:c>
      <x:c r="B400" s="34" t="n">
        <x:v>46150.30347222222</x:v>
      </x:c>
      <x:c r="C400" s="15" t="str">
        <x:v>R150.00 paid from Current a/c..512781 @ Smartapp. Avail R55493. Ref.Electricity 14503572. 8May 07:17</x:v>
      </x:c>
      <x:c r="D400" s="38" t="n">
        <x:v>0</x:v>
      </x:c>
      <x:c r="E400" s="38" t="n">
        <x:v>150</x:v>
      </x:c>
      <x:c r="F400" s="38" t="n">
        <x:v>0</x:v>
      </x:c>
      <x:c r="G400" s="38" t="n">
        <x:v>55493</x:v>
      </x:c>
      <x:c r="H400" s="15" t="str">
        <x:v>Telecom / utilities</x:v>
      </x:c>
      <x:c r="I400" s="15" t="str">
        <x:v>Electricity 14503572</x:v>
      </x:c>
      <x:c r="J400" s="15" t="str">
        <x:v>eml_ALL_currentac__512781 (2).zip &gt; eml2currentac__512781.zip / FNB _-) R150.00 paid from Current a_c..512781 @ Smartapp. Ref.Electricity 14503572.  8May 07_17.eml</x:v>
      </x:c>
    </x:row>
    <x:row r="401">
      <x:c r="A401" s="15" t="str">
        <x:v>Current a/c..512781</x:v>
      </x:c>
      <x:c r="B401" s="34" t="n">
        <x:v>46150.50625</x:v>
      </x:c>
      <x:c r="C401" s="15" t="str">
        <x:v>R800.00 paid from Current a/c..512781 @ Smartapp. Avail R54670. Ref.Send Peter Carpentor. 8May 12:09</x:v>
      </x:c>
      <x:c r="D401" s="38" t="n">
        <x:v>0</x:v>
      </x:c>
      <x:c r="E401" s="38" t="n">
        <x:v>800</x:v>
      </x:c>
      <x:c r="F401" s="38" t="n">
        <x:v>0</x:v>
      </x:c>
      <x:c r="G401" s="38" t="n">
        <x:v>54670</x:v>
      </x:c>
      <x:c r="H401" s="15" t="str">
        <x:v>Supplier payments</x:v>
      </x:c>
      <x:c r="I401" s="15" t="str">
        <x:v>Send Peter Carpentor</x:v>
      </x:c>
      <x:c r="J401" s="15" t="str">
        <x:v>eml_ALL_currentac__512781 (2).zip &gt; eml2currentac__512781.zip / FNB _-) R800.00 paid from Current a_c..512781 @ Smartapp. Ref.Send Peter Carpentor.  8May 12_09.eml</x:v>
      </x:c>
    </x:row>
    <x:row r="402">
      <x:c r="A402" s="15" t="str">
        <x:v>Current a/c..512781</x:v>
      </x:c>
      <x:c r="B402" s="34" t="n">
        <x:v>46150.73402777778</x:v>
      </x:c>
      <x:c r="C402" s="15" t="str">
        <x:v>R2500.00 paid from Current a/c..512781 @ Smartapp. Avail R52162. Ref.Sakkie Wages. 8May 17:37</x:v>
      </x:c>
      <x:c r="D402" s="38" t="n">
        <x:v>0</x:v>
      </x:c>
      <x:c r="E402" s="38" t="n">
        <x:v>2500</x:v>
      </x:c>
      <x:c r="F402" s="38" t="n">
        <x:v>0</x:v>
      </x:c>
      <x:c r="G402" s="38" t="n">
        <x:v>52162</x:v>
      </x:c>
      <x:c r="H402" s="15" t="str">
        <x:v>Salary / wages</x:v>
      </x:c>
      <x:c r="I402" s="15" t="str">
        <x:v>Sakkie Wages</x:v>
      </x:c>
      <x:c r="J402" s="15" t="str">
        <x:v>eml_ALL_currentac__512781 (2).zip &gt; eml2currentac__512781.zip / FNB _-) R2500.00 paid from Current a_c..512781 @ Smartapp. Ref.Sakkie Wages.  8May 17_37.eml</x:v>
      </x:c>
    </x:row>
    <x:row r="403">
      <x:c r="A403" s="15" t="str">
        <x:v>Current a/c..512781</x:v>
      </x:c>
      <x:c r="B403" s="34" t="n">
        <x:v>46151.438888888886</x:v>
      </x:c>
      <x:c r="C403" s="15" t="str">
        <x:v>R1729.10 paid to Current a/c..512781 @ Payshap. Ref.Ik Pay 487882. 9May 10:32</x:v>
      </x:c>
      <x:c r="D403" s="38" t="n">
        <x:v>1729.1</x:v>
      </x:c>
      <x:c r="E403" s="38" t="n">
        <x:v>0</x:v>
      </x:c>
      <x:c r="F403" s="38" t="n">
        <x:v>0</x:v>
      </x:c>
      <x:c r="G403" s="38"/>
      <x:c r="H403" s="15" t="str">
        <x:v>Sales / customer receipts</x:v>
      </x:c>
      <x:c r="I403" s="15" t="str">
        <x:v>Ik Pay 487882</x:v>
      </x:c>
      <x:c r="J403" s="15" t="str">
        <x:v>eml_ALL_currentac__512781 (2).zip &gt; eml2currentac__512781.zip / FNB _-) R1729.10 paid to Current a_c..512781 @ Payshap. Ref.Ik Pay 487882.  9May 10_32.eml</x:v>
      </x:c>
    </x:row>
    <x:row r="404">
      <x:c r="A404" s="15" t="str">
        <x:v>Current a/c..512781</x:v>
      </x:c>
      <x:c r="B404" s="34" t="n">
        <x:v>46153.40347222222</x:v>
      </x:c>
      <x:c r="C404" s="15" t="str">
        <x:v>R345.40 paid from Current a/c..512781 @ Smartapp. Avail R51797. Ref.Bon Express 008340. 11May 09:41</x:v>
      </x:c>
      <x:c r="D404" s="38" t="n">
        <x:v>0</x:v>
      </x:c>
      <x:c r="E404" s="38" t="n">
        <x:v>345.4</x:v>
      </x:c>
      <x:c r="F404" s="38" t="n">
        <x:v>0</x:v>
      </x:c>
      <x:c r="G404" s="38" t="n">
        <x:v>51797</x:v>
      </x:c>
      <x:c r="H404" s="15" t="str">
        <x:v>Supplier payments</x:v>
      </x:c>
      <x:c r="I404" s="15" t="str">
        <x:v>Bon Express 008340</x:v>
      </x:c>
      <x:c r="J404" s="15" t="str">
        <x:v>eml_ALL_currentac__512781 (2).zip &gt; eml2currentac__512781.zip / FNB _-) R345.40 paid from Current a_c..512781 @ Smartapp. Ref.Bon Express 008340. 11May 09_41.eml</x:v>
      </x:c>
    </x:row>
    <x:row r="405">
      <x:c r="A405" s="15" t="str">
        <x:v>Current a/c..512781</x:v>
      </x:c>
      <x:c r="B405" s="34" t="n">
        <x:v>46153.44652777778</x:v>
      </x:c>
      <x:c r="C405" s="15" t="str">
        <x:v>R2000.00 t/fer from Current a/c..512781 to Private Cheq Acc..566332 @ Smartapp. Avail R49797. 11May 10:43</x:v>
      </x:c>
      <x:c r="D405" s="38" t="n">
        <x:v>0</x:v>
      </x:c>
      <x:c r="E405" s="38" t="n">
        <x:v>0</x:v>
      </x:c>
      <x:c r="F405" s="38" t="n">
        <x:v>2000</x:v>
      </x:c>
      <x:c r="G405" s="38" t="n">
        <x:v>49797</x:v>
      </x:c>
      <x:c r="H405" s="15" t="str">
        <x:v>Inter-account transfer</x:v>
      </x:c>
      <x:c r="I405" s="15" t="str">
        <x:v>Private Cheq Acc..566332</x:v>
      </x:c>
      <x:c r="J405" s="15" t="str">
        <x:v>eml_ALL_currentac__512781 (2).zip &gt; eml2currentac__512781.zip / FNB _-) R2000.00 t_fer from Current a_c..512781 to Private Cheq Acc..566332 @ Smartapp. 11May 10_43.eml</x:v>
      </x:c>
    </x:row>
    <x:row r="406">
      <x:c r="A406" s="15" t="str">
        <x:v>Current a/c..512781</x:v>
      </x:c>
      <x:c r="B406" s="34" t="n">
        <x:v>46153.544444444444</x:v>
      </x:c>
      <x:c r="C406" s="15" t="str">
        <x:v>R4000.00 paid from Current a/c..512781 @ Smartapp. Avail R45794. Ref.Salary. 11May 13:04</x:v>
      </x:c>
      <x:c r="D406" s="38" t="n">
        <x:v>0</x:v>
      </x:c>
      <x:c r="E406" s="38" t="n">
        <x:v>4000</x:v>
      </x:c>
      <x:c r="F406" s="38" t="n">
        <x:v>0</x:v>
      </x:c>
      <x:c r="G406" s="38" t="n">
        <x:v>45794</x:v>
      </x:c>
      <x:c r="H406" s="15" t="str">
        <x:v>Salary / wages</x:v>
      </x:c>
      <x:c r="I406" s="15" t="str">
        <x:v>Salary</x:v>
      </x:c>
      <x:c r="J406" s="15" t="str">
        <x:v>eml_ALL_currentac__512781 (2).zip &gt; eml2currentac__512781.zip / FNB _-) R4000.00 paid from Current a_c..512781 @ Smartapp. Ref.Salary. 11May 13_04.eml</x:v>
      </x:c>
    </x:row>
    <x:row r="407">
      <x:c r="A407" s="15" t="str">
        <x:v>Current a/c..512781</x:v>
      </x:c>
      <x:c r="B407" s="34" t="n">
        <x:v>46153.55</x:v>
      </x:c>
      <x:c r="C407" s="15" t="str">
        <x:v>R1000.00 t/fer from Current a/c..512781 to Private Cheq Acc..566332 @ Smartapp. Avail R44794. 11May 13:12</x:v>
      </x:c>
      <x:c r="D407" s="38" t="n">
        <x:v>0</x:v>
      </x:c>
      <x:c r="E407" s="38" t="n">
        <x:v>0</x:v>
      </x:c>
      <x:c r="F407" s="38" t="n">
        <x:v>1000</x:v>
      </x:c>
      <x:c r="G407" s="38" t="n">
        <x:v>44794</x:v>
      </x:c>
      <x:c r="H407" s="15" t="str">
        <x:v>Inter-account transfer</x:v>
      </x:c>
      <x:c r="I407" s="15" t="str">
        <x:v>Private Cheq Acc..566332</x:v>
      </x:c>
      <x:c r="J407" s="15" t="str">
        <x:v>eml_ALL_currentac__512781 (2).zip &gt; eml2currentac__512781.zip / FNB _-) R1000.00 t_fer from Current a_c..512781 to Private Cheq Acc..566332 @ Smartapp. 11May 13_12.eml</x:v>
      </x:c>
    </x:row>
    <x:row r="408">
      <x:c r="A408" s="15" t="str">
        <x:v>Current a/c..512781</x:v>
      </x:c>
      <x:c r="B408" s="34" t="n">
        <x:v>46153.615277777775</x:v>
      </x:c>
      <x:c r="C408" s="15" t="str">
        <x:v>R1500.00 paid from Current a/c..512781 @ Smartapp. Avail R43253. Ref.Send Donald Bus. 11May 14:46</x:v>
      </x:c>
      <x:c r="D408" s="38" t="n">
        <x:v>0</x:v>
      </x:c>
      <x:c r="E408" s="38" t="n">
        <x:v>1500</x:v>
      </x:c>
      <x:c r="F408" s="38" t="n">
        <x:v>0</x:v>
      </x:c>
      <x:c r="G408" s="38" t="n">
        <x:v>43253</x:v>
      </x:c>
      <x:c r="H408" s="15" t="str">
        <x:v>Supplier payments</x:v>
      </x:c>
      <x:c r="I408" s="15" t="str">
        <x:v>Send Donald Bus</x:v>
      </x:c>
      <x:c r="J408" s="15" t="str">
        <x:v>eml_ALL_currentac__512781 (2).zip &gt; eml2currentac__512781.zip / FNB _-) R1500.00 paid from Current a_c..512781 @ Smartapp. Ref.Send Donald Bus. 11May 14_46.eml</x:v>
      </x:c>
    </x:row>
    <x:row r="409">
      <x:c r="A409" s="15" t="str">
        <x:v>Current a/c..512781</x:v>
      </x:c>
      <x:c r="B409" s="34" t="n">
        <x:v>46153.65625</x:v>
      </x:c>
      <x:c r="C409" s="15" t="str">
        <x:v>R1500.00 paid to Current a/c..512781 @ Smartapp. Ref.Send Rev. 11May 15:45</x:v>
      </x:c>
      <x:c r="D409" s="38" t="n">
        <x:v>1500</x:v>
      </x:c>
      <x:c r="E409" s="38" t="n">
        <x:v>0</x:v>
      </x:c>
      <x:c r="F409" s="38" t="n">
        <x:v>0</x:v>
      </x:c>
      <x:c r="G409" s="38"/>
      <x:c r="H409" s="15" t="str">
        <x:v>Sales / customer receipts</x:v>
      </x:c>
      <x:c r="I409" s="15" t="str">
        <x:v>Send Rev</x:v>
      </x:c>
      <x:c r="J409" s="15" t="str">
        <x:v>eml_ALL_currentac__512781 (2).zip &gt; eml2currentac__512781.zip / FNB _-) R1500.00 paid to Current a_c..512781 @ Smartapp. Ref.Send Rev. 11May 15_45.eml</x:v>
      </x:c>
    </x:row>
    <x:row r="410">
      <x:c r="A410" s="15" t="str">
        <x:v>Current a/c..512781</x:v>
      </x:c>
      <x:c r="B410" s="34" t="n">
        <x:v>46153.65902777778</x:v>
      </x:c>
      <x:c r="C410" s="15" t="str">
        <x:v>R1500.00 paid from Current a/c..512781 @ Smartapp. Avail R43193. Ref.Send Donald Bus. 11May 15:49</x:v>
      </x:c>
      <x:c r="D410" s="38" t="n">
        <x:v>0</x:v>
      </x:c>
      <x:c r="E410" s="38" t="n">
        <x:v>1500</x:v>
      </x:c>
      <x:c r="F410" s="38" t="n">
        <x:v>0</x:v>
      </x:c>
      <x:c r="G410" s="38" t="n">
        <x:v>43193</x:v>
      </x:c>
      <x:c r="H410" s="15" t="str">
        <x:v>Supplier payments</x:v>
      </x:c>
      <x:c r="I410" s="15" t="str">
        <x:v>Send Donald Bus</x:v>
      </x:c>
      <x:c r="J410" s="15" t="str">
        <x:v>eml_ALL_currentac__512781 (2).zip &gt; eml2currentac__512781.zip / FNB _-) R1500.00 paid from Current a_c..512781 @ Smartapp. Ref.Send Donald Bus. 11May 15_49.eml</x:v>
      </x:c>
    </x:row>
    <x:row r="411">
      <x:c r="A411" s="15" t="str">
        <x:v>Current a/c..512781</x:v>
      </x:c>
      <x:c r="B411" s="34" t="n">
        <x:v>46154.52638888889</x:v>
      </x:c>
      <x:c r="C411" s="15" t="str">
        <x:v>R200.00 paid from Current a/c..512781 @ Smartapp. Avail R42990. 12May 12:38</x:v>
      </x:c>
      <x:c r="D411" s="38" t="n">
        <x:v>0</x:v>
      </x:c>
      <x:c r="E411" s="38" t="n">
        <x:v>200</x:v>
      </x:c>
      <x:c r="F411" s="38" t="n">
        <x:v>0</x:v>
      </x:c>
      <x:c r="G411" s="38" t="n">
        <x:v>42990</x:v>
      </x:c>
      <x:c r="H411" s="15" t="str">
        <x:v>Supplier payments</x:v>
      </x:c>
      <x:c r="I411" s="15" t="str">
        <x:v>Smartapp</x:v>
      </x:c>
      <x:c r="J411" s="15" t="str">
        <x:v>eml_ALL_currentac__512781 (2).zip &gt; eml2currentac__512781.zip / FNB _-) R200.00 paid from Current a_c..512781 @ Smartapp. 12May 12_38.eml</x:v>
      </x:c>
    </x:row>
    <x:row r="412">
      <x:c r="A412" s="15" t="str">
        <x:v>Current a/c..512781</x:v>
      </x:c>
      <x:c r="B412" s="34" t="n">
        <x:v>46155.39097222222</x:v>
      </x:c>
      <x:c r="C412" s="15" t="str">
        <x:v>R2200.00 paid from Current a/c..512781 @ Smartapp. Avail R40775. Ref.Sk Transfer 0202. 13May 09:23</x:v>
      </x:c>
      <x:c r="D412" s="38" t="n">
        <x:v>0</x:v>
      </x:c>
      <x:c r="E412" s="38" t="n">
        <x:v>2200</x:v>
      </x:c>
      <x:c r="F412" s="38" t="n">
        <x:v>0</x:v>
      </x:c>
      <x:c r="G412" s="38" t="n">
        <x:v>40775</x:v>
      </x:c>
      <x:c r="H412" s="15" t="str">
        <x:v>Supplier payments</x:v>
      </x:c>
      <x:c r="I412" s="15" t="str">
        <x:v>Sk Transfer 0202</x:v>
      </x:c>
      <x:c r="J412" s="15" t="str">
        <x:v>eml_ALL_currentac__512781 (2).zip &gt; eml2currentac__512781.zip / FNB _-) R2200.00 paid from Current a_c..512781 @ Smartapp. Ref.Sk Transfer 0202. 13May 09_23.eml</x:v>
      </x:c>
    </x:row>
    <x:row r="413">
      <x:c r="A413" s="15" t="str">
        <x:v>Current a/c..512781</x:v>
      </x:c>
      <x:c r="B413" s="34" t="n">
        <x:v>46155.40277777778</x:v>
      </x:c>
      <x:c r="C413" s="15" t="str">
        <x:v>R150.00 paid from Current a/c..512781 @ Smartapp. Avail R40624. Ref.Electricity 14503572. 13May 09:40</x:v>
      </x:c>
      <x:c r="D413" s="38" t="n">
        <x:v>0</x:v>
      </x:c>
      <x:c r="E413" s="38" t="n">
        <x:v>150</x:v>
      </x:c>
      <x:c r="F413" s="38" t="n">
        <x:v>0</x:v>
      </x:c>
      <x:c r="G413" s="38" t="n">
        <x:v>40624</x:v>
      </x:c>
      <x:c r="H413" s="15" t="str">
        <x:v>Telecom / utilities</x:v>
      </x:c>
      <x:c r="I413" s="15" t="str">
        <x:v>Electricity 14503572</x:v>
      </x:c>
      <x:c r="J413" s="15" t="str">
        <x:v>eml_ALL_currentac__512781 (2).zip &gt; eml2currentac__512781.zip / FNB _-) R150.00 paid from Current a_c..512781 @ Smartapp. Ref.Electricity 14503572. 13May 09_40.eml</x:v>
      </x:c>
    </x:row>
    <x:row r="414">
      <x:c r="A414" s="15" t="str">
        <x:v>Current a/c..512781</x:v>
      </x:c>
      <x:c r="B414" s="34" t="n">
        <x:v>46155.404861111114</x:v>
      </x:c>
      <x:c r="C414" s="15" t="str">
        <x:v>R1000.00 paid from Current a/c..512781 @ Smartapp. Avail R39595. Ref.Send Tyron Bos. 13May 09:43</x:v>
      </x:c>
      <x:c r="D414" s="38" t="n">
        <x:v>0</x:v>
      </x:c>
      <x:c r="E414" s="38" t="n">
        <x:v>1000</x:v>
      </x:c>
      <x:c r="F414" s="38" t="n">
        <x:v>0</x:v>
      </x:c>
      <x:c r="G414" s="38" t="n">
        <x:v>39595</x:v>
      </x:c>
      <x:c r="H414" s="15" t="str">
        <x:v>Supplier payments</x:v>
      </x:c>
      <x:c r="I414" s="15" t="str">
        <x:v>Send Tyron Bos</x:v>
      </x:c>
      <x:c r="J414" s="15" t="str">
        <x:v>eml_ALL_currentac__512781 (2).zip &gt; eml2currentac__512781.zip / FNB _-) R1000.00 paid from Current a_c..512781 @ Smartapp. Ref.Send Tyron Bos. 13May 09_43.eml</x:v>
      </x:c>
    </x:row>
    <x:row r="415">
      <x:c r="A415" s="15" t="str">
        <x:v>Current a/c..512781</x:v>
      </x:c>
      <x:c r="B415" s="34" t="n">
        <x:v>46155.675</x:v>
      </x:c>
      <x:c r="C415" s="15" t="str">
        <x:v>R21600.00 t/fer from Current a/c..512781 to home loan a/c..057026 @ Smartapp. Avail R16425. 13May 16:12</x:v>
      </x:c>
      <x:c r="D415" s="38" t="n">
        <x:v>0</x:v>
      </x:c>
      <x:c r="E415" s="38" t="n">
        <x:v>0</x:v>
      </x:c>
      <x:c r="F415" s="38" t="n">
        <x:v>21600</x:v>
      </x:c>
      <x:c r="G415" s="38" t="n">
        <x:v>16425</x:v>
      </x:c>
      <x:c r="H415" s="15" t="str">
        <x:v>Inter-account transfer</x:v>
      </x:c>
      <x:c r="I415" s="15" t="str">
        <x:v>home loan a/c..057026</x:v>
      </x:c>
      <x:c r="J415" s="15" t="str">
        <x:v>eml_ALL_currentac__512781 (2).zip &gt; eml2currentac__512781.zip / FNB _-) R21600.00 t_fer from Current a_c..512781 to home loan a_c..057026 @ Smartapp. 13May 16_12.eml</x:v>
      </x:c>
    </x:row>
    <x:row r="416">
      <x:c r="A416" s="15" t="str">
        <x:v>Current a/c..512781</x:v>
      </x:c>
      <x:c r="B416" s="34" t="n">
        <x:v>46156.48402777778</x:v>
      </x:c>
      <x:c r="C416" s="15" t="str">
        <x:v>R1000.00 t/fer from Current a/c..512781 to Private Cheq Acc..566332 @ Smartapp. Avail R14749. 14May 11:37</x:v>
      </x:c>
      <x:c r="D416" s="38" t="n">
        <x:v>0</x:v>
      </x:c>
      <x:c r="E416" s="38" t="n">
        <x:v>0</x:v>
      </x:c>
      <x:c r="F416" s="38" t="n">
        <x:v>1000</x:v>
      </x:c>
      <x:c r="G416" s="38" t="n">
        <x:v>14749</x:v>
      </x:c>
      <x:c r="H416" s="15" t="str">
        <x:v>Inter-account transfer</x:v>
      </x:c>
      <x:c r="I416" s="15" t="str">
        <x:v>Private Cheq Acc..566332</x:v>
      </x:c>
      <x:c r="J416" s="15" t="str">
        <x:v>eml_ALL_currentac__512781 (2).zip &gt; eml2currentac__512781.zip / FNB _-) R1000.00 t_fer from Current a_c..512781 to Private Cheq Acc..566332 @ Smartapp. 14May 11_37.eml</x:v>
      </x:c>
    </x:row>
    <x:row r="417">
      <x:c r="A417" s="15" t="str">
        <x:v>Current a/c..512781</x:v>
      </x:c>
      <x:c r="B417" s="34" t="n">
        <x:v>46156.489583333336</x:v>
      </x:c>
      <x:c r="C417" s="15" t="str">
        <x:v>R400.00 t/fer from Current a/c..512781 to Private Cheq Acc..566332 @ Smartapp. Avail R14349. 14May 11:45</x:v>
      </x:c>
      <x:c r="D417" s="38" t="n">
        <x:v>0</x:v>
      </x:c>
      <x:c r="E417" s="38" t="n">
        <x:v>0</x:v>
      </x:c>
      <x:c r="F417" s="38" t="n">
        <x:v>400</x:v>
      </x:c>
      <x:c r="G417" s="38" t="n">
        <x:v>14349</x:v>
      </x:c>
      <x:c r="H417" s="15" t="str">
        <x:v>Inter-account transfer</x:v>
      </x:c>
      <x:c r="I417" s="15" t="str">
        <x:v>Private Cheq Acc..566332</x:v>
      </x:c>
      <x:c r="J417" s="15" t="str">
        <x:v>eml_ALL_currentac__512781 (2).zip &gt; eml2currentac__512781.zip / FNB _-) R400.00 t_fer from Current a_c..512781 to Private Cheq Acc..566332 @ Smartapp. 14May 11_45.eml</x:v>
      </x:c>
    </x:row>
    <x:row r="418">
      <x:c r="A418" s="15" t="str">
        <x:v>Current a/c..512781</x:v>
      </x:c>
      <x:c r="B418" s="34" t="n">
        <x:v>46156.677777777775</x:v>
      </x:c>
      <x:c r="C418" s="15" t="str">
        <x:v>R1500.00 paid from Current a/c..512781 @ Smartapp. Avail R12026. Ref.Cm Coetzee Wage. 14May 16:16</x:v>
      </x:c>
      <x:c r="D418" s="38" t="n">
        <x:v>0</x:v>
      </x:c>
      <x:c r="E418" s="38" t="n">
        <x:v>1500</x:v>
      </x:c>
      <x:c r="F418" s="38" t="n">
        <x:v>0</x:v>
      </x:c>
      <x:c r="G418" s="38" t="n">
        <x:v>12026</x:v>
      </x:c>
      <x:c r="H418" s="15" t="str">
        <x:v>Salary / wages</x:v>
      </x:c>
      <x:c r="I418" s="15" t="str">
        <x:v>Cm Coetzee Wage</x:v>
      </x:c>
      <x:c r="J418" s="15" t="str">
        <x:v>eml_ALL_currentac__512781 (2).zip &gt; eml2currentac__512781.zip / FNB _-) R1500.00 paid from Current a_c..512781 @ Smartapp. Ref.Cm Coetzee Wage. 14May 16_16.eml</x:v>
      </x:c>
    </x:row>
    <x:row r="419">
      <x:c r="A419" s="15" t="str">
        <x:v>Current a/c..512781</x:v>
      </x:c>
      <x:c r="B419" s="34" t="n">
        <x:v>46157.345138888886</x:v>
      </x:c>
      <x:c r="C419" s="15" t="str">
        <x:v>R150.00 paid from Current a/c..512781 @ Smartapp. Avail R11874. Ref.Electricity 14503572. 15May 08:17</x:v>
      </x:c>
      <x:c r="D419" s="38" t="n">
        <x:v>0</x:v>
      </x:c>
      <x:c r="E419" s="38" t="n">
        <x:v>150</x:v>
      </x:c>
      <x:c r="F419" s="38" t="n">
        <x:v>0</x:v>
      </x:c>
      <x:c r="G419" s="38" t="n">
        <x:v>11874</x:v>
      </x:c>
      <x:c r="H419" s="15" t="str">
        <x:v>Telecom / utilities</x:v>
      </x:c>
      <x:c r="I419" s="15" t="str">
        <x:v>Electricity 14503572</x:v>
      </x:c>
      <x:c r="J419" s="15" t="str">
        <x:v>eml_ALL_currentac__512781 (2).zip &gt; eml2currentac__512781.zip / FNB _-) R150.00 paid from Current a_c..512781 @ Smartapp. Ref.Electricity 14503572. 15May 08_17.eml</x:v>
      </x:c>
    </x:row>
    <x:row r="420">
      <x:c r="A420" s="15" t="str">
        <x:v>Current a/c..512781</x:v>
      </x:c>
      <x:c r="B420" s="34" t="n">
        <x:v>46157.34861111111</x:v>
      </x:c>
      <x:c r="C420" s="15" t="str">
        <x:v>R13502.81 paid to Current a/c..512781 @ Retail Forex. Ref.R026rzc0k0 Booking.c. 15May 08:22</x:v>
      </x:c>
      <x:c r="D420" s="38" t="n">
        <x:v>13502.81</x:v>
      </x:c>
      <x:c r="E420" s="38" t="n">
        <x:v>0</x:v>
      </x:c>
      <x:c r="F420" s="38" t="n">
        <x:v>0</x:v>
      </x:c>
      <x:c r="G420" s="38"/>
      <x:c r="H420" s="15" t="str">
        <x:v>Sales / customer receipts</x:v>
      </x:c>
      <x:c r="I420" s="15" t="str">
        <x:v>R026rzc0k0 Booking.c</x:v>
      </x:c>
      <x:c r="J420" s="15" t="str">
        <x:v>eml_ALL_currentac__512781 (2).zip &gt; eml2currentac__512781.zip / FNB _-) R13502.81 paid to Current a_c..512781 @ Retail Forex. Ref.R026rzc0k0 Booking.c. 15May 08_22.eml</x:v>
      </x:c>
    </x:row>
    <x:row r="421">
      <x:c r="A421" s="15" t="str">
        <x:v>Current a/c..512781</x:v>
      </x:c>
      <x:c r="B421" s="34" t="n">
        <x:v>46157.34930555556</x:v>
      </x:c>
      <x:c r="C421" s="15" t="str">
        <x:v>R2000.00 paid from Current a/c..512781 @ Smartapp. Avail R23374. Ref.Salary. 15May 08:23</x:v>
      </x:c>
      <x:c r="D421" s="38" t="n">
        <x:v>0</x:v>
      </x:c>
      <x:c r="E421" s="38" t="n">
        <x:v>2000</x:v>
      </x:c>
      <x:c r="F421" s="38" t="n">
        <x:v>0</x:v>
      </x:c>
      <x:c r="G421" s="38" t="n">
        <x:v>23374</x:v>
      </x:c>
      <x:c r="H421" s="15" t="str">
        <x:v>Salary / wages</x:v>
      </x:c>
      <x:c r="I421" s="15" t="str">
        <x:v>Salary</x:v>
      </x:c>
      <x:c r="J421" s="15" t="str">
        <x:v>eml_ALL_currentac__512781 (2).zip &gt; eml2currentac__512781.zip / FNB _-) R2000.00 paid from Current a_c..512781 @ Smartapp. Ref.Salary. 15May 08_23.eml</x:v>
      </x:c>
    </x:row>
    <x:row r="422">
      <x:c r="A422" s="15" t="str">
        <x:v>Current a/c..512781</x:v>
      </x:c>
      <x:c r="B422" s="34" t="n">
        <x:v>46158.44305555556</x:v>
      </x:c>
      <x:c r="C422" s="15" t="str">
        <x:v>R371.00 paid to Current a/c..512781 @ Payshap. Ref.Ik Pay 487882. 16May 10:38</x:v>
      </x:c>
      <x:c r="D422" s="38" t="n">
        <x:v>371</x:v>
      </x:c>
      <x:c r="E422" s="38" t="n">
        <x:v>0</x:v>
      </x:c>
      <x:c r="F422" s="38" t="n">
        <x:v>0</x:v>
      </x:c>
      <x:c r="G422" s="38"/>
      <x:c r="H422" s="15" t="str">
        <x:v>Sales / customer receipts</x:v>
      </x:c>
      <x:c r="I422" s="15" t="str">
        <x:v>Ik Pay 487882</x:v>
      </x:c>
      <x:c r="J422" s="15" t="str">
        <x:v>eml_ALL_currentac__512781 (2).zip &gt; eml2currentac__512781.zip / FNB _-) R371.00 paid to Current a_c..512781 @ Payshap. Ref.Ik Pay 487882. 16May 10_38.eml</x:v>
      </x:c>
    </x:row>
    <x:row r="423">
      <x:c r="A423" s="15" t="str">
        <x:v>Current a/c..512781</x:v>
      </x:c>
      <x:c r="B423" s="34" t="n">
        <x:v>46158.61111111111</x:v>
      </x:c>
      <x:c r="C423" s="15" t="str">
        <x:v>R1000.00 paid from Current a/c..512781 @ Smartapp. Avail R21618. Ref.Send Tyron Bos. 16May 14:40</x:v>
      </x:c>
      <x:c r="D423" s="38" t="n">
        <x:v>0</x:v>
      </x:c>
      <x:c r="E423" s="38" t="n">
        <x:v>1000</x:v>
      </x:c>
      <x:c r="F423" s="38" t="n">
        <x:v>0</x:v>
      </x:c>
      <x:c r="G423" s="38" t="n">
        <x:v>21618</x:v>
      </x:c>
      <x:c r="H423" s="15" t="str">
        <x:v>Supplier payments</x:v>
      </x:c>
      <x:c r="I423" s="15" t="str">
        <x:v>Send Tyron Bos</x:v>
      </x:c>
      <x:c r="J423" s="15" t="str">
        <x:v>eml_ALL_currentac__512781 (2).zip &gt; eml2currentac__512781.zip / FNB _-) R1000.00 paid from Current a_c..512781 @ Smartapp. Ref.Send Tyron Bos. 16May 14_40.eml</x:v>
      </x:c>
    </x:row>
    <x:row r="424">
      <x:c r="A424" s="15" t="str">
        <x:v>Current a/c..512781</x:v>
      </x:c>
      <x:c r="B424" s="34" t="n">
        <x:v>46158.77916666667</x:v>
      </x:c>
      <x:c r="C424" s="15" t="str">
        <x:v>R150.00 paid from Current a/c..512781 @ Smartapp. Avail R21467. Ref.Electricity 14503572. 16May 18:42</x:v>
      </x:c>
      <x:c r="D424" s="38" t="n">
        <x:v>0</x:v>
      </x:c>
      <x:c r="E424" s="38" t="n">
        <x:v>150</x:v>
      </x:c>
      <x:c r="F424" s="38" t="n">
        <x:v>0</x:v>
      </x:c>
      <x:c r="G424" s="38" t="n">
        <x:v>21467</x:v>
      </x:c>
      <x:c r="H424" s="15" t="str">
        <x:v>Telecom / utilities</x:v>
      </x:c>
      <x:c r="I424" s="15" t="str">
        <x:v>Electricity 14503572</x:v>
      </x:c>
      <x:c r="J424" s="15" t="str">
        <x:v>eml_ALL_currentac__512781 (2).zip &gt; eml2currentac__512781.zip / FNB _-) R150.00 paid from Current a_c..512781 @ Smartapp. Ref.Electricity 14503572. 16May 18_42.eml</x:v>
      </x:c>
    </x:row>
    <x:row r="425">
      <x:c r="A425" s="15" t="str">
        <x:v>Current a/c..512781</x:v>
      </x:c>
      <x:c r="B425" s="34" t="n">
        <x:v>46159.529861111114</x:v>
      </x:c>
      <x:c r="C425" s="15" t="str">
        <x:v>R1000.00 paid from Current a/c..512781 @ Smartapp. Avail R20238. Ref.Staff. 17May 12:43</x:v>
      </x:c>
      <x:c r="D425" s="38" t="n">
        <x:v>0</x:v>
      </x:c>
      <x:c r="E425" s="38" t="n">
        <x:v>1000</x:v>
      </x:c>
      <x:c r="F425" s="38" t="n">
        <x:v>0</x:v>
      </x:c>
      <x:c r="G425" s="38" t="n">
        <x:v>20238</x:v>
      </x:c>
      <x:c r="H425" s="15" t="str">
        <x:v>Salary / wages</x:v>
      </x:c>
      <x:c r="I425" s="15" t="str">
        <x:v>Staff</x:v>
      </x:c>
      <x:c r="J425" s="15" t="str">
        <x:v>eml_ALL_currentac__512781 (2).zip &gt; eml2currentac__512781.zip / FNB _-) R1000.00 paid from Current a_c..512781 @ Smartapp. Ref.Staff. 17May 12_43.eml</x:v>
      </x:c>
    </x:row>
    <x:row r="426">
      <x:c r="A426" s="15" t="str">
        <x:v>Current a/c..512781</x:v>
      </x:c>
      <x:c r="B426" s="34" t="n">
        <x:v>46160.46597222222</x:v>
      </x:c>
      <x:c r="C426" s="15" t="str">
        <x:v>R5000.00 paid from Current a/c..512781 @ Smartapp. Avail R14432. Ref.Car. 18May 11:11</x:v>
      </x:c>
      <x:c r="D426" s="38" t="n">
        <x:v>0</x:v>
      </x:c>
      <x:c r="E426" s="38" t="n">
        <x:v>5000</x:v>
      </x:c>
      <x:c r="F426" s="38" t="n">
        <x:v>0</x:v>
      </x:c>
      <x:c r="G426" s="38" t="n">
        <x:v>14432</x:v>
      </x:c>
      <x:c r="H426" s="15" t="str">
        <x:v>Supplier payments</x:v>
      </x:c>
      <x:c r="I426" s="15" t="str">
        <x:v>Car</x:v>
      </x:c>
      <x:c r="J426" s="15" t="str">
        <x:v>eml_ALL_currentac__512781 (2).zip &gt; eml2currentac__512781.zip / FNB _-) R5000.00 paid from Current a_c..512781 @ Smartapp. Ref.Car. 18May 11_11.eml</x:v>
      </x:c>
    </x:row>
    <x:row r="427">
      <x:c r="A427" s="15" t="str">
        <x:v>Current a/c..512781</x:v>
      </x:c>
      <x:c r="B427" s="34" t="n">
        <x:v>46160.572916666664</x:v>
      </x:c>
      <x:c r="C427" s="15" t="str">
        <x:v>R335.25 paid to Current a/c..512781 @ Payshap. Ref.Ik Pay 487882. 18May 13:45</x:v>
      </x:c>
      <x:c r="D427" s="38" t="n">
        <x:v>335.25</x:v>
      </x:c>
      <x:c r="E427" s="38" t="n">
        <x:v>0</x:v>
      </x:c>
      <x:c r="F427" s="38" t="n">
        <x:v>0</x:v>
      </x:c>
      <x:c r="G427" s="38"/>
      <x:c r="H427" s="15" t="str">
        <x:v>Sales / customer receipts</x:v>
      </x:c>
      <x:c r="I427" s="15" t="str">
        <x:v>Ik Pay 487882</x:v>
      </x:c>
      <x:c r="J427" s="15" t="str">
        <x:v>eml_ALL_currentac__512781 (2).zip &gt; eml2currentac__512781.zip / FNB _-) R335.25 paid to Current a_c..512781 @ Payshap. Ref.Ik Pay 487882. 18May 13_45.eml</x:v>
      </x:c>
    </x:row>
    <x:row r="428">
      <x:c r="A428" s="15" t="str">
        <x:v>Current a/c..512781</x:v>
      </x:c>
      <x:c r="B428" s="34" t="n">
        <x:v>46160.73333333333</x:v>
      </x:c>
      <x:c r="C428" s="15" t="str">
        <x:v>R150.00 paid from Current a/c..512781 @ Smartapp. Avail R13511. Ref.Electricity 14503572. 18May 17:36</x:v>
      </x:c>
      <x:c r="D428" s="38" t="n">
        <x:v>0</x:v>
      </x:c>
      <x:c r="E428" s="38" t="n">
        <x:v>150</x:v>
      </x:c>
      <x:c r="F428" s="38" t="n">
        <x:v>0</x:v>
      </x:c>
      <x:c r="G428" s="38" t="n">
        <x:v>13511</x:v>
      </x:c>
      <x:c r="H428" s="15" t="str">
        <x:v>Telecom / utilities</x:v>
      </x:c>
      <x:c r="I428" s="15" t="str">
        <x:v>Electricity 14503572</x:v>
      </x:c>
      <x:c r="J428" s="15" t="str">
        <x:v>eml_ALL_currentac__512781 (2).zip &gt; eml2currentac__512781.zip / FNB _-) R150.00 paid from Current a_c..512781 @ Smartapp. Ref.Electricity 14503572. 18May 17_36.eml</x:v>
      </x:c>
    </x:row>
    <x:row r="429">
      <x:c r="A429" s="15" t="str">
        <x:v>Current a/c..512781</x:v>
      </x:c>
      <x:c r="B429" s="34" t="n">
        <x:v>46161.638194444444</x:v>
      </x:c>
      <x:c r="C429" s="15" t="str">
        <x:v>R1000.00 paid from Current a/c..512781 @ Smartapp. Avail R12305. Ref.Salary. 19May 15:19</x:v>
      </x:c>
      <x:c r="D429" s="38" t="n">
        <x:v>0</x:v>
      </x:c>
      <x:c r="E429" s="38" t="n">
        <x:v>1000</x:v>
      </x:c>
      <x:c r="F429" s="38" t="n">
        <x:v>0</x:v>
      </x:c>
      <x:c r="G429" s="38" t="n">
        <x:v>12305</x:v>
      </x:c>
      <x:c r="H429" s="15" t="str">
        <x:v>Salary / wages</x:v>
      </x:c>
      <x:c r="I429" s="15" t="str">
        <x:v>Salary</x:v>
      </x:c>
      <x:c r="J429" s="15" t="str">
        <x:v>eml_ALL_currentac__512781 (2).zip &gt; eml2currentac__512781.zip / FNB _-) R1000.00 paid from Current a_c..512781 @ Smartapp. Ref.Salary. 19May 15_19.eml</x:v>
      </x:c>
    </x:row>
    <x:row r="430">
      <x:c r="A430" s="15" t="str">
        <x:v>Current a/c..512781</x:v>
      </x:c>
      <x:c r="B430" s="34" t="n">
        <x:v>46161.675</x:v>
      </x:c>
      <x:c r="C430" s="15" t="str">
        <x:v>R500.00 paid from Current a/c..512781 @ Smartapp. Avail R11712. Ref.Electricity 04294887. 19May 16:12</x:v>
      </x:c>
      <x:c r="D430" s="38" t="n">
        <x:v>0</x:v>
      </x:c>
      <x:c r="E430" s="38" t="n">
        <x:v>500</x:v>
      </x:c>
      <x:c r="F430" s="38" t="n">
        <x:v>0</x:v>
      </x:c>
      <x:c r="G430" s="38" t="n">
        <x:v>11712</x:v>
      </x:c>
      <x:c r="H430" s="15" t="str">
        <x:v>Telecom / utilities</x:v>
      </x:c>
      <x:c r="I430" s="15" t="str">
        <x:v>Electricity 04294887</x:v>
      </x:c>
      <x:c r="J430" s="15" t="str">
        <x:v>eml_ALL_currentac__512781 (2).zip &gt; eml2currentac__512781.zip / FNB _-) R500.00 paid from Current a_c..512781 @ Smartapp. Ref.Electricity 04294887. 19May 16_12.eml</x:v>
      </x:c>
    </x:row>
    <x:row r="431">
      <x:c r="A431" s="15" t="str">
        <x:v>Current a/c..512781</x:v>
      </x:c>
      <x:c r="B431" s="34" t="n">
        <x:v>46162.58125</x:v>
      </x:c>
      <x:c r="C431" s="15" t="str">
        <x:v>R3197.67 paid to Current a/c..512781 @ Payshap. Ref.Ik Pay 487882. 20May 13:57</x:v>
      </x:c>
      <x:c r="D431" s="38" t="n">
        <x:v>3197.67</x:v>
      </x:c>
      <x:c r="E431" s="38" t="n">
        <x:v>0</x:v>
      </x:c>
      <x:c r="F431" s="38" t="n">
        <x:v>0</x:v>
      </x:c>
      <x:c r="G431" s="38"/>
      <x:c r="H431" s="15" t="str">
        <x:v>Sales / customer receipts</x:v>
      </x:c>
      <x:c r="I431" s="15" t="str">
        <x:v>Ik Pay 487882</x:v>
      </x:c>
      <x:c r="J431" s="15" t="str">
        <x:v>eml_ALL_currentac__512781 (2).zip &gt; eml2currentac__512781.zip / FNB _-) R3197.67 paid to Current a_c..512781 @ Payshap. Ref.Ik Pay 487882. 20May 13_57.eml</x:v>
      </x:c>
    </x:row>
    <x:row r="432">
      <x:c r="A432" s="15" t="str">
        <x:v>Current a/c..512781</x:v>
      </x:c>
      <x:c r="B432" s="34" t="n">
        <x:v>46162.68194444444</x:v>
      </x:c>
      <x:c r="C432" s="15" t="str">
        <x:v>R1000.00 paid from Current a/c..512781 @ Smartapp. Avail R7657. Ref.Staff Loan. 20May 16:22</x:v>
      </x:c>
      <x:c r="D432" s="38" t="n">
        <x:v>0</x:v>
      </x:c>
      <x:c r="E432" s="38" t="n">
        <x:v>1000</x:v>
      </x:c>
      <x:c r="F432" s="38" t="n">
        <x:v>0</x:v>
      </x:c>
      <x:c r="G432" s="38" t="n">
        <x:v>7657</x:v>
      </x:c>
      <x:c r="H432" s="15" t="str">
        <x:v>Salary / wages</x:v>
      </x:c>
      <x:c r="I432" s="15" t="str">
        <x:v>Staff Loan</x:v>
      </x:c>
      <x:c r="J432" s="15" t="str">
        <x:v>eml_ALL_currentac__512781 (2).zip &gt; eml2currentac__512781.zip / FNB _-) R1000.00 paid from Current a_c..512781 @ Smartapp. Ref.Staff Loan. 20May 16_22.eml</x:v>
      </x:c>
    </x:row>
    <x:row r="433">
      <x:c r="A433" s="15" t="str">
        <x:v>Current a/c..512781</x:v>
      </x:c>
      <x:c r="B433" s="34" t="n">
        <x:v>46163.34375</x:v>
      </x:c>
      <x:c r="C433" s="15" t="str">
        <x:v>R28594.43 paid to Current a/c..512781 @ Retail Forex. Ref.R026rpg4x0 Booking.c. 21May 08:15</x:v>
      </x:c>
      <x:c r="D433" s="38" t="n">
        <x:v>28594.43</x:v>
      </x:c>
      <x:c r="E433" s="38" t="n">
        <x:v>0</x:v>
      </x:c>
      <x:c r="F433" s="38" t="n">
        <x:v>0</x:v>
      </x:c>
      <x:c r="G433" s="38"/>
      <x:c r="H433" s="15" t="str">
        <x:v>Sales / customer receipts</x:v>
      </x:c>
      <x:c r="I433" s="15" t="str">
        <x:v>R026rpg4x0 Booking.c</x:v>
      </x:c>
      <x:c r="J433" s="15" t="str">
        <x:v>eml_ALL_currentac__512781 (2).zip &gt; eml2currentac__512781.zip / FNB _-) R28594.43 paid to Current a_c..512781 @ Retail Forex. Ref.R026rpg4x0 Booking.c. 21May 08_15.eml</x:v>
      </x:c>
    </x:row>
    <x:row r="434">
      <x:c r="A434" s="15" t="str">
        <x:v>Current a/c..512781</x:v>
      </x:c>
      <x:c r="B434" s="34" t="n">
        <x:v>46163.49722222222</x:v>
      </x:c>
      <x:c r="C434" s="15" t="str">
        <x:v>R300.00 t/fer from Current a/c..512781 to Private Cheq Acc..566332 @ Smartapp. Avail R35937. 21May 11:56</x:v>
      </x:c>
      <x:c r="D434" s="38" t="n">
        <x:v>0</x:v>
      </x:c>
      <x:c r="E434" s="38" t="n">
        <x:v>0</x:v>
      </x:c>
      <x:c r="F434" s="38" t="n">
        <x:v>300</x:v>
      </x:c>
      <x:c r="G434" s="38" t="n">
        <x:v>35937</x:v>
      </x:c>
      <x:c r="H434" s="15" t="str">
        <x:v>Inter-account transfer</x:v>
      </x:c>
      <x:c r="I434" s="15" t="str">
        <x:v>Private Cheq Acc..566332</x:v>
      </x:c>
      <x:c r="J434" s="15" t="str">
        <x:v>eml_ALL_currentac__512781 (2).zip &gt; eml2currentac__512781.zip / FNB _-) R300.00 t_fer from Current a_c..512781 to Private Cheq Acc..566332 @ Smartapp. 21May 11_56.eml</x:v>
      </x:c>
    </x:row>
    <x:row r="435">
      <x:c r="A435" s="15" t="str">
        <x:v>Current a/c..512781</x:v>
      </x:c>
      <x:c r="B435" s="34" t="n">
        <x:v>46164.254166666666</x:v>
      </x:c>
      <x:c r="C435" s="15" t="str">
        <x:v>R1000.00 paid from Current a/c..512781 @ Smartapp. Avail R34430. Ref.Electricity 04279376. 22May 06:06</x:v>
      </x:c>
      <x:c r="D435" s="38" t="n">
        <x:v>0</x:v>
      </x:c>
      <x:c r="E435" s="38" t="n">
        <x:v>1000</x:v>
      </x:c>
      <x:c r="F435" s="38" t="n">
        <x:v>0</x:v>
      </x:c>
      <x:c r="G435" s="38" t="n">
        <x:v>34430</x:v>
      </x:c>
      <x:c r="H435" s="15" t="str">
        <x:v>Telecom / utilities</x:v>
      </x:c>
      <x:c r="I435" s="15" t="str">
        <x:v>Electricity 04279376</x:v>
      </x:c>
      <x:c r="J435" s="15" t="str">
        <x:v>eml_ALL_currentac__512781 (2).zip &gt; eml2currentac__512781.zip / FNB _-) R1000.00 paid from Current a_c..512781 @ Smartapp. Ref.Electricity 04279376. 22May 06_06.eml</x:v>
      </x:c>
    </x:row>
    <x:row r="436">
      <x:c r="A436" s="15" t="str">
        <x:v>Current a/c..512781</x:v>
      </x:c>
      <x:c r="B436" s="34" t="n">
        <x:v>46164.595138888886</x:v>
      </x:c>
      <x:c r="C436" s="15" t="str">
        <x:v>R1000.00 paid from Current a/c..512781 @ Smartapp. Avail R32874. Ref.Fuel. 22May 14:17</x:v>
      </x:c>
      <x:c r="D436" s="38" t="n">
        <x:v>0</x:v>
      </x:c>
      <x:c r="E436" s="38" t="n">
        <x:v>1000</x:v>
      </x:c>
      <x:c r="F436" s="38" t="n">
        <x:v>0</x:v>
      </x:c>
      <x:c r="G436" s="38" t="n">
        <x:v>32874</x:v>
      </x:c>
      <x:c r="H436" s="15" t="str">
        <x:v>Fuel / transport</x:v>
      </x:c>
      <x:c r="I436" s="15" t="str">
        <x:v>Fuel</x:v>
      </x:c>
      <x:c r="J436" s="15" t="str">
        <x:v>eml_ALL_currentac__512781 (2).zip &gt; eml2currentac__512781.zip / FNB _-) R1000.00 paid from Current a_c..512781 @ Smartapp. Ref.Fuel. 22May 14_17.eml</x:v>
      </x:c>
    </x:row>
    <x:row r="437">
      <x:c r="A437" s="15" t="str">
        <x:v>Current a/c..512781</x:v>
      </x:c>
      <x:c r="B437" s="34" t="n">
        <x:v>46164.646527777775</x:v>
      </x:c>
      <x:c r="C437" s="15" t="str">
        <x:v>R1000.00 t/fer from Current a/c..512781 to Private Cheq Acc..566332 @ Smartapp. Avail R30877. 22May 15:31</x:v>
      </x:c>
      <x:c r="D437" s="38" t="n">
        <x:v>0</x:v>
      </x:c>
      <x:c r="E437" s="38" t="n">
        <x:v>0</x:v>
      </x:c>
      <x:c r="F437" s="38" t="n">
        <x:v>1000</x:v>
      </x:c>
      <x:c r="G437" s="38" t="n">
        <x:v>30877</x:v>
      </x:c>
      <x:c r="H437" s="15" t="str">
        <x:v>Inter-account transfer</x:v>
      </x:c>
      <x:c r="I437" s="15" t="str">
        <x:v>Private Cheq Acc..566332</x:v>
      </x:c>
      <x:c r="J437" s="15" t="str">
        <x:v>eml_ALL_currentac__512781 (2).zip &gt; eml2currentac__512781.zip / FNB _-) R1000.00 t_fer from Current a_c..512781 to Private Cheq Acc..566332 @ Smartapp. 22May 15_31.eml</x:v>
      </x:c>
    </x:row>
    <x:row r="438">
      <x:c r="A438" s="15" t="str">
        <x:v>Current a/c..512781</x:v>
      </x:c>
      <x:c r="B438" s="34" t="n">
        <x:v>46164.75625</x:v>
      </x:c>
      <x:c r="C438" s="15" t="str">
        <x:v>R2500.00 paid from Current a/c..512781 @ Smartapp. Avail R28110. Ref.Sakkie Wages. 22May 18:09</x:v>
      </x:c>
      <x:c r="D438" s="38" t="n">
        <x:v>0</x:v>
      </x:c>
      <x:c r="E438" s="38" t="n">
        <x:v>2500</x:v>
      </x:c>
      <x:c r="F438" s="38" t="n">
        <x:v>0</x:v>
      </x:c>
      <x:c r="G438" s="38" t="n">
        <x:v>28110</x:v>
      </x:c>
      <x:c r="H438" s="15" t="str">
        <x:v>Salary / wages</x:v>
      </x:c>
      <x:c r="I438" s="15" t="str">
        <x:v>Sakkie Wages</x:v>
      </x:c>
      <x:c r="J438" s="15" t="str">
        <x:v>eml_ALL_currentac__512781 (2).zip &gt; eml2currentac__512781.zip / FNB _-) R2500.00 paid from Current a_c..512781 @ Smartapp. Ref.Sakkie Wages. 22May 18_09.eml</x:v>
      </x:c>
    </x:row>
    <x:row r="439">
      <x:c r="A439" s="15" t="str">
        <x:v>Current a/c..512781</x:v>
      </x:c>
      <x:c r="B439" s="34" t="n">
        <x:v>46165.42083333333</x:v>
      </x:c>
      <x:c r="C439" s="15" t="str">
        <x:v>R150.00 paid from Current a/c..512781 @ Smartapp. Avail R27936. Ref.Electricity 14503572. 23May 10:06</x:v>
      </x:c>
      <x:c r="D439" s="38" t="n">
        <x:v>0</x:v>
      </x:c>
      <x:c r="E439" s="38" t="n">
        <x:v>150</x:v>
      </x:c>
      <x:c r="F439" s="38" t="n">
        <x:v>0</x:v>
      </x:c>
      <x:c r="G439" s="38" t="n">
        <x:v>27936</x:v>
      </x:c>
      <x:c r="H439" s="15" t="str">
        <x:v>Telecom / utilities</x:v>
      </x:c>
      <x:c r="I439" s="15" t="str">
        <x:v>Electricity 14503572</x:v>
      </x:c>
      <x:c r="J439" s="15" t="str">
        <x:v>eml_ALL_currentac__512781 (2).zip &gt; eml2currentac__512781.zip / FNB _-) R150.00 paid from Current a_c..512781 @ Smartapp. Ref.Electricity 14503572. 23May 10_06.eml</x:v>
      </x:c>
    </x:row>
    <x:row r="440">
      <x:c r="A440" s="15" t="str">
        <x:v>Current a/c..512781</x:v>
      </x:c>
      <x:c r="B440" s="34" t="n">
        <x:v>46166.77361111111</x:v>
      </x:c>
      <x:c r="C440" s="15" t="str">
        <x:v>R500.00 t/fer from Current a/c..512781 to Private Cheq Acc..566332 @ Smartapp. Avail R26128. 24May 18:34</x:v>
      </x:c>
      <x:c r="D440" s="38" t="n">
        <x:v>0</x:v>
      </x:c>
      <x:c r="E440" s="38" t="n">
        <x:v>0</x:v>
      </x:c>
      <x:c r="F440" s="38" t="n">
        <x:v>500</x:v>
      </x:c>
      <x:c r="G440" s="38" t="n">
        <x:v>26128</x:v>
      </x:c>
      <x:c r="H440" s="15" t="str">
        <x:v>Inter-account transfer</x:v>
      </x:c>
      <x:c r="I440" s="15" t="str">
        <x:v>Private Cheq Acc..566332</x:v>
      </x:c>
      <x:c r="J440" s="15" t="str">
        <x:v>eml_ALL_currentac__512781 (2).zip &gt; eml2currentac__512781.zip / FNB _-) R500.00 t_fer from Current a_c..512781 to Private Cheq Acc..566332 @ Smartapp. 24May 18_34.eml</x:v>
      </x:c>
    </x:row>
    <x:row r="441">
      <x:c r="A441" s="15" t="str">
        <x:v>Current a/c..512781</x:v>
      </x:c>
      <x:c r="B441" s="34" t="n">
        <x:v>46166.774305555555</x:v>
      </x:c>
      <x:c r="C441" s="15" t="str">
        <x:v>R200.00 t/fer from Current a/c..512781 to Private Cheq Acc..566332 @ Smartapp. Avail R25928. 24May 18:35</x:v>
      </x:c>
      <x:c r="D441" s="38" t="n">
        <x:v>0</x:v>
      </x:c>
      <x:c r="E441" s="38" t="n">
        <x:v>0</x:v>
      </x:c>
      <x:c r="F441" s="38" t="n">
        <x:v>200</x:v>
      </x:c>
      <x:c r="G441" s="38" t="n">
        <x:v>25928</x:v>
      </x:c>
      <x:c r="H441" s="15" t="str">
        <x:v>Inter-account transfer</x:v>
      </x:c>
      <x:c r="I441" s="15" t="str">
        <x:v>Private Cheq Acc..566332</x:v>
      </x:c>
      <x:c r="J441" s="15" t="str">
        <x:v>eml_ALL_currentac__512781 (2).zip &gt; eml2currentac__512781.zip / FNB _-) R200.00 t_fer from Current a_c..512781 to Private Cheq Acc..566332 @ Smartapp. 24May 18_35.eml</x:v>
      </x:c>
    </x:row>
    <x:row r="442">
      <x:c r="A442" s="15" t="str">
        <x:v>Current a/c..512781</x:v>
      </x:c>
      <x:c r="B442" s="34" t="n">
        <x:v>46166.94305555556</x:v>
      </x:c>
      <x:c r="C442" s="15" t="str">
        <x:v>R200.00 t/fer from Current a/c..512781 to Private Cheq Acc..566332 @ Smartapp. Avail R25728. 24May 22:38</x:v>
      </x:c>
      <x:c r="D442" s="38" t="n">
        <x:v>0</x:v>
      </x:c>
      <x:c r="E442" s="38" t="n">
        <x:v>0</x:v>
      </x:c>
      <x:c r="F442" s="38" t="n">
        <x:v>200</x:v>
      </x:c>
      <x:c r="G442" s="38" t="n">
        <x:v>25728</x:v>
      </x:c>
      <x:c r="H442" s="15" t="str">
        <x:v>Inter-account transfer</x:v>
      </x:c>
      <x:c r="I442" s="15" t="str">
        <x:v>Private Cheq Acc..566332</x:v>
      </x:c>
      <x:c r="J442" s="15" t="str">
        <x:v>eml_ALL_currentac__512781 (2).zip &gt; eml2currentac__512781.zip / FNB _-) R200.00 t_fer from Current a_c..512781 to Private Cheq Acc..566332 @ Smartapp. 24May 22_38.eml</x:v>
      </x:c>
    </x:row>
    <x:row r="443">
      <x:c r="A443" s="15" t="str">
        <x:v>Current a/c..512781</x:v>
      </x:c>
      <x:c r="B443" s="34" t="n">
        <x:v>46167.489583333336</x:v>
      </x:c>
      <x:c r="C443" s="15" t="str">
        <x:v>R3454.50 paid from Current a/c..512781 @ Smartapp. Avail R22071. Ref.Kruger Sa 1698 50%. 25May 11:45</x:v>
      </x:c>
      <x:c r="D443" s="38" t="n">
        <x:v>0</x:v>
      </x:c>
      <x:c r="E443" s="38" t="n">
        <x:v>3454.5</x:v>
      </x:c>
      <x:c r="F443" s="38" t="n">
        <x:v>0</x:v>
      </x:c>
      <x:c r="G443" s="38" t="n">
        <x:v>22071</x:v>
      </x:c>
      <x:c r="H443" s="15" t="str">
        <x:v>Supplier payments</x:v>
      </x:c>
      <x:c r="I443" s="15" t="str">
        <x:v>Kruger Sa 1698 50%</x:v>
      </x:c>
      <x:c r="J443" s="15" t="str">
        <x:v>eml_ALL_currentac__512781 (2).zip &gt; eml2currentac__512781.zip / FNB _-) R3454.50 paid from Current a_c..512781 @ Smartapp. Ref.Kruger Sa 1698 50%. 25May 11_45.eml</x:v>
      </x:c>
    </x:row>
    <x:row r="444">
      <x:c r="A444" s="15" t="str">
        <x:v>Current a/c..512781</x:v>
      </x:c>
      <x:c r="B444" s="34" t="n">
        <x:v>46167.490277777775</x:v>
      </x:c>
      <x:c r="C444" s="15" t="str">
        <x:v>REVERSAL of R3454.50 paid from Current a/c..512781 Ref.Kruger Sa 1698 50%. 25May 11:46</x:v>
      </x:c>
      <x:c r="D444" s="38" t="n">
        <x:v>3454.5</x:v>
      </x:c>
      <x:c r="E444" s="38" t="n">
        <x:v>0</x:v>
      </x:c>
      <x:c r="F444" s="38" t="n">
        <x:v>0</x:v>
      </x:c>
      <x:c r="G444" s="38"/>
      <x:c r="H444" s="15" t="str">
        <x:v>Refunds / reversals</x:v>
      </x:c>
      <x:c r="I444" s="15" t="str">
        <x:v>Kruger Sa 1698 50%</x:v>
      </x:c>
      <x:c r="J444" s="15" t="str">
        <x:v>eml_ALL_currentac__512781 (2).zip &gt; eml2currentac__512781.zip / FNB _-) REVERSAL of R3454.50 paid from Current a_c..512781 Ref.Kruger Sa 1698 50%. 25May 11_46.eml</x:v>
      </x:c>
    </x:row>
    <x:row r="445">
      <x:c r="A445" s="15" t="str">
        <x:v>Current a/c..512781</x:v>
      </x:c>
      <x:c r="B445" s="34" t="n">
        <x:v>46167.49166666667</x:v>
      </x:c>
      <x:c r="C445" s="15" t="str">
        <x:v>R4240.00 paid from Current a/c..512781 @ Smartapp. Avail R21280. Ref.Royal Bush 3979. 25May 11:48</x:v>
      </x:c>
      <x:c r="D445" s="38" t="n">
        <x:v>0</x:v>
      </x:c>
      <x:c r="E445" s="38" t="n">
        <x:v>4240</x:v>
      </x:c>
      <x:c r="F445" s="38" t="n">
        <x:v>0</x:v>
      </x:c>
      <x:c r="G445" s="38" t="n">
        <x:v>21280</x:v>
      </x:c>
      <x:c r="H445" s="15" t="str">
        <x:v>Supplier payments</x:v>
      </x:c>
      <x:c r="I445" s="15" t="str">
        <x:v>Royal Bush 3979</x:v>
      </x:c>
      <x:c r="J445" s="15" t="str">
        <x:v>eml_ALL_currentac__512781 (2).zip &gt; eml2currentac__512781.zip / FNB _-) R4240.00 paid from Current a_c..512781 @ Smartapp. Ref.Royal Bush 3979. 25May 11_48.eml</x:v>
      </x:c>
    </x:row>
    <x:row r="446">
      <x:c r="A446" s="15" t="str">
        <x:v>Current a/c..512781</x:v>
      </x:c>
      <x:c r="B446" s="34" t="n">
        <x:v>46167.50069444445</x:v>
      </x:c>
      <x:c r="C446" s="15" t="str">
        <x:v>R5000.00 t/fer from Current a/c..512781 to Current a/c..261544 @ Smartapp. Avail R16280. 25May 12:01</x:v>
      </x:c>
      <x:c r="D446" s="38" t="n">
        <x:v>0</x:v>
      </x:c>
      <x:c r="E446" s="38" t="n">
        <x:v>0</x:v>
      </x:c>
      <x:c r="F446" s="38" t="n">
        <x:v>5000</x:v>
      </x:c>
      <x:c r="G446" s="38" t="n">
        <x:v>16280</x:v>
      </x:c>
      <x:c r="H446" s="15" t="str">
        <x:v>Inter-account transfer</x:v>
      </x:c>
      <x:c r="I446" s="15" t="str">
        <x:v>Current a/c..261544</x:v>
      </x:c>
      <x:c r="J446" s="15" t="str">
        <x:v>eml_ALL_currentac__512781 (2).zip &gt; eml2currentac__512781.zip / FNB _-) R5000.00 t_fer from Current a_c..512781 to Current a_c..261544 @ Smartapp. 25May 12_01.eml</x:v>
      </x:c>
    </x:row>
    <x:row r="447">
      <x:c r="A447" s="15" t="str">
        <x:v>Current a/c..512781</x:v>
      </x:c>
      <x:c r="B447" s="34" t="n">
        <x:v>46167.583333333336</x:v>
      </x:c>
      <x:c r="C447" s="15" t="str">
        <x:v>R38411.98 paid to Current a/c..512781 @ Real Time Cl. Ref.6114000315. 25May 14:00</x:v>
      </x:c>
      <x:c r="D447" s="38" t="n">
        <x:v>38411.98</x:v>
      </x:c>
      <x:c r="E447" s="38" t="n">
        <x:v>0</x:v>
      </x:c>
      <x:c r="F447" s="38" t="n">
        <x:v>0</x:v>
      </x:c>
      <x:c r="G447" s="38"/>
      <x:c r="H447" s="15" t="str">
        <x:v>Sales / customer receipts</x:v>
      </x:c>
      <x:c r="I447" s="15" t="str">
        <x:v>6114000315</x:v>
      </x:c>
      <x:c r="J447" s="15" t="str">
        <x:v>eml_ALL_currentac__512781 (2).zip &gt; eml2currentac__512781.zip / FNB _-) R38411.98 paid to Current a_c..512781 @ Real Time Cl. Ref.6114000315. 25May 14_00.eml</x:v>
      </x:c>
    </x:row>
    <x:row r="448">
      <x:c r="A448" s="15" t="str">
        <x:v>Current a/c..512781</x:v>
      </x:c>
      <x:c r="B448" s="34" t="n">
        <x:v>46167.62013888889</x:v>
      </x:c>
      <x:c r="C448" s="15" t="str">
        <x:v>R600.00 t/fer from Current a/c..512781 to Private Cheq Acc..566332 @ Smartapp. Avail R53068. 25May 14:53</x:v>
      </x:c>
      <x:c r="D448" s="38" t="n">
        <x:v>0</x:v>
      </x:c>
      <x:c r="E448" s="38" t="n">
        <x:v>0</x:v>
      </x:c>
      <x:c r="F448" s="38" t="n">
        <x:v>600</x:v>
      </x:c>
      <x:c r="G448" s="38" t="n">
        <x:v>53068</x:v>
      </x:c>
      <x:c r="H448" s="15" t="str">
        <x:v>Inter-account transfer</x:v>
      </x:c>
      <x:c r="I448" s="15" t="str">
        <x:v>Private Cheq Acc..566332</x:v>
      </x:c>
      <x:c r="J448" s="15" t="str">
        <x:v>eml_ALL_currentac__512781 (2).zip &gt; eml2currentac__512781.zip / FNB _-) R600.00 t_fer from Current a_c..512781 to Private Cheq Acc..566332 @ Smartapp. 25May 14_53.eml</x:v>
      </x:c>
    </x:row>
    <x:row r="449">
      <x:c r="A449" s="15" t="str">
        <x:v>Current a/c..512781</x:v>
      </x:c>
      <x:c r="B449" s="34" t="n">
        <x:v>46167.73055555556</x:v>
      </x:c>
      <x:c r="C449" s="15" t="str">
        <x:v>R6008.00 paid from Current a/c..512781 @ Smartapp. Avail R47052. Ref.Kruger Safari 1698. 25May 17:32</x:v>
      </x:c>
      <x:c r="D449" s="38" t="n">
        <x:v>0</x:v>
      </x:c>
      <x:c r="E449" s="38" t="n">
        <x:v>6008</x:v>
      </x:c>
      <x:c r="F449" s="38" t="n">
        <x:v>0</x:v>
      </x:c>
      <x:c r="G449" s="38" t="n">
        <x:v>47052</x:v>
      </x:c>
      <x:c r="H449" s="15" t="str">
        <x:v>Supplier payments</x:v>
      </x:c>
      <x:c r="I449" s="15" t="str">
        <x:v>Kruger Safari 1698</x:v>
      </x:c>
      <x:c r="J449" s="15" t="str">
        <x:v>eml_ALL_currentac__512781 (2).zip &gt; eml2currentac__512781.zip / FNB _-) R6008.00 paid from Current a_c..512781 @ Smartapp. Ref.Kruger Safari 1698. 25May 17_32.eml</x:v>
      </x:c>
    </x:row>
    <x:row r="450">
      <x:c r="A450" s="15" t="str">
        <x:v>Current a/c..512781</x:v>
      </x:c>
      <x:c r="B450" s="34" t="n">
        <x:v>46167.87708333333</x:v>
      </x:c>
      <x:c r="C450" s="15" t="str">
        <x:v>R500.00 t/fer from Current a/c..512781 to Private Cheq Acc..566332 @ Smartapp. Avail R46552. 25May 21:03</x:v>
      </x:c>
      <x:c r="D450" s="38" t="n">
        <x:v>0</x:v>
      </x:c>
      <x:c r="E450" s="38" t="n">
        <x:v>0</x:v>
      </x:c>
      <x:c r="F450" s="38" t="n">
        <x:v>500</x:v>
      </x:c>
      <x:c r="G450" s="38" t="n">
        <x:v>46552</x:v>
      </x:c>
      <x:c r="H450" s="15" t="str">
        <x:v>Inter-account transfer</x:v>
      </x:c>
      <x:c r="I450" s="15" t="str">
        <x:v>Private Cheq Acc..566332</x:v>
      </x:c>
      <x:c r="J450" s="15" t="str">
        <x:v>eml_ALL_currentac__512781 (2).zip &gt; eml2currentac__512781.zip / FNB _-) R500.00 t_fer from Current a_c..512781 to Private Cheq Acc..566332 @ Smartapp. 25May 21_03.eml</x:v>
      </x:c>
    </x:row>
    <x:row r="451">
      <x:c r="A451" s="15" t="str">
        <x:v>Current a/c..512781</x:v>
      </x:c>
      <x:c r="B451" s="34" t="n">
        <x:v>46168.584027777775</x:v>
      </x:c>
      <x:c r="C451" s="15" t="str">
        <x:v>R24373.00 paid to Current a/c..512781 @ Online Banking. Ref.Ag1 Seaside Village. 26May 14:01</x:v>
      </x:c>
      <x:c r="D451" s="38" t="n">
        <x:v>24373</x:v>
      </x:c>
      <x:c r="E451" s="38" t="n">
        <x:v>0</x:v>
      </x:c>
      <x:c r="F451" s="38" t="n">
        <x:v>0</x:v>
      </x:c>
      <x:c r="G451" s="38"/>
      <x:c r="H451" s="15" t="str">
        <x:v>Sales / customer receipts</x:v>
      </x:c>
      <x:c r="I451" s="15" t="str">
        <x:v>Ag1 Seaside Village</x:v>
      </x:c>
      <x:c r="J451" s="15" t="str">
        <x:v>eml_ALL_currentac__512781 (2).zip &gt; eml2currentac__512781.zip / FNB _-) R24373.00 paid to Current a_c..512781 @ Online Banking. Ref.Ag1 Seaside Village. 26May 14_01.eml</x:v>
      </x:c>
    </x:row>
    <x:row r="452">
      <x:c r="A452" s="15" t="str">
        <x:v>Current a/c..512781</x:v>
      </x:c>
      <x:c r="B452" s="34" t="n">
        <x:v>46168.725</x:v>
      </x:c>
      <x:c r="C452" s="15" t="str">
        <x:v>R25500.00 t/fer from Current a/c..512781 to Current a/c..261544 @ Smartapp. Avail R45049. 26May 17:24</x:v>
      </x:c>
      <x:c r="D452" s="38" t="n">
        <x:v>0</x:v>
      </x:c>
      <x:c r="E452" s="38" t="n">
        <x:v>0</x:v>
      </x:c>
      <x:c r="F452" s="38" t="n">
        <x:v>25500</x:v>
      </x:c>
      <x:c r="G452" s="38" t="n">
        <x:v>45049</x:v>
      </x:c>
      <x:c r="H452" s="15" t="str">
        <x:v>Inter-account transfer</x:v>
      </x:c>
      <x:c r="I452" s="15" t="str">
        <x:v>Current a/c..261544</x:v>
      </x:c>
      <x:c r="J452" s="15" t="str">
        <x:v>eml_ALL_currentac__512781 (2).zip &gt; eml2currentac__512781.zip / FNB _-) R25500.00 t_fer from Current a_c..512781 to Current a_c..261544 @ Smartapp. 26May 17_24.eml</x:v>
      </x:c>
    </x:row>
    <x:row r="453">
      <x:c r="A453" s="15" t="str">
        <x:v>Current a/c..512781</x:v>
      </x:c>
      <x:c r="B453" s="34" t="n">
        <x:v>46169.43472222222</x:v>
      </x:c>
      <x:c r="C453" s="15" t="str">
        <x:v>R500.00 paid from Current a/c..512781 @ Smartapp. Avail R44531. Ref.Kpci - C1736. 27May 10:26</x:v>
      </x:c>
      <x:c r="D453" s="38" t="n">
        <x:v>0</x:v>
      </x:c>
      <x:c r="E453" s="38" t="n">
        <x:v>500</x:v>
      </x:c>
      <x:c r="F453" s="38" t="n">
        <x:v>0</x:v>
      </x:c>
      <x:c r="G453" s="38" t="n">
        <x:v>44531</x:v>
      </x:c>
      <x:c r="H453" s="15" t="str">
        <x:v>Supplier payments</x:v>
      </x:c>
      <x:c r="I453" s="15" t="str">
        <x:v>Kpci - C1736</x:v>
      </x:c>
      <x:c r="J453" s="15" t="str">
        <x:v>eml_ALL_currentac__512781 (2).zip &gt; eml2currentac__512781.zip / FNB _-) R500.00 paid from Current a_c..512781 @ Smartapp. Ref.Kpci - C1736. 27May 10_26.eml</x:v>
      </x:c>
    </x:row>
    <x:row r="454">
      <x:c r="A454" s="15" t="str">
        <x:v>Current a/c..512781</x:v>
      </x:c>
      <x:c r="B454" s="34" t="n">
        <x:v>46169.43541666667</x:v>
      </x:c>
      <x:c r="C454" s="15" t="str">
        <x:v>R8200.00 paid from Current a/c..512781 @ Smartapp. Avail R36323. Ref.Sk Transfer 0213. 27May 10:27</x:v>
      </x:c>
      <x:c r="D454" s="38" t="n">
        <x:v>0</x:v>
      </x:c>
      <x:c r="E454" s="38" t="n">
        <x:v>8200</x:v>
      </x:c>
      <x:c r="F454" s="38" t="n">
        <x:v>0</x:v>
      </x:c>
      <x:c r="G454" s="38" t="n">
        <x:v>36323</x:v>
      </x:c>
      <x:c r="H454" s="15" t="str">
        <x:v>Supplier payments</x:v>
      </x:c>
      <x:c r="I454" s="15" t="str">
        <x:v>Sk Transfer 0213</x:v>
      </x:c>
      <x:c r="J454" s="15" t="str">
        <x:v>eml_ALL_currentac__512781 (2).zip &gt; eml2currentac__512781.zip / FNB _-) R8200.00 paid from Current a_c..512781 @ Smartapp. Ref.Sk Transfer 0213. 27May 10_27.eml</x:v>
      </x:c>
    </x:row>
    <x:row r="455">
      <x:c r="A455" s="15" t="str">
        <x:v>Current a/c..512781</x:v>
      </x:c>
      <x:c r="B455" s="34" t="n">
        <x:v>46169.441666666666</x:v>
      </x:c>
      <x:c r="C455" s="15" t="str">
        <x:v>R7276.00 paid from Current a/c..512781 @ Smartapp. Avail R29039. Ref.Royal Bush 3965. 27May 10:36</x:v>
      </x:c>
      <x:c r="D455" s="38" t="n">
        <x:v>0</x:v>
      </x:c>
      <x:c r="E455" s="38" t="n">
        <x:v>7276</x:v>
      </x:c>
      <x:c r="F455" s="38" t="n">
        <x:v>0</x:v>
      </x:c>
      <x:c r="G455" s="38" t="n">
        <x:v>29039</x:v>
      </x:c>
      <x:c r="H455" s="15" t="str">
        <x:v>Supplier payments</x:v>
      </x:c>
      <x:c r="I455" s="15" t="str">
        <x:v>Royal Bush 3965</x:v>
      </x:c>
      <x:c r="J455" s="15" t="str">
        <x:v>eml_ALL_currentac__512781 (2).zip &gt; eml2currentac__512781.zip / FNB _-) R7276.00 paid from Current a_c..512781 @ Smartapp. Ref.Royal Bush 3965. 27May 10_36.eml</x:v>
      </x:c>
    </x:row>
    <x:row r="456">
      <x:c r="A456" s="15" t="str">
        <x:v>Current a/c..512781</x:v>
      </x:c>
      <x:c r="B456" s="34" t="n">
        <x:v>46169.49791666667</x:v>
      </x:c>
      <x:c r="C456" s="15" t="str">
        <x:v>R1541.00 paid from Current a/c..512781 @ Smartapp. Avail R27490. Ref.Dinner Box 111862. 27May 11:57</x:v>
      </x:c>
      <x:c r="D456" s="38" t="n">
        <x:v>0</x:v>
      </x:c>
      <x:c r="E456" s="38" t="n">
        <x:v>1541</x:v>
      </x:c>
      <x:c r="F456" s="38" t="n">
        <x:v>0</x:v>
      </x:c>
      <x:c r="G456" s="38" t="n">
        <x:v>27490</x:v>
      </x:c>
      <x:c r="H456" s="15" t="str">
        <x:v>Meals / restaurants / entertainment</x:v>
      </x:c>
      <x:c r="I456" s="15" t="str">
        <x:v>Dinner Box 111862</x:v>
      </x:c>
      <x:c r="J456" s="15" t="str">
        <x:v>eml_ALL_currentac__512781 (2).zip &gt; eml2currentac__512781.zip / FNB _-) R1541.00 paid from Current a_c..512781 @ Smartapp. Ref.Dinner Box 111862. 27May 11_57.eml</x:v>
      </x:c>
    </x:row>
    <x:row r="457">
      <x:c r="A457" s="15" t="str">
        <x:v>Current a/c..512781</x:v>
      </x:c>
      <x:c r="B457" s="34" t="n">
        <x:v>46170.35972222222</x:v>
      </x:c>
      <x:c r="C457" s="15" t="str">
        <x:v>R19442.24 paid to Current a/c..512781 @ Retail Forex. Ref.R026rbwzx0 Booking.c. 28May 08:38</x:v>
      </x:c>
      <x:c r="D457" s="38" t="n">
        <x:v>19442.24</x:v>
      </x:c>
      <x:c r="E457" s="38" t="n">
        <x:v>0</x:v>
      </x:c>
      <x:c r="F457" s="38" t="n">
        <x:v>0</x:v>
      </x:c>
      <x:c r="G457" s="38"/>
      <x:c r="H457" s="15" t="str">
        <x:v>Sales / customer receipts</x:v>
      </x:c>
      <x:c r="I457" s="15" t="str">
        <x:v>R026rbwzx0 Booking.c</x:v>
      </x:c>
      <x:c r="J457" s="15" t="str">
        <x:v>eml_ALL_currentac__512781 (2).zip &gt; eml1currentac__512781.zip / FNB _-) R19442.24 paid to Current a_c..512781 @ Retail Forex. Ref.R026rbwzx0 Booking.c. 28May 08_38.eml</x:v>
      </x:c>
    </x:row>
    <x:row r="458">
      <x:c r="A458" s="15" t="str">
        <x:v>Current a/c..512781</x:v>
      </x:c>
      <x:c r="B458" s="34" t="n">
        <x:v>46170.58125</x:v>
      </x:c>
      <x:c r="C458" s="15" t="str">
        <x:v>R5770.16 paid to Current a/c..512781 @ Payshap. Ref.Ik Pay 487882. 28May 13:57</x:v>
      </x:c>
      <x:c r="D458" s="38" t="n">
        <x:v>5770.16</x:v>
      </x:c>
      <x:c r="E458" s="38" t="n">
        <x:v>0</x:v>
      </x:c>
      <x:c r="F458" s="38" t="n">
        <x:v>0</x:v>
      </x:c>
      <x:c r="G458" s="38"/>
      <x:c r="H458" s="15" t="str">
        <x:v>Sales / customer receipts</x:v>
      </x:c>
      <x:c r="I458" s="15" t="str">
        <x:v>Ik Pay 487882</x:v>
      </x:c>
      <x:c r="J458" s="15" t="str">
        <x:v>eml_ALL_currentac__512781 (2).zip &gt; eml1currentac__512781.zip / FNB _-) R5770.16 paid to Current a_c..512781 @ Payshap. Ref.Ik Pay 487882. 28May 13_57.eml</x:v>
      </x:c>
    </x:row>
    <x:row r="459">
      <x:c r="A459" s="15" t="str">
        <x:v>Current a/c..512781</x:v>
      </x:c>
      <x:c r="B459" s="34" t="n">
        <x:v>46170.65347222222</x:v>
      </x:c>
      <x:c r="C459" s="15" t="str">
        <x:v>R6909.00 paid from Current a/c..512781 @ Smartapp. Avail R43248. Ref.Kruger Saf 1699 50%. 28May 15:41</x:v>
      </x:c>
      <x:c r="D459" s="38" t="n">
        <x:v>0</x:v>
      </x:c>
      <x:c r="E459" s="38" t="n">
        <x:v>6909</x:v>
      </x:c>
      <x:c r="F459" s="38" t="n">
        <x:v>0</x:v>
      </x:c>
      <x:c r="G459" s="38" t="n">
        <x:v>43248</x:v>
      </x:c>
      <x:c r="H459" s="15" t="str">
        <x:v>Supplier payments</x:v>
      </x:c>
      <x:c r="I459" s="15" t="str">
        <x:v>Kruger Saf 1699 50%</x:v>
      </x:c>
      <x:c r="J459" s="15" t="str">
        <x:v>eml_ALL_currentac__512781 (2).zip &gt; eml1currentac__512781.zip / FNB _-) R6909.00 paid from Current a_c..512781 @ Smartapp. Ref.Kruger Saf 1699 50%. 28May 15_41.eml</x:v>
      </x:c>
    </x:row>
    <x:row r="460">
      <x:c r="A460" s="15" t="str">
        <x:v>Current a/c..512781</x:v>
      </x:c>
      <x:c r="B460" s="34" t="n">
        <x:v>46170.756944444445</x:v>
      </x:c>
      <x:c r="C460" s="15" t="str">
        <x:v>R150.00 paid from Current a/c..512781 @ Smartapp. Avail R43096. Ref.Electricity 14503572. 28May 18:10</x:v>
      </x:c>
      <x:c r="D460" s="38" t="n">
        <x:v>0</x:v>
      </x:c>
      <x:c r="E460" s="38" t="n">
        <x:v>150</x:v>
      </x:c>
      <x:c r="F460" s="38" t="n">
        <x:v>0</x:v>
      </x:c>
      <x:c r="G460" s="38" t="n">
        <x:v>43096</x:v>
      </x:c>
      <x:c r="H460" s="15" t="str">
        <x:v>Telecom / utilities</x:v>
      </x:c>
      <x:c r="I460" s="15" t="str">
        <x:v>Electricity 14503572</x:v>
      </x:c>
      <x:c r="J460" s="15" t="str">
        <x:v>eml_ALL_currentac__512781 (2).zip &gt; eml1currentac__512781.zip / FNB _-) R150.00 paid from Current a_c..512781 @ Smartapp. Ref.Electricity 14503572. 28May 18_10.eml</x:v>
      </x:c>
    </x:row>
    <x:row r="461">
      <x:c r="A461" s="15" t="str">
        <x:v>Current a/c..512781</x:v>
      </x:c>
      <x:c r="B461" s="34" t="n">
        <x:v>46171.37430555555</x:v>
      </x:c>
      <x:c r="C461" s="15" t="str">
        <x:v>R5000.00 t/fer from Current a/c..512781 to FNB card a/c..279000 @ Smartapp. Avail R38089. 29May 08:59</x:v>
      </x:c>
      <x:c r="D461" s="38" t="n">
        <x:v>0</x:v>
      </x:c>
      <x:c r="E461" s="38" t="n">
        <x:v>0</x:v>
      </x:c>
      <x:c r="F461" s="38" t="n">
        <x:v>5000</x:v>
      </x:c>
      <x:c r="G461" s="38" t="n">
        <x:v>38089</x:v>
      </x:c>
      <x:c r="H461" s="15" t="str">
        <x:v>Inter-account transfer</x:v>
      </x:c>
      <x:c r="I461" s="15" t="str">
        <x:v>FNB card a/c..279000</x:v>
      </x:c>
      <x:c r="J461" s="15" t="str">
        <x:v>eml_ALL_currentac__512781 (2).zip &gt; eml1currentac__512781.zip / FNB _-) R5000.00 t_fer from Current a_c..512781 to FNB card a_c..279000 @ Smartapp. 29May 08_59.eml</x:v>
      </x:c>
    </x:row>
    <x:row r="462">
      <x:c r="A462" s="15" t="str">
        <x:v>Current a/c..512781</x:v>
      </x:c>
      <x:c r="B462" s="34" t="n">
        <x:v>46171.45972222222</x:v>
      </x:c>
      <x:c r="C462" s="15" t="str">
        <x:v>R725.77 paid from Current a/c..512781 @ Smartapp. Avail R37355. Ref.Bon Express 8470. 29May 11:02</x:v>
      </x:c>
      <x:c r="D462" s="38" t="n">
        <x:v>0</x:v>
      </x:c>
      <x:c r="E462" s="38" t="n">
        <x:v>725.77</x:v>
      </x:c>
      <x:c r="F462" s="38" t="n">
        <x:v>0</x:v>
      </x:c>
      <x:c r="G462" s="38" t="n">
        <x:v>37355</x:v>
      </x:c>
      <x:c r="H462" s="15" t="str">
        <x:v>Supplier payments</x:v>
      </x:c>
      <x:c r="I462" s="15" t="str">
        <x:v>Bon Express 8470</x:v>
      </x:c>
      <x:c r="J462" s="15" t="str">
        <x:v>eml_ALL_currentac__512781 (2).zip &gt; eml1currentac__512781.zip / FNB _-) R725.77 paid from Current a_c..512781 @ Smartapp. Ref.Bon Express 8470. 29May 11_02.eml</x:v>
      </x:c>
    </x:row>
    <x:row r="463">
      <x:c r="A463" s="15" t="str">
        <x:v>Current a/c..512781</x:v>
      </x:c>
      <x:c r="B463" s="34" t="n">
        <x:v>46171.46041666667</x:v>
      </x:c>
      <x:c r="C463" s="15" t="str">
        <x:v>R500.00 paid from Current a/c..512781 @ Smartapp. Avail R36852. Ref.Electricity 04294887. 29May 11:03</x:v>
      </x:c>
      <x:c r="D463" s="38" t="n">
        <x:v>0</x:v>
      </x:c>
      <x:c r="E463" s="38" t="n">
        <x:v>500</x:v>
      </x:c>
      <x:c r="F463" s="38" t="n">
        <x:v>0</x:v>
      </x:c>
      <x:c r="G463" s="38" t="n">
        <x:v>36852</x:v>
      </x:c>
      <x:c r="H463" s="15" t="str">
        <x:v>Telecom / utilities</x:v>
      </x:c>
      <x:c r="I463" s="15" t="str">
        <x:v>Electricity 04294887</x:v>
      </x:c>
      <x:c r="J463" s="15" t="str">
        <x:v>eml_ALL_currentac__512781 (2).zip &gt; eml1currentac__512781.zip / FNB _-) R500.00 paid from Current a_c..512781 @ Smartapp. Ref.Electricity 04294887. 29May 11_03.eml</x:v>
      </x:c>
    </x:row>
    <x:row r="464">
      <x:c r="A464" s="15" t="str">
        <x:v>Current a/c..512781</x:v>
      </x:c>
      <x:c r="B464" s="34" t="n">
        <x:v>46172.34930555556</x:v>
      </x:c>
      <x:c r="C464" s="15" t="str">
        <x:v>R150.00 paid from Current a/c..512781 @ Smartapp. Avail R36694. Ref.Electricity 14503572. 30May 08:23</x:v>
      </x:c>
      <x:c r="D464" s="38" t="n">
        <x:v>0</x:v>
      </x:c>
      <x:c r="E464" s="38" t="n">
        <x:v>150</x:v>
      </x:c>
      <x:c r="F464" s="38" t="n">
        <x:v>0</x:v>
      </x:c>
      <x:c r="G464" s="38" t="n">
        <x:v>36694</x:v>
      </x:c>
      <x:c r="H464" s="15" t="str">
        <x:v>Telecom / utilities</x:v>
      </x:c>
      <x:c r="I464" s="15" t="str">
        <x:v>Electricity 14503572</x:v>
      </x:c>
      <x:c r="J464" s="15" t="str">
        <x:v>eml_ALL_currentac__512781 (2).zip &gt; eml1currentac__512781.zip / FNB _-) R150.00 paid from Current a_c..512781 @ Smartapp. Ref.Electricity 14503572. 30May 08_23.eml</x:v>
      </x:c>
    </x:row>
    <x:row r="465">
      <x:c r="A465" s="15" t="str">
        <x:v>Current a/c..512781</x:v>
      </x:c>
      <x:c r="B465" s="34" t="n">
        <x:v>46172.43958333333</x:v>
      </x:c>
      <x:c r="C465" s="15" t="str">
        <x:v>R901.20 paid from Current a/c..512781 @ Smartapp. Avail R35784. Ref.Kruger Safa 1698 Vat. 30May 10:33</x:v>
      </x:c>
      <x:c r="D465" s="38" t="n">
        <x:v>0</x:v>
      </x:c>
      <x:c r="E465" s="38" t="n">
        <x:v>901.2</x:v>
      </x:c>
      <x:c r="F465" s="38" t="n">
        <x:v>0</x:v>
      </x:c>
      <x:c r="G465" s="38" t="n">
        <x:v>35784</x:v>
      </x:c>
      <x:c r="H465" s="15" t="str">
        <x:v>Taxes / statutory payments</x:v>
      </x:c>
      <x:c r="I465" s="15" t="str">
        <x:v>Kruger Safa 1698 Vat</x:v>
      </x:c>
      <x:c r="J465" s="15" t="str">
        <x:v>eml_ALL_currentac__512781 (2).zip &gt; eml1currentac__512781.zip / FNB _-) R901.20 paid from Current a_c..512781 @ Smartapp. Ref.Kruger Safa 1698 Vat. 30May 10_33.eml</x:v>
      </x:c>
    </x:row>
    <x:row r="466">
      <x:c r="A466" s="15" t="str">
        <x:v>Current a/c..512781</x:v>
      </x:c>
      <x:c r="B466" s="34" t="n">
        <x:v>46172.44027777778</x:v>
      </x:c>
      <x:c r="C466" s="15" t="str">
        <x:v>R759.00 paid from Current a/c..512781 @ Smartapp. Avail R35017. Ref.Nb N992820. 30May 10:34</x:v>
      </x:c>
      <x:c r="D466" s="38" t="n">
        <x:v>0</x:v>
      </x:c>
      <x:c r="E466" s="38" t="n">
        <x:v>759</x:v>
      </x:c>
      <x:c r="F466" s="38" t="n">
        <x:v>0</x:v>
      </x:c>
      <x:c r="G466" s="38" t="n">
        <x:v>35017</x:v>
      </x:c>
      <x:c r="H466" s="15" t="str">
        <x:v>Supplier payments</x:v>
      </x:c>
      <x:c r="I466" s="15" t="str">
        <x:v>Nb N992820</x:v>
      </x:c>
      <x:c r="J466" s="15" t="str">
        <x:v>eml_ALL_currentac__512781 (2).zip &gt; eml1currentac__512781.zip / FNB _-) R759.00 paid from Current a_c..512781 @ Smartapp. Ref.Nb N992820. 30May 10_34.eml</x:v>
      </x:c>
    </x:row>
    <x:row r="467">
      <x:c r="A467" s="15" t="str">
        <x:v>Current a/c..512781</x:v>
      </x:c>
      <x:c r="B467" s="34" t="n">
        <x:v>46172.44097222222</x:v>
      </x:c>
      <x:c r="C467" s="15" t="str">
        <x:v>R12000.00 paid from Current a/c..512781 @ Gen Ph. Avail R10994. Ref.Staff. 30May 10:35</x:v>
      </x:c>
      <x:c r="D467" s="38" t="n">
        <x:v>0</x:v>
      </x:c>
      <x:c r="E467" s="38" t="n">
        <x:v>12000</x:v>
      </x:c>
      <x:c r="F467" s="38" t="n">
        <x:v>0</x:v>
      </x:c>
      <x:c r="G467" s="38" t="n">
        <x:v>10994</x:v>
      </x:c>
      <x:c r="H467" s="15" t="str">
        <x:v>Salary / wages</x:v>
      </x:c>
      <x:c r="I467" s="15" t="str">
        <x:v>Staff</x:v>
      </x:c>
      <x:c r="J467" s="15" t="str">
        <x:v>eml_ALL_currentac__512781 (2).zip &gt; eml1currentac__512781.zip / FNB _-) R12000.00 paid from Current a_c..512781 @ Gen Ph. Ref.Staff. 30May 10_35.eml</x:v>
      </x:c>
    </x:row>
    <x:row r="468">
      <x:c r="A468" s="15" t="str">
        <x:v>Current a/c..512781</x:v>
      </x:c>
      <x:c r="B468" s="34" t="n">
        <x:v>46172.44097222222</x:v>
      </x:c>
      <x:c r="C468" s="15" t="str">
        <x:v>R12000.00 paid from Current a/c..512781 @ Smartapp. Avail R23009. Ref.Staff. 30May 10:35</x:v>
      </x:c>
      <x:c r="D468" s="38" t="n">
        <x:v>0</x:v>
      </x:c>
      <x:c r="E468" s="38" t="n">
        <x:v>12000</x:v>
      </x:c>
      <x:c r="F468" s="38" t="n">
        <x:v>0</x:v>
      </x:c>
      <x:c r="G468" s="38" t="n">
        <x:v>23009</x:v>
      </x:c>
      <x:c r="H468" s="15" t="str">
        <x:v>Salary / wages</x:v>
      </x:c>
      <x:c r="I468" s="15" t="str">
        <x:v>Staff</x:v>
      </x:c>
      <x:c r="J468" s="15" t="str">
        <x:v>eml_ALL_currentac__512781 (2).zip &gt; eml1currentac__512781.zip / FNB _-) R12000.00 paid from Current a_c..512781 @ Smartapp. Ref.Staff. 30May 10_35.eml</x:v>
      </x:c>
    </x:row>
    <x:row r="469">
      <x:c r="A469" s="15" t="str">
        <x:v>Current a/c..512781</x:v>
      </x:c>
      <x:c r="B469" s="34" t="n">
        <x:v>46173.524305555555</x:v>
      </x:c>
      <x:c r="C469" s="15" t="str">
        <x:v>R150.00 paid from Current a/c..512781 @ Smartapp. Avail R10153. Ref.Electricity 14503572. 31May 12:35</x:v>
      </x:c>
      <x:c r="D469" s="38" t="n">
        <x:v>0</x:v>
      </x:c>
      <x:c r="E469" s="38" t="n">
        <x:v>150</x:v>
      </x:c>
      <x:c r="F469" s="38" t="n">
        <x:v>0</x:v>
      </x:c>
      <x:c r="G469" s="38" t="n">
        <x:v>10153</x:v>
      </x:c>
      <x:c r="H469" s="15" t="str">
        <x:v>Telecom / utilities</x:v>
      </x:c>
      <x:c r="I469" s="15" t="str">
        <x:v>Electricity 14503572</x:v>
      </x:c>
      <x:c r="J469" s="15" t="str">
        <x:v>eml_ALL_currentac__512781 (2).zip &gt; eml1currentac__512781.zip / FNB _-) R150.00 paid from Current a_c..512781 @ Smartapp. Ref.Electricity 14503572. 31May 12_35.eml</x:v>
      </x:c>
    </x:row>
    <x:row r="470">
      <x:c r="A470" s="15" t="str">
        <x:v>Current a/c..512781</x:v>
      </x:c>
      <x:c r="B470" s="34" t="n">
        <x:v>46174.66736111111</x:v>
      </x:c>
      <x:c r="C470" s="15" t="str">
        <x:v>R7400.00 paid from Current a/c..512781 @ Smartapp. Avail R2503. Ref.Sk Transfer 0209. 1Jun 16:01</x:v>
      </x:c>
      <x:c r="D470" s="38" t="n">
        <x:v>0</x:v>
      </x:c>
      <x:c r="E470" s="38" t="n">
        <x:v>7400</x:v>
      </x:c>
      <x:c r="F470" s="38" t="n">
        <x:v>0</x:v>
      </x:c>
      <x:c r="G470" s="38" t="n">
        <x:v>2503</x:v>
      </x:c>
      <x:c r="H470" s="15" t="str">
        <x:v>Supplier payments</x:v>
      </x:c>
      <x:c r="I470" s="15" t="str">
        <x:v>Sk Transfer 0209</x:v>
      </x:c>
      <x:c r="J470" s="15" t="str">
        <x:v>eml_ALL_currentac__512781 (2).zip &gt; eml1currentac__512781.zip / FNB _-) R7400.00 paid from Current a_c..512781 @ Smartapp. Ref.Sk Transfer 0209.  1Jun 16_01.eml</x:v>
      </x:c>
    </x:row>
    <x:row r="471">
      <x:c r="A471" s="15" t="str">
        <x:v>Current a/c..512781</x:v>
      </x:c>
      <x:c r="B471" s="34" t="n">
        <x:v>46175.30486111111</x:v>
      </x:c>
      <x:c r="C471" s="15" t="str">
        <x:v>R150.00 paid from Current a/c..512781 @ Smartapp. Avail R2353. Ref.Electricity 14503572. 2Jun 07:19</x:v>
      </x:c>
      <x:c r="D471" s="38" t="n">
        <x:v>0</x:v>
      </x:c>
      <x:c r="E471" s="38" t="n">
        <x:v>150</x:v>
      </x:c>
      <x:c r="F471" s="38" t="n">
        <x:v>0</x:v>
      </x:c>
      <x:c r="G471" s="38" t="n">
        <x:v>2353</x:v>
      </x:c>
      <x:c r="H471" s="15" t="str">
        <x:v>Telecom / utilities</x:v>
      </x:c>
      <x:c r="I471" s="15" t="str">
        <x:v>Electricity 14503572</x:v>
      </x:c>
      <x:c r="J471" s="15" t="str">
        <x:v>eml_ALL_currentac__512781 (2).zip &gt; eml1currentac__512781.zip / FNB _-) R150.00 paid from Current a_c..512781 @ Smartapp. Ref.Electricity 14503572.  2Jun 07_19.eml</x:v>
      </x:c>
    </x:row>
    <x:row r="472">
      <x:c r="A472" s="15" t="str">
        <x:v>Current a/c..512781</x:v>
      </x:c>
      <x:c r="B472" s="34" t="n">
        <x:v>46175.35208333333</x:v>
      </x:c>
      <x:c r="C472" s="15" t="str">
        <x:v>R9225.78 paid to Current a/c..512781 @ Payshap. Ref.Ik Pay 487882. 2Jun 08:27</x:v>
      </x:c>
      <x:c r="D472" s="38" t="n">
        <x:v>9225.78</x:v>
      </x:c>
      <x:c r="E472" s="38" t="n">
        <x:v>0</x:v>
      </x:c>
      <x:c r="F472" s="38" t="n">
        <x:v>0</x:v>
      </x:c>
      <x:c r="G472" s="38"/>
      <x:c r="H472" s="15" t="str">
        <x:v>Sales / customer receipts</x:v>
      </x:c>
      <x:c r="I472" s="15" t="str">
        <x:v>Ik Pay 487882</x:v>
      </x:c>
      <x:c r="J472" s="15" t="str">
        <x:v>eml_ALL_currentac__512781 (2).zip &gt; eml1currentac__512781.zip / FNB _-) R9225.78 paid to Current a_c..512781 @ Payshap. Ref.Ik Pay 487882.  2Jun 08_27.eml</x:v>
      </x:c>
    </x:row>
    <x:row r="473">
      <x:c r="A473" s="15" t="str">
        <x:v>Current a/c..512781</x:v>
      </x:c>
      <x:c r="B473" s="34" t="n">
        <x:v>46175.39722222222</x:v>
      </x:c>
      <x:c r="C473" s="15" t="str">
        <x:v>R4794.00 paid from Current a/c..512781 @ Smartapp. Avail R6785. Ref.Cf Moto Saf - Inv 3. 2Jun 09:32</x:v>
      </x:c>
      <x:c r="D473" s="38" t="n">
        <x:v>0</x:v>
      </x:c>
      <x:c r="E473" s="38" t="n">
        <x:v>4794</x:v>
      </x:c>
      <x:c r="F473" s="38" t="n">
        <x:v>0</x:v>
      </x:c>
      <x:c r="G473" s="38" t="n">
        <x:v>6785</x:v>
      </x:c>
      <x:c r="H473" s="15" t="str">
        <x:v>Supplier payments</x:v>
      </x:c>
      <x:c r="I473" s="15" t="str">
        <x:v>Cf Moto Saf - Inv 3</x:v>
      </x:c>
      <x:c r="J473" s="15" t="str">
        <x:v>eml_ALL_currentac__512781 (2).zip &gt; eml1currentac__512781.zip / FNB _-) R4794.00 paid from Current a_c..512781 @ Smartapp. Ref.Cf Moto Saf - Inv 3.  2Jun 09_32.eml</x:v>
      </x:c>
    </x:row>
    <x:row r="474">
      <x:c r="A474" s="15" t="str">
        <x:v>Current a/c..512781</x:v>
      </x:c>
      <x:c r="B474" s="34" t="n">
        <x:v>46176.381944444445</x:v>
      </x:c>
      <x:c r="C474" s="15" t="str">
        <x:v>R400.00 paid from Current a/c..512781 @ Smartapp. Avail R4736. Ref.Staff Tips For Aug. 3Jun 09:10</x:v>
      </x:c>
      <x:c r="D474" s="38" t="n">
        <x:v>0</x:v>
      </x:c>
      <x:c r="E474" s="38" t="n">
        <x:v>400</x:v>
      </x:c>
      <x:c r="F474" s="38" t="n">
        <x:v>0</x:v>
      </x:c>
      <x:c r="G474" s="38" t="n">
        <x:v>4736</x:v>
      </x:c>
      <x:c r="H474" s="15" t="str">
        <x:v>Salary / wages</x:v>
      </x:c>
      <x:c r="I474" s="15" t="str">
        <x:v>Staff Tips For Aug</x:v>
      </x:c>
      <x:c r="J474" s="15" t="str">
        <x:v>eml_ALL_currentac__512781 (2).zip &gt; eml1currentac__512781.zip / FNB _-) R400.00 paid from Current a_c..512781 @ Smartapp. Ref.Staff Tips For Aug.  3Jun 09_10.eml</x:v>
      </x:c>
    </x:row>
    <x:row r="475">
      <x:c r="A475" s="15" t="str">
        <x:v>Current a/c..512781</x:v>
      </x:c>
      <x:c r="B475" s="34" t="n">
        <x:v>46177.277083333334</x:v>
      </x:c>
      <x:c r="C475" s="15" t="str">
        <x:v>R150.00 paid from Current a/c..512781 @ Smartapp. Avail R4492. Ref.Electricity 14503572. 4Jun 06:39</x:v>
      </x:c>
      <x:c r="D475" s="38" t="n">
        <x:v>0</x:v>
      </x:c>
      <x:c r="E475" s="38" t="n">
        <x:v>150</x:v>
      </x:c>
      <x:c r="F475" s="38" t="n">
        <x:v>0</x:v>
      </x:c>
      <x:c r="G475" s="38" t="n">
        <x:v>4492</x:v>
      </x:c>
      <x:c r="H475" s="15" t="str">
        <x:v>Telecom / utilities</x:v>
      </x:c>
      <x:c r="I475" s="15" t="str">
        <x:v>Electricity 14503572</x:v>
      </x:c>
      <x:c r="J475" s="15" t="str">
        <x:v>eml_ALL_currentac__512781 (2).zip &gt; eml1currentac__512781.zip / FNB _-) R150.00 paid from Current a_c..512781 @ Smartapp. Ref.Electricity 14503572.  4Jun 06_39.eml</x:v>
      </x:c>
    </x:row>
    <x:row r="476">
      <x:c r="A476" s="15" t="str">
        <x:v>Current a/c..512781</x:v>
      </x:c>
      <x:c r="B476" s="34" t="n">
        <x:v>46177.33819444444</x:v>
      </x:c>
      <x:c r="C476" s="15" t="str">
        <x:v>R8567.39 paid to Current a/c..512781 @ Retail Forex. Ref.R026qzlwv0 Booking.c. 4Jun 08:07</x:v>
      </x:c>
      <x:c r="D476" s="38" t="n">
        <x:v>8567.39</x:v>
      </x:c>
      <x:c r="E476" s="38" t="n">
        <x:v>0</x:v>
      </x:c>
      <x:c r="F476" s="38" t="n">
        <x:v>0</x:v>
      </x:c>
      <x:c r="G476" s="38"/>
      <x:c r="H476" s="15" t="str">
        <x:v>Sales / customer receipts</x:v>
      </x:c>
      <x:c r="I476" s="15" t="str">
        <x:v>R026qzlwv0 Booking.c</x:v>
      </x:c>
      <x:c r="J476" s="15" t="str">
        <x:v>eml_ALL_currentac__512781 (2).zip &gt; eml1currentac__512781.zip / FNB _-) R8567.39 paid to Current a_c..512781 @ Retail Forex. Ref.R026qzlwv0 Booking.c.  4Jun 08_07.eml</x:v>
      </x:c>
    </x:row>
    <x:row r="477">
      <x:c r="A477" s="15" t="str">
        <x:v>Current a/c..512781</x:v>
      </x:c>
      <x:c r="B477" s="34" t="n">
        <x:v>46177.67986111111</x:v>
      </x:c>
      <x:c r="C477" s="15" t="str">
        <x:v>R1000.00 t/fer from Current a/c..512781 to Private Cheq Acc..566332 @ Smartapp. Avail R11989. 4Jun 16:19</x:v>
      </x:c>
      <x:c r="D477" s="38" t="n">
        <x:v>0</x:v>
      </x:c>
      <x:c r="E477" s="38" t="n">
        <x:v>0</x:v>
      </x:c>
      <x:c r="F477" s="38" t="n">
        <x:v>1000</x:v>
      </x:c>
      <x:c r="G477" s="38" t="n">
        <x:v>11989</x:v>
      </x:c>
      <x:c r="H477" s="15" t="str">
        <x:v>Inter-account transfer</x:v>
      </x:c>
      <x:c r="I477" s="15" t="str">
        <x:v>Private Cheq Acc..566332</x:v>
      </x:c>
      <x:c r="J477" s="15" t="str">
        <x:v>eml_ALL_currentac__512781 (2).zip &gt; eml1currentac__512781.zip / FNB _-) R1000.00 t_fer from Current a_c..512781 to Private Cheq Acc..566332 @ Smartapp.  4Jun 16_19.eml</x:v>
      </x:c>
    </x:row>
    <x:row r="478">
      <x:c r="A478" s="15" t="str">
        <x:v>Current a/c..512781</x:v>
      </x:c>
      <x:c r="B478" s="34" t="n">
        <x:v>46178.52361111111</x:v>
      </x:c>
      <x:c r="C478" s="15" t="str">
        <x:v>R1000.00 t/fer from Current a/c..512781 to Private Cheq Acc..566332 @ Smartapp. Avail R10989. 5Jun 12:34</x:v>
      </x:c>
      <x:c r="D478" s="38" t="n">
        <x:v>0</x:v>
      </x:c>
      <x:c r="E478" s="38" t="n">
        <x:v>0</x:v>
      </x:c>
      <x:c r="F478" s="38" t="n">
        <x:v>1000</x:v>
      </x:c>
      <x:c r="G478" s="38" t="n">
        <x:v>10989</x:v>
      </x:c>
      <x:c r="H478" s="15" t="str">
        <x:v>Inter-account transfer</x:v>
      </x:c>
      <x:c r="I478" s="15" t="str">
        <x:v>Private Cheq Acc..566332</x:v>
      </x:c>
      <x:c r="J478" s="15" t="str">
        <x:v>eml_ALL_currentac__512781 (2).zip &gt; eml1currentac__512781.zip / FNB _-) R1000.00 t_fer from Current a_c..512781 to Private Cheq Acc..566332 @ Smartapp.  5Jun 12_34.eml</x:v>
      </x:c>
    </x:row>
    <x:row r="479">
      <x:c r="A479" s="15" t="str">
        <x:v>Current a/c..512781</x:v>
      </x:c>
      <x:c r="B479" s="34" t="n">
        <x:v>46178.532638888886</x:v>
      </x:c>
      <x:c r="C479" s="15" t="str">
        <x:v>R4189.00 paid from Current a/c..512781 @ Smartapp. Avail R6797. Ref.Kruger Safari 1700. 5Jun 12:47</x:v>
      </x:c>
      <x:c r="D479" s="38" t="n">
        <x:v>0</x:v>
      </x:c>
      <x:c r="E479" s="38" t="n">
        <x:v>4189</x:v>
      </x:c>
      <x:c r="F479" s="38" t="n">
        <x:v>0</x:v>
      </x:c>
      <x:c r="G479" s="38" t="n">
        <x:v>6797</x:v>
      </x:c>
      <x:c r="H479" s="15" t="str">
        <x:v>Supplier payments</x:v>
      </x:c>
      <x:c r="I479" s="15" t="str">
        <x:v>Kruger Safari 1700</x:v>
      </x:c>
      <x:c r="J479" s="15" t="str">
        <x:v>eml_ALL_currentac__512781 (2).zip &gt; eml1currentac__512781.zip / FNB _-) R4189.00 paid from Current a_c..512781 @ Smartapp. Ref.Kruger Safari 1700.  5Jun 12_47.eml</x:v>
      </x:c>
    </x:row>
    <x:row r="480">
      <x:c r="A480" s="15" t="str">
        <x:v>Current a/c..512781</x:v>
      </x:c>
      <x:c r="B480" s="34" t="n">
        <x:v>46178.53333333333</x:v>
      </x:c>
      <x:c r="C480" s="15" t="str">
        <x:v>R2500.00 paid from Current a/c..512781 @ Smartapp. Avail R4297. Ref.Sakkie Wages. 5Jun 12:48</x:v>
      </x:c>
      <x:c r="D480" s="38" t="n">
        <x:v>0</x:v>
      </x:c>
      <x:c r="E480" s="38" t="n">
        <x:v>2500</x:v>
      </x:c>
      <x:c r="F480" s="38" t="n">
        <x:v>0</x:v>
      </x:c>
      <x:c r="G480" s="38" t="n">
        <x:v>4297</x:v>
      </x:c>
      <x:c r="H480" s="15" t="str">
        <x:v>Salary / wages</x:v>
      </x:c>
      <x:c r="I480" s="15" t="str">
        <x:v>Sakkie Wages</x:v>
      </x:c>
      <x:c r="J480" s="15" t="str">
        <x:v>eml_ALL_currentac__512781 (2).zip &gt; eml1currentac__512781.zip / FNB _-) R2500.00 paid from Current a_c..512781 @ Smartapp. Ref.Sakkie Wages.  5Jun 12_48.eml</x:v>
      </x:c>
    </x:row>
    <x:row r="481">
      <x:c r="A481" s="15" t="str">
        <x:v>Current a/c..512781</x:v>
      </x:c>
      <x:c r="B481" s="34" t="n">
        <x:v>46179.44375</x:v>
      </x:c>
      <x:c r="C481" s="15" t="str">
        <x:v>R2254.86 paid to Current a/c..512781 @ Payshap. Ref.Ik Pay 487882. 6Jun 10:39</x:v>
      </x:c>
      <x:c r="D481" s="38" t="n">
        <x:v>2254.86</x:v>
      </x:c>
      <x:c r="E481" s="38" t="n">
        <x:v>0</x:v>
      </x:c>
      <x:c r="F481" s="38" t="n">
        <x:v>0</x:v>
      </x:c>
      <x:c r="G481" s="38"/>
      <x:c r="H481" s="15" t="str">
        <x:v>Sales / customer receipts</x:v>
      </x:c>
      <x:c r="I481" s="15" t="str">
        <x:v>Ik Pay 487882</x:v>
      </x:c>
      <x:c r="J481" s="15" t="str">
        <x:v>eml_ALL_currentac__512781 (2).zip &gt; eml1currentac__512781.zip / FNB _-) R2254.86 paid to Current a_c..512781 @ Payshap. Ref.Ik Pay 487882.  6Jun 10_39.eml</x:v>
      </x:c>
    </x:row>
    <x:row r="482">
      <x:c r="A482" s="15" t="str">
        <x:v>Current a/c..512781</x:v>
      </x:c>
      <x:c r="B482" s="34" t="n">
        <x:v>46180.72986111111</x:v>
      </x:c>
      <x:c r="C482" s="15" t="str">
        <x:v>R150.00 paid from Current a/c..512781 @ Smartapp. Avail R4730. Ref.Electricity 14503572. 7Jun 17:31</x:v>
      </x:c>
      <x:c r="D482" s="38" t="n">
        <x:v>0</x:v>
      </x:c>
      <x:c r="E482" s="38" t="n">
        <x:v>150</x:v>
      </x:c>
      <x:c r="F482" s="38" t="n">
        <x:v>0</x:v>
      </x:c>
      <x:c r="G482" s="38" t="n">
        <x:v>4730</x:v>
      </x:c>
      <x:c r="H482" s="15" t="str">
        <x:v>Telecom / utilities</x:v>
      </x:c>
      <x:c r="I482" s="15" t="str">
        <x:v>Electricity 14503572</x:v>
      </x:c>
      <x:c r="J482" s="15" t="str">
        <x:v>eml_ALL_currentac__512781 (2).zip &gt; eml1currentac__512781.zip / FNB _-) R150.00 paid from Current a_c..512781 @ Smartapp. Ref.Electricity 14503572.  7Jun 17_31.eml</x:v>
      </x:c>
    </x:row>
    <x:row r="483">
      <x:c r="A483" s="15" t="str">
        <x:v>Current a/c..512781</x:v>
      </x:c>
      <x:c r="B483" s="34" t="n">
        <x:v>46181.498611111114</x:v>
      </x:c>
      <x:c r="C483" s="15" t="str">
        <x:v>R4100.00 paid to Current a/c..512781 @ 00182007 ATM. Ref.Gd. 8Jun 11:58</x:v>
      </x:c>
      <x:c r="D483" s="38" t="n">
        <x:v>4100</x:v>
      </x:c>
      <x:c r="E483" s="38" t="n">
        <x:v>0</x:v>
      </x:c>
      <x:c r="F483" s="38" t="n">
        <x:v>0</x:v>
      </x:c>
      <x:c r="G483" s="38"/>
      <x:c r="H483" s="15" t="str">
        <x:v>Sales / customer receipts</x:v>
      </x:c>
      <x:c r="I483" s="15" t="str">
        <x:v>Gd</x:v>
      </x:c>
      <x:c r="J483" s="15" t="str">
        <x:v>eml_ALL_currentac__512781 (2).zip &gt; eml1currentac__512781.zip / FNB _-) R4100.00 paid to Current a_c..512781 @ 00182007 ATM. Ref.Gd.  8Jun 11_58.eml</x:v>
      </x:c>
    </x:row>
    <x:row r="484">
      <x:c r="A484" s="15" t="str">
        <x:v>Current a/c..512781</x:v>
      </x:c>
      <x:c r="B484" s="34" t="n">
        <x:v>46181.54722222222</x:v>
      </x:c>
      <x:c r="C484" s="15" t="str">
        <x:v>R5056.40 paid from Current a/c..512781 @ Smartapp. Avail R3313. Ref.Kruger Saf 1700 50%. 8Jun 13:08</x:v>
      </x:c>
      <x:c r="D484" s="38" t="n">
        <x:v>0</x:v>
      </x:c>
      <x:c r="E484" s="38" t="n">
        <x:v>5056.4</x:v>
      </x:c>
      <x:c r="F484" s="38" t="n">
        <x:v>0</x:v>
      </x:c>
      <x:c r="G484" s="38" t="n">
        <x:v>3313</x:v>
      </x:c>
      <x:c r="H484" s="15" t="str">
        <x:v>Supplier payments</x:v>
      </x:c>
      <x:c r="I484" s="15" t="str">
        <x:v>Kruger Saf 1700 50%</x:v>
      </x:c>
      <x:c r="J484" s="15" t="str">
        <x:v>eml_ALL_currentac__512781 (2).zip &gt; eml1currentac__512781.zip / FNB _-) R5056.40 paid from Current a_c..512781 @ Smartapp. Ref.Kruger Saf 1700 50%.  8Jun 13_08.eml</x:v>
      </x:c>
    </x:row>
    <x:row r="485">
      <x:c r="A485" s="15" t="str">
        <x:v>Current a/c..512781</x:v>
      </x:c>
      <x:c r="B485" s="34" t="n">
        <x:v>46182.41875</x:v>
      </x:c>
      <x:c r="C485" s="15" t="str">
        <x:v>R150.00 paid from Current a/c..512781 @ Smartapp. Avail R2363. Ref.Electricity 14503572. 9Jun 10:03</x:v>
      </x:c>
      <x:c r="D485" s="38" t="n">
        <x:v>0</x:v>
      </x:c>
      <x:c r="E485" s="38" t="n">
        <x:v>150</x:v>
      </x:c>
      <x:c r="F485" s="38" t="n">
        <x:v>0</x:v>
      </x:c>
      <x:c r="G485" s="38" t="n">
        <x:v>2363</x:v>
      </x:c>
      <x:c r="H485" s="15" t="str">
        <x:v>Telecom / utilities</x:v>
      </x:c>
      <x:c r="I485" s="15" t="str">
        <x:v>Electricity 14503572</x:v>
      </x:c>
      <x:c r="J485" s="15" t="str">
        <x:v>eml_ALL_currentac__512781 (2).zip &gt; eml1currentac__512781.zip / FNB _-) R150.00 paid from Current a_c..512781 @ Smartapp. Ref.Electricity 14503572.  9Jun 10_03.eml</x:v>
      </x:c>
    </x:row>
    <x:row r="486">
      <x:c r="A486" s="15" t="str">
        <x:v>Current a/c..512781</x:v>
      </x:c>
      <x:c r="B486" s="34" t="n">
        <x:v>46182.81736111111</x:v>
      </x:c>
      <x:c r="C486" s="15" t="str">
        <x:v>R150.00 paid from Current a/c..512781 @ Smartapp. Avail R1647. Ref.Electricity 04294887. 9Jun 19:37</x:v>
      </x:c>
      <x:c r="D486" s="38" t="n">
        <x:v>0</x:v>
      </x:c>
      <x:c r="E486" s="38" t="n">
        <x:v>150</x:v>
      </x:c>
      <x:c r="F486" s="38" t="n">
        <x:v>0</x:v>
      </x:c>
      <x:c r="G486" s="38" t="n">
        <x:v>1647</x:v>
      </x:c>
      <x:c r="H486" s="15" t="str">
        <x:v>Telecom / utilities</x:v>
      </x:c>
      <x:c r="I486" s="15" t="str">
        <x:v>Electricity 04294887</x:v>
      </x:c>
      <x:c r="J486" s="15" t="str">
        <x:v>eml_ALL_currentac__512781 (2).zip &gt; eml1currentac__512781.zip / FNB _-) R150.00 paid from Current a_c..512781 @ Smartapp. Ref.Electricity 04294887.  9Jun 19_37.eml</x:v>
      </x:c>
    </x:row>
    <x:row r="487">
      <x:c r="A487" s="15" t="str">
        <x:v>Current a/c..512781</x:v>
      </x:c>
      <x:c r="B487" s="34" t="n">
        <x:v>46182.81736111111</x:v>
      </x:c>
      <x:c r="C487" s="15" t="str">
        <x:v>R150.00 paid to Current a/c..512781 @ Smartapp. Ref.524405,04294887007. 9Jun 19:37</x:v>
      </x:c>
      <x:c r="D487" s="38" t="n">
        <x:v>150</x:v>
      </x:c>
      <x:c r="E487" s="38" t="n">
        <x:v>0</x:v>
      </x:c>
      <x:c r="F487" s="38" t="n">
        <x:v>0</x:v>
      </x:c>
      <x:c r="G487" s="38"/>
      <x:c r="H487" s="15" t="str">
        <x:v>Sales / customer receipts</x:v>
      </x:c>
      <x:c r="I487" s="15" t="str">
        <x:v>524405,04294887007</x:v>
      </x:c>
      <x:c r="J487" s="15" t="str">
        <x:v>eml_ALL_currentac__512781 (2).zip &gt; eml1currentac__512781.zip / FNB _-) R150.00 paid to Current a_c..512781 @ Smartapp. Ref.524405,04294887007.  9Jun 19_37.eml</x:v>
      </x:c>
    </x:row>
    <x:row r="488">
      <x:c r="A488" s="15" t="str">
        <x:v>Current a/c..512781</x:v>
      </x:c>
      <x:c r="B488" s="34" t="n">
        <x:v>46182.81805555556</x:v>
      </x:c>
      <x:c r="C488" s="15" t="str">
        <x:v>R150.00 paid from Current a/c..512781 @ Smartapp. Avail R1647. Ref.Electricity 04294887. 9Jun 19:38</x:v>
      </x:c>
      <x:c r="D488" s="38" t="n">
        <x:v>0</x:v>
      </x:c>
      <x:c r="E488" s="38" t="n">
        <x:v>150</x:v>
      </x:c>
      <x:c r="F488" s="38" t="n">
        <x:v>0</x:v>
      </x:c>
      <x:c r="G488" s="38" t="n">
        <x:v>1647</x:v>
      </x:c>
      <x:c r="H488" s="15" t="str">
        <x:v>Telecom / utilities</x:v>
      </x:c>
      <x:c r="I488" s="15" t="str">
        <x:v>Electricity 04294887</x:v>
      </x:c>
      <x:c r="J488" s="15" t="str">
        <x:v>eml_ALL_currentac__512781 (2).zip &gt; eml1currentac__512781.zip / FNB _-) R150.00 paid from Current a_c..512781 @ Smartapp. Ref.Electricity 04294887.  9Jun 19_38.eml</x:v>
      </x:c>
    </x:row>
    <x:row r="489">
      <x:c r="A489" s="15" t="str">
        <x:v>Current a/c..512781</x:v>
      </x:c>
      <x:c r="B489" s="34" t="n">
        <x:v>46182.81805555556</x:v>
      </x:c>
      <x:c r="C489" s="15" t="str">
        <x:v>R150.00 paid to Current a/c..512781 @ Smartapp. Ref.524745,04294887007. 9Jun 19:38</x:v>
      </x:c>
      <x:c r="D489" s="38" t="n">
        <x:v>150</x:v>
      </x:c>
      <x:c r="E489" s="38" t="n">
        <x:v>0</x:v>
      </x:c>
      <x:c r="F489" s="38" t="n">
        <x:v>0</x:v>
      </x:c>
      <x:c r="G489" s="38"/>
      <x:c r="H489" s="15" t="str">
        <x:v>Sales / customer receipts</x:v>
      </x:c>
      <x:c r="I489" s="15" t="str">
        <x:v>524745,04294887007</x:v>
      </x:c>
      <x:c r="J489" s="15" t="str">
        <x:v>eml_ALL_currentac__512781 (2).zip &gt; eml1currentac__512781.zip / FNB _-) R150.00 paid to Current a_c..512781 @ Smartapp. Ref.524745,04294887007.  9Jun 19_38.eml</x:v>
      </x:c>
    </x:row>
    <x:row r="490">
      <x:c r="A490" s="15" t="str">
        <x:v>Current a/c..512781</x:v>
      </x:c>
      <x:c r="B490" s="34" t="n">
        <x:v>46183.87569444445</x:v>
      </x:c>
      <x:c r="C490" s="15" t="str">
        <x:v>R150.00 paid from Current a/c..512781 @ Smartapp. Avail R445. Ref.Electricity 14503572. 10Jun 21:01</x:v>
      </x:c>
      <x:c r="D490" s="38" t="n">
        <x:v>0</x:v>
      </x:c>
      <x:c r="E490" s="38" t="n">
        <x:v>150</x:v>
      </x:c>
      <x:c r="F490" s="38" t="n">
        <x:v>0</x:v>
      </x:c>
      <x:c r="G490" s="38" t="n">
        <x:v>445</x:v>
      </x:c>
      <x:c r="H490" s="15" t="str">
        <x:v>Telecom / utilities</x:v>
      </x:c>
      <x:c r="I490" s="15" t="str">
        <x:v>Electricity 14503572</x:v>
      </x:c>
      <x:c r="J490" s="15" t="str">
        <x:v>eml_ALL_currentac__512781 (2).zip &gt; eml1currentac__512781.zip / FNB _-) R150.00 paid from Current a_c..512781 @ Smartapp. Ref.Electricity 14503572. 10Jun 21_01.eml</x:v>
      </x:c>
    </x:row>
    <x:row r="491">
      <x:c r="A491" s="15" t="str">
        <x:v>Current a/c..512781</x:v>
      </x:c>
      <x:c r="B491" s="34" t="n">
        <x:v>46184.34027777778</x:v>
      </x:c>
      <x:c r="C491" s="15" t="str">
        <x:v>R12141.73 paid to Current a/c..512781 @ Retail Forex. Ref.R026qn5f90 Booking.c. 11Jun 08:10</x:v>
      </x:c>
      <x:c r="D491" s="38" t="n">
        <x:v>12141.73</x:v>
      </x:c>
      <x:c r="E491" s="38" t="n">
        <x:v>0</x:v>
      </x:c>
      <x:c r="F491" s="38" t="n">
        <x:v>0</x:v>
      </x:c>
      <x:c r="G491" s="38"/>
      <x:c r="H491" s="15" t="str">
        <x:v>Sales / customer receipts</x:v>
      </x:c>
      <x:c r="I491" s="15" t="str">
        <x:v>R026qn5f90 Booking.c</x:v>
      </x:c>
      <x:c r="J491" s="15" t="str">
        <x:v>eml_ALL_currentac__512781 (2).zip &gt; eml1currentac__512781.zip / FNB _-) R12141.73 paid to Current a_c..512781 @ Retail Forex. Ref.R026qn5f90 Booking.c. 11Jun 08_10.eml</x:v>
      </x:c>
    </x:row>
    <x:row r="492">
      <x:c r="A492" s="15" t="str">
        <x:v>Current a/c..512781</x:v>
      </x:c>
      <x:c r="B492" s="34" t="n">
        <x:v>46184.56597222222</x:v>
      </x:c>
      <x:c r="C492" s="15" t="str">
        <x:v>R629.06 paid to Current a/c..512781 @ Payshap. Ref.Ik Pay 487882. 11Jun 13:35</x:v>
      </x:c>
      <x:c r="D492" s="38" t="n">
        <x:v>629.06</x:v>
      </x:c>
      <x:c r="E492" s="38" t="n">
        <x:v>0</x:v>
      </x:c>
      <x:c r="F492" s="38" t="n">
        <x:v>0</x:v>
      </x:c>
      <x:c r="G492" s="38"/>
      <x:c r="H492" s="15" t="str">
        <x:v>Sales / customer receipts</x:v>
      </x:c>
      <x:c r="I492" s="15" t="str">
        <x:v>Ik Pay 487882</x:v>
      </x:c>
      <x:c r="J492" s="15" t="str">
        <x:v>eml_ALL_currentac__512781 (2).zip &gt; eml1currentac__512781.zip / FNB _-) R629.06 paid to Current a_c..512781 @ Payshap. Ref.Ik Pay 487882. 11Jun 13_35.eml</x:v>
      </x:c>
    </x:row>
    <x:row r="493">
      <x:c r="A493" s="15" t="str">
        <x:v>Current a/c..512781</x:v>
      </x:c>
      <x:c r="B493" s="34" t="n">
        <x:v>46184.76666666667</x:v>
      </x:c>
      <x:c r="C493" s="15" t="str">
        <x:v>R1000.00 t/fer from Current a/c..512781 to Private Cheq Acc..566332 @ Smartapp. Avail R12201. 11Jun 18:24</x:v>
      </x:c>
      <x:c r="D493" s="38" t="n">
        <x:v>0</x:v>
      </x:c>
      <x:c r="E493" s="38" t="n">
        <x:v>0</x:v>
      </x:c>
      <x:c r="F493" s="38" t="n">
        <x:v>1000</x:v>
      </x:c>
      <x:c r="G493" s="38" t="n">
        <x:v>12201</x:v>
      </x:c>
      <x:c r="H493" s="15" t="str">
        <x:v>Inter-account transfer</x:v>
      </x:c>
      <x:c r="I493" s="15" t="str">
        <x:v>Private Cheq Acc..566332</x:v>
      </x:c>
      <x:c r="J493" s="15" t="str">
        <x:v>eml_ALL_currentac__512781 (2).zip &gt; eml1currentac__512781.zip / FNB _-) R1000.00 t_fer from Current a_c..512781 to Private Cheq Acc..566332 @ Smartapp. 11Jun 18_24.eml</x:v>
      </x:c>
    </x:row>
    <x:row r="494">
      <x:c r="A494" s="15" t="str">
        <x:v>Current a/c..512781</x:v>
      </x:c>
      <x:c r="B494" s="34" t="n">
        <x:v>46184.79722222222</x:v>
      </x:c>
      <x:c r="C494" s="15" t="str">
        <x:v>R200.00 t/fer from Current a/c..512781 to Private Cheq Acc..566332 @ Smartapp. Avail R12001. 11Jun 19:08</x:v>
      </x:c>
      <x:c r="D494" s="38" t="n">
        <x:v>0</x:v>
      </x:c>
      <x:c r="E494" s="38" t="n">
        <x:v>0</x:v>
      </x:c>
      <x:c r="F494" s="38" t="n">
        <x:v>200</x:v>
      </x:c>
      <x:c r="G494" s="38" t="n">
        <x:v>12001</x:v>
      </x:c>
      <x:c r="H494" s="15" t="str">
        <x:v>Inter-account transfer</x:v>
      </x:c>
      <x:c r="I494" s="15" t="str">
        <x:v>Private Cheq Acc..566332</x:v>
      </x:c>
      <x:c r="J494" s="15" t="str">
        <x:v>eml_ALL_currentac__512781 (2).zip &gt; eml1currentac__512781.zip / FNB _-) R200.00 t_fer from Current a_c..512781 to Private Cheq Acc..566332 @ Smartapp. 11Jun 19_08.eml</x:v>
      </x:c>
    </x:row>
    <x:row r="495">
      <x:c r="A495" s="15" t="str">
        <x:v>Current a/c..512781</x:v>
      </x:c>
      <x:c r="B495" s="34" t="n">
        <x:v>46184.88055555556</x:v>
      </x:c>
      <x:c r="C495" s="15" t="str">
        <x:v>R500.00 t/fer from Current a/c..512781 to Private Cheq Acc..566332 @ Smartapp. Avail R11501. 11Jun 21:08</x:v>
      </x:c>
      <x:c r="D495" s="38" t="n">
        <x:v>0</x:v>
      </x:c>
      <x:c r="E495" s="38" t="n">
        <x:v>0</x:v>
      </x:c>
      <x:c r="F495" s="38" t="n">
        <x:v>500</x:v>
      </x:c>
      <x:c r="G495" s="38" t="n">
        <x:v>11501</x:v>
      </x:c>
      <x:c r="H495" s="15" t="str">
        <x:v>Inter-account transfer</x:v>
      </x:c>
      <x:c r="I495" s="15" t="str">
        <x:v>Private Cheq Acc..566332</x:v>
      </x:c>
      <x:c r="J495" s="15" t="str">
        <x:v>eml_ALL_currentac__512781 (2).zip &gt; eml1currentac__512781.zip / FNB _-) R500.00 t_fer from Current a_c..512781 to Private Cheq Acc..566332 @ Smartapp. 11Jun 21_08.eml</x:v>
      </x:c>
    </x:row>
    <x:row r="496">
      <x:c r="A496" s="15" t="str">
        <x:v>Current a/c..512781</x:v>
      </x:c>
      <x:c r="B496" s="34" t="n">
        <x:v>46185.38402777778</x:v>
      </x:c>
      <x:c r="C496" s="15" t="str">
        <x:v>R1000.00 paid from Current a/c..512781 @ Smartapp. Avail R10487. Ref.Staff. 12Jun 09:13</x:v>
      </x:c>
      <x:c r="D496" s="38" t="n">
        <x:v>0</x:v>
      </x:c>
      <x:c r="E496" s="38" t="n">
        <x:v>1000</x:v>
      </x:c>
      <x:c r="F496" s="38" t="n">
        <x:v>0</x:v>
      </x:c>
      <x:c r="G496" s="38" t="n">
        <x:v>10487</x:v>
      </x:c>
      <x:c r="H496" s="15" t="str">
        <x:v>Salary / wages</x:v>
      </x:c>
      <x:c r="I496" s="15" t="str">
        <x:v>Staff</x:v>
      </x:c>
      <x:c r="J496" s="15" t="str">
        <x:v>eml_ALL_currentac__512781 (2).zip &gt; eml1currentac__512781.zip / FNB _-) R1000.00 paid from Current a_c..512781 @ Smartapp. Ref.Staff. 12Jun 09_13.eml</x:v>
      </x:c>
    </x:row>
    <x:row r="497">
      <x:c r="A497" s="15" t="str">
        <x:v>Current a/c..512781</x:v>
      </x:c>
      <x:c r="B497" s="34" t="n">
        <x:v>46185.51736111111</x:v>
      </x:c>
      <x:c r="C497" s="15" t="str">
        <x:v>R5056.40 paid from Current a/c..512781 @ Smartapp. Avail R5428. Ref.Kruger Saf 1700 50%. 12Jun 12:25</x:v>
      </x:c>
      <x:c r="D497" s="38" t="n">
        <x:v>0</x:v>
      </x:c>
      <x:c r="E497" s="38" t="n">
        <x:v>5056.4</x:v>
      </x:c>
      <x:c r="F497" s="38" t="n">
        <x:v>0</x:v>
      </x:c>
      <x:c r="G497" s="38" t="n">
        <x:v>5428</x:v>
      </x:c>
      <x:c r="H497" s="15" t="str">
        <x:v>Supplier payments</x:v>
      </x:c>
      <x:c r="I497" s="15" t="str">
        <x:v>Kruger Saf 1700 50%</x:v>
      </x:c>
      <x:c r="J497" s="15" t="str">
        <x:v>eml_ALL_currentac__512781 (2).zip &gt; eml1currentac__512781.zip / FNB _-) R5056.40 paid from Current a_c..512781 @ Smartapp. Ref.Kruger Saf 1700 50%. 12Jun 12_25.eml</x:v>
      </x:c>
    </x:row>
    <x:row r="498">
      <x:c r="A498" s="15" t="str">
        <x:v>Current a/c..512781</x:v>
      </x:c>
      <x:c r="B498" s="34" t="n">
        <x:v>46185.99513888889</x:v>
      </x:c>
      <x:c r="C498" s="15" t="str">
        <x:v>R120.00 t/fer from Current a/c..512781 to Private Cheq Acc..566332 @ Smartapp. Avail R5300. 12Jun 23:53</x:v>
      </x:c>
      <x:c r="D498" s="38" t="n">
        <x:v>0</x:v>
      </x:c>
      <x:c r="E498" s="38" t="n">
        <x:v>0</x:v>
      </x:c>
      <x:c r="F498" s="38" t="n">
        <x:v>120</x:v>
      </x:c>
      <x:c r="G498" s="38" t="n">
        <x:v>5300</x:v>
      </x:c>
      <x:c r="H498" s="15" t="str">
        <x:v>Inter-account transfer</x:v>
      </x:c>
      <x:c r="I498" s="15" t="str">
        <x:v>Private Cheq Acc..566332</x:v>
      </x:c>
      <x:c r="J498" s="15" t="str">
        <x:v>eml_ALL_currentac__512781 (2).zip &gt; eml1currentac__512781.zip / FNB _-) R120.00 t_fer from Current a_c..512781 to Private Cheq Acc..566332 @ Smartapp. 12Jun 23_53.eml</x:v>
      </x:c>
    </x:row>
    <x:row r="499">
      <x:c r="A499" s="15" t="str">
        <x:v>Current a/c..512781</x:v>
      </x:c>
      <x:c r="B499" s="34" t="n">
        <x:v>46186.404861111114</x:v>
      </x:c>
      <x:c r="C499" s="15" t="str">
        <x:v>R150.00 paid from Current a/c..512781 @ Smartapp. Avail R5149. Ref.Electricity 14503572. 13Jun 09:43</x:v>
      </x:c>
      <x:c r="D499" s="38" t="n">
        <x:v>0</x:v>
      </x:c>
      <x:c r="E499" s="38" t="n">
        <x:v>150</x:v>
      </x:c>
      <x:c r="F499" s="38" t="n">
        <x:v>0</x:v>
      </x:c>
      <x:c r="G499" s="38" t="n">
        <x:v>5149</x:v>
      </x:c>
      <x:c r="H499" s="15" t="str">
        <x:v>Telecom / utilities</x:v>
      </x:c>
      <x:c r="I499" s="15" t="str">
        <x:v>Electricity 14503572</x:v>
      </x:c>
      <x:c r="J499" s="15" t="str">
        <x:v>eml_ALL_currentac__512781 (2).zip &gt; eml1currentac__512781.zip / FNB _-) R150.00 paid from Current a_c..512781 @ Smartapp. Ref.Electricity 14503572. 13Jun 09_43.eml</x:v>
      </x:c>
    </x:row>
    <x:row r="500">
      <x:c r="A500" s="15" t="str">
        <x:v>Current a/c..512781</x:v>
      </x:c>
      <x:c r="B500" s="34" t="n">
        <x:v>46187.66527777778</x:v>
      </x:c>
      <x:c r="C500" s="15" t="str">
        <x:v>R460.00 t/fer from Current a/c..512781 to Private Cheq Acc..566332 @ Smartapp. Avail R2828. 14Jun 15:58</x:v>
      </x:c>
      <x:c r="D500" s="38" t="n">
        <x:v>0</x:v>
      </x:c>
      <x:c r="E500" s="38" t="n">
        <x:v>0</x:v>
      </x:c>
      <x:c r="F500" s="38" t="n">
        <x:v>460</x:v>
      </x:c>
      <x:c r="G500" s="38" t="n">
        <x:v>2828</x:v>
      </x:c>
      <x:c r="H500" s="15" t="str">
        <x:v>Inter-account transfer</x:v>
      </x:c>
      <x:c r="I500" s="15" t="str">
        <x:v>Private Cheq Acc..566332</x:v>
      </x:c>
      <x:c r="J500" s="15" t="str">
        <x:v>eml_ALL_currentac__512781 (2).zip &gt; eml1currentac__512781.zip / FNB _-) R460.00 t_fer from Current a_c..512781 to Private Cheq Acc..566332 @ Smartapp. 14Jun 15_58.eml</x:v>
      </x:c>
    </x:row>
    <x:row r="501">
      <x:c r="A501" s="15" t="str">
        <x:v>Current a/c..512781</x:v>
      </x:c>
      <x:c r="B501" s="34" t="n">
        <x:v>46188.325</x:v>
      </x:c>
      <x:c r="C501" s="15" t="str">
        <x:v>R150.00 paid from Current a/c..512781 @ Smartapp. Avail R2676. Ref.Electricity 14503572. 15Jun 07:48</x:v>
      </x:c>
      <x:c r="D501" s="38" t="n">
        <x:v>0</x:v>
      </x:c>
      <x:c r="E501" s="38" t="n">
        <x:v>150</x:v>
      </x:c>
      <x:c r="F501" s="38" t="n">
        <x:v>0</x:v>
      </x:c>
      <x:c r="G501" s="38" t="n">
        <x:v>2676</x:v>
      </x:c>
      <x:c r="H501" s="15" t="str">
        <x:v>Telecom / utilities</x:v>
      </x:c>
      <x:c r="I501" s="15" t="str">
        <x:v>Electricity 14503572</x:v>
      </x:c>
      <x:c r="J501" s="15" t="str">
        <x:v>eml_ALL_currentac__512781 (2).zip &gt; eml1currentac__512781.zip / FNB _-) R150.00 paid from Current a_c..512781 @ Smartapp. Ref.Electricity 14503572. 15Jun 07_48.eml</x:v>
      </x:c>
    </x:row>
    <x:row r="502">
      <x:c r="A502" s="15" t="str">
        <x:v>Current a/c..512781</x:v>
      </x:c>
      <x:c r="B502" s="34" t="n">
        <x:v>46188.415972222225</x:v>
      </x:c>
      <x:c r="C502" s="15" t="str">
        <x:v>R500.00 paid from Current a/c..512781 @ Smartapp. Avail R2090. Ref.Electricity 04294887. 15Jun 09:59</x:v>
      </x:c>
      <x:c r="D502" s="38" t="n">
        <x:v>0</x:v>
      </x:c>
      <x:c r="E502" s="38" t="n">
        <x:v>500</x:v>
      </x:c>
      <x:c r="F502" s="38" t="n">
        <x:v>0</x:v>
      </x:c>
      <x:c r="G502" s="38" t="n">
        <x:v>2090</x:v>
      </x:c>
      <x:c r="H502" s="15" t="str">
        <x:v>Telecom / utilities</x:v>
      </x:c>
      <x:c r="I502" s="15" t="str">
        <x:v>Electricity 04294887</x:v>
      </x:c>
      <x:c r="J502" s="15" t="str">
        <x:v>eml_ALL_currentac__512781 (2).zip &gt; eml1currentac__512781.zip / FNB _-) R500.00 paid from Current a_c..512781 @ Smartapp. Ref.Electricity 04294887. 15Jun 09_59.eml</x:v>
      </x:c>
    </x:row>
    <x:row r="503">
      <x:c r="A503" s="15" t="str">
        <x:v>Current a/c..512781</x:v>
      </x:c>
      <x:c r="B503" s="34" t="n">
        <x:v>46188.572222222225</x:v>
      </x:c>
      <x:c r="C503" s="15" t="str">
        <x:v>R22887.88 paid to Current a/c..512781 @ Payshap. Ref.Ik Pay 487882. 15Jun 13:44</x:v>
      </x:c>
      <x:c r="D503" s="38" t="n">
        <x:v>22887.88</x:v>
      </x:c>
      <x:c r="E503" s="38" t="n">
        <x:v>0</x:v>
      </x:c>
      <x:c r="F503" s="38" t="n">
        <x:v>0</x:v>
      </x:c>
      <x:c r="G503" s="38"/>
      <x:c r="H503" s="15" t="str">
        <x:v>Sales / customer receipts</x:v>
      </x:c>
      <x:c r="I503" s="15" t="str">
        <x:v>Ik Pay 487882</x:v>
      </x:c>
      <x:c r="J503" s="15" t="str">
        <x:v>eml_ALL_currentac__512781 (2).zip &gt; eml1currentac__512781.zip / FNB _-) R22887.88 paid to Current a_c..512781 @ Payshap. Ref.Ik Pay 487882. 15Jun 13_44.eml</x:v>
      </x:c>
    </x:row>
    <x:row r="504">
      <x:c r="A504" s="15" t="str">
        <x:v>Current a/c..512781</x:v>
      </x:c>
      <x:c r="B504" s="34" t="n">
        <x:v>46188.59583333333</x:v>
      </x:c>
      <x:c r="C504" s="15" t="str">
        <x:v>R12000.00 t/fer from Current a/c..512781 to Current a/c..261544 @ Smartapp. Avail R12123. 15Jun 14:18</x:v>
      </x:c>
      <x:c r="D504" s="38" t="n">
        <x:v>0</x:v>
      </x:c>
      <x:c r="E504" s="38" t="n">
        <x:v>0</x:v>
      </x:c>
      <x:c r="F504" s="38" t="n">
        <x:v>12000</x:v>
      </x:c>
      <x:c r="G504" s="38" t="n">
        <x:v>12123</x:v>
      </x:c>
      <x:c r="H504" s="15" t="str">
        <x:v>Inter-account transfer</x:v>
      </x:c>
      <x:c r="I504" s="15" t="str">
        <x:v>Current a/c..261544</x:v>
      </x:c>
      <x:c r="J504" s="15" t="str">
        <x:v>eml_ALL_currentac__512781 (2).zip &gt; eml1currentac__512781.zip / FNB _-) R12000.00 t_fer from Current a_c..512781 to Current a_c..261544 @ Smartapp. 15Jun 14_18.eml</x:v>
      </x:c>
    </x:row>
    <x:row r="505">
      <x:c r="A505" s="15" t="str">
        <x:v>Current a/c..512781</x:v>
      </x:c>
      <x:c r="B505" s="34" t="n">
        <x:v>46189.384722222225</x:v>
      </x:c>
      <x:c r="C505" s="15" t="str">
        <x:v>R2000.00 paid from Current a/c..512781 @ Smartapp. Avail R10067. Ref.Repay. 16Jun 09:14</x:v>
      </x:c>
      <x:c r="D505" s="38" t="n">
        <x:v>0</x:v>
      </x:c>
      <x:c r="E505" s="38" t="n">
        <x:v>2000</x:v>
      </x:c>
      <x:c r="F505" s="38" t="n">
        <x:v>0</x:v>
      </x:c>
      <x:c r="G505" s="38" t="n">
        <x:v>10067</x:v>
      </x:c>
      <x:c r="H505" s="15" t="str">
        <x:v>Supplier payments</x:v>
      </x:c>
      <x:c r="I505" s="15" t="str">
        <x:v>Repay</x:v>
      </x:c>
      <x:c r="J505" s="15" t="str">
        <x:v>eml_ALL_currentac__512781 (2).zip &gt; eml1currentac__512781.zip / FNB _-) R2000.00 paid from Current a_c..512781 @ Smartapp. Ref.Repay. 16Jun 09_14.eml</x:v>
      </x:c>
    </x:row>
    <x:row r="506">
      <x:c r="A506" s="15" t="str">
        <x:v>Current a/c..512781</x:v>
      </x:c>
      <x:c r="B506" s="34" t="n">
        <x:v>46189.69930555556</x:v>
      </x:c>
      <x:c r="C506" s="15" t="str">
        <x:v>R250.00 paid from Current a/c..512781 @ Smartapp. Avail R9718. Ref.Sakkie Wages. 16Jun 16:47</x:v>
      </x:c>
      <x:c r="D506" s="38" t="n">
        <x:v>0</x:v>
      </x:c>
      <x:c r="E506" s="38" t="n">
        <x:v>250</x:v>
      </x:c>
      <x:c r="F506" s="38" t="n">
        <x:v>0</x:v>
      </x:c>
      <x:c r="G506" s="38" t="n">
        <x:v>9718</x:v>
      </x:c>
      <x:c r="H506" s="15" t="str">
        <x:v>Salary / wages</x:v>
      </x:c>
      <x:c r="I506" s="15" t="str">
        <x:v>Sakkie Wages</x:v>
      </x:c>
      <x:c r="J506" s="15" t="str">
        <x:v>eml_ALL_currentac__512781 (2).zip &gt; eml1currentac__512781.zip / FNB _-) R250.00 paid from Current a_c..512781 @ Smartapp. Ref.Sakkie Wages. 16Jun 16_47.eml</x:v>
      </x:c>
    </x:row>
    <x:row r="507">
      <x:c r="A507" s="15" t="str">
        <x:v>Current a/c..512781</x:v>
      </x:c>
      <x:c r="B507" s="34" t="n">
        <x:v>46190.282638888886</x:v>
      </x:c>
      <x:c r="C507" s="15" t="str">
        <x:v>R150.00 paid from Current a/c..512781 @ Smartapp. Avail R9316. Ref.Electricity 14503572. 17Jun 06:47</x:v>
      </x:c>
      <x:c r="D507" s="38" t="n">
        <x:v>0</x:v>
      </x:c>
      <x:c r="E507" s="38" t="n">
        <x:v>150</x:v>
      </x:c>
      <x:c r="F507" s="38" t="n">
        <x:v>0</x:v>
      </x:c>
      <x:c r="G507" s="38" t="n">
        <x:v>9316</x:v>
      </x:c>
      <x:c r="H507" s="15" t="str">
        <x:v>Telecom / utilities</x:v>
      </x:c>
      <x:c r="I507" s="15" t="str">
        <x:v>Electricity 14503572</x:v>
      </x:c>
      <x:c r="J507" s="15" t="str">
        <x:v>eml_ALL_currentac__512781 (2).zip &gt; eml1currentac__512781.zip / FNB _-) R150.00 paid from Current a_c..512781 @ Smartapp. Ref.Electricity 14503572. 17Jun 06_47.eml</x:v>
      </x:c>
    </x:row>
    <x:row r="508">
      <x:c r="A508" s="15" t="str">
        <x:v>Current a/c..512781</x:v>
      </x:c>
      <x:c r="B508" s="34" t="n">
        <x:v>46190.49375</x:v>
      </x:c>
      <x:c r="C508" s="15" t="str">
        <x:v>R5000.00 paid from Current a/c..512781 @ Smartapp. Avail R4079. Ref.Car. 17Jun 11:51</x:v>
      </x:c>
      <x:c r="D508" s="38" t="n">
        <x:v>0</x:v>
      </x:c>
      <x:c r="E508" s="38" t="n">
        <x:v>5000</x:v>
      </x:c>
      <x:c r="F508" s="38" t="n">
        <x:v>0</x:v>
      </x:c>
      <x:c r="G508" s="38" t="n">
        <x:v>4079</x:v>
      </x:c>
      <x:c r="H508" s="15" t="str">
        <x:v>Supplier payments</x:v>
      </x:c>
      <x:c r="I508" s="15" t="str">
        <x:v>Car</x:v>
      </x:c>
      <x:c r="J508" s="15" t="str">
        <x:v>eml_ALL_currentac__512781 (2).zip &gt; eml1currentac__512781.zip / FNB _-) R5000.00 paid from Current a_c..512781 @ Smartapp. Ref.Car. 17Jun 11_51.eml</x:v>
      </x:c>
    </x:row>
    <x:row r="509">
      <x:c r="A509" s="15" t="str">
        <x:v>Current a/c..512781</x:v>
      </x:c>
      <x:c r="B509" s="34" t="n">
        <x:v>46191.38958333333</x:v>
      </x:c>
      <x:c r="C509" s="15" t="str">
        <x:v>R6363.32 paid to Current a/c..512781 @ Retail Forex. Ref.R026qc6v20 Booking.c. 18Jun 09:21</x:v>
      </x:c>
      <x:c r="D509" s="38" t="n">
        <x:v>6363.32</x:v>
      </x:c>
      <x:c r="E509" s="38" t="n">
        <x:v>0</x:v>
      </x:c>
      <x:c r="F509" s="38" t="n">
        <x:v>0</x:v>
      </x:c>
      <x:c r="G509" s="38"/>
      <x:c r="H509" s="15" t="str">
        <x:v>Sales / customer receipts</x:v>
      </x:c>
      <x:c r="I509" s="15" t="str">
        <x:v>R026qc6v20 Booking.c</x:v>
      </x:c>
      <x:c r="J509" s="15" t="str">
        <x:v>eml_ALL_currentac__512781 (2).zip &gt; eml1currentac__512781.zip / FNB _-) R6363.32 paid to Current a_c..512781 @ Retail Forex. Ref.R026qc6v20 Booking.c. 18Jun 09_21.eml</x:v>
      </x:c>
    </x:row>
    <x:row r="510">
      <x:c r="A510" s="15" t="str">
        <x:v>Current a/c..512781</x:v>
      </x:c>
      <x:c r="B510" s="34" t="n">
        <x:v>46192.50069444445</x:v>
      </x:c>
      <x:c r="C510" s="15" t="str">
        <x:v>R2990.00 paid from Current a/c..512781 @ Smartapp. Avail R5801. Ref.Royal Bush 3846. 19Jun 12:01</x:v>
      </x:c>
      <x:c r="D510" s="38" t="n">
        <x:v>0</x:v>
      </x:c>
      <x:c r="E510" s="38" t="n">
        <x:v>2990</x:v>
      </x:c>
      <x:c r="F510" s="38" t="n">
        <x:v>0</x:v>
      </x:c>
      <x:c r="G510" s="38" t="n">
        <x:v>5801</x:v>
      </x:c>
      <x:c r="H510" s="15" t="str">
        <x:v>Supplier payments</x:v>
      </x:c>
      <x:c r="I510" s="15" t="str">
        <x:v>Royal Bush 3846</x:v>
      </x:c>
      <x:c r="J510" s="15" t="str">
        <x:v>eml_ALL_currentac__512781 (2).zip &gt; eml1currentac__512781.zip / FNB _-) R2990.00 paid from Current a_c..512781 @ Smartapp. Ref.Royal Bush 3846. 19Jun 12_01.eml</x:v>
      </x:c>
    </x:row>
    <x:row r="511">
      <x:c r="A511" s="15" t="str">
        <x:v>Current a/c..512781</x:v>
      </x:c>
      <x:c r="B511" s="34" t="n">
        <x:v>46192.57152777778</x:v>
      </x:c>
      <x:c r="C511" s="15" t="str">
        <x:v>R1641.66 paid to Current a/c..512781 @ Payshap. Ref.Ik Pay 487882. 19Jun 13:43</x:v>
      </x:c>
      <x:c r="D511" s="38" t="n">
        <x:v>1641.66</x:v>
      </x:c>
      <x:c r="E511" s="38" t="n">
        <x:v>0</x:v>
      </x:c>
      <x:c r="F511" s="38" t="n">
        <x:v>0</x:v>
      </x:c>
      <x:c r="G511" s="38"/>
      <x:c r="H511" s="15" t="str">
        <x:v>Sales / customer receipts</x:v>
      </x:c>
      <x:c r="I511" s="15" t="str">
        <x:v>Ik Pay 487882</x:v>
      </x:c>
      <x:c r="J511" s="15" t="str">
        <x:v>eml_ALL_currentac__512781 (2).zip &gt; eml1currentac__512781.zip / FNB _-) R1641.66 paid to Current a_c..512781 @ Payshap. Ref.Ik Pay 487882. 19Jun 13_43.eml</x:v>
      </x:c>
    </x:row>
    <x:row r="512">
      <x:c r="A512" s="15" t="str">
        <x:v>Current a/c..512781</x:v>
      </x:c>
      <x:c r="B512" s="34" t="n">
        <x:v>46192.595138888886</x:v>
      </x:c>
      <x:c r="C512" s="15" t="str">
        <x:v>R2500.00 paid from Current a/c..512781 @ Smartapp. Avail R4024. Ref.Sakkie Wages. 19Jun 14:17</x:v>
      </x:c>
      <x:c r="D512" s="38" t="n">
        <x:v>0</x:v>
      </x:c>
      <x:c r="E512" s="38" t="n">
        <x:v>2500</x:v>
      </x:c>
      <x:c r="F512" s="38" t="n">
        <x:v>0</x:v>
      </x:c>
      <x:c r="G512" s="38" t="n">
        <x:v>4024</x:v>
      </x:c>
      <x:c r="H512" s="15" t="str">
        <x:v>Salary / wages</x:v>
      </x:c>
      <x:c r="I512" s="15" t="str">
        <x:v>Sakkie Wages</x:v>
      </x:c>
      <x:c r="J512" s="15" t="str">
        <x:v>eml_ALL_currentac__512781 (2).zip &gt; eml1currentac__512781.zip / FNB _-) R2500.00 paid from Current a_c..512781 @ Smartapp. Ref.Sakkie Wages. 19Jun 14_17.eml</x:v>
      </x:c>
    </x:row>
    <x:row r="513">
      <x:c r="A513" s="15" t="str">
        <x:v>Current a/c..512781</x:v>
      </x:c>
      <x:c r="B513" s="34" t="n">
        <x:v>46192.669444444444</x:v>
      </x:c>
      <x:c r="C513" s="15" t="str">
        <x:v>Payment Link created from Current a/c..512781 To Bushwise Safaris..817835 @ Smartapp. 19Jun 16:04 Call 087 575 9404 for help.</x:v>
      </x:c>
      <x:c r="D513" s="38" t="n">
        <x:v>0</x:v>
      </x:c>
      <x:c r="E513" s="38" t="n">
        <x:v>0</x:v>
      </x:c>
      <x:c r="F513" s="38" t="n">
        <x:v>0</x:v>
      </x:c>
      <x:c r="G513" s="38"/>
      <x:c r="H513" s="15" t="str">
        <x:v>Other</x:v>
      </x:c>
      <x:c r="I513" s="15" t="str">
        <x:v>Bushwise Safaris..817835</x:v>
      </x:c>
      <x:c r="J513" s="15" t="str">
        <x:v>eml_ALL_currentac__512781 (2).zip &gt; eml1currentac__512781.zip / FNB _-) Payment Link created from Current a_c..512781 To Bushwise Safaris..817835 @ Smartapp. 19Jun 16_04 Call 087 575 9404  for help..eml</x:v>
      </x:c>
    </x:row>
    <x:row r="514">
      <x:c r="A514" s="15" t="str">
        <x:v>Current a/c..512781</x:v>
      </x:c>
      <x:c r="B514" s="34" t="n">
        <x:v>46192.67013888889</x:v>
      </x:c>
      <x:c r="C514" s="15" t="str">
        <x:v>R2975.00 paid from Current a/c..512781 @ Smartapp. Avail R1046. Ref.Bushwise Inv 0122. 19Jun 16:05</x:v>
      </x:c>
      <x:c r="D514" s="38" t="n">
        <x:v>0</x:v>
      </x:c>
      <x:c r="E514" s="38" t="n">
        <x:v>2975</x:v>
      </x:c>
      <x:c r="F514" s="38" t="n">
        <x:v>0</x:v>
      </x:c>
      <x:c r="G514" s="38" t="n">
        <x:v>1046</x:v>
      </x:c>
      <x:c r="H514" s="15" t="str">
        <x:v>Supplier payments</x:v>
      </x:c>
      <x:c r="I514" s="15" t="str">
        <x:v>Bushwise Inv 0122</x:v>
      </x:c>
      <x:c r="J514" s="15" t="str">
        <x:v>eml_ALL_currentac__512781 (2).zip &gt; eml1currentac__512781.zip / FNB _-) R2975.00 paid from Current a_c..512781 @ Smartapp. Ref.Bushwise Inv 0122. 19Jun 16_05.eml</x:v>
      </x:c>
    </x:row>
    <x:row r="515">
      <x:c r="A515" s="15" t="str">
        <x:v>Current a/c..512781 / card..0104</x:v>
      </x:c>
      <x:c r="B515" s="34" t="n">
        <x:v>46124.6125</x:v>
      </x:c>
      <x:c r="C515" s="15" t="str">
        <x:v>R399.00 reserved for purchase @ Openai *chatgpt Subscr+14 from Current a/c..512781 using card..0104. Avail R96469. 12Apr 14:42</x:v>
      </x:c>
      <x:c r="D515" s="38" t="n">
        <x:v>0</x:v>
      </x:c>
      <x:c r="E515" s="38" t="n">
        <x:v>399</x:v>
      </x:c>
      <x:c r="F515" s="38" t="n">
        <x:v>0</x:v>
      </x:c>
      <x:c r="G515" s="38" t="n">
        <x:v>96469</x:v>
      </x:c>
      <x:c r="H515" s="15" t="str">
        <x:v>Software / subscriptions</x:v>
      </x:c>
      <x:c r="I515" s="15" t="str">
        <x:v>Openai *chatgpt Subscr+14</x:v>
      </x:c>
      <x:c r="J515" s="15" t="str">
        <x:v>eml_ALL_currentac__512781 (2).zip &gt; eml3currentac__512781.zip / FNB _-) R399.00 reserved for purchase @ Openai _chatgpt Subscr+14 from Current a_c..512781 using card..0104. 12Apr 14_42.eml</x:v>
      </x:c>
    </x:row>
    <x:row r="516">
      <x:c r="A516" s="15" t="str">
        <x:v>Current a/c..512781 / card..0104</x:v>
      </x:c>
      <x:c r="B516" s="34" t="n">
        <x:v>46129.93402777778</x:v>
      </x:c>
      <x:c r="C516" s="15" t="str">
        <x:v>R1511.34 reserved for purchase @ Openai *chatgpt Subscr+14 from Current a/c..512781 using card..0104. Avail R94129. 17Apr 22:25</x:v>
      </x:c>
      <x:c r="D516" s="38" t="n">
        <x:v>0</x:v>
      </x:c>
      <x:c r="E516" s="38" t="n">
        <x:v>1511.34</x:v>
      </x:c>
      <x:c r="F516" s="38" t="n">
        <x:v>0</x:v>
      </x:c>
      <x:c r="G516" s="38" t="n">
        <x:v>94129</x:v>
      </x:c>
      <x:c r="H516" s="15" t="str">
        <x:v>Software / subscriptions</x:v>
      </x:c>
      <x:c r="I516" s="15" t="str">
        <x:v>Openai *chatgpt Subscr+14</x:v>
      </x:c>
      <x:c r="J516" s="15" t="str">
        <x:v>eml_ALL_currentac__512781 (2).zip &gt; eml3currentac__512781.zip / FNB _-) R1511.34 reserved for purchase @ Openai _chatgpt Subscr+14 from Current a_c..512781 using card..0104. 17Apr 22_25.eml</x:v>
      </x:c>
    </x:row>
    <x:row r="517">
      <x:c r="A517" s="15" t="str">
        <x:v>Current a/c..512781 / card..0104</x:v>
      </x:c>
      <x:c r="B517" s="34" t="n">
        <x:v>46155.88958333333</x:v>
      </x:c>
      <x:c r="C517" s="15" t="str">
        <x:v>R676.45 reserved for purchase @ Moment_*dstv Joh from Current a/c..512781 using card..0104. Avail R15749. 13May 21:21</x:v>
      </x:c>
      <x:c r="D517" s="38" t="n">
        <x:v>0</x:v>
      </x:c>
      <x:c r="E517" s="38" t="n">
        <x:v>676.45</x:v>
      </x:c>
      <x:c r="F517" s="38" t="n">
        <x:v>0</x:v>
      </x:c>
      <x:c r="G517" s="38" t="n">
        <x:v>15749</x:v>
      </x:c>
      <x:c r="H517" s="15" t="str">
        <x:v>Card spend</x:v>
      </x:c>
      <x:c r="I517" s="15" t="str">
        <x:v>Moment_*dstv Joh</x:v>
      </x:c>
      <x:c r="J517" s="15" t="str">
        <x:v>eml_ALL_currentac__512781 (2).zip &gt; eml2currentac__512781.zip / FNB _-) R676.45 reserved for purchase @ Moment__dstv Joh from Current a_c..512781 using card..0104. 13May 21_21.eml</x:v>
      </x:c>
    </x:row>
    <x:row r="518">
      <x:c r="A518" s="15" t="str">
        <x:v>Current a/c..512781 / card..0104</x:v>
      </x:c>
      <x:c r="B518" s="34" t="n">
        <x:v>46159.97638888889</x:v>
      </x:c>
      <x:c r="C518" s="15" t="str">
        <x:v>R149.00 reserved for purchase @ Openai *chatgpt Subscr+14 from Current a/c..512781 using card..0104. Avail R19440. 17May 23:26</x:v>
      </x:c>
      <x:c r="D518" s="38" t="n">
        <x:v>0</x:v>
      </x:c>
      <x:c r="E518" s="38" t="n">
        <x:v>149</x:v>
      </x:c>
      <x:c r="F518" s="38" t="n">
        <x:v>0</x:v>
      </x:c>
      <x:c r="G518" s="38" t="n">
        <x:v>19440</x:v>
      </x:c>
      <x:c r="H518" s="15" t="str">
        <x:v>Software / subscriptions</x:v>
      </x:c>
      <x:c r="I518" s="15" t="str">
        <x:v>Openai *chatgpt Subscr+14</x:v>
      </x:c>
      <x:c r="J518" s="15" t="str">
        <x:v>eml_ALL_currentac__512781 (2).zip &gt; eml2currentac__512781.zip / FNB _-) R149.00 reserved for purchase @ Openai _chatgpt Subscr+14 from Current a_c..512781 using card..0104. 17May 23_26.eml</x:v>
      </x:c>
    </x:row>
    <x:row r="519">
      <x:c r="A519" s="15" t="str">
        <x:v>Current a/c..512781 / card..0104</x:v>
      </x:c>
      <x:c r="B519" s="34" t="n">
        <x:v>46162.45694444444</x:v>
      </x:c>
      <x:c r="C519" s="15" t="str">
        <x:v>R395.68 reserved for purchase @ Claude.ai Subscription+14 from Current a/c..512781 using card..0104. Avail R10743. 20May 10:58</x:v>
      </x:c>
      <x:c r="D519" s="38" t="n">
        <x:v>0</x:v>
      </x:c>
      <x:c r="E519" s="38" t="n">
        <x:v>395.68</x:v>
      </x:c>
      <x:c r="F519" s="38" t="n">
        <x:v>0</x:v>
      </x:c>
      <x:c r="G519" s="38" t="n">
        <x:v>10743</x:v>
      </x:c>
      <x:c r="H519" s="15" t="str">
        <x:v>Software / subscriptions</x:v>
      </x:c>
      <x:c r="I519" s="15" t="str">
        <x:v>Claude.ai Subscription+14</x:v>
      </x:c>
      <x:c r="J519" s="15" t="str">
        <x:v>eml_ALL_currentac__512781 (2).zip &gt; eml2currentac__512781.zip / FNB _-) R395.68 reserved for purchase @ Claude.ai Subscription+14 from Current a_c..512781 using card..0104. 20May 10_58.eml</x:v>
      </x:c>
    </x:row>
    <x:row r="520">
      <x:c r="A520" s="15" t="str">
        <x:v>Current a/c..512781 / card..0104</x:v>
      </x:c>
      <x:c r="B520" s="34" t="n">
        <x:v>46162.54305555556</x:v>
      </x:c>
      <x:c r="C520" s="15" t="str">
        <x:v>R3562.33 reserved for purchase @ Claude.ai Subscription+14 from Current a/c..512781 using card..0104. Avail R6419. 20May 13:02</x:v>
      </x:c>
      <x:c r="D520" s="38" t="n">
        <x:v>0</x:v>
      </x:c>
      <x:c r="E520" s="38" t="n">
        <x:v>3562.33</x:v>
      </x:c>
      <x:c r="F520" s="38" t="n">
        <x:v>0</x:v>
      </x:c>
      <x:c r="G520" s="38" t="n">
        <x:v>6419</x:v>
      </x:c>
      <x:c r="H520" s="15" t="str">
        <x:v>Software / subscriptions</x:v>
      </x:c>
      <x:c r="I520" s="15" t="str">
        <x:v>Claude.ai Subscription+14</x:v>
      </x:c>
      <x:c r="J520" s="15" t="str">
        <x:v>eml_ALL_currentac__512781 (2).zip &gt; eml2currentac__512781.zip / FNB _-) R3562.33 reserved for purchase @ Claude.ai Subscription+14 from Current a_c..512781 using card..0104. 20May 13_02.eml</x:v>
      </x:c>
    </x:row>
    <x:row r="521">
      <x:c r="A521" s="15" t="str">
        <x:v>Current a/c..512781 / card..0104</x:v>
      </x:c>
      <x:c r="B521" s="34" t="n">
        <x:v>46190.97638888889</x:v>
      </x:c>
      <x:c r="C521" s="15" t="str">
        <x:v>R149.00 reserved for purchase @ Openai *chatgpt Subscr+14 from Current a/c..512781 using card..0104. Avail R3930. 17Jun 23:26</x:v>
      </x:c>
      <x:c r="D521" s="38" t="n">
        <x:v>0</x:v>
      </x:c>
      <x:c r="E521" s="38" t="n">
        <x:v>149</x:v>
      </x:c>
      <x:c r="F521" s="38" t="n">
        <x:v>0</x:v>
      </x:c>
      <x:c r="G521" s="38" t="n">
        <x:v>3930</x:v>
      </x:c>
      <x:c r="H521" s="15" t="str">
        <x:v>Software / subscriptions</x:v>
      </x:c>
      <x:c r="I521" s="15" t="str">
        <x:v>Openai *chatgpt Subscr+14</x:v>
      </x:c>
      <x:c r="J521" s="15" t="str">
        <x:v>eml_ALL_currentac__512781 (2).zip &gt; eml1currentac__512781.zip / FNB _-) R149.00 reserved for purchase @ Openai _chatgpt Subscr+14 from Current a_c..512781 using card..0104. 17Jun 23_26.eml</x:v>
      </x:c>
    </x:row>
    <x:row r="522">
      <x:c r="A522" s="15" t="str">
        <x:v>Current a/c..512781 / card..2924</x:v>
      </x:c>
      <x:c r="B522" s="34" t="n">
        <x:v>45919.38888888889</x:v>
      </x:c>
      <x:c r="C522" s="15" t="str">
        <x:v>R500.15 reserved for purchase @ Shell Rinsa Pty Ltd from Current a/c..512781 using card..2924. Avail R4297. 19Sep 09:20</x:v>
      </x:c>
      <x:c r="D522" s="38" t="n">
        <x:v>0</x:v>
      </x:c>
      <x:c r="E522" s="38" t="n">
        <x:v>500.15</x:v>
      </x:c>
      <x:c r="F522" s="38" t="n">
        <x:v>0</x:v>
      </x:c>
      <x:c r="G522" s="38" t="n">
        <x:v>4297</x:v>
      </x:c>
      <x:c r="H522" s="15" t="str">
        <x:v>Fuel / transport</x:v>
      </x:c>
      <x:c r="I522" s="15" t="str">
        <x:v>Shell Rinsa Pty Ltd</x:v>
      </x:c>
      <x:c r="J522" s="15" t="str">
        <x:v>eml_ALL_currentac__512781 (2).zip &gt; eml12currentac__512781.zip / FNB _-) R500.15 reserved for purchase @ Shell Rinsa Pty Ltd from Current a_c..512781 using card..2924. 19Sep 09_20.eml</x:v>
      </x:c>
    </x:row>
    <x:row r="523">
      <x:c r="A523" s="15" t="str">
        <x:v>Current a/c..512781 / card..2924</x:v>
      </x:c>
      <x:c r="B523" s="34" t="n">
        <x:v>45919.433333333334</x:v>
      </x:c>
      <x:c r="C523" s="15" t="str">
        <x:v>R122.00 reserved for purchase @ Machado Tap N Go from Current a/c..512781 using card..2924. Avail R4175. 19Sep 10:24</x:v>
      </x:c>
      <x:c r="D523" s="38" t="n">
        <x:v>0</x:v>
      </x:c>
      <x:c r="E523" s="38" t="n">
        <x:v>122</x:v>
      </x:c>
      <x:c r="F523" s="38" t="n">
        <x:v>0</x:v>
      </x:c>
      <x:c r="G523" s="38" t="n">
        <x:v>4175</x:v>
      </x:c>
      <x:c r="H523" s="15" t="str">
        <x:v>Card spend</x:v>
      </x:c>
      <x:c r="I523" s="15" t="str">
        <x:v>Machado Tap N Go</x:v>
      </x:c>
      <x:c r="J523" s="15" t="str">
        <x:v>eml_ALL_currentac__512781 (2).zip &gt; eml12currentac__512781.zip / FNB _-) R122.00 reserved for purchase @ Machado Tap N Go from Current a_c..512781 using card..2924. 19Sep 10_24.eml</x:v>
      </x:c>
    </x:row>
    <x:row r="524">
      <x:c r="A524" s="15" t="str">
        <x:v>Current a/c..512781 / card..2924</x:v>
      </x:c>
      <x:c r="B524" s="34" t="n">
        <x:v>45924.458333333336</x:v>
      </x:c>
      <x:c r="C524" s="15" t="str">
        <x:v>R600.00 withdrawn from Current a/c..512781 using card..2924 @ Atmh11960000001. Avail R697. 24Sep 11:00</x:v>
      </x:c>
      <x:c r="D524" s="38" t="n">
        <x:v>0</x:v>
      </x:c>
      <x:c r="E524" s="38" t="n">
        <x:v>600</x:v>
      </x:c>
      <x:c r="F524" s="38" t="n">
        <x:v>0</x:v>
      </x:c>
      <x:c r="G524" s="38" t="n">
        <x:v>697</x:v>
      </x:c>
      <x:c r="H524" s="15" t="str">
        <x:v>Cash withdrawal</x:v>
      </x:c>
      <x:c r="I524" s="15" t="str">
        <x:v>Atmh11960000001</x:v>
      </x:c>
      <x:c r="J524" s="15" t="str">
        <x:v>eml_ALL_currentac__512781 (2).zip &gt; eml12currentac__512781.zip / FNB _-) R600.00 withdrawn from Current a_c..512781 using card..2924 @ Atmh11960000001. 24Sep 11_00.eml</x:v>
      </x:c>
    </x:row>
    <x:row r="525">
      <x:c r="A525" s="15" t="str">
        <x:v>Current a/c..512781 / card..2924</x:v>
      </x:c>
      <x:c r="B525" s="34" t="n">
        <x:v>45925.683333333334</x:v>
      </x:c>
      <x:c r="C525" s="15" t="str">
        <x:v>R506.43 reserved for purchase @ Superspar Komatipoor from Current a/c..512781 using card..2924. Avail R191. 25Sep 16:24</x:v>
      </x:c>
      <x:c r="D525" s="38" t="n">
        <x:v>0</x:v>
      </x:c>
      <x:c r="E525" s="38" t="n">
        <x:v>506.43</x:v>
      </x:c>
      <x:c r="F525" s="38" t="n">
        <x:v>0</x:v>
      </x:c>
      <x:c r="G525" s="38" t="n">
        <x:v>191</x:v>
      </x:c>
      <x:c r="H525" s="15" t="str">
        <x:v>Supplier payments</x:v>
      </x:c>
      <x:c r="I525" s="15" t="str">
        <x:v>Superspar Komatipoor</x:v>
      </x:c>
      <x:c r="J525" s="15" t="str">
        <x:v>eml_ALL_currentac__512781 (2).zip &gt; eml12currentac__512781.zip / FNB _-) R506.43 reserved for purchase @ Superspar Komatipoor from Current a_c..512781 using card..2924. 25Sep 16_24.eml</x:v>
      </x:c>
    </x:row>
    <x:row r="526">
      <x:c r="A526" s="15" t="str">
        <x:v>Current a/c..512781 / card..2924</x:v>
      </x:c>
      <x:c r="B526" s="34" t="n">
        <x:v>45931.08541666667</x:v>
      </x:c>
      <x:c r="C526" s="15" t="str">
        <x:v>R400.00 reserved for purchase @ Engen Komatipoort from Current a/c..512781 using card..2924. Avail R4566. 1Oct 02:03</x:v>
      </x:c>
      <x:c r="D526" s="38" t="n">
        <x:v>0</x:v>
      </x:c>
      <x:c r="E526" s="38" t="n">
        <x:v>400</x:v>
      </x:c>
      <x:c r="F526" s="38" t="n">
        <x:v>0</x:v>
      </x:c>
      <x:c r="G526" s="38" t="n">
        <x:v>4566</x:v>
      </x:c>
      <x:c r="H526" s="15" t="str">
        <x:v>Fuel / transport</x:v>
      </x:c>
      <x:c r="I526" s="15" t="str">
        <x:v>Engen Komatipoort</x:v>
      </x:c>
      <x:c r="J526" s="15" t="str">
        <x:v>eml_ALL_currentac__512781 (2).zip &gt; eml12currentac__512781.zip / FNB _-) R400.00 reserved for purchase @ Engen Komatipoort from Current a_c..512781 using card..2924.  1Oct 02_03.eml</x:v>
      </x:c>
    </x:row>
    <x:row r="527">
      <x:c r="A527" s="15" t="str">
        <x:v>Current a/c..512781 / card..2924</x:v>
      </x:c>
      <x:c r="B527" s="34" t="n">
        <x:v>45931.48263888889</x:v>
      </x:c>
      <x:c r="C527" s="15" t="str">
        <x:v>R384.87 reserved for purchase @ Superspar Komatipoor from Current a/c..512781 using card..2924. Avail R4182. 1Oct 11:35</x:v>
      </x:c>
      <x:c r="D527" s="38" t="n">
        <x:v>0</x:v>
      </x:c>
      <x:c r="E527" s="38" t="n">
        <x:v>384.87</x:v>
      </x:c>
      <x:c r="F527" s="38" t="n">
        <x:v>0</x:v>
      </x:c>
      <x:c r="G527" s="38" t="n">
        <x:v>4182</x:v>
      </x:c>
      <x:c r="H527" s="15" t="str">
        <x:v>Supplier payments</x:v>
      </x:c>
      <x:c r="I527" s="15" t="str">
        <x:v>Superspar Komatipoor</x:v>
      </x:c>
      <x:c r="J527" s="15" t="str">
        <x:v>eml_ALL_currentac__512781 (2).zip &gt; eml12currentac__512781.zip / FNB _-) R384.87 reserved for purchase @ Superspar Komatipoor from Current a_c..512781 using card..2924.  1Oct 11_35.eml</x:v>
      </x:c>
    </x:row>
    <x:row r="528">
      <x:c r="A528" s="15" t="str">
        <x:v>Current a/c..512781 / card..2924</x:v>
      </x:c>
      <x:c r="B528" s="34" t="n">
        <x:v>45931.48611111111</x:v>
      </x:c>
      <x:c r="C528" s="15" t="str">
        <x:v>R231.96 reserved for purchase @ Tops Komatipoort from Current a/c..512781 using card..2924. Avail R3950. 1Oct 11:40</x:v>
      </x:c>
      <x:c r="D528" s="38" t="n">
        <x:v>0</x:v>
      </x:c>
      <x:c r="E528" s="38" t="n">
        <x:v>231.96</x:v>
      </x:c>
      <x:c r="F528" s="38" t="n">
        <x:v>0</x:v>
      </x:c>
      <x:c r="G528" s="38" t="n">
        <x:v>3950</x:v>
      </x:c>
      <x:c r="H528" s="15" t="str">
        <x:v>Meals / restaurants / entertainment</x:v>
      </x:c>
      <x:c r="I528" s="15" t="str">
        <x:v>Tops Komatipoort</x:v>
      </x:c>
      <x:c r="J528" s="15" t="str">
        <x:v>eml_ALL_currentac__512781 (2).zip &gt; eml12currentac__512781.zip / FNB _-) R231.96 reserved for purchase @ Tops Komatipoort from Current a_c..512781 using card..2924.  1Oct 11_40.eml</x:v>
      </x:c>
    </x:row>
    <x:row r="529">
      <x:c r="A529" s="15" t="str">
        <x:v>Current a/c..512781 / card..2924</x:v>
      </x:c>
      <x:c r="B529" s="34" t="n">
        <x:v>45932.71875</x:v>
      </x:c>
      <x:c r="C529" s="15" t="str">
        <x:v>R161.98 reserved for purchase @ Savemor Marloth from Current a/c..512781 using card..2924. Avail R944. 2Oct 17:15</x:v>
      </x:c>
      <x:c r="D529" s="38" t="n">
        <x:v>0</x:v>
      </x:c>
      <x:c r="E529" s="38" t="n">
        <x:v>161.98</x:v>
      </x:c>
      <x:c r="F529" s="38" t="n">
        <x:v>0</x:v>
      </x:c>
      <x:c r="G529" s="38" t="n">
        <x:v>944</x:v>
      </x:c>
      <x:c r="H529" s="15" t="str">
        <x:v>Supplier payments</x:v>
      </x:c>
      <x:c r="I529" s="15" t="str">
        <x:v>Savemor Marloth</x:v>
      </x:c>
      <x:c r="J529" s="15" t="str">
        <x:v>eml_ALL_currentac__512781 (2).zip &gt; eml12currentac__512781.zip / FNB _-) R161.98 reserved for purchase @ Savemor Marloth from Current a_c..512781 using card..2924.  2Oct 17_15.eml</x:v>
      </x:c>
    </x:row>
    <x:row r="530">
      <x:c r="A530" s="15" t="str">
        <x:v>Current a/c..512781 / card..2924</x:v>
      </x:c>
      <x:c r="B530" s="34" t="n">
        <x:v>45934.40625</x:v>
      </x:c>
      <x:c r="C530" s="15" t="str">
        <x:v>R114.36 reserved for purchase @ Savemor Marloth from Current a/c..512781 using card..2924. Avail R69439. 4Oct 09:45</x:v>
      </x:c>
      <x:c r="D530" s="38" t="n">
        <x:v>0</x:v>
      </x:c>
      <x:c r="E530" s="38" t="n">
        <x:v>114.36</x:v>
      </x:c>
      <x:c r="F530" s="38" t="n">
        <x:v>0</x:v>
      </x:c>
      <x:c r="G530" s="38" t="n">
        <x:v>69439</x:v>
      </x:c>
      <x:c r="H530" s="15" t="str">
        <x:v>Supplier payments</x:v>
      </x:c>
      <x:c r="I530" s="15" t="str">
        <x:v>Savemor Marloth</x:v>
      </x:c>
      <x:c r="J530" s="15" t="str">
        <x:v>eml_ALL_currentac__512781 (2).zip &gt; eml12currentac__512781.zip / FNB _-) R114.36 reserved for purchase @ Savemor Marloth from Current a_c..512781 using card..2924.  4Oct 09_45.eml</x:v>
      </x:c>
    </x:row>
    <x:row r="531">
      <x:c r="A531" s="15" t="str">
        <x:v>Current a/c..512781 / card..2924</x:v>
      </x:c>
      <x:c r="B531" s="34" t="n">
        <x:v>45935.45625</x:v>
      </x:c>
      <x:c r="C531" s="15" t="str">
        <x:v>R400.00 reserved for purchase @ Giraffe Pub And Gril from Current a/c..512781 using card..2924. Avail R54759. 5Oct 10:57</x:v>
      </x:c>
      <x:c r="D531" s="38" t="n">
        <x:v>0</x:v>
      </x:c>
      <x:c r="E531" s="38" t="n">
        <x:v>400</x:v>
      </x:c>
      <x:c r="F531" s="38" t="n">
        <x:v>0</x:v>
      </x:c>
      <x:c r="G531" s="38" t="n">
        <x:v>54759</x:v>
      </x:c>
      <x:c r="H531" s="15" t="str">
        <x:v>Meals / restaurants / entertainment</x:v>
      </x:c>
      <x:c r="I531" s="15" t="str">
        <x:v>Giraffe Pub And Gril</x:v>
      </x:c>
      <x:c r="J531" s="15" t="str">
        <x:v>eml_ALL_currentac__512781 (2).zip &gt; eml12currentac__512781.zip / FNB _-) R400.00 reserved for purchase @ Giraffe Pub And Gril from Current a_c..512781 using card..2924.  5Oct 10_57.eml</x:v>
      </x:c>
    </x:row>
    <x:row r="532">
      <x:c r="A532" s="15" t="str">
        <x:v>Current a/c..512781 / card..2924</x:v>
      </x:c>
      <x:c r="B532" s="34" t="n">
        <x:v>45935.46944444445</x:v>
      </x:c>
      <x:c r="C532" s="15" t="str">
        <x:v>R1821.97 reserved for purchase @ Savemor Marloth from Current a/c..512781 using card..2924. Avail R52937. 5Oct 11:16</x:v>
      </x:c>
      <x:c r="D532" s="38" t="n">
        <x:v>0</x:v>
      </x:c>
      <x:c r="E532" s="38" t="n">
        <x:v>1821.97</x:v>
      </x:c>
      <x:c r="F532" s="38" t="n">
        <x:v>0</x:v>
      </x:c>
      <x:c r="G532" s="38" t="n">
        <x:v>52937</x:v>
      </x:c>
      <x:c r="H532" s="15" t="str">
        <x:v>Supplier payments</x:v>
      </x:c>
      <x:c r="I532" s="15" t="str">
        <x:v>Savemor Marloth</x:v>
      </x:c>
      <x:c r="J532" s="15" t="str">
        <x:v>eml_ALL_currentac__512781 (2).zip &gt; eml12currentac__512781.zip / FNB _-) R1821.97 reserved for purchase @ Savemor Marloth from Current a_c..512781 using card..2924.  5Oct 11_16.eml</x:v>
      </x:c>
    </x:row>
    <x:row r="533">
      <x:c r="A533" s="15" t="str">
        <x:v>Current a/c..512781 / card..2924</x:v>
      </x:c>
      <x:c r="B533" s="34" t="n">
        <x:v>45936.31736111111</x:v>
      </x:c>
      <x:c r="C533" s="15" t="str">
        <x:v>R124.34 reserved for purchase @ Savemor Marloth from Current a/c..512781 using card..2924. Avail R52802. 6Oct 07:37</x:v>
      </x:c>
      <x:c r="D533" s="38" t="n">
        <x:v>0</x:v>
      </x:c>
      <x:c r="E533" s="38" t="n">
        <x:v>124.34</x:v>
      </x:c>
      <x:c r="F533" s="38" t="n">
        <x:v>0</x:v>
      </x:c>
      <x:c r="G533" s="38" t="n">
        <x:v>52802</x:v>
      </x:c>
      <x:c r="H533" s="15" t="str">
        <x:v>Supplier payments</x:v>
      </x:c>
      <x:c r="I533" s="15" t="str">
        <x:v>Savemor Marloth</x:v>
      </x:c>
      <x:c r="J533" s="15" t="str">
        <x:v>eml_ALL_currentac__512781 (2).zip &gt; eml12currentac__512781.zip / FNB _-) R124.34 reserved for purchase @ Savemor Marloth from Current a_c..512781 using card..2924.  6Oct 07_37.eml</x:v>
      </x:c>
    </x:row>
    <x:row r="534">
      <x:c r="A534" s="15" t="str">
        <x:v>Current a/c..512781 / card..2924</x:v>
      </x:c>
      <x:c r="B534" s="34" t="n">
        <x:v>45938.438888888886</x:v>
      </x:c>
      <x:c r="C534" s="15" t="str">
        <x:v>R5670.36 reserved for purchase @ Nkomazi Local Munici from Current a/c..512781 using card..2924. Avail R47112. 8Oct 10:32</x:v>
      </x:c>
      <x:c r="D534" s="38" t="n">
        <x:v>0</x:v>
      </x:c>
      <x:c r="E534" s="38" t="n">
        <x:v>5670.36</x:v>
      </x:c>
      <x:c r="F534" s="38" t="n">
        <x:v>0</x:v>
      </x:c>
      <x:c r="G534" s="38" t="n">
        <x:v>47112</x:v>
      </x:c>
      <x:c r="H534" s="15" t="str">
        <x:v>Card spend</x:v>
      </x:c>
      <x:c r="I534" s="15" t="str">
        <x:v>Nkomazi Local Munici</x:v>
      </x:c>
      <x:c r="J534" s="15" t="str">
        <x:v>eml_ALL_currentac__512781 (2).zip &gt; eml12currentac__512781.zip / FNB _-) R5670.36 reserved for purchase @ Nkomazi Local Munici from Current a_c..512781 using card..2924.  8Oct 10_32.eml</x:v>
      </x:c>
    </x:row>
    <x:row r="535">
      <x:c r="A535" s="15" t="str">
        <x:v>Current a/c..512781 / card..2924</x:v>
      </x:c>
      <x:c r="B535" s="34" t="n">
        <x:v>45938.59652777778</x:v>
      </x:c>
      <x:c r="C535" s="15" t="str">
        <x:v>R150.00 reserved for purchase @ Temu from Current a/c..512781 using card..2924. Avail R44042. 8Oct 14:19</x:v>
      </x:c>
      <x:c r="D535" s="38" t="n">
        <x:v>0</x:v>
      </x:c>
      <x:c r="E535" s="38" t="n">
        <x:v>150</x:v>
      </x:c>
      <x:c r="F535" s="38" t="n">
        <x:v>0</x:v>
      </x:c>
      <x:c r="G535" s="38" t="n">
        <x:v>44042</x:v>
      </x:c>
      <x:c r="H535" s="15" t="str">
        <x:v>Card spend</x:v>
      </x:c>
      <x:c r="I535" s="15" t="str">
        <x:v>Temu</x:v>
      </x:c>
      <x:c r="J535" s="15" t="str">
        <x:v>eml_ALL_currentac__512781 (2).zip &gt; eml12currentac__512781.zip / FNB _-) R150.00 reserved for purchase @ Temu from Current a_c..512781 using card..2924.  8Oct 14_19.eml</x:v>
      </x:c>
    </x:row>
    <x:row r="536">
      <x:c r="A536" s="15" t="str">
        <x:v>Current a/c..512781 / card..2924</x:v>
      </x:c>
      <x:c r="B536" s="34" t="n">
        <x:v>45938.603472222225</x:v>
      </x:c>
      <x:c r="C536" s="15" t="str">
        <x:v>R234.00 reserved for purchase @ Temu from Current a/c..512781 using card..2924. Avail R43808. 8Oct 14:29</x:v>
      </x:c>
      <x:c r="D536" s="38" t="n">
        <x:v>0</x:v>
      </x:c>
      <x:c r="E536" s="38" t="n">
        <x:v>234</x:v>
      </x:c>
      <x:c r="F536" s="38" t="n">
        <x:v>0</x:v>
      </x:c>
      <x:c r="G536" s="38" t="n">
        <x:v>43808</x:v>
      </x:c>
      <x:c r="H536" s="15" t="str">
        <x:v>Card spend</x:v>
      </x:c>
      <x:c r="I536" s="15" t="str">
        <x:v>Temu</x:v>
      </x:c>
      <x:c r="J536" s="15" t="str">
        <x:v>eml_ALL_currentac__512781 (2).zip &gt; eml12currentac__512781.zip / FNB _-) R234.00 reserved for purchase @ Temu from Current a_c..512781 using card..2924.  8Oct 14_29.eml</x:v>
      </x:c>
    </x:row>
    <x:row r="537">
      <x:c r="A537" s="15" t="str">
        <x:v>Current a/c..512781 / card..2924</x:v>
      </x:c>
      <x:c r="B537" s="34" t="n">
        <x:v>45938.60763888889</x:v>
      </x:c>
      <x:c r="C537" s="15" t="str">
        <x:v>R152.00 reserved for purchase @ Temu from Current a/c..512781 using card..2924. Avail R43656. 8Oct 14:35</x:v>
      </x:c>
      <x:c r="D537" s="38" t="n">
        <x:v>0</x:v>
      </x:c>
      <x:c r="E537" s="38" t="n">
        <x:v>152</x:v>
      </x:c>
      <x:c r="F537" s="38" t="n">
        <x:v>0</x:v>
      </x:c>
      <x:c r="G537" s="38" t="n">
        <x:v>43656</x:v>
      </x:c>
      <x:c r="H537" s="15" t="str">
        <x:v>Card spend</x:v>
      </x:c>
      <x:c r="I537" s="15" t="str">
        <x:v>Temu</x:v>
      </x:c>
      <x:c r="J537" s="15" t="str">
        <x:v>eml_ALL_currentac__512781 (2).zip &gt; eml12currentac__512781.zip / FNB _-) R152.00 reserved for purchase @ Temu from Current a_c..512781 using card..2924.  8Oct 14_35.eml</x:v>
      </x:c>
    </x:row>
    <x:row r="538">
      <x:c r="A538" s="15" t="str">
        <x:v>Current a/c..512781 / card..2924</x:v>
      </x:c>
      <x:c r="B538" s="34" t="n">
        <x:v>45938.620833333334</x:v>
      </x:c>
      <x:c r="C538" s="15" t="str">
        <x:v>R170.00 reserved for purchase @ Temu from Current a/c..512781 using card..2924. Avail R43486. 8Oct 14:54</x:v>
      </x:c>
      <x:c r="D538" s="38" t="n">
        <x:v>0</x:v>
      </x:c>
      <x:c r="E538" s="38" t="n">
        <x:v>170</x:v>
      </x:c>
      <x:c r="F538" s="38" t="n">
        <x:v>0</x:v>
      </x:c>
      <x:c r="G538" s="38" t="n">
        <x:v>43486</x:v>
      </x:c>
      <x:c r="H538" s="15" t="str">
        <x:v>Card spend</x:v>
      </x:c>
      <x:c r="I538" s="15" t="str">
        <x:v>Temu</x:v>
      </x:c>
      <x:c r="J538" s="15" t="str">
        <x:v>eml_ALL_currentac__512781 (2).zip &gt; eml12currentac__512781.zip / FNB _-) R170.00 reserved for purchase @ Temu from Current a_c..512781 using card..2924.  8Oct 14_54.eml</x:v>
      </x:c>
    </x:row>
    <x:row r="539">
      <x:c r="A539" s="15" t="str">
        <x:v>Current a/c..512781 / card..2924</x:v>
      </x:c>
      <x:c r="B539" s="34" t="n">
        <x:v>45939.48055555556</x:v>
      </x:c>
      <x:c r="C539" s="15" t="str">
        <x:v>R912.79 reserved for purchase @ Agrico Pty Ltd from Current a/c..512781 using card..2924. Avail R42099. 9Oct 11:32</x:v>
      </x:c>
      <x:c r="D539" s="38" t="n">
        <x:v>0</x:v>
      </x:c>
      <x:c r="E539" s="38" t="n">
        <x:v>912.79</x:v>
      </x:c>
      <x:c r="F539" s="38" t="n">
        <x:v>0</x:v>
      </x:c>
      <x:c r="G539" s="38" t="n">
        <x:v>42099</x:v>
      </x:c>
      <x:c r="H539" s="15" t="str">
        <x:v>Supplier payments</x:v>
      </x:c>
      <x:c r="I539" s="15" t="str">
        <x:v>Agrico Pty Ltd</x:v>
      </x:c>
      <x:c r="J539" s="15" t="str">
        <x:v>eml_ALL_currentac__512781 (2).zip &gt; eml12currentac__512781.zip / FNB _-) R912.79 reserved for purchase @ Agrico Pty Ltd from Current a_c..512781 using card..2924.  9Oct 11_32.eml</x:v>
      </x:c>
    </x:row>
    <x:row r="540">
      <x:c r="A540" s="15" t="str">
        <x:v>Current a/c..512781 / card..2924</x:v>
      </x:c>
      <x:c r="B540" s="34" t="n">
        <x:v>45939.49930555555</x:v>
      </x:c>
      <x:c r="C540" s="15" t="str">
        <x:v>R981.50 reserved for purchase @ S2s*sa Liquors Komat from Current a/c..512781 using card..2924. Avail R41117. 9Oct 11:59</x:v>
      </x:c>
      <x:c r="D540" s="38" t="n">
        <x:v>0</x:v>
      </x:c>
      <x:c r="E540" s="38" t="n">
        <x:v>981.5</x:v>
      </x:c>
      <x:c r="F540" s="38" t="n">
        <x:v>0</x:v>
      </x:c>
      <x:c r="G540" s="38" t="n">
        <x:v>41117</x:v>
      </x:c>
      <x:c r="H540" s="15" t="str">
        <x:v>Meals / restaurants / entertainment</x:v>
      </x:c>
      <x:c r="I540" s="15" t="str">
        <x:v>S2s*sa Liquors Komat</x:v>
      </x:c>
      <x:c r="J540" s="15" t="str">
        <x:v>eml_ALL_currentac__512781 (2).zip &gt; eml12currentac__512781.zip / FNB _-) R981.50 reserved for purchase @ S2s_sa Liquors Komat from Current a_c..512781 using card..2924.  9Oct 11_59.eml</x:v>
      </x:c>
    </x:row>
    <x:row r="541">
      <x:c r="A541" s="15" t="str">
        <x:v>Current a/c..512781 / card..2924</x:v>
      </x:c>
      <x:c r="B541" s="34" t="n">
        <x:v>45939.53611111111</x:v>
      </x:c>
      <x:c r="C541" s="15" t="str">
        <x:v>R1096.67 reserved for purchase @ Superspar Komatipoor from Current a/c..512781 using card..2924. Avail R40021. 9Oct 12:52</x:v>
      </x:c>
      <x:c r="D541" s="38" t="n">
        <x:v>0</x:v>
      </x:c>
      <x:c r="E541" s="38" t="n">
        <x:v>1096.67</x:v>
      </x:c>
      <x:c r="F541" s="38" t="n">
        <x:v>0</x:v>
      </x:c>
      <x:c r="G541" s="38" t="n">
        <x:v>40021</x:v>
      </x:c>
      <x:c r="H541" s="15" t="str">
        <x:v>Supplier payments</x:v>
      </x:c>
      <x:c r="I541" s="15" t="str">
        <x:v>Superspar Komatipoor</x:v>
      </x:c>
      <x:c r="J541" s="15" t="str">
        <x:v>eml_ALL_currentac__512781 (2).zip &gt; eml12currentac__512781.zip / FNB _-) R1096.67 reserved for purchase @ Superspar Komatipoor from Current a_c..512781 using card..2924.  9Oct 12_52.eml</x:v>
      </x:c>
    </x:row>
    <x:row r="542">
      <x:c r="A542" s="15" t="str">
        <x:v>Current a/c..512781 / card..2924</x:v>
      </x:c>
      <x:c r="B542" s="34" t="n">
        <x:v>45939.55069444444</x:v>
      </x:c>
      <x:c r="C542" s="15" t="str">
        <x:v>R216.00 reserved for purchase @ Oasis Water Komatipo from Current a/c..512781 using card..2924. Avail R39805. 9Oct 13:13</x:v>
      </x:c>
      <x:c r="D542" s="38" t="n">
        <x:v>0</x:v>
      </x:c>
      <x:c r="E542" s="38" t="n">
        <x:v>216</x:v>
      </x:c>
      <x:c r="F542" s="38" t="n">
        <x:v>0</x:v>
      </x:c>
      <x:c r="G542" s="38" t="n">
        <x:v>39805</x:v>
      </x:c>
      <x:c r="H542" s="15" t="str">
        <x:v>Supplier payments</x:v>
      </x:c>
      <x:c r="I542" s="15" t="str">
        <x:v>Oasis Water Komatipo</x:v>
      </x:c>
      <x:c r="J542" s="15" t="str">
        <x:v>eml_ALL_currentac__512781 (2).zip &gt; eml12currentac__512781.zip / FNB _-) R216.00 reserved for purchase @ Oasis Water Komatipo from Current a_c..512781 using card..2924.  9Oct 13_13.eml</x:v>
      </x:c>
    </x:row>
    <x:row r="543">
      <x:c r="A543" s="15" t="str">
        <x:v>Current a/c..512781 / card..2924</x:v>
      </x:c>
      <x:c r="B543" s="34" t="n">
        <x:v>45939.566666666666</x:v>
      </x:c>
      <x:c r="C543" s="15" t="str">
        <x:v>R115.00 reserved for purchase @ Gfc Whisky Packhouse from Current a/c..512781 using card..2924. Avail R39690. 9Oct 13:36</x:v>
      </x:c>
      <x:c r="D543" s="38" t="n">
        <x:v>0</x:v>
      </x:c>
      <x:c r="E543" s="38" t="n">
        <x:v>115</x:v>
      </x:c>
      <x:c r="F543" s="38" t="n">
        <x:v>0</x:v>
      </x:c>
      <x:c r="G543" s="38" t="n">
        <x:v>39690</x:v>
      </x:c>
      <x:c r="H543" s="15" t="str">
        <x:v>Card spend</x:v>
      </x:c>
      <x:c r="I543" s="15" t="str">
        <x:v>Gfc Whisky Packhouse</x:v>
      </x:c>
      <x:c r="J543" s="15" t="str">
        <x:v>eml_ALL_currentac__512781 (2).zip &gt; eml12currentac__512781.zip / FNB _-) R115.00 reserved for purchase @ Gfc Whisky Packhouse from Current a_c..512781 using card..2924.  9Oct 13_36.eml</x:v>
      </x:c>
    </x:row>
    <x:row r="544">
      <x:c r="A544" s="15" t="str">
        <x:v>Current a/c..512781 / card..2924</x:v>
      </x:c>
      <x:c r="B544" s="34" t="n">
        <x:v>45942.486805555556</x:v>
      </x:c>
      <x:c r="C544" s="15" t="str">
        <x:v>R547.36 reserved for purchase @ Savemor Marloth from Current a/c..512781 using card..2924. Avail R23399. 12Oct 11:41</x:v>
      </x:c>
      <x:c r="D544" s="38" t="n">
        <x:v>0</x:v>
      </x:c>
      <x:c r="E544" s="38" t="n">
        <x:v>547.36</x:v>
      </x:c>
      <x:c r="F544" s="38" t="n">
        <x:v>0</x:v>
      </x:c>
      <x:c r="G544" s="38" t="n">
        <x:v>23399</x:v>
      </x:c>
      <x:c r="H544" s="15" t="str">
        <x:v>Supplier payments</x:v>
      </x:c>
      <x:c r="I544" s="15" t="str">
        <x:v>Savemor Marloth</x:v>
      </x:c>
      <x:c r="J544" s="15" t="str">
        <x:v>eml_ALL_currentac__512781 (2).zip &gt; eml12currentac__512781.zip / FNB _-) R547.36 reserved for purchase @ Savemor Marloth from Current a_c..512781 using card..2924. 12Oct 11_41.eml</x:v>
      </x:c>
    </x:row>
    <x:row r="545">
      <x:c r="A545" s="15" t="str">
        <x:v>Current a/c..512781 / card..2924</x:v>
      </x:c>
      <x:c r="B545" s="34" t="n">
        <x:v>45943.57708333333</x:v>
      </x:c>
      <x:c r="C545" s="15" t="str">
        <x:v>R142.00 reserved for purchase @ Ingwe Liquors 146 from Current a/c..512781 using card..2924. Avail R23890. 13Oct 13:51</x:v>
      </x:c>
      <x:c r="D545" s="38" t="n">
        <x:v>0</x:v>
      </x:c>
      <x:c r="E545" s="38" t="n">
        <x:v>142</x:v>
      </x:c>
      <x:c r="F545" s="38" t="n">
        <x:v>0</x:v>
      </x:c>
      <x:c r="G545" s="38" t="n">
        <x:v>23890</x:v>
      </x:c>
      <x:c r="H545" s="15" t="str">
        <x:v>Meals / restaurants / entertainment</x:v>
      </x:c>
      <x:c r="I545" s="15" t="str">
        <x:v>Ingwe Liquors 146</x:v>
      </x:c>
      <x:c r="J545" s="15" t="str">
        <x:v>eml_ALL_currentac__512781 (2).zip &gt; eml12currentac__512781.zip / FNB _-) R142.00 reserved for purchase @ Ingwe Liquors 146 from Current a_c..512781 using card..2924. 13Oct 13_51.eml</x:v>
      </x:c>
    </x:row>
    <x:row r="546">
      <x:c r="A546" s="15" t="str">
        <x:v>Current a/c..512781 / card..2924</x:v>
      </x:c>
      <x:c r="B546" s="34" t="n">
        <x:v>45944.620833333334</x:v>
      </x:c>
      <x:c r="C546" s="15" t="str">
        <x:v>R184.98 reserved for purchase @ Shoprite Komatipoort from Current a/c..512781 using card..2924. Avail R20555. 14Oct 14:54</x:v>
      </x:c>
      <x:c r="D546" s="38" t="n">
        <x:v>0</x:v>
      </x:c>
      <x:c r="E546" s="38" t="n">
        <x:v>184.98</x:v>
      </x:c>
      <x:c r="F546" s="38" t="n">
        <x:v>0</x:v>
      </x:c>
      <x:c r="G546" s="38" t="n">
        <x:v>20555</x:v>
      </x:c>
      <x:c r="H546" s="15" t="str">
        <x:v>Supplier payments</x:v>
      </x:c>
      <x:c r="I546" s="15" t="str">
        <x:v>Shoprite Komatipoort</x:v>
      </x:c>
      <x:c r="J546" s="15" t="str">
        <x:v>eml_ALL_currentac__512781 (2).zip &gt; eml12currentac__512781.zip / FNB _-) R184.98 reserved for purchase @ Shoprite Komatipoort from Current a_c..512781 using card..2924. 14Oct 14_54.eml</x:v>
      </x:c>
    </x:row>
    <x:row r="547">
      <x:c r="A547" s="15" t="str">
        <x:v>Current a/c..512781 / card..2924</x:v>
      </x:c>
      <x:c r="B547" s="34" t="n">
        <x:v>45945.61875</x:v>
      </x:c>
      <x:c r="C547" s="15" t="str">
        <x:v>R280.95 reserved for purchase @ Savemor Marloth from Current a/c..512781 using card..2924. Avail R20158. 15Oct 14:51</x:v>
      </x:c>
      <x:c r="D547" s="38" t="n">
        <x:v>0</x:v>
      </x:c>
      <x:c r="E547" s="38" t="n">
        <x:v>280.95</x:v>
      </x:c>
      <x:c r="F547" s="38" t="n">
        <x:v>0</x:v>
      </x:c>
      <x:c r="G547" s="38" t="n">
        <x:v>20158</x:v>
      </x:c>
      <x:c r="H547" s="15" t="str">
        <x:v>Supplier payments</x:v>
      </x:c>
      <x:c r="I547" s="15" t="str">
        <x:v>Savemor Marloth</x:v>
      </x:c>
      <x:c r="J547" s="15" t="str">
        <x:v>eml_ALL_currentac__512781 (2).zip &gt; eml12currentac__512781.zip / FNB _-) R280.95 reserved for purchase @ Savemor Marloth from Current a_c..512781 using card..2924. 15Oct 14_51.eml</x:v>
      </x:c>
    </x:row>
    <x:row r="548">
      <x:c r="A548" s="15" t="str">
        <x:v>Current a/c..512781 / card..2924</x:v>
      </x:c>
      <x:c r="B548" s="34" t="n">
        <x:v>45945.62152777778</x:v>
      </x:c>
      <x:c r="C548" s="15" t="str">
        <x:v>R400.00 reserved for purchase @ Marlothi Petrol Stat from Current a/c..512781 using card..2924. Avail R19758. 15Oct 14:55</x:v>
      </x:c>
      <x:c r="D548" s="38" t="n">
        <x:v>0</x:v>
      </x:c>
      <x:c r="E548" s="38" t="n">
        <x:v>400</x:v>
      </x:c>
      <x:c r="F548" s="38" t="n">
        <x:v>0</x:v>
      </x:c>
      <x:c r="G548" s="38" t="n">
        <x:v>19758</x:v>
      </x:c>
      <x:c r="H548" s="15" t="str">
        <x:v>Fuel / transport</x:v>
      </x:c>
      <x:c r="I548" s="15" t="str">
        <x:v>Marlothi Petrol Stat</x:v>
      </x:c>
      <x:c r="J548" s="15" t="str">
        <x:v>eml_ALL_currentac__512781 (2).zip &gt; eml12currentac__512781.zip / FNB _-) R400.00 reserved for purchase @ Marlothi Petrol Stat from Current a_c..512781 using card..2924. 15Oct 14_55.eml</x:v>
      </x:c>
    </x:row>
    <x:row r="549">
      <x:c r="A549" s="15" t="str">
        <x:v>Current a/c..512781 / card..2924</x:v>
      </x:c>
      <x:c r="B549" s="34" t="n">
        <x:v>45946.415972222225</x:v>
      </x:c>
      <x:c r="C549" s="15" t="str">
        <x:v>R101.37 reserved for purchase @ Savemor Marloth from Current a/c..512781 using card..2924. Avail R19606. 16Oct 09:59</x:v>
      </x:c>
      <x:c r="D549" s="38" t="n">
        <x:v>0</x:v>
      </x:c>
      <x:c r="E549" s="38" t="n">
        <x:v>101.37</x:v>
      </x:c>
      <x:c r="F549" s="38" t="n">
        <x:v>0</x:v>
      </x:c>
      <x:c r="G549" s="38" t="n">
        <x:v>19606</x:v>
      </x:c>
      <x:c r="H549" s="15" t="str">
        <x:v>Supplier payments</x:v>
      </x:c>
      <x:c r="I549" s="15" t="str">
        <x:v>Savemor Marloth</x:v>
      </x:c>
      <x:c r="J549" s="15" t="str">
        <x:v>eml_ALL_currentac__512781 (2).zip &gt; eml12currentac__512781.zip / FNB _-) R101.37 reserved for purchase @ Savemor Marloth from Current a_c..512781 using card..2924. 16Oct 09_59.eml</x:v>
      </x:c>
    </x:row>
    <x:row r="550">
      <x:c r="A550" s="15" t="str">
        <x:v>Current a/c..512781 / card..2924</x:v>
      </x:c>
      <x:c r="B550" s="34" t="n">
        <x:v>45969.790972222225</x:v>
      </x:c>
      <x:c r="C550" s="15" t="str">
        <x:v>R360.00 reserved for purchase @ The Tin Shack from Current a/c..512781 using card..2924. Avail R57629. 8Nov 18:59</x:v>
      </x:c>
      <x:c r="D550" s="38" t="n">
        <x:v>0</x:v>
      </x:c>
      <x:c r="E550" s="38" t="n">
        <x:v>360</x:v>
      </x:c>
      <x:c r="F550" s="38" t="n">
        <x:v>0</x:v>
      </x:c>
      <x:c r="G550" s="38" t="n">
        <x:v>57629</x:v>
      </x:c>
      <x:c r="H550" s="15" t="str">
        <x:v>Meals / restaurants / entertainment</x:v>
      </x:c>
      <x:c r="I550" s="15" t="str">
        <x:v>The Tin Shack</x:v>
      </x:c>
      <x:c r="J550" s="15" t="str">
        <x:v>eml_ALL_currentac__512781 (2).zip &gt; eml10currentac__512781.zip / FNB _-) R360.00 reserved for purchase @ The Tin Shack from Current a_c..512781 using card..2924.  8Nov 18_59.eml</x:v>
      </x:c>
    </x:row>
    <x:row r="551">
      <x:c r="A551" s="15" t="str">
        <x:v>Current a/c..512781 / card..2924</x:v>
      </x:c>
      <x:c r="B551" s="34" t="n">
        <x:v>45970.561111111114</x:v>
      </x:c>
      <x:c r="C551" s="15" t="str">
        <x:v>R263.92 reserved for purchase @ Savemor Marloth from Current a/c..512781 using card..2924. Avail R56652. 9Nov 13:28</x:v>
      </x:c>
      <x:c r="D551" s="38" t="n">
        <x:v>0</x:v>
      </x:c>
      <x:c r="E551" s="38" t="n">
        <x:v>263.92</x:v>
      </x:c>
      <x:c r="F551" s="38" t="n">
        <x:v>0</x:v>
      </x:c>
      <x:c r="G551" s="38" t="n">
        <x:v>56652</x:v>
      </x:c>
      <x:c r="H551" s="15" t="str">
        <x:v>Supplier payments</x:v>
      </x:c>
      <x:c r="I551" s="15" t="str">
        <x:v>Savemor Marloth</x:v>
      </x:c>
      <x:c r="J551" s="15" t="str">
        <x:v>eml_ALL_currentac__512781 (2).zip &gt; eml10currentac__512781.zip / FNB _-) R263.92 reserved for purchase @ Savemor Marloth from Current a_c..512781 using card..2924.  9Nov 13_28.eml</x:v>
      </x:c>
    </x:row>
    <x:row r="552">
      <x:c r="A552" s="15" t="str">
        <x:v>Current a/c..512781 / card..2924</x:v>
      </x:c>
      <x:c r="B552" s="34" t="n">
        <x:v>45971.23402777778</x:v>
      </x:c>
      <x:c r="C552" s="15" t="str">
        <x:v>R13332.00 reserved for purchase @ Sanparks Crocodile B from Current a/c..512781 using card..2924. Avail R43237. 10Nov 05:37</x:v>
      </x:c>
      <x:c r="D552" s="38" t="n">
        <x:v>0</x:v>
      </x:c>
      <x:c r="E552" s="38" t="n">
        <x:v>13332</x:v>
      </x:c>
      <x:c r="F552" s="38" t="n">
        <x:v>0</x:v>
      </x:c>
      <x:c r="G552" s="38" t="n">
        <x:v>43237</x:v>
      </x:c>
      <x:c r="H552" s="15" t="str">
        <x:v>Card spend</x:v>
      </x:c>
      <x:c r="I552" s="15" t="str">
        <x:v>Sanparks Crocodile B</x:v>
      </x:c>
      <x:c r="J552" s="15" t="str">
        <x:v>eml_ALL_currentac__512781 (2).zip &gt; eml10currentac__512781.zip / FNB _-) R13332.00 reserved for purchase @ Sanparks Crocodile B from Current a_c..512781 using card..2924. 10Nov 05_37.eml</x:v>
      </x:c>
    </x:row>
    <x:row r="553">
      <x:c r="A553" s="15" t="str">
        <x:v>Current a/c..512781 / card..2924</x:v>
      </x:c>
      <x:c r="B553" s="34" t="n">
        <x:v>45971.552777777775</x:v>
      </x:c>
      <x:c r="C553" s="15" t="str">
        <x:v>R248.85 reserved for purchase @ Buco Komatipoort 116 from Current a/c..512781 using card..2924. Avail R35480. 10Nov 13:16</x:v>
      </x:c>
      <x:c r="D553" s="38" t="n">
        <x:v>0</x:v>
      </x:c>
      <x:c r="E553" s="38" t="n">
        <x:v>248.85</x:v>
      </x:c>
      <x:c r="F553" s="38" t="n">
        <x:v>0</x:v>
      </x:c>
      <x:c r="G553" s="38" t="n">
        <x:v>35480</x:v>
      </x:c>
      <x:c r="H553" s="15" t="str">
        <x:v>Supplier payments</x:v>
      </x:c>
      <x:c r="I553" s="15" t="str">
        <x:v>Buco Komatipoort 116</x:v>
      </x:c>
      <x:c r="J553" s="15" t="str">
        <x:v>eml_ALL_currentac__512781 (2).zip &gt; eml10currentac__512781.zip / FNB _-) R248.85 reserved for purchase @ Buco Komatipoort 116 from Current a_c..512781 using card..2924. 10Nov 13_16.eml</x:v>
      </x:c>
    </x:row>
    <x:row r="554">
      <x:c r="A554" s="15" t="str">
        <x:v>Current a/c..512781 / card..2924</x:v>
      </x:c>
      <x:c r="B554" s="34" t="n">
        <x:v>45971.57013888889</x:v>
      </x:c>
      <x:c r="C554" s="15" t="str">
        <x:v>R461.86 reserved for purchase @ Pep Home 5771 Komati from Current a/c..512781 using card..2924. Avail R35018. 10Nov 13:41</x:v>
      </x:c>
      <x:c r="D554" s="38" t="n">
        <x:v>0</x:v>
      </x:c>
      <x:c r="E554" s="38" t="n">
        <x:v>461.86</x:v>
      </x:c>
      <x:c r="F554" s="38" t="n">
        <x:v>0</x:v>
      </x:c>
      <x:c r="G554" s="38" t="n">
        <x:v>35018</x:v>
      </x:c>
      <x:c r="H554" s="15" t="str">
        <x:v>Supplier payments</x:v>
      </x:c>
      <x:c r="I554" s="15" t="str">
        <x:v>Pep Home 5771 Komati</x:v>
      </x:c>
      <x:c r="J554" s="15" t="str">
        <x:v>eml_ALL_currentac__512781 (2).zip &gt; eml10currentac__512781.zip / FNB _-) R461.86 reserved for purchase @ Pep Home 5771 Komati from Current a_c..512781 using card..2924. 10Nov 13_41.eml</x:v>
      </x:c>
    </x:row>
    <x:row r="555">
      <x:c r="A555" s="15" t="str">
        <x:v>Current a/c..512781 / card..2924</x:v>
      </x:c>
      <x:c r="B555" s="34" t="n">
        <x:v>45971.60625</x:v>
      </x:c>
      <x:c r="C555" s="15" t="str">
        <x:v>R1005.71 reserved for purchase @ Superspar Komatipoor from Current a/c..512781 using card..2924. Avail R46260. 10Nov 14:33</x:v>
      </x:c>
      <x:c r="D555" s="38" t="n">
        <x:v>0</x:v>
      </x:c>
      <x:c r="E555" s="38" t="n">
        <x:v>1005.71</x:v>
      </x:c>
      <x:c r="F555" s="38" t="n">
        <x:v>0</x:v>
      </x:c>
      <x:c r="G555" s="38" t="n">
        <x:v>46260</x:v>
      </x:c>
      <x:c r="H555" s="15" t="str">
        <x:v>Supplier payments</x:v>
      </x:c>
      <x:c r="I555" s="15" t="str">
        <x:v>Superspar Komatipoor</x:v>
      </x:c>
      <x:c r="J555" s="15" t="str">
        <x:v>eml_ALL_currentac__512781 (2).zip &gt; eml10currentac__512781.zip / FNB _-) R1005.71 reserved for purchase @ Superspar Komatipoor from Current a_c..512781 using card..2924. 10Nov 14_33.eml</x:v>
      </x:c>
    </x:row>
    <x:row r="556">
      <x:c r="A556" s="15" t="str">
        <x:v>Current a/c..512781 / card..2924</x:v>
      </x:c>
      <x:c r="B556" s="34" t="n">
        <x:v>45972.58819444444</x:v>
      </x:c>
      <x:c r="C556" s="15" t="str">
        <x:v>R250.27 reserved for purchase @ Superspar Komatipoor from Current a/c..512781 using card..2924. Avail R43523. 11Nov 14:07</x:v>
      </x:c>
      <x:c r="D556" s="38" t="n">
        <x:v>0</x:v>
      </x:c>
      <x:c r="E556" s="38" t="n">
        <x:v>250.27</x:v>
      </x:c>
      <x:c r="F556" s="38" t="n">
        <x:v>0</x:v>
      </x:c>
      <x:c r="G556" s="38" t="n">
        <x:v>43523</x:v>
      </x:c>
      <x:c r="H556" s="15" t="str">
        <x:v>Supplier payments</x:v>
      </x:c>
      <x:c r="I556" s="15" t="str">
        <x:v>Superspar Komatipoor</x:v>
      </x:c>
      <x:c r="J556" s="15" t="str">
        <x:v>eml_ALL_currentac__512781 (2).zip &gt; eml10currentac__512781.zip / FNB _-) R250.27 reserved for purchase @ Superspar Komatipoor from Current a_c..512781 using card..2924. 11Nov 14_07.eml</x:v>
      </x:c>
    </x:row>
    <x:row r="557">
      <x:c r="A557" s="15" t="str">
        <x:v>Current a/c..512781 / card..2924</x:v>
      </x:c>
      <x:c r="B557" s="34" t="n">
        <x:v>45972.59652777778</x:v>
      </x:c>
      <x:c r="C557" s="15" t="str">
        <x:v>R800.00 reserved for purchase @ Frontier Fuels from Current a/c..512781 using card..2924. Avail R42723. 11Nov 14:19</x:v>
      </x:c>
      <x:c r="D557" s="38" t="n">
        <x:v>0</x:v>
      </x:c>
      <x:c r="E557" s="38" t="n">
        <x:v>800</x:v>
      </x:c>
      <x:c r="F557" s="38" t="n">
        <x:v>0</x:v>
      </x:c>
      <x:c r="G557" s="38" t="n">
        <x:v>42723</x:v>
      </x:c>
      <x:c r="H557" s="15" t="str">
        <x:v>Fuel / transport</x:v>
      </x:c>
      <x:c r="I557" s="15" t="str">
        <x:v>Frontier Fuels</x:v>
      </x:c>
      <x:c r="J557" s="15" t="str">
        <x:v>eml_ALL_currentac__512781 (2).zip &gt; eml10currentac__512781.zip / FNB _-) R800.00 reserved for purchase @ Frontier Fuels from Current a_c..512781 using card..2924. 11Nov 14_19.eml</x:v>
      </x:c>
    </x:row>
    <x:row r="558">
      <x:c r="A558" s="15" t="str">
        <x:v>Current a/c..512781 / card..2924</x:v>
      </x:c>
      <x:c r="B558" s="34" t="n">
        <x:v>45973.510416666664</x:v>
      </x:c>
      <x:c r="C558" s="15" t="str">
        <x:v>R1099.79 reserved for purchase @ Impala Electrical Wh from Current a/c..512781 using card..2924. Avail R19181. 12Nov 12:15</x:v>
      </x:c>
      <x:c r="D558" s="38" t="n">
        <x:v>0</x:v>
      </x:c>
      <x:c r="E558" s="38" t="n">
        <x:v>1099.79</x:v>
      </x:c>
      <x:c r="F558" s="38" t="n">
        <x:v>0</x:v>
      </x:c>
      <x:c r="G558" s="38" t="n">
        <x:v>19181</x:v>
      </x:c>
      <x:c r="H558" s="15" t="str">
        <x:v>Telecom / utilities</x:v>
      </x:c>
      <x:c r="I558" s="15" t="str">
        <x:v>Impala Electrical Wh</x:v>
      </x:c>
      <x:c r="J558" s="15" t="str">
        <x:v>eml_ALL_currentac__512781 (2).zip &gt; eml10currentac__512781.zip / FNB _-) R1099.79 reserved for purchase @ Impala Electrical Wh from Current a_c..512781 using card..2924. 12Nov 12_15.eml</x:v>
      </x:c>
    </x:row>
    <x:row r="559">
      <x:c r="A559" s="15" t="str">
        <x:v>Current a/c..512781 / card..2924</x:v>
      </x:c>
      <x:c r="B559" s="34" t="n">
        <x:v>45973.51736111111</x:v>
      </x:c>
      <x:c r="C559" s="15" t="str">
        <x:v>R444.00 reserved for purchase @ Tops Malelane from Current a/c..512781 using card..2924. Avail R18737. 12Nov 12:25</x:v>
      </x:c>
      <x:c r="D559" s="38" t="n">
        <x:v>0</x:v>
      </x:c>
      <x:c r="E559" s="38" t="n">
        <x:v>444</x:v>
      </x:c>
      <x:c r="F559" s="38" t="n">
        <x:v>0</x:v>
      </x:c>
      <x:c r="G559" s="38" t="n">
        <x:v>18737</x:v>
      </x:c>
      <x:c r="H559" s="15" t="str">
        <x:v>Meals / restaurants / entertainment</x:v>
      </x:c>
      <x:c r="I559" s="15" t="str">
        <x:v>Tops Malelane</x:v>
      </x:c>
      <x:c r="J559" s="15" t="str">
        <x:v>eml_ALL_currentac__512781 (2).zip &gt; eml10currentac__512781.zip / FNB _-) R444.00 reserved for purchase @ Tops Malelane from Current a_c..512781 using card..2924. 12Nov 12_25.eml</x:v>
      </x:c>
    </x:row>
    <x:row r="560">
      <x:c r="A560" s="15" t="str">
        <x:v>Current a/c..512781 / card..2924</x:v>
      </x:c>
      <x:c r="B560" s="34" t="n">
        <x:v>45974.58263888889</x:v>
      </x:c>
      <x:c r="C560" s="15" t="str">
        <x:v>R134.02 reserved for purchase @ Savemor Marloth from Current a/c..512781 using card..2924. Avail R20040. 13Nov 13:59</x:v>
      </x:c>
      <x:c r="D560" s="38" t="n">
        <x:v>0</x:v>
      </x:c>
      <x:c r="E560" s="38" t="n">
        <x:v>134.02</x:v>
      </x:c>
      <x:c r="F560" s="38" t="n">
        <x:v>0</x:v>
      </x:c>
      <x:c r="G560" s="38" t="n">
        <x:v>20040</x:v>
      </x:c>
      <x:c r="H560" s="15" t="str">
        <x:v>Supplier payments</x:v>
      </x:c>
      <x:c r="I560" s="15" t="str">
        <x:v>Savemor Marloth</x:v>
      </x:c>
      <x:c r="J560" s="15" t="str">
        <x:v>eml_ALL_currentac__512781 (2).zip &gt; eml10currentac__512781.zip / FNB _-) R134.02 reserved for purchase @ Savemor Marloth from Current a_c..512781 using card..2924. 13Nov 13_59.eml</x:v>
      </x:c>
    </x:row>
    <x:row r="561">
      <x:c r="A561" s="15" t="str">
        <x:v>Current a/c..512781 / card..2924</x:v>
      </x:c>
      <x:c r="B561" s="34" t="n">
        <x:v>45975.47777777778</x:v>
      </x:c>
      <x:c r="C561" s="15" t="str">
        <x:v>R220.00 reserved for purchase @ Smart Home from Current a/c..512781 using card..2924. Avail R4370. 14Nov 11:28</x:v>
      </x:c>
      <x:c r="D561" s="38" t="n">
        <x:v>0</x:v>
      </x:c>
      <x:c r="E561" s="38" t="n">
        <x:v>220</x:v>
      </x:c>
      <x:c r="F561" s="38" t="n">
        <x:v>0</x:v>
      </x:c>
      <x:c r="G561" s="38" t="n">
        <x:v>4370</x:v>
      </x:c>
      <x:c r="H561" s="15" t="str">
        <x:v>Card spend</x:v>
      </x:c>
      <x:c r="I561" s="15" t="str">
        <x:v>Smart Home</x:v>
      </x:c>
      <x:c r="J561" s="15" t="str">
        <x:v>eml_ALL_currentac__512781 (2).zip &gt; eml10currentac__512781.zip / FNB _-) R220.00 reserved for purchase @ Smart Home from Current a_c..512781 using card..2924. 14Nov 11_28.eml</x:v>
      </x:c>
    </x:row>
    <x:row r="562">
      <x:c r="A562" s="15" t="str">
        <x:v>Current a/c..512781 / card..2924</x:v>
      </x:c>
      <x:c r="B562" s="34" t="n">
        <x:v>45975.49166666667</x:v>
      </x:c>
      <x:c r="C562" s="15" t="str">
        <x:v>R223.00 reserved for purchase @ Dream Lucky from Current a/c..512781 using card..2924. Avail R4147. 14Nov 11:48</x:v>
      </x:c>
      <x:c r="D562" s="38" t="n">
        <x:v>0</x:v>
      </x:c>
      <x:c r="E562" s="38" t="n">
        <x:v>223</x:v>
      </x:c>
      <x:c r="F562" s="38" t="n">
        <x:v>0</x:v>
      </x:c>
      <x:c r="G562" s="38" t="n">
        <x:v>4147</x:v>
      </x:c>
      <x:c r="H562" s="15" t="str">
        <x:v>Card spend</x:v>
      </x:c>
      <x:c r="I562" s="15" t="str">
        <x:v>Dream Lucky</x:v>
      </x:c>
      <x:c r="J562" s="15" t="str">
        <x:v>eml_ALL_currentac__512781 (2).zip &gt; eml10currentac__512781.zip / FNB _-) R223.00 reserved for purchase @ Dream Lucky from Current a_c..512781 using card..2924. 14Nov 11_48.eml</x:v>
      </x:c>
    </x:row>
    <x:row r="563">
      <x:c r="A563" s="15" t="str">
        <x:v>Current a/c..512781 / card..2924</x:v>
      </x:c>
      <x:c r="B563" s="34" t="n">
        <x:v>45975.50833333333</x:v>
      </x:c>
      <x:c r="C563" s="15" t="str">
        <x:v>R369.94 reserved for purchase @ Riviera Cash N Carry from Current a/c..512781 using card..2924. Avail R3777. 14Nov 12:12</x:v>
      </x:c>
      <x:c r="D563" s="38" t="n">
        <x:v>0</x:v>
      </x:c>
      <x:c r="E563" s="38" t="n">
        <x:v>369.94</x:v>
      </x:c>
      <x:c r="F563" s="38" t="n">
        <x:v>0</x:v>
      </x:c>
      <x:c r="G563" s="38" t="n">
        <x:v>3777</x:v>
      </x:c>
      <x:c r="H563" s="15" t="str">
        <x:v>Cash withdrawal</x:v>
      </x:c>
      <x:c r="I563" s="15" t="str">
        <x:v>Riviera Cash N Carry</x:v>
      </x:c>
      <x:c r="J563" s="15" t="str">
        <x:v>eml_ALL_currentac__512781 (2).zip &gt; eml10currentac__512781.zip / FNB _-) R369.94 reserved for purchase @ Riviera Cash N Carry from Current a_c..512781 using card..2924. 14Nov 12_12.eml</x:v>
      </x:c>
    </x:row>
    <x:row r="564">
      <x:c r="A564" s="15" t="str">
        <x:v>Current a/c..512781 / card..2924</x:v>
      </x:c>
      <x:c r="B564" s="34" t="n">
        <x:v>45975.55694444444</x:v>
      </x:c>
      <x:c r="C564" s="15" t="str">
        <x:v>R853.87 reserved for purchase @ Shoprite Malelane from Current a/c..512781 using card..2924. Avail R2861. 14Nov 13:22</x:v>
      </x:c>
      <x:c r="D564" s="38" t="n">
        <x:v>0</x:v>
      </x:c>
      <x:c r="E564" s="38" t="n">
        <x:v>853.87</x:v>
      </x:c>
      <x:c r="F564" s="38" t="n">
        <x:v>0</x:v>
      </x:c>
      <x:c r="G564" s="38" t="n">
        <x:v>2861</x:v>
      </x:c>
      <x:c r="H564" s="15" t="str">
        <x:v>Supplier payments</x:v>
      </x:c>
      <x:c r="I564" s="15" t="str">
        <x:v>Shoprite Malelane</x:v>
      </x:c>
      <x:c r="J564" s="15" t="str">
        <x:v>eml_ALL_currentac__512781 (2).zip &gt; eml10currentac__512781.zip / FNB _-) R853.87 reserved for purchase @ Shoprite Malelane from Current a_c..512781 using card..2924. 14Nov 13_22.eml</x:v>
      </x:c>
    </x:row>
    <x:row r="565">
      <x:c r="A565" s="15" t="str">
        <x:v>Current a/c..512781 / card..2924</x:v>
      </x:c>
      <x:c r="B565" s="34" t="n">
        <x:v>45975.58472222222</x:v>
      </x:c>
      <x:c r="C565" s="15" t="str">
        <x:v>R563.89 reserved for purchase @ Woolworths from Current a/c..512781 using card..2924. Avail R2297. 14Nov 14:02</x:v>
      </x:c>
      <x:c r="D565" s="38" t="n">
        <x:v>0</x:v>
      </x:c>
      <x:c r="E565" s="38" t="n">
        <x:v>563.89</x:v>
      </x:c>
      <x:c r="F565" s="38" t="n">
        <x:v>0</x:v>
      </x:c>
      <x:c r="G565" s="38" t="n">
        <x:v>2297</x:v>
      </x:c>
      <x:c r="H565" s="15" t="str">
        <x:v>Supplier payments</x:v>
      </x:c>
      <x:c r="I565" s="15" t="str">
        <x:v>Woolworths</x:v>
      </x:c>
      <x:c r="J565" s="15" t="str">
        <x:v>eml_ALL_currentac__512781 (2).zip &gt; eml10currentac__512781.zip / FNB _-) R563.89 reserved for purchase @ Woolworths from Current a_c..512781 using card..2924. 14Nov 14_02.eml</x:v>
      </x:c>
    </x:row>
    <x:row r="566">
      <x:c r="A566" s="15" t="str">
        <x:v>Current a/c..512781 / card..2924</x:v>
      </x:c>
      <x:c r="B566" s="34" t="n">
        <x:v>45975.638194444444</x:v>
      </x:c>
      <x:c r="C566" s="15" t="str">
        <x:v>R1034.52 reserved for purchase @ Superspar Malelane from Current a/c..512781 using card..2924. Avail R1262. 14Nov 15:19</x:v>
      </x:c>
      <x:c r="D566" s="38" t="n">
        <x:v>0</x:v>
      </x:c>
      <x:c r="E566" s="38" t="n">
        <x:v>1034.52</x:v>
      </x:c>
      <x:c r="F566" s="38" t="n">
        <x:v>0</x:v>
      </x:c>
      <x:c r="G566" s="38" t="n">
        <x:v>1262</x:v>
      </x:c>
      <x:c r="H566" s="15" t="str">
        <x:v>Supplier payments</x:v>
      </x:c>
      <x:c r="I566" s="15" t="str">
        <x:v>Superspar Malelane</x:v>
      </x:c>
      <x:c r="J566" s="15" t="str">
        <x:v>eml_ALL_currentac__512781 (2).zip &gt; eml10currentac__512781.zip / FNB _-) R1034.52 reserved for purchase @ Superspar Malelane from Current a_c..512781 using card..2924. 14Nov 15_19.eml</x:v>
      </x:c>
    </x:row>
    <x:row r="567">
      <x:c r="A567" s="15" t="str">
        <x:v>Current a/c..512781 / card..2924</x:v>
      </x:c>
      <x:c r="B567" s="34" t="n">
        <x:v>45977.51458333333</x:v>
      </x:c>
      <x:c r="C567" s="15" t="str">
        <x:v>R218.85 reserved for purchase @ Savemor Marloth from Current a/c..512781 using card..2924. Avail R1029. 16Nov 12:21</x:v>
      </x:c>
      <x:c r="D567" s="38" t="n">
        <x:v>0</x:v>
      </x:c>
      <x:c r="E567" s="38" t="n">
        <x:v>218.85</x:v>
      </x:c>
      <x:c r="F567" s="38" t="n">
        <x:v>0</x:v>
      </x:c>
      <x:c r="G567" s="38" t="n">
        <x:v>1029</x:v>
      </x:c>
      <x:c r="H567" s="15" t="str">
        <x:v>Supplier payments</x:v>
      </x:c>
      <x:c r="I567" s="15" t="str">
        <x:v>Savemor Marloth</x:v>
      </x:c>
      <x:c r="J567" s="15" t="str">
        <x:v>eml_ALL_currentac__512781 (2).zip &gt; eml10currentac__512781.zip / FNB _-) R218.85 reserved for purchase @ Savemor Marloth from Current a_c..512781 using card..2924. 16Nov 12_21.eml</x:v>
      </x:c>
    </x:row>
    <x:row r="568">
      <x:c r="A568" s="15" t="str">
        <x:v>Current a/c..512781 / card..2924</x:v>
      </x:c>
      <x:c r="B568" s="34" t="n">
        <x:v>45978.45277777778</x:v>
      </x:c>
      <x:c r="C568" s="15" t="str">
        <x:v>R815.37 reserved for purchase @ Superspar Komatipoor from Current a/c..512781 using card..2924. Avail R7127. 17Nov 10:52</x:v>
      </x:c>
      <x:c r="D568" s="38" t="n">
        <x:v>0</x:v>
      </x:c>
      <x:c r="E568" s="38" t="n">
        <x:v>815.37</x:v>
      </x:c>
      <x:c r="F568" s="38" t="n">
        <x:v>0</x:v>
      </x:c>
      <x:c r="G568" s="38" t="n">
        <x:v>7127</x:v>
      </x:c>
      <x:c r="H568" s="15" t="str">
        <x:v>Supplier payments</x:v>
      </x:c>
      <x:c r="I568" s="15" t="str">
        <x:v>Superspar Komatipoor</x:v>
      </x:c>
      <x:c r="J568" s="15" t="str">
        <x:v>eml_ALL_currentac__512781 (2).zip &gt; eml10currentac__512781.zip / FNB _-) R815.37 reserved for purchase @ Superspar Komatipoor from Current a_c..512781 using card..2924. 17Nov 10_52.eml</x:v>
      </x:c>
    </x:row>
    <x:row r="569">
      <x:c r="A569" s="15" t="str">
        <x:v>Current a/c..512781 / card..2924</x:v>
      </x:c>
      <x:c r="B569" s="34" t="n">
        <x:v>45978.46041666667</x:v>
      </x:c>
      <x:c r="C569" s="15" t="str">
        <x:v>R225.60 reserved for purchase @ Oasis Water Komatipo from Current a/c..512781 using card..2924. Avail R6901. 17Nov 11:03</x:v>
      </x:c>
      <x:c r="D569" s="38" t="n">
        <x:v>0</x:v>
      </x:c>
      <x:c r="E569" s="38" t="n">
        <x:v>225.6</x:v>
      </x:c>
      <x:c r="F569" s="38" t="n">
        <x:v>0</x:v>
      </x:c>
      <x:c r="G569" s="38" t="n">
        <x:v>6901</x:v>
      </x:c>
      <x:c r="H569" s="15" t="str">
        <x:v>Supplier payments</x:v>
      </x:c>
      <x:c r="I569" s="15" t="str">
        <x:v>Oasis Water Komatipo</x:v>
      </x:c>
      <x:c r="J569" s="15" t="str">
        <x:v>eml_ALL_currentac__512781 (2).zip &gt; eml10currentac__512781.zip / FNB _-) R225.60 reserved for purchase @ Oasis Water Komatipo from Current a_c..512781 using card..2924. 17Nov 11_03.eml</x:v>
      </x:c>
    </x:row>
    <x:row r="570">
      <x:c r="A570" s="15" t="str">
        <x:v>Current a/c..512781 / card..2924</x:v>
      </x:c>
      <x:c r="B570" s="34" t="n">
        <x:v>45978.49722222222</x:v>
      </x:c>
      <x:c r="C570" s="15" t="str">
        <x:v>R228.85 reserved for purchase @ Paystack *zoho Co from Current a/c..512781 using card..2924. Avail R6673. 17Nov 11:56</x:v>
      </x:c>
      <x:c r="D570" s="38" t="n">
        <x:v>0</x:v>
      </x:c>
      <x:c r="E570" s="38" t="n">
        <x:v>228.85</x:v>
      </x:c>
      <x:c r="F570" s="38" t="n">
        <x:v>0</x:v>
      </x:c>
      <x:c r="G570" s="38" t="n">
        <x:v>6673</x:v>
      </x:c>
      <x:c r="H570" s="15" t="str">
        <x:v>Software / subscriptions</x:v>
      </x:c>
      <x:c r="I570" s="15" t="str">
        <x:v>Paystack *zoho Co</x:v>
      </x:c>
      <x:c r="J570" s="15" t="str">
        <x:v>eml_ALL_currentac__512781 (2).zip &gt; eml10currentac__512781.zip / FNB _-) R228.85 reserved for purchase @ Paystack _zoho Co from Current a_c..512781 using card..2924. 17Nov 11_56.eml</x:v>
      </x:c>
    </x:row>
    <x:row r="571">
      <x:c r="A571" s="15" t="str">
        <x:v>Current a/c..512781 / card..2924</x:v>
      </x:c>
      <x:c r="B571" s="34" t="n">
        <x:v>45978.62708333333</x:v>
      </x:c>
      <x:c r="C571" s="15" t="str">
        <x:v>R145.85 reserved for purchase @ Savemor Marloth from Current a/c..512781 using card..2924. Avail R12512. 17Nov 15:03</x:v>
      </x:c>
      <x:c r="D571" s="38" t="n">
        <x:v>0</x:v>
      </x:c>
      <x:c r="E571" s="38" t="n">
        <x:v>145.85</x:v>
      </x:c>
      <x:c r="F571" s="38" t="n">
        <x:v>0</x:v>
      </x:c>
      <x:c r="G571" s="38" t="n">
        <x:v>12512</x:v>
      </x:c>
      <x:c r="H571" s="15" t="str">
        <x:v>Supplier payments</x:v>
      </x:c>
      <x:c r="I571" s="15" t="str">
        <x:v>Savemor Marloth</x:v>
      </x:c>
      <x:c r="J571" s="15" t="str">
        <x:v>eml_ALL_currentac__512781 (2).zip &gt; eml10currentac__512781.zip / FNB _-) R145.85 reserved for purchase @ Savemor Marloth from Current a_c..512781 using card..2924. 17Nov 15_03.eml</x:v>
      </x:c>
    </x:row>
    <x:row r="572">
      <x:c r="A572" s="15" t="str">
        <x:v>Current a/c..512781 / card..2924</x:v>
      </x:c>
      <x:c r="B572" s="34" t="n">
        <x:v>45979.47986111111</x:v>
      </x:c>
      <x:c r="C572" s="15" t="str">
        <x:v>R846.99 reserved for purchase @ Superspar Komatipoor from Current a/c..512781 using card..2924. Avail R3865. 18Nov 11:31</x:v>
      </x:c>
      <x:c r="D572" s="38" t="n">
        <x:v>0</x:v>
      </x:c>
      <x:c r="E572" s="38" t="n">
        <x:v>846.99</x:v>
      </x:c>
      <x:c r="F572" s="38" t="n">
        <x:v>0</x:v>
      </x:c>
      <x:c r="G572" s="38" t="n">
        <x:v>3865</x:v>
      </x:c>
      <x:c r="H572" s="15" t="str">
        <x:v>Supplier payments</x:v>
      </x:c>
      <x:c r="I572" s="15" t="str">
        <x:v>Superspar Komatipoor</x:v>
      </x:c>
      <x:c r="J572" s="15" t="str">
        <x:v>eml_ALL_currentac__512781 (2).zip &gt; eml10currentac__512781.zip / FNB _-) R846.99 reserved for purchase @ Superspar Komatipoor from Current a_c..512781 using card..2924. 18Nov 11_31.eml</x:v>
      </x:c>
    </x:row>
    <x:row r="573">
      <x:c r="A573" s="15" t="str">
        <x:v>Current a/c..512781 / card..2924</x:v>
      </x:c>
      <x:c r="B573" s="34" t="n">
        <x:v>45979.4875</x:v>
      </x:c>
      <x:c r="C573" s="15" t="str">
        <x:v>R246.47 reserved for purchase @ Tops Komatipoort from Current a/c..512781 using card..2924. Avail R3619. 18Nov 11:42</x:v>
      </x:c>
      <x:c r="D573" s="38" t="n">
        <x:v>0</x:v>
      </x:c>
      <x:c r="E573" s="38" t="n">
        <x:v>246.47</x:v>
      </x:c>
      <x:c r="F573" s="38" t="n">
        <x:v>0</x:v>
      </x:c>
      <x:c r="G573" s="38" t="n">
        <x:v>3619</x:v>
      </x:c>
      <x:c r="H573" s="15" t="str">
        <x:v>Meals / restaurants / entertainment</x:v>
      </x:c>
      <x:c r="I573" s="15" t="str">
        <x:v>Tops Komatipoort</x:v>
      </x:c>
      <x:c r="J573" s="15" t="str">
        <x:v>eml_ALL_currentac__512781 (2).zip &gt; eml10currentac__512781.zip / FNB _-) R246.47 reserved for purchase @ Tops Komatipoort from Current a_c..512781 using card..2924. 18Nov 11_42.eml</x:v>
      </x:c>
    </x:row>
    <x:row r="574">
      <x:c r="A574" s="15" t="str">
        <x:v>Current a/c..512781 / card..2924</x:v>
      </x:c>
      <x:c r="B574" s="34" t="n">
        <x:v>45979.506944444445</x:v>
      </x:c>
      <x:c r="C574" s="15" t="str">
        <x:v>R237.35 reserved for purchase @ Border Butchery 265 from Current a/c..512781 using card..2924. Avail R3382. 18Nov 12:10</x:v>
      </x:c>
      <x:c r="D574" s="38" t="n">
        <x:v>0</x:v>
      </x:c>
      <x:c r="E574" s="38" t="n">
        <x:v>237.35</x:v>
      </x:c>
      <x:c r="F574" s="38" t="n">
        <x:v>0</x:v>
      </x:c>
      <x:c r="G574" s="38" t="n">
        <x:v>3382</x:v>
      </x:c>
      <x:c r="H574" s="15" t="str">
        <x:v>Supplier payments</x:v>
      </x:c>
      <x:c r="I574" s="15" t="str">
        <x:v>Border Butchery 265</x:v>
      </x:c>
      <x:c r="J574" s="15" t="str">
        <x:v>eml_ALL_currentac__512781 (2).zip &gt; eml10currentac__512781.zip / FNB _-) R237.35 reserved for purchase @ Border Butchery 265 from Current a_c..512781 using card..2924. 18Nov 12_10.eml</x:v>
      </x:c>
    </x:row>
    <x:row r="575">
      <x:c r="A575" s="15" t="str">
        <x:v>Current a/c..512781 / card..2924</x:v>
      </x:c>
      <x:c r="B575" s="34" t="n">
        <x:v>45980.55763888889</x:v>
      </x:c>
      <x:c r="C575" s="15" t="str">
        <x:v>R569.00 reserved for purchase @ S2s*sa Liquors Komat from Current a/c..512781 using card..2924. Avail R1183. 19Nov 13:23</x:v>
      </x:c>
      <x:c r="D575" s="38" t="n">
        <x:v>0</x:v>
      </x:c>
      <x:c r="E575" s="38" t="n">
        <x:v>569</x:v>
      </x:c>
      <x:c r="F575" s="38" t="n">
        <x:v>0</x:v>
      </x:c>
      <x:c r="G575" s="38" t="n">
        <x:v>1183</x:v>
      </x:c>
      <x:c r="H575" s="15" t="str">
        <x:v>Meals / restaurants / entertainment</x:v>
      </x:c>
      <x:c r="I575" s="15" t="str">
        <x:v>S2s*sa Liquors Komat</x:v>
      </x:c>
      <x:c r="J575" s="15" t="str">
        <x:v>eml_ALL_currentac__512781 (2).zip &gt; eml10currentac__512781.zip / FNB _-) R569.00 reserved for purchase @ S2s_sa Liquors Komat from Current a_c..512781 using card..2924. 19Nov 13_23.eml</x:v>
      </x:c>
    </x:row>
    <x:row r="576">
      <x:c r="A576" s="15" t="str">
        <x:v>Current a/c..512781 / card..2924</x:v>
      </x:c>
      <x:c r="B576" s="34" t="n">
        <x:v>45980.60208333333</x:v>
      </x:c>
      <x:c r="C576" s="15" t="str">
        <x:v>R572.97 reserved for purchase @ Savemor Marloth from Current a/c..512781 using card..2924. Avail R9810. 19Nov 14:27</x:v>
      </x:c>
      <x:c r="D576" s="38" t="n">
        <x:v>0</x:v>
      </x:c>
      <x:c r="E576" s="38" t="n">
        <x:v>572.97</x:v>
      </x:c>
      <x:c r="F576" s="38" t="n">
        <x:v>0</x:v>
      </x:c>
      <x:c r="G576" s="38" t="n">
        <x:v>9810</x:v>
      </x:c>
      <x:c r="H576" s="15" t="str">
        <x:v>Supplier payments</x:v>
      </x:c>
      <x:c r="I576" s="15" t="str">
        <x:v>Savemor Marloth</x:v>
      </x:c>
      <x:c r="J576" s="15" t="str">
        <x:v>eml_ALL_currentac__512781 (2).zip &gt; eml10currentac__512781.zip / FNB _-) R572.97 reserved for purchase @ Savemor Marloth from Current a_c..512781 using card..2924. 19Nov 14_27.eml</x:v>
      </x:c>
    </x:row>
    <x:row r="577">
      <x:c r="A577" s="15" t="str">
        <x:v>Current a/c..512781 / card..2924</x:v>
      </x:c>
      <x:c r="B577" s="34" t="n">
        <x:v>45980.74652777778</x:v>
      </x:c>
      <x:c r="C577" s="15" t="str">
        <x:v>R125.00 reserved for purchase @ The Tin Shack from Current a/c..512781 using card..2924. Avail R9685. 19Nov 17:55</x:v>
      </x:c>
      <x:c r="D577" s="38" t="n">
        <x:v>0</x:v>
      </x:c>
      <x:c r="E577" s="38" t="n">
        <x:v>125</x:v>
      </x:c>
      <x:c r="F577" s="38" t="n">
        <x:v>0</x:v>
      </x:c>
      <x:c r="G577" s="38" t="n">
        <x:v>9685</x:v>
      </x:c>
      <x:c r="H577" s="15" t="str">
        <x:v>Meals / restaurants / entertainment</x:v>
      </x:c>
      <x:c r="I577" s="15" t="str">
        <x:v>The Tin Shack</x:v>
      </x:c>
      <x:c r="J577" s="15" t="str">
        <x:v>eml_ALL_currentac__512781 (2).zip &gt; eml10currentac__512781.zip / FNB _-) R125.00 reserved for purchase @ The Tin Shack from Current a_c..512781 using card..2924. 19Nov 17_55.eml</x:v>
      </x:c>
    </x:row>
    <x:row r="578">
      <x:c r="A578" s="15" t="str">
        <x:v>Current a/c..512781 / card..2924</x:v>
      </x:c>
      <x:c r="B578" s="34" t="n">
        <x:v>45981.42916666667</x:v>
      </x:c>
      <x:c r="C578" s="15" t="str">
        <x:v>R170.00 reserved for purchase @ Sparkling Auto Nelsp from Current a/c..512781 using card..2924. Avail R9410. 20Nov 10:18</x:v>
      </x:c>
      <x:c r="D578" s="38" t="n">
        <x:v>0</x:v>
      </x:c>
      <x:c r="E578" s="38" t="n">
        <x:v>170</x:v>
      </x:c>
      <x:c r="F578" s="38" t="n">
        <x:v>0</x:v>
      </x:c>
      <x:c r="G578" s="38" t="n">
        <x:v>9410</x:v>
      </x:c>
      <x:c r="H578" s="15" t="str">
        <x:v>Supplier payments</x:v>
      </x:c>
      <x:c r="I578" s="15" t="str">
        <x:v>Sparkling Auto Nelsp</x:v>
      </x:c>
      <x:c r="J578" s="15" t="str">
        <x:v>eml_ALL_currentac__512781 (2).zip &gt; eml10currentac__512781.zip / FNB _-) R170.00 reserved for purchase @ Sparkling Auto Nelsp from Current a_c..512781 using card..2924. 20Nov 10_18.eml</x:v>
      </x:c>
    </x:row>
    <x:row r="579">
      <x:c r="A579" s="15" t="str">
        <x:v>Current a/c..512781 / card..2924</x:v>
      </x:c>
      <x:c r="B579" s="34" t="n">
        <x:v>45981.47361111111</x:v>
      </x:c>
      <x:c r="C579" s="15" t="str">
        <x:v>R125.00 reserved for purchase @ Bossa Nelspruit from Current a/c..512781 using card..2924. Avail R9285. 20Nov 11:22</x:v>
      </x:c>
      <x:c r="D579" s="38" t="n">
        <x:v>0</x:v>
      </x:c>
      <x:c r="E579" s="38" t="n">
        <x:v>125</x:v>
      </x:c>
      <x:c r="F579" s="38" t="n">
        <x:v>0</x:v>
      </x:c>
      <x:c r="G579" s="38" t="n">
        <x:v>9285</x:v>
      </x:c>
      <x:c r="H579" s="15" t="str">
        <x:v>Card spend</x:v>
      </x:c>
      <x:c r="I579" s="15" t="str">
        <x:v>Bossa Nelspruit</x:v>
      </x:c>
      <x:c r="J579" s="15" t="str">
        <x:v>eml_ALL_currentac__512781 (2).zip &gt; eml10currentac__512781.zip / FNB _-) R125.00 reserved for purchase @ Bossa Nelspruit from Current a_c..512781 using card..2924. 20Nov 11_22.eml</x:v>
      </x:c>
    </x:row>
    <x:row r="580">
      <x:c r="A580" s="15" t="str">
        <x:v>Current a/c..512781 / card..2924</x:v>
      </x:c>
      <x:c r="B580" s="34" t="n">
        <x:v>45981.50277777778</x:v>
      </x:c>
      <x:c r="C580" s="15" t="str">
        <x:v>R778.98 reserved for purchase @ Superspar The Grove from Current a/c..512781 using card..2924. Avail R7706. 20Nov 12:04</x:v>
      </x:c>
      <x:c r="D580" s="38" t="n">
        <x:v>0</x:v>
      </x:c>
      <x:c r="E580" s="38" t="n">
        <x:v>778.98</x:v>
      </x:c>
      <x:c r="F580" s="38" t="n">
        <x:v>0</x:v>
      </x:c>
      <x:c r="G580" s="38" t="n">
        <x:v>7706</x:v>
      </x:c>
      <x:c r="H580" s="15" t="str">
        <x:v>Supplier payments</x:v>
      </x:c>
      <x:c r="I580" s="15" t="str">
        <x:v>Superspar The Grove</x:v>
      </x:c>
      <x:c r="J580" s="15" t="str">
        <x:v>eml_ALL_currentac__512781 (2).zip &gt; eml10currentac__512781.zip / FNB _-) R778.98 reserved for purchase @ Superspar The Grove from Current a_c..512781 using card..2924. 20Nov 12_04.eml</x:v>
      </x:c>
    </x:row>
    <x:row r="581">
      <x:c r="A581" s="15" t="str">
        <x:v>Current a/c..512781 / card..2924</x:v>
      </x:c>
      <x:c r="B581" s="34" t="n">
        <x:v>45981.50277777778</x:v>
      </x:c>
      <x:c r="C581" s="15" t="str">
        <x:v>R778.98 reserved for purchase @ Superspar The Grove from Current a/c..512781 using card..2924. Avail R8485. 20Nov 12:04</x:v>
      </x:c>
      <x:c r="D581" s="38" t="n">
        <x:v>0</x:v>
      </x:c>
      <x:c r="E581" s="38" t="n">
        <x:v>778.98</x:v>
      </x:c>
      <x:c r="F581" s="38" t="n">
        <x:v>0</x:v>
      </x:c>
      <x:c r="G581" s="38" t="n">
        <x:v>8485</x:v>
      </x:c>
      <x:c r="H581" s="15" t="str">
        <x:v>Supplier payments</x:v>
      </x:c>
      <x:c r="I581" s="15" t="str">
        <x:v>Superspar The Grove</x:v>
      </x:c>
      <x:c r="J581" s="15" t="str">
        <x:v>eml_ALL_currentac__512781 (2).zip &gt; eml10currentac__512781.zip / FNB _-) R778.98 reserved for purchase @ Superspar The Grove from Current a_c..512781 using card..2924. 20Nov 12_04_1.eml</x:v>
      </x:c>
    </x:row>
    <x:row r="582">
      <x:c r="A582" s="15" t="str">
        <x:v>Current a/c..512781 / card..2924</x:v>
      </x:c>
      <x:c r="B582" s="34" t="n">
        <x:v>45981.50277777778</x:v>
      </x:c>
      <x:c r="C582" s="15" t="str">
        <x:v>REVERSAL of R778.98 for goods purchased from Current a/c..512781 using card..2924. 20Nov 12:04</x:v>
      </x:c>
      <x:c r="D582" s="38" t="n">
        <x:v>778.98</x:v>
      </x:c>
      <x:c r="E582" s="38" t="n">
        <x:v>0</x:v>
      </x:c>
      <x:c r="F582" s="38" t="n">
        <x:v>0</x:v>
      </x:c>
      <x:c r="G582" s="38"/>
      <x:c r="H582" s="15" t="str">
        <x:v>Refunds / reversals</x:v>
      </x:c>
      <x:c r="I582" s="15" t="str">
        <x:v>Card purchase reversal</x:v>
      </x:c>
      <x:c r="J582" s="15" t="str">
        <x:v>eml_ALL_currentac__512781 (2).zip &gt; eml10currentac__512781.zip / FNB _-) REVERSAL of R778.98 for goods purchased from Current a_c..512781 using card..2924. 20Nov 12_04.eml</x:v>
      </x:c>
    </x:row>
    <x:row r="583">
      <x:c r="A583" s="15" t="str">
        <x:v>Current a/c..512781 / card..2924</x:v>
      </x:c>
      <x:c r="B583" s="34" t="n">
        <x:v>45982.424305555556</x:v>
      </x:c>
      <x:c r="C583" s="15" t="str">
        <x:v>R250.00 reserved for purchase @ Marlothi Petrol Stat from Current a/c..512781 using card..2924. Avail R9509. 21Nov 10:11</x:v>
      </x:c>
      <x:c r="D583" s="38" t="n">
        <x:v>0</x:v>
      </x:c>
      <x:c r="E583" s="38" t="n">
        <x:v>250</x:v>
      </x:c>
      <x:c r="F583" s="38" t="n">
        <x:v>0</x:v>
      </x:c>
      <x:c r="G583" s="38" t="n">
        <x:v>9509</x:v>
      </x:c>
      <x:c r="H583" s="15" t="str">
        <x:v>Fuel / transport</x:v>
      </x:c>
      <x:c r="I583" s="15" t="str">
        <x:v>Marlothi Petrol Stat</x:v>
      </x:c>
      <x:c r="J583" s="15" t="str">
        <x:v>eml_ALL_currentac__512781 (2).zip &gt; eml10currentac__512781.zip / FNB _-) R250.00 reserved for purchase @ Marlothi Petrol Stat from Current a_c..512781 using card..2924. 21Nov 10_11.eml</x:v>
      </x:c>
    </x:row>
    <x:row r="584">
      <x:c r="A584" s="15" t="str">
        <x:v>Current a/c..512781 / card..2924</x:v>
      </x:c>
      <x:c r="B584" s="34" t="n">
        <x:v>45982.56041666667</x:v>
      </x:c>
      <x:c r="C584" s="15" t="str">
        <x:v>R1712.37 reserved for purchase @ Superspar Komatipoor from Current a/c..512781 using card..2924. Avail R2696. 21Nov 13:27</x:v>
      </x:c>
      <x:c r="D584" s="38" t="n">
        <x:v>0</x:v>
      </x:c>
      <x:c r="E584" s="38" t="n">
        <x:v>1712.37</x:v>
      </x:c>
      <x:c r="F584" s="38" t="n">
        <x:v>0</x:v>
      </x:c>
      <x:c r="G584" s="38" t="n">
        <x:v>2696</x:v>
      </x:c>
      <x:c r="H584" s="15" t="str">
        <x:v>Supplier payments</x:v>
      </x:c>
      <x:c r="I584" s="15" t="str">
        <x:v>Superspar Komatipoor</x:v>
      </x:c>
      <x:c r="J584" s="15" t="str">
        <x:v>eml_ALL_currentac__512781 (2).zip &gt; eml10currentac__512781.zip / FNB _-) R1712.37 reserved for purchase @ Superspar Komatipoor from Current a_c..512781 using card..2924. 21Nov 13_27.eml</x:v>
      </x:c>
    </x:row>
    <x:row r="585">
      <x:c r="A585" s="15" t="str">
        <x:v>Current a/c..512781 / card..2924</x:v>
      </x:c>
      <x:c r="B585" s="34" t="n">
        <x:v>45982.575</x:v>
      </x:c>
      <x:c r="C585" s="15" t="str">
        <x:v>R184.00 reserved for purchase @ Border Butchery 265 from Current a/c..512781 using card..2924. Avail R2512. 21Nov 13:48</x:v>
      </x:c>
      <x:c r="D585" s="38" t="n">
        <x:v>0</x:v>
      </x:c>
      <x:c r="E585" s="38" t="n">
        <x:v>184</x:v>
      </x:c>
      <x:c r="F585" s="38" t="n">
        <x:v>0</x:v>
      </x:c>
      <x:c r="G585" s="38" t="n">
        <x:v>2512</x:v>
      </x:c>
      <x:c r="H585" s="15" t="str">
        <x:v>Supplier payments</x:v>
      </x:c>
      <x:c r="I585" s="15" t="str">
        <x:v>Border Butchery 265</x:v>
      </x:c>
      <x:c r="J585" s="15" t="str">
        <x:v>eml_ALL_currentac__512781 (2).zip &gt; eml10currentac__512781.zip / FNB _-) R184.00 reserved for purchase @ Border Butchery 265 from Current a_c..512781 using card..2924. 21Nov 13_48.eml</x:v>
      </x:c>
    </x:row>
    <x:row r="586">
      <x:c r="A586" s="15" t="str">
        <x:v>Current a/c..512781 / card..2924</x:v>
      </x:c>
      <x:c r="B586" s="34" t="n">
        <x:v>45982.59375</x:v>
      </x:c>
      <x:c r="C586" s="15" t="str">
        <x:v>R673.85 reserved for purchase @ Marlothi Petrol Stat from Current a/c..512781 using card..2924. Avail R1839. 21Nov 14:15</x:v>
      </x:c>
      <x:c r="D586" s="38" t="n">
        <x:v>0</x:v>
      </x:c>
      <x:c r="E586" s="38" t="n">
        <x:v>673.85</x:v>
      </x:c>
      <x:c r="F586" s="38" t="n">
        <x:v>0</x:v>
      </x:c>
      <x:c r="G586" s="38" t="n">
        <x:v>1839</x:v>
      </x:c>
      <x:c r="H586" s="15" t="str">
        <x:v>Fuel / transport</x:v>
      </x:c>
      <x:c r="I586" s="15" t="str">
        <x:v>Marlothi Petrol Stat</x:v>
      </x:c>
      <x:c r="J586" s="15" t="str">
        <x:v>eml_ALL_currentac__512781 (2).zip &gt; eml10currentac__512781.zip / FNB _-) R673.85 reserved for purchase @ Marlothi Petrol Stat from Current a_c..512781 using card..2924. 21Nov 14_15.eml</x:v>
      </x:c>
    </x:row>
    <x:row r="587">
      <x:c r="A587" s="15" t="str">
        <x:v>Current a/c..512781 / card..2924</x:v>
      </x:c>
      <x:c r="B587" s="34" t="n">
        <x:v>45983.54027777778</x:v>
      </x:c>
      <x:c r="C587" s="15" t="str">
        <x:v>R493.41 reserved for purchase @ Tops Komatipoort from Current a/c..512781 using card..2924. Avail R4341. 22Nov 12:58</x:v>
      </x:c>
      <x:c r="D587" s="38" t="n">
        <x:v>0</x:v>
      </x:c>
      <x:c r="E587" s="38" t="n">
        <x:v>493.41</x:v>
      </x:c>
      <x:c r="F587" s="38" t="n">
        <x:v>0</x:v>
      </x:c>
      <x:c r="G587" s="38" t="n">
        <x:v>4341</x:v>
      </x:c>
      <x:c r="H587" s="15" t="str">
        <x:v>Meals / restaurants / entertainment</x:v>
      </x:c>
      <x:c r="I587" s="15" t="str">
        <x:v>Tops Komatipoort</x:v>
      </x:c>
      <x:c r="J587" s="15" t="str">
        <x:v>eml_ALL_currentac__512781 (2).zip &gt; eml10currentac__512781.zip / FNB _-) R493.41 reserved for purchase @ Tops Komatipoort from Current a_c..512781 using card..2924. 22Nov 12_58.eml</x:v>
      </x:c>
    </x:row>
    <x:row r="588">
      <x:c r="A588" s="15" t="str">
        <x:v>Current a/c..512781 / card..2924</x:v>
      </x:c>
      <x:c r="B588" s="34" t="n">
        <x:v>45985.572916666664</x:v>
      </x:c>
      <x:c r="C588" s="15" t="str">
        <x:v>R193.75 reserved for purchase @ Savemor Marloth from Current a/c..512781 using card..2924. Avail R6886. 24Nov 13:45</x:v>
      </x:c>
      <x:c r="D588" s="38" t="n">
        <x:v>0</x:v>
      </x:c>
      <x:c r="E588" s="38" t="n">
        <x:v>193.75</x:v>
      </x:c>
      <x:c r="F588" s="38" t="n">
        <x:v>0</x:v>
      </x:c>
      <x:c r="G588" s="38" t="n">
        <x:v>6886</x:v>
      </x:c>
      <x:c r="H588" s="15" t="str">
        <x:v>Supplier payments</x:v>
      </x:c>
      <x:c r="I588" s="15" t="str">
        <x:v>Savemor Marloth</x:v>
      </x:c>
      <x:c r="J588" s="15" t="str">
        <x:v>eml_ALL_currentac__512781 (2).zip &gt; eml10currentac__512781.zip / FNB _-) R193.75 reserved for purchase @ Savemor Marloth from Current a_c..512781 using card..2924. 24Nov 13_45.eml</x:v>
      </x:c>
    </x:row>
    <x:row r="589">
      <x:c r="A589" s="15" t="str">
        <x:v>Current a/c..512781 / card..2924</x:v>
      </x:c>
      <x:c r="B589" s="34" t="n">
        <x:v>45985.618055555555</x:v>
      </x:c>
      <x:c r="C589" s="15" t="str">
        <x:v>R200.00 reserved for purchase @ Marlothi Petrol Stat from Current a/c..512781 using card..2924. Avail R7928. 24Nov 14:50</x:v>
      </x:c>
      <x:c r="D589" s="38" t="n">
        <x:v>0</x:v>
      </x:c>
      <x:c r="E589" s="38" t="n">
        <x:v>200</x:v>
      </x:c>
      <x:c r="F589" s="38" t="n">
        <x:v>0</x:v>
      </x:c>
      <x:c r="G589" s="38" t="n">
        <x:v>7928</x:v>
      </x:c>
      <x:c r="H589" s="15" t="str">
        <x:v>Fuel / transport</x:v>
      </x:c>
      <x:c r="I589" s="15" t="str">
        <x:v>Marlothi Petrol Stat</x:v>
      </x:c>
      <x:c r="J589" s="15" t="str">
        <x:v>eml_ALL_currentac__512781 (2).zip &gt; eml10currentac__512781.zip / FNB _-) R200.00 reserved for purchase @ Marlothi Petrol Stat from Current a_c..512781 using card..2924. 24Nov 14_50.eml</x:v>
      </x:c>
    </x:row>
    <x:row r="590">
      <x:c r="A590" s="15" t="str">
        <x:v>Current a/c..512781 / card..2924</x:v>
      </x:c>
      <x:c r="B590" s="34" t="n">
        <x:v>45987.50902777778</x:v>
      </x:c>
      <x:c r="C590" s="15" t="str">
        <x:v>R321.00 reserved for purchase @ Waterkloofgas 236 from Current a/c..512781 using card..2924. Avail R5278. 26Nov 12:13</x:v>
      </x:c>
      <x:c r="D590" s="38" t="n">
        <x:v>0</x:v>
      </x:c>
      <x:c r="E590" s="38" t="n">
        <x:v>321</x:v>
      </x:c>
      <x:c r="F590" s="38" t="n">
        <x:v>0</x:v>
      </x:c>
      <x:c r="G590" s="38" t="n">
        <x:v>5278</x:v>
      </x:c>
      <x:c r="H590" s="15" t="str">
        <x:v>Card spend</x:v>
      </x:c>
      <x:c r="I590" s="15" t="str">
        <x:v>Waterkloofgas 236</x:v>
      </x:c>
      <x:c r="J590" s="15" t="str">
        <x:v>eml_ALL_currentac__512781 (2).zip &gt; eml10currentac__512781.zip / FNB _-) R321.00 reserved for purchase @ Waterkloofgas 236 from Current a_c..512781 using card..2924. 26Nov 12_13.eml</x:v>
      </x:c>
    </x:row>
    <x:row r="591">
      <x:c r="A591" s="15" t="str">
        <x:v>Current a/c..512781 / card..2924</x:v>
      </x:c>
      <x:c r="B591" s="34" t="n">
        <x:v>45987.6125</x:v>
      </x:c>
      <x:c r="C591" s="15" t="str">
        <x:v>R250.00 reserved for purchase @ Marlothi Petrol Stat from Current a/c..512781 using card..2924. Avail R7727. 26Nov 14:42</x:v>
      </x:c>
      <x:c r="D591" s="38" t="n">
        <x:v>0</x:v>
      </x:c>
      <x:c r="E591" s="38" t="n">
        <x:v>250</x:v>
      </x:c>
      <x:c r="F591" s="38" t="n">
        <x:v>0</x:v>
      </x:c>
      <x:c r="G591" s="38" t="n">
        <x:v>7727</x:v>
      </x:c>
      <x:c r="H591" s="15" t="str">
        <x:v>Fuel / transport</x:v>
      </x:c>
      <x:c r="I591" s="15" t="str">
        <x:v>Marlothi Petrol Stat</x:v>
      </x:c>
      <x:c r="J591" s="15" t="str">
        <x:v>eml_ALL_currentac__512781 (2).zip &gt; eml10currentac__512781.zip / FNB _-) R250.00 reserved for purchase @ Marlothi Petrol Stat from Current a_c..512781 using card..2924. 26Nov 14_42.eml</x:v>
      </x:c>
    </x:row>
    <x:row r="592">
      <x:c r="A592" s="15" t="str">
        <x:v>Current a/c..512781 / card..2924</x:v>
      </x:c>
      <x:c r="B592" s="34" t="n">
        <x:v>45987.618055555555</x:v>
      </x:c>
      <x:c r="C592" s="15" t="str">
        <x:v>R181.16 reserved for purchase @ Savemor Marloth from Current a/c..512781 using card..2924. Avail R7546. 26Nov 14:50</x:v>
      </x:c>
      <x:c r="D592" s="38" t="n">
        <x:v>0</x:v>
      </x:c>
      <x:c r="E592" s="38" t="n">
        <x:v>181.16</x:v>
      </x:c>
      <x:c r="F592" s="38" t="n">
        <x:v>0</x:v>
      </x:c>
      <x:c r="G592" s="38" t="n">
        <x:v>7546</x:v>
      </x:c>
      <x:c r="H592" s="15" t="str">
        <x:v>Supplier payments</x:v>
      </x:c>
      <x:c r="I592" s="15" t="str">
        <x:v>Savemor Marloth</x:v>
      </x:c>
      <x:c r="J592" s="15" t="str">
        <x:v>eml_ALL_currentac__512781 (2).zip &gt; eml10currentac__512781.zip / FNB _-) R181.16 reserved for purchase @ Savemor Marloth from Current a_c..512781 using card..2924. 26Nov 14_50.eml</x:v>
      </x:c>
    </x:row>
    <x:row r="593">
      <x:c r="A593" s="15" t="str">
        <x:v>Current a/c..512781 / card..2924</x:v>
      </x:c>
      <x:c r="B593" s="34" t="n">
        <x:v>45987.62222222222</x:v>
      </x:c>
      <x:c r="C593" s="15" t="str">
        <x:v>R379.96 reserved for purchase @ Savemor Marloth Liqu from Current a/c..512781 using card..2924. Avail R7166. 26Nov 14:56</x:v>
      </x:c>
      <x:c r="D593" s="38" t="n">
        <x:v>0</x:v>
      </x:c>
      <x:c r="E593" s="38" t="n">
        <x:v>379.96</x:v>
      </x:c>
      <x:c r="F593" s="38" t="n">
        <x:v>0</x:v>
      </x:c>
      <x:c r="G593" s="38" t="n">
        <x:v>7166</x:v>
      </x:c>
      <x:c r="H593" s="15" t="str">
        <x:v>Meals / restaurants / entertainment</x:v>
      </x:c>
      <x:c r="I593" s="15" t="str">
        <x:v>Savemor Marloth Liqu</x:v>
      </x:c>
      <x:c r="J593" s="15" t="str">
        <x:v>eml_ALL_currentac__512781 (2).zip &gt; eml10currentac__512781.zip / FNB _-) R379.96 reserved for purchase @ Savemor Marloth Liqu from Current a_c..512781 using card..2924. 26Nov 14_56.eml</x:v>
      </x:c>
    </x:row>
    <x:row r="594">
      <x:c r="A594" s="15" t="str">
        <x:v>Current a/c..512781 / card..2924</x:v>
      </x:c>
      <x:c r="B594" s="34" t="n">
        <x:v>45988.69097222222</x:v>
      </x:c>
      <x:c r="C594" s="15" t="str">
        <x:v>R194.39 reserved for purchase @ Savemor Marloth from Current a/c..512781 using card..2924. Avail R11955. 27Nov 16:35</x:v>
      </x:c>
      <x:c r="D594" s="38" t="n">
        <x:v>0</x:v>
      </x:c>
      <x:c r="E594" s="38" t="n">
        <x:v>194.39</x:v>
      </x:c>
      <x:c r="F594" s="38" t="n">
        <x:v>0</x:v>
      </x:c>
      <x:c r="G594" s="38" t="n">
        <x:v>11955</x:v>
      </x:c>
      <x:c r="H594" s="15" t="str">
        <x:v>Supplier payments</x:v>
      </x:c>
      <x:c r="I594" s="15" t="str">
        <x:v>Savemor Marloth</x:v>
      </x:c>
      <x:c r="J594" s="15" t="str">
        <x:v>eml_ALL_currentac__512781 (2).zip &gt; eml10currentac__512781.zip / FNB _-) R194.39 reserved for purchase @ Savemor Marloth from Current a_c..512781 using card..2924. 27Nov 16_35.eml</x:v>
      </x:c>
    </x:row>
    <x:row r="595">
      <x:c r="A595" s="15" t="str">
        <x:v>Current a/c..512781 / card..2924</x:v>
      </x:c>
      <x:c r="B595" s="34" t="n">
        <x:v>45989.50486111111</x:v>
      </x:c>
      <x:c r="C595" s="15" t="str">
        <x:v>R1598.42 reserved for purchase @ Superspar Komatipoor from Current a/c..512781 using card..2924. Avail R10353. 28Nov 12:07</x:v>
      </x:c>
      <x:c r="D595" s="38" t="n">
        <x:v>0</x:v>
      </x:c>
      <x:c r="E595" s="38" t="n">
        <x:v>1598.42</x:v>
      </x:c>
      <x:c r="F595" s="38" t="n">
        <x:v>0</x:v>
      </x:c>
      <x:c r="G595" s="38" t="n">
        <x:v>10353</x:v>
      </x:c>
      <x:c r="H595" s="15" t="str">
        <x:v>Supplier payments</x:v>
      </x:c>
      <x:c r="I595" s="15" t="str">
        <x:v>Superspar Komatipoor</x:v>
      </x:c>
      <x:c r="J595" s="15" t="str">
        <x:v>eml_ALL_currentac__512781 (2).zip &gt; eml10currentac__512781.zip / FNB _-) R1598.42 reserved for purchase @ Superspar Komatipoor from Current a_c..512781 using card..2924. 28Nov 12_07.eml</x:v>
      </x:c>
    </x:row>
    <x:row r="596">
      <x:c r="A596" s="15" t="str">
        <x:v>Current a/c..512781 / card..2924</x:v>
      </x:c>
      <x:c r="B596" s="34" t="n">
        <x:v>45989.518055555556</x:v>
      </x:c>
      <x:c r="C596" s="15" t="str">
        <x:v>R250.00 reserved for purchase @ Eastern Border Fuels from Current a/c..512781 using card..2924. Avail R10103. 28Nov 12:26</x:v>
      </x:c>
      <x:c r="D596" s="38" t="n">
        <x:v>0</x:v>
      </x:c>
      <x:c r="E596" s="38" t="n">
        <x:v>250</x:v>
      </x:c>
      <x:c r="F596" s="38" t="n">
        <x:v>0</x:v>
      </x:c>
      <x:c r="G596" s="38" t="n">
        <x:v>10103</x:v>
      </x:c>
      <x:c r="H596" s="15" t="str">
        <x:v>Fuel / transport</x:v>
      </x:c>
      <x:c r="I596" s="15" t="str">
        <x:v>Eastern Border Fuels</x:v>
      </x:c>
      <x:c r="J596" s="15" t="str">
        <x:v>eml_ALL_currentac__512781 (2).zip &gt; eml10currentac__512781.zip / FNB _-) R250.00 reserved for purchase @ Eastern Border Fuels from Current a_c..512781 using card..2924. 28Nov 12_26.eml</x:v>
      </x:c>
    </x:row>
    <x:row r="597">
      <x:c r="A597" s="15" t="str">
        <x:v>Current a/c..512781 / card..2924</x:v>
      </x:c>
      <x:c r="B597" s="34" t="n">
        <x:v>45990.46527777778</x:v>
      </x:c>
      <x:c r="C597" s="15" t="str">
        <x:v>R181.77 reserved for purchase @ Savemor Marloth from Current a/c..512781 using card..2924. Avail R28935. 29Nov 11:10</x:v>
      </x:c>
      <x:c r="D597" s="38" t="n">
        <x:v>0</x:v>
      </x:c>
      <x:c r="E597" s="38" t="n">
        <x:v>181.77</x:v>
      </x:c>
      <x:c r="F597" s="38" t="n">
        <x:v>0</x:v>
      </x:c>
      <x:c r="G597" s="38" t="n">
        <x:v>28935</x:v>
      </x:c>
      <x:c r="H597" s="15" t="str">
        <x:v>Supplier payments</x:v>
      </x:c>
      <x:c r="I597" s="15" t="str">
        <x:v>Savemor Marloth</x:v>
      </x:c>
      <x:c r="J597" s="15" t="str">
        <x:v>eml_ALL_currentac__512781 (2).zip &gt; eml10currentac__512781.zip / FNB _-) R181.77 reserved for purchase @ Savemor Marloth from Current a_c..512781 using card..2924. 29Nov 11_10.eml</x:v>
      </x:c>
    </x:row>
    <x:row r="598">
      <x:c r="A598" s="15" t="str">
        <x:v>Current a/c..512781 / card..2924</x:v>
      </x:c>
      <x:c r="B598" s="34" t="n">
        <x:v>45990.666666666664</x:v>
      </x:c>
      <x:c r="C598" s="15" t="str">
        <x:v>R128.99 reserved for purchase @ Savemor Marloth Liqu from Current a/c..512781 using card..2924. Avail R25596. 29Nov 16:00</x:v>
      </x:c>
      <x:c r="D598" s="38" t="n">
        <x:v>0</x:v>
      </x:c>
      <x:c r="E598" s="38" t="n">
        <x:v>128.99</x:v>
      </x:c>
      <x:c r="F598" s="38" t="n">
        <x:v>0</x:v>
      </x:c>
      <x:c r="G598" s="38" t="n">
        <x:v>25596</x:v>
      </x:c>
      <x:c r="H598" s="15" t="str">
        <x:v>Meals / restaurants / entertainment</x:v>
      </x:c>
      <x:c r="I598" s="15" t="str">
        <x:v>Savemor Marloth Liqu</x:v>
      </x:c>
      <x:c r="J598" s="15" t="str">
        <x:v>eml_ALL_currentac__512781 (2).zip &gt; eml10currentac__512781.zip / FNB _-) R128.99 reserved for purchase @ Savemor Marloth Liqu from Current a_c..512781 using card..2924. 29Nov 16_00.eml</x:v>
      </x:c>
    </x:row>
    <x:row r="599">
      <x:c r="A599" s="15" t="str">
        <x:v>Current a/c..512781 / card..2924</x:v>
      </x:c>
      <x:c r="B599" s="34" t="n">
        <x:v>46017.50069444445</x:v>
      </x:c>
      <x:c r="C599" s="15" t="str">
        <x:v>R199.26 reserved for purchase @ Superspar Malelane from Current a/c..512781 using card..2924. Avail R18057. 26Dec 12:01</x:v>
      </x:c>
      <x:c r="D599" s="38" t="n">
        <x:v>0</x:v>
      </x:c>
      <x:c r="E599" s="38" t="n">
        <x:v>199.26</x:v>
      </x:c>
      <x:c r="F599" s="38" t="n">
        <x:v>0</x:v>
      </x:c>
      <x:c r="G599" s="38" t="n">
        <x:v>18057</x:v>
      </x:c>
      <x:c r="H599" s="15" t="str">
        <x:v>Supplier payments</x:v>
      </x:c>
      <x:c r="I599" s="15" t="str">
        <x:v>Superspar Malelane</x:v>
      </x:c>
      <x:c r="J599" s="15" t="str">
        <x:v>eml_ALL_currentac__512781 (2).zip &gt; eml8currentac__512781.zip / FNB _-) R199.26 reserved for purchase @ Superspar Malelane from Current a_c..512781 using card..2924. 26Dec 12_01.eml</x:v>
      </x:c>
    </x:row>
    <x:row r="600">
      <x:c r="A600" s="15" t="str">
        <x:v>Current a/c..512781 / card..2924</x:v>
      </x:c>
      <x:c r="B600" s="34" t="n">
        <x:v>46018.48541666667</x:v>
      </x:c>
      <x:c r="C600" s="15" t="str">
        <x:v>R140.00 reserved for purchase @ Autozone Malelane from Current a/c..512781 using card..2924. Avail R20254. 27Dec 11:39</x:v>
      </x:c>
      <x:c r="D600" s="38" t="n">
        <x:v>0</x:v>
      </x:c>
      <x:c r="E600" s="38" t="n">
        <x:v>140</x:v>
      </x:c>
      <x:c r="F600" s="38" t="n">
        <x:v>0</x:v>
      </x:c>
      <x:c r="G600" s="38" t="n">
        <x:v>20254</x:v>
      </x:c>
      <x:c r="H600" s="15" t="str">
        <x:v>Card spend</x:v>
      </x:c>
      <x:c r="I600" s="15" t="str">
        <x:v>Autozone Malelane</x:v>
      </x:c>
      <x:c r="J600" s="15" t="str">
        <x:v>eml_ALL_currentac__512781 (2).zip &gt; eml8currentac__512781.zip / FNB _-) R140.00 reserved for purchase @ Autozone Malelane from Current a_c..512781 using card..2924. 27Dec 11_39.eml</x:v>
      </x:c>
    </x:row>
    <x:row r="601">
      <x:c r="A601" s="15" t="str">
        <x:v>Current a/c..512781 / card..2924</x:v>
      </x:c>
      <x:c r="B601" s="34" t="n">
        <x:v>46018.49930555555</x:v>
      </x:c>
      <x:c r="C601" s="15" t="str">
        <x:v>R184.40 reserved for purchase @ Pnp Fam Malelane from Current a/c..512781 using card..2924. Avail R20069. 27Dec 11:59</x:v>
      </x:c>
      <x:c r="D601" s="38" t="n">
        <x:v>0</x:v>
      </x:c>
      <x:c r="E601" s="38" t="n">
        <x:v>184.4</x:v>
      </x:c>
      <x:c r="F601" s="38" t="n">
        <x:v>0</x:v>
      </x:c>
      <x:c r="G601" s="38" t="n">
        <x:v>20069</x:v>
      </x:c>
      <x:c r="H601" s="15" t="str">
        <x:v>Card spend</x:v>
      </x:c>
      <x:c r="I601" s="15" t="str">
        <x:v>Pnp Fam Malelane</x:v>
      </x:c>
      <x:c r="J601" s="15" t="str">
        <x:v>eml_ALL_currentac__512781 (2).zip &gt; eml8currentac__512781.zip / FNB _-) R184.40 reserved for purchase @ Pnp Fam Malelane from Current a_c..512781 using card..2924. 27Dec 11_59.eml</x:v>
      </x:c>
    </x:row>
    <x:row r="602">
      <x:c r="A602" s="15" t="str">
        <x:v>Current a/c..512781 / card..2924</x:v>
      </x:c>
      <x:c r="B602" s="34" t="n">
        <x:v>46018.524305555555</x:v>
      </x:c>
      <x:c r="C602" s="15" t="str">
        <x:v>R497.39 reserved for purchase @ Woolworths from Current a/c..512781 using card..2924. Avail R19572. 27Dec 12:35</x:v>
      </x:c>
      <x:c r="D602" s="38" t="n">
        <x:v>0</x:v>
      </x:c>
      <x:c r="E602" s="38" t="n">
        <x:v>497.39</x:v>
      </x:c>
      <x:c r="F602" s="38" t="n">
        <x:v>0</x:v>
      </x:c>
      <x:c r="G602" s="38" t="n">
        <x:v>19572</x:v>
      </x:c>
      <x:c r="H602" s="15" t="str">
        <x:v>Supplier payments</x:v>
      </x:c>
      <x:c r="I602" s="15" t="str">
        <x:v>Woolworths</x:v>
      </x:c>
      <x:c r="J602" s="15" t="str">
        <x:v>eml_ALL_currentac__512781 (2).zip &gt; eml8currentac__512781.zip / FNB _-) R497.39 reserved for purchase @ Woolworths from Current a_c..512781 using card..2924. 27Dec 12_35.eml</x:v>
      </x:c>
    </x:row>
    <x:row r="603">
      <x:c r="A603" s="15" t="str">
        <x:v>Current a/c..512781 / card..2924</x:v>
      </x:c>
      <x:c r="B603" s="34" t="n">
        <x:v>46018.56180555555</x:v>
      </x:c>
      <x:c r="C603" s="15" t="str">
        <x:v>R1065.69 reserved for purchase @ Superspar Malelane from Current a/c..512781 using card..2924. Avail R18506. 27Dec 13:29</x:v>
      </x:c>
      <x:c r="D603" s="38" t="n">
        <x:v>0</x:v>
      </x:c>
      <x:c r="E603" s="38" t="n">
        <x:v>1065.69</x:v>
      </x:c>
      <x:c r="F603" s="38" t="n">
        <x:v>0</x:v>
      </x:c>
      <x:c r="G603" s="38" t="n">
        <x:v>18506</x:v>
      </x:c>
      <x:c r="H603" s="15" t="str">
        <x:v>Supplier payments</x:v>
      </x:c>
      <x:c r="I603" s="15" t="str">
        <x:v>Superspar Malelane</x:v>
      </x:c>
      <x:c r="J603" s="15" t="str">
        <x:v>eml_ALL_currentac__512781 (2).zip &gt; eml8currentac__512781.zip / FNB _-) R1065.69 reserved for purchase @ Superspar Malelane from Current a_c..512781 using card..2924. 27Dec 13_29.eml</x:v>
      </x:c>
    </x:row>
    <x:row r="604">
      <x:c r="A604" s="15" t="str">
        <x:v>Current a/c..512781 / card..2924</x:v>
      </x:c>
      <x:c r="B604" s="34" t="n">
        <x:v>46019.38125</x:v>
      </x:c>
      <x:c r="C604" s="15" t="str">
        <x:v>R200.00 reserved for purchase @ Marlothi Petrol Stat from Current a/c..512781 using card..2924. Avail R11922. 28Dec 09:09</x:v>
      </x:c>
      <x:c r="D604" s="38" t="n">
        <x:v>0</x:v>
      </x:c>
      <x:c r="E604" s="38" t="n">
        <x:v>200</x:v>
      </x:c>
      <x:c r="F604" s="38" t="n">
        <x:v>0</x:v>
      </x:c>
      <x:c r="G604" s="38" t="n">
        <x:v>11922</x:v>
      </x:c>
      <x:c r="H604" s="15" t="str">
        <x:v>Fuel / transport</x:v>
      </x:c>
      <x:c r="I604" s="15" t="str">
        <x:v>Marlothi Petrol Stat</x:v>
      </x:c>
      <x:c r="J604" s="15" t="str">
        <x:v>eml_ALL_currentac__512781 (2).zip &gt; eml8currentac__512781.zip / FNB _-) R200.00 reserved for purchase @ Marlothi Petrol Stat from Current a_c..512781 using card..2924. 28Dec 09_09.eml</x:v>
      </x:c>
    </x:row>
    <x:row r="605">
      <x:c r="A605" s="15" t="str">
        <x:v>Current a/c..512781 / card..2924</x:v>
      </x:c>
      <x:c r="B605" s="34" t="n">
        <x:v>46019.52777777778</x:v>
      </x:c>
      <x:c r="C605" s="15" t="str">
        <x:v>R101.89 reserved for purchase @ Savemor Marloth from Current a/c..512781 using card..2924. Avail R10202. 28Dec 12:40</x:v>
      </x:c>
      <x:c r="D605" s="38" t="n">
        <x:v>0</x:v>
      </x:c>
      <x:c r="E605" s="38" t="n">
        <x:v>101.89</x:v>
      </x:c>
      <x:c r="F605" s="38" t="n">
        <x:v>0</x:v>
      </x:c>
      <x:c r="G605" s="38" t="n">
        <x:v>10202</x:v>
      </x:c>
      <x:c r="H605" s="15" t="str">
        <x:v>Supplier payments</x:v>
      </x:c>
      <x:c r="I605" s="15" t="str">
        <x:v>Savemor Marloth</x:v>
      </x:c>
      <x:c r="J605" s="15" t="str">
        <x:v>eml_ALL_currentac__512781 (2).zip &gt; eml8currentac__512781.zip / FNB _-) R101.89 reserved for purchase @ Savemor Marloth from Current a_c..512781 using card..2924. 28Dec 12_40.eml</x:v>
      </x:c>
    </x:row>
    <x:row r="606">
      <x:c r="A606" s="15" t="str">
        <x:v>Current a/c..512781 / card..2924</x:v>
      </x:c>
      <x:c r="B606" s="34" t="n">
        <x:v>46019.82638888889</x:v>
      </x:c>
      <x:c r="C606" s="15" t="str">
        <x:v>R175.00 reserved for purchase @ The Tin Shack from Current a/c..512781 using card..2924. Avail R10027. 28Dec 19:50</x:v>
      </x:c>
      <x:c r="D606" s="38" t="n">
        <x:v>0</x:v>
      </x:c>
      <x:c r="E606" s="38" t="n">
        <x:v>175</x:v>
      </x:c>
      <x:c r="F606" s="38" t="n">
        <x:v>0</x:v>
      </x:c>
      <x:c r="G606" s="38" t="n">
        <x:v>10027</x:v>
      </x:c>
      <x:c r="H606" s="15" t="str">
        <x:v>Meals / restaurants / entertainment</x:v>
      </x:c>
      <x:c r="I606" s="15" t="str">
        <x:v>The Tin Shack</x:v>
      </x:c>
      <x:c r="J606" s="15" t="str">
        <x:v>eml_ALL_currentac__512781 (2).zip &gt; eml8currentac__512781.zip / FNB _-) R175.00 reserved for purchase @ The Tin Shack from Current a_c..512781 using card..2924. 28Dec 19_50.eml</x:v>
      </x:c>
    </x:row>
    <x:row r="607">
      <x:c r="A607" s="15" t="str">
        <x:v>Current a/c..512781 / card..2924</x:v>
      </x:c>
      <x:c r="B607" s="34" t="n">
        <x:v>46020.646527777775</x:v>
      </x:c>
      <x:c r="C607" s="15" t="str">
        <x:v>R149.93 reserved for purchase @ Savemor Marloth from Current a/c..512781 using card..2924. Avail R9877. 29Dec 15:31</x:v>
      </x:c>
      <x:c r="D607" s="38" t="n">
        <x:v>0</x:v>
      </x:c>
      <x:c r="E607" s="38" t="n">
        <x:v>149.93</x:v>
      </x:c>
      <x:c r="F607" s="38" t="n">
        <x:v>0</x:v>
      </x:c>
      <x:c r="G607" s="38" t="n">
        <x:v>9877</x:v>
      </x:c>
      <x:c r="H607" s="15" t="str">
        <x:v>Supplier payments</x:v>
      </x:c>
      <x:c r="I607" s="15" t="str">
        <x:v>Savemor Marloth</x:v>
      </x:c>
      <x:c r="J607" s="15" t="str">
        <x:v>eml_ALL_currentac__512781 (2).zip &gt; eml8currentac__512781.zip / FNB _-) R149.93 reserved for purchase @ Savemor Marloth from Current a_c..512781 using card..2924. 29Dec 15_31.eml</x:v>
      </x:c>
    </x:row>
    <x:row r="608">
      <x:c r="A608" s="15" t="str">
        <x:v>Current a/c..512781 / card..2924</x:v>
      </x:c>
      <x:c r="B608" s="34" t="n">
        <x:v>46021.52638888889</x:v>
      </x:c>
      <x:c r="C608" s="15" t="str">
        <x:v>R2300.00 reserved for purchase @ Autozone Malelane from Current a/c..512781 using card..2924. Avail R11699. 30Dec 12:38</x:v>
      </x:c>
      <x:c r="D608" s="38" t="n">
        <x:v>0</x:v>
      </x:c>
      <x:c r="E608" s="38" t="n">
        <x:v>2300</x:v>
      </x:c>
      <x:c r="F608" s="38" t="n">
        <x:v>0</x:v>
      </x:c>
      <x:c r="G608" s="38" t="n">
        <x:v>11699</x:v>
      </x:c>
      <x:c r="H608" s="15" t="str">
        <x:v>Card spend</x:v>
      </x:c>
      <x:c r="I608" s="15" t="str">
        <x:v>Autozone Malelane</x:v>
      </x:c>
      <x:c r="J608" s="15" t="str">
        <x:v>eml_ALL_currentac__512781 (2).zip &gt; eml8currentac__512781.zip / FNB _-) R2300.00 reserved for purchase @ Autozone Malelane from Current a_c..512781 using card..2924. 30Dec 12_38.eml</x:v>
      </x:c>
    </x:row>
    <x:row r="609">
      <x:c r="A609" s="15" t="str">
        <x:v>Current a/c..512781 / card..2924</x:v>
      </x:c>
      <x:c r="B609" s="34" t="n">
        <x:v>46021.563888888886</x:v>
      </x:c>
      <x:c r="C609" s="15" t="str">
        <x:v>R1461.38 reserved for purchase @ Superspar Malelane from Current a/c..512781 using card..2924. Avail R10238. 30Dec 13:32</x:v>
      </x:c>
      <x:c r="D609" s="38" t="n">
        <x:v>0</x:v>
      </x:c>
      <x:c r="E609" s="38" t="n">
        <x:v>1461.38</x:v>
      </x:c>
      <x:c r="F609" s="38" t="n">
        <x:v>0</x:v>
      </x:c>
      <x:c r="G609" s="38" t="n">
        <x:v>10238</x:v>
      </x:c>
      <x:c r="H609" s="15" t="str">
        <x:v>Supplier payments</x:v>
      </x:c>
      <x:c r="I609" s="15" t="str">
        <x:v>Superspar Malelane</x:v>
      </x:c>
      <x:c r="J609" s="15" t="str">
        <x:v>eml_ALL_currentac__512781 (2).zip &gt; eml8currentac__512781.zip / FNB _-) R1461.38 reserved for purchase @ Superspar Malelane from Current a_c..512781 using card..2924. 30Dec 13_32.eml</x:v>
      </x:c>
    </x:row>
    <x:row r="610">
      <x:c r="A610" s="15" t="str">
        <x:v>Current a/c..512781 / card..2924</x:v>
      </x:c>
      <x:c r="B610" s="34" t="n">
        <x:v>46021.575694444444</x:v>
      </x:c>
      <x:c r="C610" s="15" t="str">
        <x:v>R154.98 reserved for purchase @ Tops Malelane from Current a/c..512781 using card..2924. Avail R10083. 30Dec 13:49</x:v>
      </x:c>
      <x:c r="D610" s="38" t="n">
        <x:v>0</x:v>
      </x:c>
      <x:c r="E610" s="38" t="n">
        <x:v>154.98</x:v>
      </x:c>
      <x:c r="F610" s="38" t="n">
        <x:v>0</x:v>
      </x:c>
      <x:c r="G610" s="38" t="n">
        <x:v>10083</x:v>
      </x:c>
      <x:c r="H610" s="15" t="str">
        <x:v>Meals / restaurants / entertainment</x:v>
      </x:c>
      <x:c r="I610" s="15" t="str">
        <x:v>Tops Malelane</x:v>
      </x:c>
      <x:c r="J610" s="15" t="str">
        <x:v>eml_ALL_currentac__512781 (2).zip &gt; eml8currentac__512781.zip / FNB _-) R154.98 reserved for purchase @ Tops Malelane from Current a_c..512781 using card..2924. 30Dec 13_49.eml</x:v>
      </x:c>
    </x:row>
    <x:row r="611">
      <x:c r="A611" s="15" t="str">
        <x:v>Current a/c..512781 / card..2924</x:v>
      </x:c>
      <x:c r="B611" s="34" t="n">
        <x:v>46022.481944444444</x:v>
      </x:c>
      <x:c r="C611" s="15" t="str">
        <x:v>R235.98 reserved for purchase @ Savemor Marloth Liqu from Current a/c..512781 using card..2924. Avail R9815. 31Dec 11:34</x:v>
      </x:c>
      <x:c r="D611" s="38" t="n">
        <x:v>0</x:v>
      </x:c>
      <x:c r="E611" s="38" t="n">
        <x:v>235.98</x:v>
      </x:c>
      <x:c r="F611" s="38" t="n">
        <x:v>0</x:v>
      </x:c>
      <x:c r="G611" s="38" t="n">
        <x:v>9815</x:v>
      </x:c>
      <x:c r="H611" s="15" t="str">
        <x:v>Meals / restaurants / entertainment</x:v>
      </x:c>
      <x:c r="I611" s="15" t="str">
        <x:v>Savemor Marloth Liqu</x:v>
      </x:c>
      <x:c r="J611" s="15" t="str">
        <x:v>eml_ALL_currentac__512781 (2).zip &gt; eml8currentac__512781.zip / FNB _-) R235.98 reserved for purchase @ Savemor Marloth Liqu from Current a_c..512781 using card..2924. 31Dec 11_34.eml</x:v>
      </x:c>
    </x:row>
    <x:row r="612">
      <x:c r="A612" s="15" t="str">
        <x:v>Current a/c..512781 / card..2924</x:v>
      </x:c>
      <x:c r="B612" s="34" t="n">
        <x:v>46022.48819444444</x:v>
      </x:c>
      <x:c r="C612" s="15" t="str">
        <x:v>R447.95 reserved for purchase @ Savemor Marloth from Current a/c..512781 using card..2924. Avail R5102. 31Dec 11:43</x:v>
      </x:c>
      <x:c r="D612" s="38" t="n">
        <x:v>0</x:v>
      </x:c>
      <x:c r="E612" s="38" t="n">
        <x:v>447.95</x:v>
      </x:c>
      <x:c r="F612" s="38" t="n">
        <x:v>0</x:v>
      </x:c>
      <x:c r="G612" s="38" t="n">
        <x:v>5102</x:v>
      </x:c>
      <x:c r="H612" s="15" t="str">
        <x:v>Supplier payments</x:v>
      </x:c>
      <x:c r="I612" s="15" t="str">
        <x:v>Savemor Marloth</x:v>
      </x:c>
      <x:c r="J612" s="15" t="str">
        <x:v>eml_ALL_currentac__512781 (2).zip &gt; eml8currentac__512781.zip / FNB _-) R447.95 reserved for purchase @ Savemor Marloth from Current a_c..512781 using card..2924. 31Dec 11_43.eml</x:v>
      </x:c>
    </x:row>
    <x:row r="613">
      <x:c r="A613" s="15" t="str">
        <x:v>Current a/c..512781 / card..2924</x:v>
      </x:c>
      <x:c r="B613" s="34" t="n">
        <x:v>46024.325694444444</x:v>
      </x:c>
      <x:c r="C613" s="15" t="str">
        <x:v>R400.00 reserved for purchase @ Marlothi Petrol Stat from Current a/c..512781 using card..2924. Avail R6373. 2Jan 07:49</x:v>
      </x:c>
      <x:c r="D613" s="38" t="n">
        <x:v>0</x:v>
      </x:c>
      <x:c r="E613" s="38" t="n">
        <x:v>400</x:v>
      </x:c>
      <x:c r="F613" s="38" t="n">
        <x:v>0</x:v>
      </x:c>
      <x:c r="G613" s="38" t="n">
        <x:v>6373</x:v>
      </x:c>
      <x:c r="H613" s="15" t="str">
        <x:v>Fuel / transport</x:v>
      </x:c>
      <x:c r="I613" s="15" t="str">
        <x:v>Marlothi Petrol Stat</x:v>
      </x:c>
      <x:c r="J613" s="15" t="str">
        <x:v>eml_ALL_currentac__512781 (2).zip &gt; eml8currentac__512781.zip / FNB _-) R400.00 reserved for purchase @ Marlothi Petrol Stat from Current a_c..512781 using card..2924.  2Jan 07_49.eml</x:v>
      </x:c>
    </x:row>
    <x:row r="614">
      <x:c r="A614" s="15" t="str">
        <x:v>Current a/c..512781 / card..2924</x:v>
      </x:c>
      <x:c r="B614" s="34" t="n">
        <x:v>46024.677083333336</x:v>
      </x:c>
      <x:c r="C614" s="15" t="str">
        <x:v>R346.43 reserved for purchase @ Savemor Marloth from Current a/c..512781 using card..2924. Avail R7917. 2Jan 16:15</x:v>
      </x:c>
      <x:c r="D614" s="38" t="n">
        <x:v>0</x:v>
      </x:c>
      <x:c r="E614" s="38" t="n">
        <x:v>346.43</x:v>
      </x:c>
      <x:c r="F614" s="38" t="n">
        <x:v>0</x:v>
      </x:c>
      <x:c r="G614" s="38" t="n">
        <x:v>7917</x:v>
      </x:c>
      <x:c r="H614" s="15" t="str">
        <x:v>Supplier payments</x:v>
      </x:c>
      <x:c r="I614" s="15" t="str">
        <x:v>Savemor Marloth</x:v>
      </x:c>
      <x:c r="J614" s="15" t="str">
        <x:v>eml_ALL_currentac__512781 (2).zip &gt; eml8currentac__512781.zip / FNB _-) R346.43 reserved for purchase @ Savemor Marloth from Current a_c..512781 using card..2924.  2Jan 16_15.eml</x:v>
      </x:c>
    </x:row>
    <x:row r="615">
      <x:c r="A615" s="15" t="str">
        <x:v>Current a/c..512781 / card..2924</x:v>
      </x:c>
      <x:c r="B615" s="34" t="n">
        <x:v>46025.45763888889</x:v>
      </x:c>
      <x:c r="C615" s="15" t="str">
        <x:v>R1008.54 reserved for purchase @ Shoprite Komatipoort from Current a/c..512781 using card..2924. Avail R8520. 3Jan 10:59</x:v>
      </x:c>
      <x:c r="D615" s="38" t="n">
        <x:v>0</x:v>
      </x:c>
      <x:c r="E615" s="38" t="n">
        <x:v>1008.54</x:v>
      </x:c>
      <x:c r="F615" s="38" t="n">
        <x:v>0</x:v>
      </x:c>
      <x:c r="G615" s="38" t="n">
        <x:v>8520</x:v>
      </x:c>
      <x:c r="H615" s="15" t="str">
        <x:v>Supplier payments</x:v>
      </x:c>
      <x:c r="I615" s="15" t="str">
        <x:v>Shoprite Komatipoort</x:v>
      </x:c>
      <x:c r="J615" s="15" t="str">
        <x:v>eml_ALL_currentac__512781 (2).zip &gt; eml8currentac__512781.zip / FNB _-) R1008.54 reserved for purchase @ Shoprite Komatipoort from Current a_c..512781 using card..2924.  3Jan 10_59.eml</x:v>
      </x:c>
    </x:row>
    <x:row r="616">
      <x:c r="A616" s="15" t="str">
        <x:v>Current a/c..512781 / card..2924</x:v>
      </x:c>
      <x:c r="B616" s="34" t="n">
        <x:v>46025.49444444444</x:v>
      </x:c>
      <x:c r="C616" s="15" t="str">
        <x:v>R1755.70 reserved for purchase @ Superspar Komatipoor from Current a/c..512781 using card..2924. Avail R6764. 3Jan 11:52</x:v>
      </x:c>
      <x:c r="D616" s="38" t="n">
        <x:v>0</x:v>
      </x:c>
      <x:c r="E616" s="38" t="n">
        <x:v>1755.7</x:v>
      </x:c>
      <x:c r="F616" s="38" t="n">
        <x:v>0</x:v>
      </x:c>
      <x:c r="G616" s="38" t="n">
        <x:v>6764</x:v>
      </x:c>
      <x:c r="H616" s="15" t="str">
        <x:v>Supplier payments</x:v>
      </x:c>
      <x:c r="I616" s="15" t="str">
        <x:v>Superspar Komatipoor</x:v>
      </x:c>
      <x:c r="J616" s="15" t="str">
        <x:v>eml_ALL_currentac__512781 (2).zip &gt; eml8currentac__512781.zip / FNB _-) R1755.70 reserved for purchase @ Superspar Komatipoor from Current a_c..512781 using card..2924.  3Jan 11_52.eml</x:v>
      </x:c>
    </x:row>
    <x:row r="617">
      <x:c r="A617" s="15" t="str">
        <x:v>Current a/c..512781 / card..2924</x:v>
      </x:c>
      <x:c r="B617" s="34" t="n">
        <x:v>46025.50347222222</x:v>
      </x:c>
      <x:c r="C617" s="15" t="str">
        <x:v>R192.00 reserved for purchase @ Tops Komatipoort from Current a/c..512781 using card..2924. Avail R6572. 3Jan 12:05</x:v>
      </x:c>
      <x:c r="D617" s="38" t="n">
        <x:v>0</x:v>
      </x:c>
      <x:c r="E617" s="38" t="n">
        <x:v>192</x:v>
      </x:c>
      <x:c r="F617" s="38" t="n">
        <x:v>0</x:v>
      </x:c>
      <x:c r="G617" s="38" t="n">
        <x:v>6572</x:v>
      </x:c>
      <x:c r="H617" s="15" t="str">
        <x:v>Meals / restaurants / entertainment</x:v>
      </x:c>
      <x:c r="I617" s="15" t="str">
        <x:v>Tops Komatipoort</x:v>
      </x:c>
      <x:c r="J617" s="15" t="str">
        <x:v>eml_ALL_currentac__512781 (2).zip &gt; eml8currentac__512781.zip / FNB _-) R192.00 reserved for purchase @ Tops Komatipoort from Current a_c..512781 using card..2924.  3Jan 12_05.eml</x:v>
      </x:c>
    </x:row>
    <x:row r="618">
      <x:c r="A618" s="15" t="str">
        <x:v>Current a/c..512781 / card..2924</x:v>
      </x:c>
      <x:c r="B618" s="34" t="n">
        <x:v>46025.5125</x:v>
      </x:c>
      <x:c r="C618" s="15" t="str">
        <x:v>R112.80 reserved for purchase @ Oasis Water Komatipo from Current a/c..512781 using card..2924. Avail R6459. 3Jan 12:18</x:v>
      </x:c>
      <x:c r="D618" s="38" t="n">
        <x:v>0</x:v>
      </x:c>
      <x:c r="E618" s="38" t="n">
        <x:v>112.8</x:v>
      </x:c>
      <x:c r="F618" s="38" t="n">
        <x:v>0</x:v>
      </x:c>
      <x:c r="G618" s="38" t="n">
        <x:v>6459</x:v>
      </x:c>
      <x:c r="H618" s="15" t="str">
        <x:v>Supplier payments</x:v>
      </x:c>
      <x:c r="I618" s="15" t="str">
        <x:v>Oasis Water Komatipo</x:v>
      </x:c>
      <x:c r="J618" s="15" t="str">
        <x:v>eml_ALL_currentac__512781 (2).zip &gt; eml8currentac__512781.zip / FNB _-) R112.80 reserved for purchase @ Oasis Water Komatipo from Current a_c..512781 using card..2924.  3Jan 12_18.eml</x:v>
      </x:c>
    </x:row>
    <x:row r="619">
      <x:c r="A619" s="15" t="str">
        <x:v>Current a/c..512781 / card..2924</x:v>
      </x:c>
      <x:c r="B619" s="34" t="n">
        <x:v>46025.595138888886</x:v>
      </x:c>
      <x:c r="C619" s="15" t="str">
        <x:v>R106.45 reserved for purchase @ Savemor Marloth from Current a/c..512781 using card..2924. Avail R6353. 3Jan 14:17</x:v>
      </x:c>
      <x:c r="D619" s="38" t="n">
        <x:v>0</x:v>
      </x:c>
      <x:c r="E619" s="38" t="n">
        <x:v>106.45</x:v>
      </x:c>
      <x:c r="F619" s="38" t="n">
        <x:v>0</x:v>
      </x:c>
      <x:c r="G619" s="38" t="n">
        <x:v>6353</x:v>
      </x:c>
      <x:c r="H619" s="15" t="str">
        <x:v>Supplier payments</x:v>
      </x:c>
      <x:c r="I619" s="15" t="str">
        <x:v>Savemor Marloth</x:v>
      </x:c>
      <x:c r="J619" s="15" t="str">
        <x:v>eml_ALL_currentac__512781 (2).zip &gt; eml8currentac__512781.zip / FNB _-) R106.45 reserved for purchase @ Savemor Marloth from Current a_c..512781 using card..2924.  3Jan 14_17.eml</x:v>
      </x:c>
    </x:row>
    <x:row r="620">
      <x:c r="A620" s="15" t="str">
        <x:v>Current a/c..512781 / card..2924</x:v>
      </x:c>
      <x:c r="B620" s="34" t="n">
        <x:v>46026.51180555556</x:v>
      </x:c>
      <x:c r="C620" s="15" t="str">
        <x:v>R400.00 withdrawn from Current a/c..512781 using card..2924 @ Atmh11960000001. Avail R888. 4Jan 12:17</x:v>
      </x:c>
      <x:c r="D620" s="38" t="n">
        <x:v>0</x:v>
      </x:c>
      <x:c r="E620" s="38" t="n">
        <x:v>400</x:v>
      </x:c>
      <x:c r="F620" s="38" t="n">
        <x:v>0</x:v>
      </x:c>
      <x:c r="G620" s="38" t="n">
        <x:v>888</x:v>
      </x:c>
      <x:c r="H620" s="15" t="str">
        <x:v>Cash withdrawal</x:v>
      </x:c>
      <x:c r="I620" s="15" t="str">
        <x:v>Atmh11960000001</x:v>
      </x:c>
      <x:c r="J620" s="15" t="str">
        <x:v>eml_ALL_currentac__512781 (2).zip &gt; eml8currentac__512781.zip / FNB _-) R400.00 withdrawn from Current a_c..512781 using card..2924 @ Atmh11960000001.  4Jan 12_17.eml</x:v>
      </x:c>
    </x:row>
    <x:row r="621">
      <x:c r="A621" s="15" t="str">
        <x:v>Current a/c..512781 / card..2924</x:v>
      </x:c>
      <x:c r="B621" s="34" t="n">
        <x:v>46026.51875</x:v>
      </x:c>
      <x:c r="C621" s="15" t="str">
        <x:v>R228.07 reserved for purchase @ Savemor Marloth from Current a/c..512781 using card..2924. Avail R660. 4Jan 12:27</x:v>
      </x:c>
      <x:c r="D621" s="38" t="n">
        <x:v>0</x:v>
      </x:c>
      <x:c r="E621" s="38" t="n">
        <x:v>228.07</x:v>
      </x:c>
      <x:c r="F621" s="38" t="n">
        <x:v>0</x:v>
      </x:c>
      <x:c r="G621" s="38" t="n">
        <x:v>660</x:v>
      </x:c>
      <x:c r="H621" s="15" t="str">
        <x:v>Supplier payments</x:v>
      </x:c>
      <x:c r="I621" s="15" t="str">
        <x:v>Savemor Marloth</x:v>
      </x:c>
      <x:c r="J621" s="15" t="str">
        <x:v>eml_ALL_currentac__512781 (2).zip &gt; eml8currentac__512781.zip / FNB _-) R228.07 reserved for purchase @ Savemor Marloth from Current a_c..512781 using card..2924.  4Jan 12_27.eml</x:v>
      </x:c>
    </x:row>
    <x:row r="622">
      <x:c r="A622" s="15" t="str">
        <x:v>Current a/c..512781 / card..2924</x:v>
      </x:c>
      <x:c r="B622" s="34" t="n">
        <x:v>46027.60138888889</x:v>
      </x:c>
      <x:c r="C622" s="15" t="str">
        <x:v>R1302.06 reserved for purchase @ Superspar Komatipoor from Current a/c..512781 using card..2924. Avail R17881. 5Jan 14:26</x:v>
      </x:c>
      <x:c r="D622" s="38" t="n">
        <x:v>0</x:v>
      </x:c>
      <x:c r="E622" s="38" t="n">
        <x:v>1302.06</x:v>
      </x:c>
      <x:c r="F622" s="38" t="n">
        <x:v>0</x:v>
      </x:c>
      <x:c r="G622" s="38" t="n">
        <x:v>17881</x:v>
      </x:c>
      <x:c r="H622" s="15" t="str">
        <x:v>Supplier payments</x:v>
      </x:c>
      <x:c r="I622" s="15" t="str">
        <x:v>Superspar Komatipoor</x:v>
      </x:c>
      <x:c r="J622" s="15" t="str">
        <x:v>eml_ALL_currentac__512781 (2).zip &gt; eml8currentac__512781.zip / FNB _-) R1302.06 reserved for purchase @ Superspar Komatipoor from Current a_c..512781 using card..2924.  5Jan 14_26.eml</x:v>
      </x:c>
    </x:row>
    <x:row r="623">
      <x:c r="A623" s="15" t="str">
        <x:v>Current a/c..512781 / card..2924</x:v>
      </x:c>
      <x:c r="B623" s="34" t="n">
        <x:v>46027.63680555556</x:v>
      </x:c>
      <x:c r="C623" s="15" t="str">
        <x:v>R1148.38 reserved for purchase @ Savemor Marloth from Current a/c..512781 using card..2924. Avail R16693. 5Jan 15:17</x:v>
      </x:c>
      <x:c r="D623" s="38" t="n">
        <x:v>0</x:v>
      </x:c>
      <x:c r="E623" s="38" t="n">
        <x:v>1148.38</x:v>
      </x:c>
      <x:c r="F623" s="38" t="n">
        <x:v>0</x:v>
      </x:c>
      <x:c r="G623" s="38" t="n">
        <x:v>16693</x:v>
      </x:c>
      <x:c r="H623" s="15" t="str">
        <x:v>Supplier payments</x:v>
      </x:c>
      <x:c r="I623" s="15" t="str">
        <x:v>Savemor Marloth</x:v>
      </x:c>
      <x:c r="J623" s="15" t="str">
        <x:v>eml_ALL_currentac__512781 (2).zip &gt; eml8currentac__512781.zip / FNB _-) R1148.38 reserved for purchase @ Savemor Marloth from Current a_c..512781 using card..2924.  5Jan 15_17.eml</x:v>
      </x:c>
    </x:row>
    <x:row r="624">
      <x:c r="A624" s="15" t="str">
        <x:v>Current a/c..512781 / card..2924</x:v>
      </x:c>
      <x:c r="B624" s="34" t="n">
        <x:v>46027.64444444444</x:v>
      </x:c>
      <x:c r="C624" s="15" t="str">
        <x:v>R300.00 reserved for purchase @ Marlothi Petrol Stat from Current a/c..512781 using card..2924. Avail R16393. 5Jan 15:28</x:v>
      </x:c>
      <x:c r="D624" s="38" t="n">
        <x:v>0</x:v>
      </x:c>
      <x:c r="E624" s="38" t="n">
        <x:v>300</x:v>
      </x:c>
      <x:c r="F624" s="38" t="n">
        <x:v>0</x:v>
      </x:c>
      <x:c r="G624" s="38" t="n">
        <x:v>16393</x:v>
      </x:c>
      <x:c r="H624" s="15" t="str">
        <x:v>Fuel / transport</x:v>
      </x:c>
      <x:c r="I624" s="15" t="str">
        <x:v>Marlothi Petrol Stat</x:v>
      </x:c>
      <x:c r="J624" s="15" t="str">
        <x:v>eml_ALL_currentac__512781 (2).zip &gt; eml8currentac__512781.zip / FNB _-) R300.00 reserved for purchase @ Marlothi Petrol Stat from Current a_c..512781 using card..2924.  5Jan 15_28.eml</x:v>
      </x:c>
    </x:row>
    <x:row r="625">
      <x:c r="A625" s="15" t="str">
        <x:v>Current a/c..512781 / card..2924</x:v>
      </x:c>
      <x:c r="B625" s="34" t="n">
        <x:v>46028.623611111114</x:v>
      </x:c>
      <x:c r="C625" s="15" t="str">
        <x:v>R108.96 reserved for purchase @ Savemor Marloth from Current a/c..512781 using card..2924. Avail R18561. 6Jan 14:58</x:v>
      </x:c>
      <x:c r="D625" s="38" t="n">
        <x:v>0</x:v>
      </x:c>
      <x:c r="E625" s="38" t="n">
        <x:v>108.96</x:v>
      </x:c>
      <x:c r="F625" s="38" t="n">
        <x:v>0</x:v>
      </x:c>
      <x:c r="G625" s="38" t="n">
        <x:v>18561</x:v>
      </x:c>
      <x:c r="H625" s="15" t="str">
        <x:v>Supplier payments</x:v>
      </x:c>
      <x:c r="I625" s="15" t="str">
        <x:v>Savemor Marloth</x:v>
      </x:c>
      <x:c r="J625" s="15" t="str">
        <x:v>eml_ALL_currentac__512781 (2).zip &gt; eml8currentac__512781.zip / FNB _-) R108.96 reserved for purchase @ Savemor Marloth from Current a_c..512781 using card..2924.  6Jan 14_58.eml</x:v>
      </x:c>
    </x:row>
    <x:row r="626">
      <x:c r="A626" s="15" t="str">
        <x:v>Current a/c..512781 / card..2924</x:v>
      </x:c>
      <x:c r="B626" s="34" t="n">
        <x:v>46028.62708333333</x:v>
      </x:c>
      <x:c r="C626" s="15" t="str">
        <x:v>R101.48 reserved for purchase @ Savemor Marloth Liqu from Current a/c..512781 using card..2924. Avail R18460. 6Jan 15:03</x:v>
      </x:c>
      <x:c r="D626" s="38" t="n">
        <x:v>0</x:v>
      </x:c>
      <x:c r="E626" s="38" t="n">
        <x:v>101.48</x:v>
      </x:c>
      <x:c r="F626" s="38" t="n">
        <x:v>0</x:v>
      </x:c>
      <x:c r="G626" s="38" t="n">
        <x:v>18460</x:v>
      </x:c>
      <x:c r="H626" s="15" t="str">
        <x:v>Meals / restaurants / entertainment</x:v>
      </x:c>
      <x:c r="I626" s="15" t="str">
        <x:v>Savemor Marloth Liqu</x:v>
      </x:c>
      <x:c r="J626" s="15" t="str">
        <x:v>eml_ALL_currentac__512781 (2).zip &gt; eml8currentac__512781.zip / FNB _-) R101.48 reserved for purchase @ Savemor Marloth Liqu from Current a_c..512781 using card..2924.  6Jan 15_03.eml</x:v>
      </x:c>
    </x:row>
    <x:row r="627">
      <x:c r="A627" s="15" t="str">
        <x:v>Current a/c..512781 / card..2924</x:v>
      </x:c>
      <x:c r="B627" s="34" t="n">
        <x:v>46029.615277777775</x:v>
      </x:c>
      <x:c r="C627" s="15" t="str">
        <x:v>R300.00 reserved for purchase @ Sasol Emkhatsini from Current a/c..512781 using card..2924. Avail R14668. 7Jan 14:46</x:v>
      </x:c>
      <x:c r="D627" s="38" t="n">
        <x:v>0</x:v>
      </x:c>
      <x:c r="E627" s="38" t="n">
        <x:v>300</x:v>
      </x:c>
      <x:c r="F627" s="38" t="n">
        <x:v>0</x:v>
      </x:c>
      <x:c r="G627" s="38" t="n">
        <x:v>14668</x:v>
      </x:c>
      <x:c r="H627" s="15" t="str">
        <x:v>Fuel / transport</x:v>
      </x:c>
      <x:c r="I627" s="15" t="str">
        <x:v>Sasol Emkhatsini</x:v>
      </x:c>
      <x:c r="J627" s="15" t="str">
        <x:v>eml_ALL_currentac__512781 (2).zip &gt; eml8currentac__512781.zip / FNB _-) R300.00 reserved for purchase @ Sasol Emkhatsini from Current a_c..512781 using card..2924.  7Jan 14_46.eml</x:v>
      </x:c>
    </x:row>
    <x:row r="628">
      <x:c r="A628" s="15" t="str">
        <x:v>Current a/c..512781 / card..2924</x:v>
      </x:c>
      <x:c r="B628" s="34" t="n">
        <x:v>46030.629166666666</x:v>
      </x:c>
      <x:c r="C628" s="15" t="str">
        <x:v>R128.33 reserved for purchase @ Savemor Marloth from Current a/c..512781 using card..2924. Avail R19727. 8Jan 15:06</x:v>
      </x:c>
      <x:c r="D628" s="38" t="n">
        <x:v>0</x:v>
      </x:c>
      <x:c r="E628" s="38" t="n">
        <x:v>128.33</x:v>
      </x:c>
      <x:c r="F628" s="38" t="n">
        <x:v>0</x:v>
      </x:c>
      <x:c r="G628" s="38" t="n">
        <x:v>19727</x:v>
      </x:c>
      <x:c r="H628" s="15" t="str">
        <x:v>Supplier payments</x:v>
      </x:c>
      <x:c r="I628" s="15" t="str">
        <x:v>Savemor Marloth</x:v>
      </x:c>
      <x:c r="J628" s="15" t="str">
        <x:v>eml_ALL_currentac__512781 (2).zip &gt; eml8currentac__512781.zip / FNB _-) R128.33 reserved for purchase @ Savemor Marloth from Current a_c..512781 using card..2924.  8Jan 15_06.eml</x:v>
      </x:c>
    </x:row>
    <x:row r="629">
      <x:c r="A629" s="15" t="str">
        <x:v>Current a/c..512781 / card..2924</x:v>
      </x:c>
      <x:c r="B629" s="34" t="n">
        <x:v>46030.64791666667</x:v>
      </x:c>
      <x:c r="C629" s="15" t="str">
        <x:v>R210.00 reserved for purchase @ Daisys Den 77 from Current a/c..512781 using card..2924. Avail R19517. 8Jan 15:33</x:v>
      </x:c>
      <x:c r="D629" s="38" t="n">
        <x:v>0</x:v>
      </x:c>
      <x:c r="E629" s="38" t="n">
        <x:v>210</x:v>
      </x:c>
      <x:c r="F629" s="38" t="n">
        <x:v>0</x:v>
      </x:c>
      <x:c r="G629" s="38" t="n">
        <x:v>19517</x:v>
      </x:c>
      <x:c r="H629" s="15" t="str">
        <x:v>Card spend</x:v>
      </x:c>
      <x:c r="I629" s="15" t="str">
        <x:v>Daisys Den 77</x:v>
      </x:c>
      <x:c r="J629" s="15" t="str">
        <x:v>eml_ALL_currentac__512781 (2).zip &gt; eml8currentac__512781.zip / FNB _-) R210.00 reserved for purchase @ Daisys Den 77 from Current a_c..512781 using card..2924.  8Jan 15_33.eml</x:v>
      </x:c>
    </x:row>
    <x:row r="630">
      <x:c r="A630" s="15" t="str">
        <x:v>Current a/c..512781 / card..2924</x:v>
      </x:c>
      <x:c r="B630" s="34" t="n">
        <x:v>46031.65416666667</x:v>
      </x:c>
      <x:c r="C630" s="15" t="str">
        <x:v>R2018.34 reserved for purchase @ Superspar Komatipoor from Current a/c..512781 using card..2924. Avail R45356. 9Jan 15:42</x:v>
      </x:c>
      <x:c r="D630" s="38" t="n">
        <x:v>0</x:v>
      </x:c>
      <x:c r="E630" s="38" t="n">
        <x:v>2018.34</x:v>
      </x:c>
      <x:c r="F630" s="38" t="n">
        <x:v>0</x:v>
      </x:c>
      <x:c r="G630" s="38" t="n">
        <x:v>45356</x:v>
      </x:c>
      <x:c r="H630" s="15" t="str">
        <x:v>Supplier payments</x:v>
      </x:c>
      <x:c r="I630" s="15" t="str">
        <x:v>Superspar Komatipoor</x:v>
      </x:c>
      <x:c r="J630" s="15" t="str">
        <x:v>eml_ALL_currentac__512781 (2).zip &gt; eml8currentac__512781.zip / FNB _-) R2018.34 reserved for purchase @ Superspar Komatipoor from Current a_c..512781 using card..2924.  9Jan 15_42.eml</x:v>
      </x:c>
    </x:row>
    <x:row r="631">
      <x:c r="A631" s="15" t="str">
        <x:v>Current a/c..512781 / card..2924</x:v>
      </x:c>
      <x:c r="B631" s="34" t="n">
        <x:v>46031.65625</x:v>
      </x:c>
      <x:c r="C631" s="15" t="str">
        <x:v>R1039.99 reserved for purchase @ Superspar Komatipoor from Current a/c..512781 using card..2924. Avail R44316. 9Jan 15:45</x:v>
      </x:c>
      <x:c r="D631" s="38" t="n">
        <x:v>0</x:v>
      </x:c>
      <x:c r="E631" s="38" t="n">
        <x:v>1039.99</x:v>
      </x:c>
      <x:c r="F631" s="38" t="n">
        <x:v>0</x:v>
      </x:c>
      <x:c r="G631" s="38" t="n">
        <x:v>44316</x:v>
      </x:c>
      <x:c r="H631" s="15" t="str">
        <x:v>Supplier payments</x:v>
      </x:c>
      <x:c r="I631" s="15" t="str">
        <x:v>Superspar Komatipoor</x:v>
      </x:c>
      <x:c r="J631" s="15" t="str">
        <x:v>eml_ALL_currentac__512781 (2).zip &gt; eml8currentac__512781.zip / FNB _-) R1039.99 reserved for purchase @ Superspar Komatipoor from Current a_c..512781 using card..2924.  9Jan 15_45.eml</x:v>
      </x:c>
    </x:row>
    <x:row r="632">
      <x:c r="A632" s="15" t="str">
        <x:v>Current a/c..512781 / card..2924</x:v>
      </x:c>
      <x:c r="B632" s="34" t="n">
        <x:v>46031.67986111111</x:v>
      </x:c>
      <x:c r="C632" s="15" t="str">
        <x:v>R500.00 reserved for purchase @ Obaro Komatipoort Fc from Current a/c..512781 using card..2924. Avail R43816. 9Jan 16:19</x:v>
      </x:c>
      <x:c r="D632" s="38" t="n">
        <x:v>0</x:v>
      </x:c>
      <x:c r="E632" s="38" t="n">
        <x:v>500</x:v>
      </x:c>
      <x:c r="F632" s="38" t="n">
        <x:v>0</x:v>
      </x:c>
      <x:c r="G632" s="38" t="n">
        <x:v>43816</x:v>
      </x:c>
      <x:c r="H632" s="15" t="str">
        <x:v>Supplier payments</x:v>
      </x:c>
      <x:c r="I632" s="15" t="str">
        <x:v>Obaro Komatipoort Fc</x:v>
      </x:c>
      <x:c r="J632" s="15" t="str">
        <x:v>eml_ALL_currentac__512781 (2).zip &gt; eml8currentac__512781.zip / FNB _-) R500.00 reserved for purchase @ Obaro Komatipoort Fc from Current a_c..512781 using card..2924.  9Jan 16_19.eml</x:v>
      </x:c>
    </x:row>
    <x:row r="633">
      <x:c r="A633" s="15" t="str">
        <x:v>Current a/c..512781 / card..2924</x:v>
      </x:c>
      <x:c r="B633" s="34" t="n">
        <x:v>46033.46666666667</x:v>
      </x:c>
      <x:c r="C633" s="15" t="str">
        <x:v>R179.94 reserved for purchase @ Savemor Marloth from Current a/c..512781 using card..2924. Avail R28491. 11Jan 11:12</x:v>
      </x:c>
      <x:c r="D633" s="38" t="n">
        <x:v>0</x:v>
      </x:c>
      <x:c r="E633" s="38" t="n">
        <x:v>179.94</x:v>
      </x:c>
      <x:c r="F633" s="38" t="n">
        <x:v>0</x:v>
      </x:c>
      <x:c r="G633" s="38" t="n">
        <x:v>28491</x:v>
      </x:c>
      <x:c r="H633" s="15" t="str">
        <x:v>Supplier payments</x:v>
      </x:c>
      <x:c r="I633" s="15" t="str">
        <x:v>Savemor Marloth</x:v>
      </x:c>
      <x:c r="J633" s="15" t="str">
        <x:v>eml_ALL_currentac__512781 (2).zip &gt; eml8currentac__512781.zip / FNB _-) R179.94 reserved for purchase @ Savemor Marloth from Current a_c..512781 using card..2924. 11Jan 11_12.eml</x:v>
      </x:c>
    </x:row>
    <x:row r="634">
      <x:c r="A634" s="15" t="str">
        <x:v>Current a/c..512781 / card..2924</x:v>
      </x:c>
      <x:c r="B634" s="34" t="n">
        <x:v>46033.472916666666</x:v>
      </x:c>
      <x:c r="C634" s="15" t="str">
        <x:v>R400.00 reserved for purchase @ Marlothi Petrol Stat from Current a/c..512781 using card..2924. Avail R27996. 11Jan 11:21</x:v>
      </x:c>
      <x:c r="D634" s="38" t="n">
        <x:v>0</x:v>
      </x:c>
      <x:c r="E634" s="38" t="n">
        <x:v>400</x:v>
      </x:c>
      <x:c r="F634" s="38" t="n">
        <x:v>0</x:v>
      </x:c>
      <x:c r="G634" s="38" t="n">
        <x:v>27996</x:v>
      </x:c>
      <x:c r="H634" s="15" t="str">
        <x:v>Fuel / transport</x:v>
      </x:c>
      <x:c r="I634" s="15" t="str">
        <x:v>Marlothi Petrol Stat</x:v>
      </x:c>
      <x:c r="J634" s="15" t="str">
        <x:v>eml_ALL_currentac__512781 (2).zip &gt; eml8currentac__512781.zip / FNB _-) R400.00 reserved for purchase @ Marlothi Petrol Stat from Current a_c..512781 using card..2924. 11Jan 11_21.eml</x:v>
      </x:c>
    </x:row>
    <x:row r="635">
      <x:c r="A635" s="15" t="str">
        <x:v>Current a/c..512781 / card..2924</x:v>
      </x:c>
      <x:c r="B635" s="34" t="n">
        <x:v>46033.5875</x:v>
      </x:c>
      <x:c r="C635" s="15" t="str">
        <x:v>R405.00 reserved for purchase @ K2025744041 Sou 262 from Current a/c..512781 using card..2924. Avail R26588. 11Jan 14:06</x:v>
      </x:c>
      <x:c r="D635" s="38" t="n">
        <x:v>0</x:v>
      </x:c>
      <x:c r="E635" s="38" t="n">
        <x:v>405</x:v>
      </x:c>
      <x:c r="F635" s="38" t="n">
        <x:v>0</x:v>
      </x:c>
      <x:c r="G635" s="38" t="n">
        <x:v>26588</x:v>
      </x:c>
      <x:c r="H635" s="15" t="str">
        <x:v>Card spend</x:v>
      </x:c>
      <x:c r="I635" s="15" t="str">
        <x:v>K2025744041 Sou 262</x:v>
      </x:c>
      <x:c r="J635" s="15" t="str">
        <x:v>eml_ALL_currentac__512781 (2).zip &gt; eml8currentac__512781.zip / FNB _-) R405.00 reserved for purchase @ K2025744041 Sou 262 from Current a_c..512781 using card..2924. 11Jan 14_06.eml</x:v>
      </x:c>
    </x:row>
    <x:row r="636">
      <x:c r="A636" s="15" t="str">
        <x:v>Current a/c..512781 / card..2924</x:v>
      </x:c>
      <x:c r="B636" s="34" t="n">
        <x:v>46034.510416666664</x:v>
      </x:c>
      <x:c r="C636" s="15" t="str">
        <x:v>R300.00 reserved for purchase @ Engen Hectorspruit from Current a/c..512781 using card..2924. Avail R26104. 12Jan 12:15</x:v>
      </x:c>
      <x:c r="D636" s="38" t="n">
        <x:v>0</x:v>
      </x:c>
      <x:c r="E636" s="38" t="n">
        <x:v>300</x:v>
      </x:c>
      <x:c r="F636" s="38" t="n">
        <x:v>0</x:v>
      </x:c>
      <x:c r="G636" s="38" t="n">
        <x:v>26104</x:v>
      </x:c>
      <x:c r="H636" s="15" t="str">
        <x:v>Fuel / transport</x:v>
      </x:c>
      <x:c r="I636" s="15" t="str">
        <x:v>Engen Hectorspruit</x:v>
      </x:c>
      <x:c r="J636" s="15" t="str">
        <x:v>eml_ALL_currentac__512781 (2).zip &gt; eml8currentac__512781.zip / FNB _-) R300.00 reserved for purchase @ Engen Hectorspruit from Current a_c..512781 using card..2924. 12Jan 12_15.eml</x:v>
      </x:c>
    </x:row>
    <x:row r="637">
      <x:c r="A637" s="15" t="str">
        <x:v>Current a/c..512781 / card..2924</x:v>
      </x:c>
      <x:c r="B637" s="34" t="n">
        <x:v>46034.63402777778</x:v>
      </x:c>
      <x:c r="C637" s="15" t="str">
        <x:v>R1435.06 reserved for purchase @ Savemor Marloth from Current a/c..512781 using card..2924. Avail R45520. 12Jan 15:13</x:v>
      </x:c>
      <x:c r="D637" s="38" t="n">
        <x:v>0</x:v>
      </x:c>
      <x:c r="E637" s="38" t="n">
        <x:v>1435.06</x:v>
      </x:c>
      <x:c r="F637" s="38" t="n">
        <x:v>0</x:v>
      </x:c>
      <x:c r="G637" s="38" t="n">
        <x:v>45520</x:v>
      </x:c>
      <x:c r="H637" s="15" t="str">
        <x:v>Supplier payments</x:v>
      </x:c>
      <x:c r="I637" s="15" t="str">
        <x:v>Savemor Marloth</x:v>
      </x:c>
      <x:c r="J637" s="15" t="str">
        <x:v>eml_ALL_currentac__512781 (2).zip &gt; eml8currentac__512781.zip / FNB _-) R1435.06 reserved for purchase @ Savemor Marloth from Current a_c..512781 using card..2924. 12Jan 15_13.eml</x:v>
      </x:c>
    </x:row>
    <x:row r="638">
      <x:c r="A638" s="15" t="str">
        <x:v>Current a/c..512781 / card..2924</x:v>
      </x:c>
      <x:c r="B638" s="34" t="n">
        <x:v>46034.6375</x:v>
      </x:c>
      <x:c r="C638" s="15" t="str">
        <x:v>R133.98 reserved for purchase @ Savemor Marloth Liqu from Current a/c..512781 using card..2924. Avail R45386. 12Jan 15:18</x:v>
      </x:c>
      <x:c r="D638" s="38" t="n">
        <x:v>0</x:v>
      </x:c>
      <x:c r="E638" s="38" t="n">
        <x:v>133.98</x:v>
      </x:c>
      <x:c r="F638" s="38" t="n">
        <x:v>0</x:v>
      </x:c>
      <x:c r="G638" s="38" t="n">
        <x:v>45386</x:v>
      </x:c>
      <x:c r="H638" s="15" t="str">
        <x:v>Meals / restaurants / entertainment</x:v>
      </x:c>
      <x:c r="I638" s="15" t="str">
        <x:v>Savemor Marloth Liqu</x:v>
      </x:c>
      <x:c r="J638" s="15" t="str">
        <x:v>eml_ALL_currentac__512781 (2).zip &gt; eml8currentac__512781.zip / FNB _-) R133.98 reserved for purchase @ Savemor Marloth Liqu from Current a_c..512781 using card..2924. 12Jan 15_18.eml</x:v>
      </x:c>
    </x:row>
    <x:row r="639">
      <x:c r="A639" s="15" t="str">
        <x:v>Current a/c..512781 / card..2924</x:v>
      </x:c>
      <x:c r="B639" s="34" t="n">
        <x:v>46035.39097222222</x:v>
      </x:c>
      <x:c r="C639" s="15" t="str">
        <x:v>R200.00 reserved for purchase @ Marlothi Petrol Stat from Current a/c..512781 using card..2924. Avail R45163. 13Jan 09:23</x:v>
      </x:c>
      <x:c r="D639" s="38" t="n">
        <x:v>0</x:v>
      </x:c>
      <x:c r="E639" s="38" t="n">
        <x:v>200</x:v>
      </x:c>
      <x:c r="F639" s="38" t="n">
        <x:v>0</x:v>
      </x:c>
      <x:c r="G639" s="38" t="n">
        <x:v>45163</x:v>
      </x:c>
      <x:c r="H639" s="15" t="str">
        <x:v>Fuel / transport</x:v>
      </x:c>
      <x:c r="I639" s="15" t="str">
        <x:v>Marlothi Petrol Stat</x:v>
      </x:c>
      <x:c r="J639" s="15" t="str">
        <x:v>eml_ALL_currentac__512781 (2).zip &gt; eml8currentac__512781.zip / FNB _-) R200.00 reserved for purchase @ Marlothi Petrol Stat from Current a_c..512781 using card..2924. 13Jan 09_23.eml</x:v>
      </x:c>
    </x:row>
    <x:row r="640">
      <x:c r="A640" s="15" t="str">
        <x:v>Current a/c..512781 / card..2924</x:v>
      </x:c>
      <x:c r="B640" s="34" t="n">
        <x:v>46035.415972222225</x:v>
      </x:c>
      <x:c r="C640" s="15" t="str">
        <x:v>R203.20 reserved for purchase @ Lebombo Butchery from Current a/c..512781 using card..2924. Avail R44960. 13Jan 09:59</x:v>
      </x:c>
      <x:c r="D640" s="38" t="n">
        <x:v>0</x:v>
      </x:c>
      <x:c r="E640" s="38" t="n">
        <x:v>203.2</x:v>
      </x:c>
      <x:c r="F640" s="38" t="n">
        <x:v>0</x:v>
      </x:c>
      <x:c r="G640" s="38" t="n">
        <x:v>44960</x:v>
      </x:c>
      <x:c r="H640" s="15" t="str">
        <x:v>Supplier payments</x:v>
      </x:c>
      <x:c r="I640" s="15" t="str">
        <x:v>Lebombo Butchery</x:v>
      </x:c>
      <x:c r="J640" s="15" t="str">
        <x:v>eml_ALL_currentac__512781 (2).zip &gt; eml8currentac__512781.zip / FNB _-) R203.20 reserved for purchase @ Lebombo Butchery from Current a_c..512781 using card..2924. 13Jan 09_59.eml</x:v>
      </x:c>
    </x:row>
    <x:row r="641">
      <x:c r="A641" s="15" t="str">
        <x:v>Current a/c..512781 / card..2924</x:v>
      </x:c>
      <x:c r="B641" s="34" t="n">
        <x:v>46035.45208333333</x:v>
      </x:c>
      <x:c r="C641" s="15" t="str">
        <x:v>R2035.86 reserved for purchase @ Superspar Komatipoor from Current a/c..512781 using card..2924. Avail R42924. 13Jan 10:51</x:v>
      </x:c>
      <x:c r="D641" s="38" t="n">
        <x:v>0</x:v>
      </x:c>
      <x:c r="E641" s="38" t="n">
        <x:v>2035.86</x:v>
      </x:c>
      <x:c r="F641" s="38" t="n">
        <x:v>0</x:v>
      </x:c>
      <x:c r="G641" s="38" t="n">
        <x:v>42924</x:v>
      </x:c>
      <x:c r="H641" s="15" t="str">
        <x:v>Supplier payments</x:v>
      </x:c>
      <x:c r="I641" s="15" t="str">
        <x:v>Superspar Komatipoor</x:v>
      </x:c>
      <x:c r="J641" s="15" t="str">
        <x:v>eml_ALL_currentac__512781 (2).zip &gt; eml8currentac__512781.zip / FNB _-) R2035.86 reserved for purchase @ Superspar Komatipoor from Current a_c..512781 using card..2924. 13Jan 10_51.eml</x:v>
      </x:c>
    </x:row>
    <x:row r="642">
      <x:c r="A642" s="15" t="str">
        <x:v>Current a/c..512781 / card..2924</x:v>
      </x:c>
      <x:c r="B642" s="34" t="n">
        <x:v>46035.461805555555</x:v>
      </x:c>
      <x:c r="C642" s="15" t="str">
        <x:v>R378.10 reserved for purchase @ Lebombo Butchery from Current a/c..512781 using card..2924. Avail R42546. 13Jan 11:05</x:v>
      </x:c>
      <x:c r="D642" s="38" t="n">
        <x:v>0</x:v>
      </x:c>
      <x:c r="E642" s="38" t="n">
        <x:v>378.1</x:v>
      </x:c>
      <x:c r="F642" s="38" t="n">
        <x:v>0</x:v>
      </x:c>
      <x:c r="G642" s="38" t="n">
        <x:v>42546</x:v>
      </x:c>
      <x:c r="H642" s="15" t="str">
        <x:v>Supplier payments</x:v>
      </x:c>
      <x:c r="I642" s="15" t="str">
        <x:v>Lebombo Butchery</x:v>
      </x:c>
      <x:c r="J642" s="15" t="str">
        <x:v>eml_ALL_currentac__512781 (2).zip &gt; eml8currentac__512781.zip / FNB _-) R378.10 reserved for purchase @ Lebombo Butchery from Current a_c..512781 using card..2924. 13Jan 11_05.eml</x:v>
      </x:c>
    </x:row>
    <x:row r="643">
      <x:c r="A643" s="15" t="str">
        <x:v>Current a/c..512781 / card..2924</x:v>
      </x:c>
      <x:c r="B643" s="34" t="n">
        <x:v>46036.49166666667</x:v>
      </x:c>
      <x:c r="C643" s="15" t="str">
        <x:v>R419.31 reserved for purchase @ Sqsp* Websit from Current a/c..512781 using card..2924. Avail R43488. 14Jan 11:48</x:v>
      </x:c>
      <x:c r="D643" s="38" t="n">
        <x:v>0</x:v>
      </x:c>
      <x:c r="E643" s="38" t="n">
        <x:v>419.31</x:v>
      </x:c>
      <x:c r="F643" s="38" t="n">
        <x:v>0</x:v>
      </x:c>
      <x:c r="G643" s="38" t="n">
        <x:v>43488</x:v>
      </x:c>
      <x:c r="H643" s="15" t="str">
        <x:v>Software / subscriptions</x:v>
      </x:c>
      <x:c r="I643" s="15" t="str">
        <x:v>Sqsp* Websit</x:v>
      </x:c>
      <x:c r="J643" s="15" t="str">
        <x:v>eml_ALL_currentac__512781 (2).zip &gt; eml8currentac__512781.zip / FNB _-) R419.31 reserved for purchase @ Sqsp_ Websit from Current a_c..512781 using card..2924. 14Jan 11_48.eml</x:v>
      </x:c>
    </x:row>
    <x:row r="644">
      <x:c r="A644" s="15" t="str">
        <x:v>Current a/c..512781 / card..2924</x:v>
      </x:c>
      <x:c r="B644" s="34" t="n">
        <x:v>46036.603472222225</x:v>
      </x:c>
      <x:c r="C644" s="15" t="str">
        <x:v>R250.99 reserved for purchase @ Savemor Marloth from Current a/c..512781 using card..2924. Avail R43237. 14Jan 14:29</x:v>
      </x:c>
      <x:c r="D644" s="38" t="n">
        <x:v>0</x:v>
      </x:c>
      <x:c r="E644" s="38" t="n">
        <x:v>250.99</x:v>
      </x:c>
      <x:c r="F644" s="38" t="n">
        <x:v>0</x:v>
      </x:c>
      <x:c r="G644" s="38" t="n">
        <x:v>43237</x:v>
      </x:c>
      <x:c r="H644" s="15" t="str">
        <x:v>Supplier payments</x:v>
      </x:c>
      <x:c r="I644" s="15" t="str">
        <x:v>Savemor Marloth</x:v>
      </x:c>
      <x:c r="J644" s="15" t="str">
        <x:v>eml_ALL_currentac__512781 (2).zip &gt; eml8currentac__512781.zip / FNB _-) R250.99 reserved for purchase @ Savemor Marloth from Current a_c..512781 using card..2924. 14Jan 14_29.eml</x:v>
      </x:c>
    </x:row>
    <x:row r="645">
      <x:c r="A645" s="15" t="str">
        <x:v>Current a/c..512781 / card..2924</x:v>
      </x:c>
      <x:c r="B645" s="34" t="n">
        <x:v>46037.53472222222</x:v>
      </x:c>
      <x:c r="C645" s="15" t="str">
        <x:v>R844.91 reserved for purchase @ Superspar Komatipoor from Current a/c..512781 using card..2924. Avail R33349. 15Jan 12:50</x:v>
      </x:c>
      <x:c r="D645" s="38" t="n">
        <x:v>0</x:v>
      </x:c>
      <x:c r="E645" s="38" t="n">
        <x:v>844.91</x:v>
      </x:c>
      <x:c r="F645" s="38" t="n">
        <x:v>0</x:v>
      </x:c>
      <x:c r="G645" s="38" t="n">
        <x:v>33349</x:v>
      </x:c>
      <x:c r="H645" s="15" t="str">
        <x:v>Supplier payments</x:v>
      </x:c>
      <x:c r="I645" s="15" t="str">
        <x:v>Superspar Komatipoor</x:v>
      </x:c>
      <x:c r="J645" s="15" t="str">
        <x:v>eml_ALL_currentac__512781 (2).zip &gt; eml8currentac__512781.zip / FNB _-) R844.91 reserved for purchase @ Superspar Komatipoor from Current a_c..512781 using card..2924. 15Jan 12_50.eml</x:v>
      </x:c>
    </x:row>
    <x:row r="646">
      <x:c r="A646" s="15" t="str">
        <x:v>Current a/c..512781 / card..2924</x:v>
      </x:c>
      <x:c r="B646" s="34" t="n">
        <x:v>46037.54513888889</x:v>
      </x:c>
      <x:c r="C646" s="15" t="str">
        <x:v>R400.00 reserved for purchase @ Obaro Komatipoort Fc from Current a/c..512781 using card..2924. Avail R32909. 15Jan 13:05</x:v>
      </x:c>
      <x:c r="D646" s="38" t="n">
        <x:v>0</x:v>
      </x:c>
      <x:c r="E646" s="38" t="n">
        <x:v>400</x:v>
      </x:c>
      <x:c r="F646" s="38" t="n">
        <x:v>0</x:v>
      </x:c>
      <x:c r="G646" s="38" t="n">
        <x:v>32909</x:v>
      </x:c>
      <x:c r="H646" s="15" t="str">
        <x:v>Supplier payments</x:v>
      </x:c>
      <x:c r="I646" s="15" t="str">
        <x:v>Obaro Komatipoort Fc</x:v>
      </x:c>
      <x:c r="J646" s="15" t="str">
        <x:v>eml_ALL_currentac__512781 (2).zip &gt; eml8currentac__512781.zip / FNB _-) R400.00 reserved for purchase @ Obaro Komatipoort Fc from Current a_c..512781 using card..2924. 15Jan 13_05.eml</x:v>
      </x:c>
    </x:row>
    <x:row r="647">
      <x:c r="A647" s="15" t="str">
        <x:v>Current a/c..512781 / card..2924</x:v>
      </x:c>
      <x:c r="B647" s="34" t="n">
        <x:v>46038.8</x:v>
      </x:c>
      <x:c r="C647" s="15" t="str">
        <x:v>R400.00 reserved for purchase @ Yoco *k2025744041 from Current a/c..512781 using card..2924. Avail R69282. 16Jan 19:12</x:v>
      </x:c>
      <x:c r="D647" s="38" t="n">
        <x:v>0</x:v>
      </x:c>
      <x:c r="E647" s="38" t="n">
        <x:v>400</x:v>
      </x:c>
      <x:c r="F647" s="38" t="n">
        <x:v>0</x:v>
      </x:c>
      <x:c r="G647" s="38" t="n">
        <x:v>69282</x:v>
      </x:c>
      <x:c r="H647" s="15" t="str">
        <x:v>Card spend</x:v>
      </x:c>
      <x:c r="I647" s="15" t="str">
        <x:v>Yoco *k2025744041</x:v>
      </x:c>
      <x:c r="J647" s="15" t="str">
        <x:v>eml_ALL_currentac__512781 (2).zip &gt; eml7currentac__512781.zip / FNB _-) R400.00 reserved for purchase @ Yoco _k2025744041 from Current a_c..512781 using card..2924. 16Jan 19_12.eml</x:v>
      </x:c>
    </x:row>
    <x:row r="648">
      <x:c r="A648" s="15" t="str">
        <x:v>Current a/c..512781 / card..2924</x:v>
      </x:c>
      <x:c r="B648" s="34" t="n">
        <x:v>46039.49930555555</x:v>
      </x:c>
      <x:c r="C648" s="15" t="str">
        <x:v>R228.85 reserved for purchase @ Paystack *zoho Co from Current a/c..512781 using card..2924. Avail R78821. 17Jan 11:59</x:v>
      </x:c>
      <x:c r="D648" s="38" t="n">
        <x:v>0</x:v>
      </x:c>
      <x:c r="E648" s="38" t="n">
        <x:v>228.85</x:v>
      </x:c>
      <x:c r="F648" s="38" t="n">
        <x:v>0</x:v>
      </x:c>
      <x:c r="G648" s="38" t="n">
        <x:v>78821</x:v>
      </x:c>
      <x:c r="H648" s="15" t="str">
        <x:v>Software / subscriptions</x:v>
      </x:c>
      <x:c r="I648" s="15" t="str">
        <x:v>Paystack *zoho Co</x:v>
      </x:c>
      <x:c r="J648" s="15" t="str">
        <x:v>eml_ALL_currentac__512781 (2).zip &gt; eml7currentac__512781.zip / FNB _-) R228.85 reserved for purchase @ Paystack _zoho Co from Current a_c..512781 using card..2924. 17Jan 11_59.eml</x:v>
      </x:c>
    </x:row>
    <x:row r="649">
      <x:c r="A649" s="15" t="str">
        <x:v>Current a/c..512781 / card..2924</x:v>
      </x:c>
      <x:c r="B649" s="34" t="n">
        <x:v>46041.62291666667</x:v>
      </x:c>
      <x:c r="C649" s="15" t="str">
        <x:v>R435.00 reserved for purchase @ The Water Well Bu136 from Current a/c..512781 using card..2924. Avail R59928. 19Jan 14:57</x:v>
      </x:c>
      <x:c r="D649" s="38" t="n">
        <x:v>0</x:v>
      </x:c>
      <x:c r="E649" s="38" t="n">
        <x:v>435</x:v>
      </x:c>
      <x:c r="F649" s="38" t="n">
        <x:v>0</x:v>
      </x:c>
      <x:c r="G649" s="38" t="n">
        <x:v>59928</x:v>
      </x:c>
      <x:c r="H649" s="15" t="str">
        <x:v>Card spend</x:v>
      </x:c>
      <x:c r="I649" s="15" t="str">
        <x:v>The Water Well Bu136</x:v>
      </x:c>
      <x:c r="J649" s="15" t="str">
        <x:v>eml_ALL_currentac__512781 (2).zip &gt; eml7currentac__512781.zip / FNB _-) R435.00 reserved for purchase @ The Water Well Bu136 from Current a_c..512781 using card..2924. 19Jan 14_57.eml</x:v>
      </x:c>
    </x:row>
    <x:row r="650">
      <x:c r="A650" s="15" t="str">
        <x:v>Current a/c..512781 / card..2924</x:v>
      </x:c>
      <x:c r="B650" s="34" t="n">
        <x:v>46042.63055555556</x:v>
      </x:c>
      <x:c r="C650" s="15" t="str">
        <x:v>R437.20 reserved for purchase @ Savemor Marloth from Current a/c..512781 using card..2924. Avail R59469. 20Jan 15:08</x:v>
      </x:c>
      <x:c r="D650" s="38" t="n">
        <x:v>0</x:v>
      </x:c>
      <x:c r="E650" s="38" t="n">
        <x:v>437.2</x:v>
      </x:c>
      <x:c r="F650" s="38" t="n">
        <x:v>0</x:v>
      </x:c>
      <x:c r="G650" s="38" t="n">
        <x:v>59469</x:v>
      </x:c>
      <x:c r="H650" s="15" t="str">
        <x:v>Supplier payments</x:v>
      </x:c>
      <x:c r="I650" s="15" t="str">
        <x:v>Savemor Marloth</x:v>
      </x:c>
      <x:c r="J650" s="15" t="str">
        <x:v>eml_ALL_currentac__512781 (2).zip &gt; eml7currentac__512781.zip / FNB _-) R437.20 reserved for purchase @ Savemor Marloth from Current a_c..512781 using card..2924. 20Jan 15_08.eml</x:v>
      </x:c>
    </x:row>
    <x:row r="651">
      <x:c r="A651" s="15" t="str">
        <x:v>Current a/c..512781 / card..2924</x:v>
      </x:c>
      <x:c r="B651" s="34" t="n">
        <x:v>46042.63958333333</x:v>
      </x:c>
      <x:c r="C651" s="15" t="str">
        <x:v>R300.00 reserved for purchase @ Marlothi Petrol Stat from Current a/c..512781 using card..2924. Avail R59169. 20Jan 15:21</x:v>
      </x:c>
      <x:c r="D651" s="38" t="n">
        <x:v>0</x:v>
      </x:c>
      <x:c r="E651" s="38" t="n">
        <x:v>300</x:v>
      </x:c>
      <x:c r="F651" s="38" t="n">
        <x:v>0</x:v>
      </x:c>
      <x:c r="G651" s="38" t="n">
        <x:v>59169</x:v>
      </x:c>
      <x:c r="H651" s="15" t="str">
        <x:v>Fuel / transport</x:v>
      </x:c>
      <x:c r="I651" s="15" t="str">
        <x:v>Marlothi Petrol Stat</x:v>
      </x:c>
      <x:c r="J651" s="15" t="str">
        <x:v>eml_ALL_currentac__512781 (2).zip &gt; eml7currentac__512781.zip / FNB _-) R300.00 reserved for purchase @ Marlothi Petrol Stat from Current a_c..512781 using card..2924. 20Jan 15_21.eml</x:v>
      </x:c>
    </x:row>
    <x:row r="652">
      <x:c r="A652" s="15" t="str">
        <x:v>Current a/c..512781 / card..2924</x:v>
      </x:c>
      <x:c r="B652" s="34" t="n">
        <x:v>46042.72083333333</x:v>
      </x:c>
      <x:c r="C652" s="15" t="str">
        <x:v>R109.99 reserved for purchase @ Savemor Marloth Liqu from Current a/c..512781 using card..2924. Avail R59059. 20Jan 17:18</x:v>
      </x:c>
      <x:c r="D652" s="38" t="n">
        <x:v>0</x:v>
      </x:c>
      <x:c r="E652" s="38" t="n">
        <x:v>109.99</x:v>
      </x:c>
      <x:c r="F652" s="38" t="n">
        <x:v>0</x:v>
      </x:c>
      <x:c r="G652" s="38" t="n">
        <x:v>59059</x:v>
      </x:c>
      <x:c r="H652" s="15" t="str">
        <x:v>Meals / restaurants / entertainment</x:v>
      </x:c>
      <x:c r="I652" s="15" t="str">
        <x:v>Savemor Marloth Liqu</x:v>
      </x:c>
      <x:c r="J652" s="15" t="str">
        <x:v>eml_ALL_currentac__512781 (2).zip &gt; eml7currentac__512781.zip / FNB _-) R109.99 reserved for purchase @ Savemor Marloth Liqu from Current a_c..512781 using card..2924. 20Jan 17_18.eml</x:v>
      </x:c>
    </x:row>
    <x:row r="653">
      <x:c r="A653" s="15" t="str">
        <x:v>Current a/c..512781 / card..2924</x:v>
      </x:c>
      <x:c r="B653" s="34" t="n">
        <x:v>46042.856944444444</x:v>
      </x:c>
      <x:c r="C653" s="15" t="str">
        <x:v>R490.00 reserved for purchase @ Spur Fern Valley from Current a/c..512781 using card..2924. Avail R58569. 20Jan 20:34</x:v>
      </x:c>
      <x:c r="D653" s="38" t="n">
        <x:v>0</x:v>
      </x:c>
      <x:c r="E653" s="38" t="n">
        <x:v>490</x:v>
      </x:c>
      <x:c r="F653" s="38" t="n">
        <x:v>0</x:v>
      </x:c>
      <x:c r="G653" s="38" t="n">
        <x:v>58569</x:v>
      </x:c>
      <x:c r="H653" s="15" t="str">
        <x:v>Card spend</x:v>
      </x:c>
      <x:c r="I653" s="15" t="str">
        <x:v>Spur Fern Valley</x:v>
      </x:c>
      <x:c r="J653" s="15" t="str">
        <x:v>eml_ALL_currentac__512781 (2).zip &gt; eml7currentac__512781.zip / FNB _-) R490.00 reserved for purchase @ Spur Fern Valley from Current a_c..512781 using card..2924. 20Jan 20_34.eml</x:v>
      </x:c>
    </x:row>
    <x:row r="654">
      <x:c r="A654" s="15" t="str">
        <x:v>Current a/c..512781 / card..2924</x:v>
      </x:c>
      <x:c r="B654" s="34" t="n">
        <x:v>46044.42222222222</x:v>
      </x:c>
      <x:c r="C654" s="15" t="str">
        <x:v>R461.54 reserved for purchase @ Superspar Komatipoor from Current a/c..512781 using card..2924. Avail R81384. 22Jan 10:08</x:v>
      </x:c>
      <x:c r="D654" s="38" t="n">
        <x:v>0</x:v>
      </x:c>
      <x:c r="E654" s="38" t="n">
        <x:v>461.54</x:v>
      </x:c>
      <x:c r="F654" s="38" t="n">
        <x:v>0</x:v>
      </x:c>
      <x:c r="G654" s="38" t="n">
        <x:v>81384</x:v>
      </x:c>
      <x:c r="H654" s="15" t="str">
        <x:v>Supplier payments</x:v>
      </x:c>
      <x:c r="I654" s="15" t="str">
        <x:v>Superspar Komatipoor</x:v>
      </x:c>
      <x:c r="J654" s="15" t="str">
        <x:v>eml_ALL_currentac__512781 (2).zip &gt; eml7currentac__512781.zip / FNB _-) R461.54 reserved for purchase @ Superspar Komatipoor from Current a_c..512781 using card..2924. 22Jan 10_08.eml</x:v>
      </x:c>
    </x:row>
    <x:row r="655">
      <x:c r="A655" s="15" t="str">
        <x:v>Current a/c..512781 / card..2924</x:v>
      </x:c>
      <x:c r="B655" s="34" t="n">
        <x:v>46044.43541666667</x:v>
      </x:c>
      <x:c r="C655" s="15" t="str">
        <x:v>R1150.00 reserved for purchase @ Hpy*vodafone Cellula from Current a/c..512781 using card..2924. Avail R80234. 22Jan 10:27</x:v>
      </x:c>
      <x:c r="D655" s="38" t="n">
        <x:v>0</x:v>
      </x:c>
      <x:c r="E655" s="38" t="n">
        <x:v>1150</x:v>
      </x:c>
      <x:c r="F655" s="38" t="n">
        <x:v>0</x:v>
      </x:c>
      <x:c r="G655" s="38" t="n">
        <x:v>80234</x:v>
      </x:c>
      <x:c r="H655" s="15" t="str">
        <x:v>Card spend</x:v>
      </x:c>
      <x:c r="I655" s="15" t="str">
        <x:v>Hpy*vodafone Cellula</x:v>
      </x:c>
      <x:c r="J655" s="15" t="str">
        <x:v>eml_ALL_currentac__512781 (2).zip &gt; eml7currentac__512781.zip / FNB _-) R1150.00 reserved for purchase @ Hpy_vodafone Cellula from Current a_c..512781 using card..2924. 22Jan 10_27.eml</x:v>
      </x:c>
    </x:row>
    <x:row r="656">
      <x:c r="A656" s="15" t="str">
        <x:v>Current a/c..512781 / card..2924</x:v>
      </x:c>
      <x:c r="B656" s="34" t="n">
        <x:v>46044.44097222222</x:v>
      </x:c>
      <x:c r="C656" s="15" t="str">
        <x:v>R500.00 reserved for purchase @ Obaro Komatipoort Fc from Current a/c..512781 using card..2924. Avail R79734. 22Jan 10:35</x:v>
      </x:c>
      <x:c r="D656" s="38" t="n">
        <x:v>0</x:v>
      </x:c>
      <x:c r="E656" s="38" t="n">
        <x:v>500</x:v>
      </x:c>
      <x:c r="F656" s="38" t="n">
        <x:v>0</x:v>
      </x:c>
      <x:c r="G656" s="38" t="n">
        <x:v>79734</x:v>
      </x:c>
      <x:c r="H656" s="15" t="str">
        <x:v>Supplier payments</x:v>
      </x:c>
      <x:c r="I656" s="15" t="str">
        <x:v>Obaro Komatipoort Fc</x:v>
      </x:c>
      <x:c r="J656" s="15" t="str">
        <x:v>eml_ALL_currentac__512781 (2).zip &gt; eml7currentac__512781.zip / FNB _-) R500.00 reserved for purchase @ Obaro Komatipoort Fc from Current a_c..512781 using card..2924. 22Jan 10_35.eml</x:v>
      </x:c>
    </x:row>
    <x:row r="657">
      <x:c r="A657" s="15" t="str">
        <x:v>Current a/c..512781 / card..2924</x:v>
      </x:c>
      <x:c r="B657" s="34" t="n">
        <x:v>46044.520833333336</x:v>
      </x:c>
      <x:c r="C657" s="15" t="str">
        <x:v>R154.92 reserved for purchase @ Sqsp* Websit from Current a/c..512781 using card..2924. Avail R79579. 22Jan 12:30</x:v>
      </x:c>
      <x:c r="D657" s="38" t="n">
        <x:v>0</x:v>
      </x:c>
      <x:c r="E657" s="38" t="n">
        <x:v>154.92</x:v>
      </x:c>
      <x:c r="F657" s="38" t="n">
        <x:v>0</x:v>
      </x:c>
      <x:c r="G657" s="38" t="n">
        <x:v>79579</x:v>
      </x:c>
      <x:c r="H657" s="15" t="str">
        <x:v>Software / subscriptions</x:v>
      </x:c>
      <x:c r="I657" s="15" t="str">
        <x:v>Sqsp* Websit</x:v>
      </x:c>
      <x:c r="J657" s="15" t="str">
        <x:v>eml_ALL_currentac__512781 (2).zip &gt; eml7currentac__512781.zip / FNB _-) R154.92 reserved for purchase @ Sqsp_ Websit from Current a_c..512781 using card..2924. 22Jan 12_30.eml</x:v>
      </x:c>
    </x:row>
    <x:row r="658">
      <x:c r="A658" s="15" t="str">
        <x:v>Current a/c..512781 / card..2924</x:v>
      </x:c>
      <x:c r="B658" s="34" t="n">
        <x:v>46044.62569444445</x:v>
      </x:c>
      <x:c r="C658" s="15" t="str">
        <x:v>R416.99 reserved for purchase @ Savemor Marloth from Current a/c..512781 using card..2924. Avail R79162. 22Jan 15:01</x:v>
      </x:c>
      <x:c r="D658" s="38" t="n">
        <x:v>0</x:v>
      </x:c>
      <x:c r="E658" s="38" t="n">
        <x:v>416.99</x:v>
      </x:c>
      <x:c r="F658" s="38" t="n">
        <x:v>0</x:v>
      </x:c>
      <x:c r="G658" s="38" t="n">
        <x:v>79162</x:v>
      </x:c>
      <x:c r="H658" s="15" t="str">
        <x:v>Supplier payments</x:v>
      </x:c>
      <x:c r="I658" s="15" t="str">
        <x:v>Savemor Marloth</x:v>
      </x:c>
      <x:c r="J658" s="15" t="str">
        <x:v>eml_ALL_currentac__512781 (2).zip &gt; eml7currentac__512781.zip / FNB _-) R416.99 reserved for purchase @ Savemor Marloth from Current a_c..512781 using card..2924. 22Jan 15_01.eml</x:v>
      </x:c>
    </x:row>
    <x:row r="659">
      <x:c r="A659" s="15" t="str">
        <x:v>Current a/c..512781 / card..2924</x:v>
      </x:c>
      <x:c r="B659" s="34" t="n">
        <x:v>46044.63263888889</x:v>
      </x:c>
      <x:c r="C659" s="15" t="str">
        <x:v>R177.94 reserved for purchase @ Savemor Marloth from Current a/c..512781 using card..2924. Avail R78984. 22Jan 15:11</x:v>
      </x:c>
      <x:c r="D659" s="38" t="n">
        <x:v>0</x:v>
      </x:c>
      <x:c r="E659" s="38" t="n">
        <x:v>177.94</x:v>
      </x:c>
      <x:c r="F659" s="38" t="n">
        <x:v>0</x:v>
      </x:c>
      <x:c r="G659" s="38" t="n">
        <x:v>78984</x:v>
      </x:c>
      <x:c r="H659" s="15" t="str">
        <x:v>Supplier payments</x:v>
      </x:c>
      <x:c r="I659" s="15" t="str">
        <x:v>Savemor Marloth</x:v>
      </x:c>
      <x:c r="J659" s="15" t="str">
        <x:v>eml_ALL_currentac__512781 (2).zip &gt; eml7currentac__512781.zip / FNB _-) R177.94 reserved for purchase @ Savemor Marloth from Current a_c..512781 using card..2924. 22Jan 15_11.eml</x:v>
      </x:c>
    </x:row>
    <x:row r="660">
      <x:c r="A660" s="15" t="str">
        <x:v>Current a/c..512781 / card..2924</x:v>
      </x:c>
      <x:c r="B660" s="34" t="n">
        <x:v>46044.63680555556</x:v>
      </x:c>
      <x:c r="C660" s="15" t="str">
        <x:v>R154.98 reserved for purchase @ Savemor Marloth Liqu from Current a/c..512781 using card..2924. Avail R78829. 22Jan 15:17</x:v>
      </x:c>
      <x:c r="D660" s="38" t="n">
        <x:v>0</x:v>
      </x:c>
      <x:c r="E660" s="38" t="n">
        <x:v>154.98</x:v>
      </x:c>
      <x:c r="F660" s="38" t="n">
        <x:v>0</x:v>
      </x:c>
      <x:c r="G660" s="38" t="n">
        <x:v>78829</x:v>
      </x:c>
      <x:c r="H660" s="15" t="str">
        <x:v>Meals / restaurants / entertainment</x:v>
      </x:c>
      <x:c r="I660" s="15" t="str">
        <x:v>Savemor Marloth Liqu</x:v>
      </x:c>
      <x:c r="J660" s="15" t="str">
        <x:v>eml_ALL_currentac__512781 (2).zip &gt; eml7currentac__512781.zip / FNB _-) R154.98 reserved for purchase @ Savemor Marloth Liqu from Current a_c..512781 using card..2924. 22Jan 15_17.eml</x:v>
      </x:c>
    </x:row>
    <x:row r="661">
      <x:c r="A661" s="15" t="str">
        <x:v>Current a/c..512781 / card..2924</x:v>
      </x:c>
      <x:c r="B661" s="34" t="n">
        <x:v>46044.64861111111</x:v>
      </x:c>
      <x:c r="C661" s="15" t="str">
        <x:v>R103.15 reserved for purchase @ At Wild Butchery 133 from Current a/c..512781 using card..2924. Avail R78726. 22Jan 15:34</x:v>
      </x:c>
      <x:c r="D661" s="38" t="n">
        <x:v>0</x:v>
      </x:c>
      <x:c r="E661" s="38" t="n">
        <x:v>103.15</x:v>
      </x:c>
      <x:c r="F661" s="38" t="n">
        <x:v>0</x:v>
      </x:c>
      <x:c r="G661" s="38" t="n">
        <x:v>78726</x:v>
      </x:c>
      <x:c r="H661" s="15" t="str">
        <x:v>Supplier payments</x:v>
      </x:c>
      <x:c r="I661" s="15" t="str">
        <x:v>At Wild Butchery 133</x:v>
      </x:c>
      <x:c r="J661" s="15" t="str">
        <x:v>eml_ALL_currentac__512781 (2).zip &gt; eml7currentac__512781.zip / FNB _-) R103.15 reserved for purchase @ At Wild Butchery 133 from Current a_c..512781 using card..2924. 22Jan 15_34.eml</x:v>
      </x:c>
    </x:row>
    <x:row r="662">
      <x:c r="A662" s="15" t="str">
        <x:v>Current a/c..512781 / card..2924</x:v>
      </x:c>
      <x:c r="B662" s="34" t="n">
        <x:v>46045.620833333334</x:v>
      </x:c>
      <x:c r="C662" s="15" t="str">
        <x:v>R175.97 reserved for purchase @ Savemor Marloth Liqu from Current a/c..512781 using card..2924. Avail R89255. 23Jan 14:54</x:v>
      </x:c>
      <x:c r="D662" s="38" t="n">
        <x:v>0</x:v>
      </x:c>
      <x:c r="E662" s="38" t="n">
        <x:v>175.97</x:v>
      </x:c>
      <x:c r="F662" s="38" t="n">
        <x:v>0</x:v>
      </x:c>
      <x:c r="G662" s="38" t="n">
        <x:v>89255</x:v>
      </x:c>
      <x:c r="H662" s="15" t="str">
        <x:v>Meals / restaurants / entertainment</x:v>
      </x:c>
      <x:c r="I662" s="15" t="str">
        <x:v>Savemor Marloth Liqu</x:v>
      </x:c>
      <x:c r="J662" s="15" t="str">
        <x:v>eml_ALL_currentac__512781 (2).zip &gt; eml7currentac__512781.zip / FNB _-) R175.97 reserved for purchase @ Savemor Marloth Liqu from Current a_c..512781 using card..2924. 23Jan 14_54.eml</x:v>
      </x:c>
    </x:row>
    <x:row r="663">
      <x:c r="A663" s="15" t="str">
        <x:v>Current a/c..512781 / card..2924</x:v>
      </x:c>
      <x:c r="B663" s="34" t="n">
        <x:v>46046.51458333333</x:v>
      </x:c>
      <x:c r="C663" s="15" t="str">
        <x:v>R282.99 reserved for purchase @ Savemor Marloth from Current a/c..512781 using card..2924. Avail R75429. 24Jan 12:21</x:v>
      </x:c>
      <x:c r="D663" s="38" t="n">
        <x:v>0</x:v>
      </x:c>
      <x:c r="E663" s="38" t="n">
        <x:v>282.99</x:v>
      </x:c>
      <x:c r="F663" s="38" t="n">
        <x:v>0</x:v>
      </x:c>
      <x:c r="G663" s="38" t="n">
        <x:v>75429</x:v>
      </x:c>
      <x:c r="H663" s="15" t="str">
        <x:v>Supplier payments</x:v>
      </x:c>
      <x:c r="I663" s="15" t="str">
        <x:v>Savemor Marloth</x:v>
      </x:c>
      <x:c r="J663" s="15" t="str">
        <x:v>eml_ALL_currentac__512781 (2).zip &gt; eml7currentac__512781.zip / FNB _-) R282.99 reserved for purchase @ Savemor Marloth from Current a_c..512781 using card..2924. 24Jan 12_21.eml</x:v>
      </x:c>
    </x:row>
    <x:row r="664">
      <x:c r="A664" s="15" t="str">
        <x:v>Current a/c..512781 / card..2924</x:v>
      </x:c>
      <x:c r="B664" s="34" t="n">
        <x:v>46046.53472222222</x:v>
      </x:c>
      <x:c r="C664" s="15" t="str">
        <x:v>R330.20 reserved for purchase @ Oasis Water Komatipo from Current a/c..512781 using card..2924. Avail R75098. 24Jan 12:50</x:v>
      </x:c>
      <x:c r="D664" s="38" t="n">
        <x:v>0</x:v>
      </x:c>
      <x:c r="E664" s="38" t="n">
        <x:v>330.2</x:v>
      </x:c>
      <x:c r="F664" s="38" t="n">
        <x:v>0</x:v>
      </x:c>
      <x:c r="G664" s="38" t="n">
        <x:v>75098</x:v>
      </x:c>
      <x:c r="H664" s="15" t="str">
        <x:v>Supplier payments</x:v>
      </x:c>
      <x:c r="I664" s="15" t="str">
        <x:v>Oasis Water Komatipo</x:v>
      </x:c>
      <x:c r="J664" s="15" t="str">
        <x:v>eml_ALL_currentac__512781 (2).zip &gt; eml7currentac__512781.zip / FNB _-) R330.20 reserved for purchase @ Oasis Water Komatipo from Current a_c..512781 using card..2924. 24Jan 12_50.eml</x:v>
      </x:c>
    </x:row>
    <x:row r="665">
      <x:c r="A665" s="15" t="str">
        <x:v>Current a/c..512781 / card..2924</x:v>
      </x:c>
      <x:c r="B665" s="34" t="n">
        <x:v>46046.57847222222</x:v>
      </x:c>
      <x:c r="C665" s="15" t="str">
        <x:v>R1704.64 reserved for purchase @ Superspar Komatipoor from Current a/c..512781 using card..2924. Avail R73394. 24Jan 13:53</x:v>
      </x:c>
      <x:c r="D665" s="38" t="n">
        <x:v>0</x:v>
      </x:c>
      <x:c r="E665" s="38" t="n">
        <x:v>1704.64</x:v>
      </x:c>
      <x:c r="F665" s="38" t="n">
        <x:v>0</x:v>
      </x:c>
      <x:c r="G665" s="38" t="n">
        <x:v>73394</x:v>
      </x:c>
      <x:c r="H665" s="15" t="str">
        <x:v>Supplier payments</x:v>
      </x:c>
      <x:c r="I665" s="15" t="str">
        <x:v>Superspar Komatipoor</x:v>
      </x:c>
      <x:c r="J665" s="15" t="str">
        <x:v>eml_ALL_currentac__512781 (2).zip &gt; eml7currentac__512781.zip / FNB _-) R1704.64 reserved for purchase @ Superspar Komatipoor from Current a_c..512781 using card..2924. 24Jan 13_53.eml</x:v>
      </x:c>
    </x:row>
    <x:row r="666">
      <x:c r="A666" s="15" t="str">
        <x:v>Current a/c..512781 / card..2924</x:v>
      </x:c>
      <x:c r="B666" s="34" t="n">
        <x:v>46048.63402777778</x:v>
      </x:c>
      <x:c r="C666" s="15" t="str">
        <x:v>R328.94 reserved for purchase @ Savemor Marloth from Current a/c..512781 using card..2924. Avail R51590. 26Jan 15:13</x:v>
      </x:c>
      <x:c r="D666" s="38" t="n">
        <x:v>0</x:v>
      </x:c>
      <x:c r="E666" s="38" t="n">
        <x:v>328.94</x:v>
      </x:c>
      <x:c r="F666" s="38" t="n">
        <x:v>0</x:v>
      </x:c>
      <x:c r="G666" s="38" t="n">
        <x:v>51590</x:v>
      </x:c>
      <x:c r="H666" s="15" t="str">
        <x:v>Supplier payments</x:v>
      </x:c>
      <x:c r="I666" s="15" t="str">
        <x:v>Savemor Marloth</x:v>
      </x:c>
      <x:c r="J666" s="15" t="str">
        <x:v>eml_ALL_currentac__512781 (2).zip &gt; eml7currentac__512781.zip / FNB _-) R328.94 reserved for purchase @ Savemor Marloth from Current a_c..512781 using card..2924. 26Jan 15_13.eml</x:v>
      </x:c>
    </x:row>
    <x:row r="667">
      <x:c r="A667" s="15" t="str">
        <x:v>Current a/c..512781 / card..2924</x:v>
      </x:c>
      <x:c r="B667" s="34" t="n">
        <x:v>46048.64097222222</x:v>
      </x:c>
      <x:c r="C667" s="15" t="str">
        <x:v>R134.00 reserved for purchase @ Boskombuis 116 from Current a/c..512781 using card..2924. Avail R51456. 26Jan 15:23</x:v>
      </x:c>
      <x:c r="D667" s="38" t="n">
        <x:v>0</x:v>
      </x:c>
      <x:c r="E667" s="38" t="n">
        <x:v>134</x:v>
      </x:c>
      <x:c r="F667" s="38" t="n">
        <x:v>0</x:v>
      </x:c>
      <x:c r="G667" s="38" t="n">
        <x:v>51456</x:v>
      </x:c>
      <x:c r="H667" s="15" t="str">
        <x:v>Card spend</x:v>
      </x:c>
      <x:c r="I667" s="15" t="str">
        <x:v>Boskombuis 116</x:v>
      </x:c>
      <x:c r="J667" s="15" t="str">
        <x:v>eml_ALL_currentac__512781 (2).zip &gt; eml7currentac__512781.zip / FNB _-) R134.00 reserved for purchase @ Boskombuis 116 from Current a_c..512781 using card..2924. 26Jan 15_23.eml</x:v>
      </x:c>
    </x:row>
    <x:row r="668">
      <x:c r="A668" s="15" t="str">
        <x:v>Current a/c..512781 / card..2924</x:v>
      </x:c>
      <x:c r="B668" s="34" t="n">
        <x:v>46048.720138888886</x:v>
      </x:c>
      <x:c r="C668" s="15" t="str">
        <x:v>R152.64 reserved for purchase @ Savemor Marloth from Current a/c..512781 using card..2924. Avail R51304. 26Jan 17:17</x:v>
      </x:c>
      <x:c r="D668" s="38" t="n">
        <x:v>0</x:v>
      </x:c>
      <x:c r="E668" s="38" t="n">
        <x:v>152.64</x:v>
      </x:c>
      <x:c r="F668" s="38" t="n">
        <x:v>0</x:v>
      </x:c>
      <x:c r="G668" s="38" t="n">
        <x:v>51304</x:v>
      </x:c>
      <x:c r="H668" s="15" t="str">
        <x:v>Supplier payments</x:v>
      </x:c>
      <x:c r="I668" s="15" t="str">
        <x:v>Savemor Marloth</x:v>
      </x:c>
      <x:c r="J668" s="15" t="str">
        <x:v>eml_ALL_currentac__512781 (2).zip &gt; eml7currentac__512781.zip / FNB _-) R152.64 reserved for purchase @ Savemor Marloth from Current a_c..512781 using card..2924. 26Jan 17_17.eml</x:v>
      </x:c>
    </x:row>
    <x:row r="669">
      <x:c r="A669" s="15" t="str">
        <x:v>Current a/c..512781 / card..2924</x:v>
      </x:c>
      <x:c r="B669" s="34" t="n">
        <x:v>46049.558333333334</x:v>
      </x:c>
      <x:c r="C669" s="15" t="str">
        <x:v>R1758.90 reserved for purchase @ Superspar Komatipoor from Current a/c..512781 using card..2924. Avail R34270. 27Jan 13:24</x:v>
      </x:c>
      <x:c r="D669" s="38" t="n">
        <x:v>0</x:v>
      </x:c>
      <x:c r="E669" s="38" t="n">
        <x:v>1758.9</x:v>
      </x:c>
      <x:c r="F669" s="38" t="n">
        <x:v>0</x:v>
      </x:c>
      <x:c r="G669" s="38" t="n">
        <x:v>34270</x:v>
      </x:c>
      <x:c r="H669" s="15" t="str">
        <x:v>Supplier payments</x:v>
      </x:c>
      <x:c r="I669" s="15" t="str">
        <x:v>Superspar Komatipoor</x:v>
      </x:c>
      <x:c r="J669" s="15" t="str">
        <x:v>eml_ALL_currentac__512781 (2).zip &gt; eml7currentac__512781.zip / FNB _-) R1758.90 reserved for purchase @ Superspar Komatipoor from Current a_c..512781 using card..2924. 27Jan 13_24.eml</x:v>
      </x:c>
    </x:row>
    <x:row r="670">
      <x:c r="A670" s="15" t="str">
        <x:v>Current a/c..512781 / card..2924</x:v>
      </x:c>
      <x:c r="B670" s="34" t="n">
        <x:v>46050.467361111114</x:v>
      </x:c>
      <x:c r="C670" s="15" t="str">
        <x:v>R518.49 reserved for purchase @ Savemor Marloth from Current a/c..512781 using card..2924. Avail R39438. 28Jan 11:13</x:v>
      </x:c>
      <x:c r="D670" s="38" t="n">
        <x:v>0</x:v>
      </x:c>
      <x:c r="E670" s="38" t="n">
        <x:v>518.49</x:v>
      </x:c>
      <x:c r="F670" s="38" t="n">
        <x:v>0</x:v>
      </x:c>
      <x:c r="G670" s="38" t="n">
        <x:v>39438</x:v>
      </x:c>
      <x:c r="H670" s="15" t="str">
        <x:v>Supplier payments</x:v>
      </x:c>
      <x:c r="I670" s="15" t="str">
        <x:v>Savemor Marloth</x:v>
      </x:c>
      <x:c r="J670" s="15" t="str">
        <x:v>eml_ALL_currentac__512781 (2).zip &gt; eml7currentac__512781.zip / FNB _-) R518.49 reserved for purchase @ Savemor Marloth from Current a_c..512781 using card..2924. 28Jan 11_13.eml</x:v>
      </x:c>
    </x:row>
    <x:row r="671">
      <x:c r="A671" s="15" t="str">
        <x:v>Current a/c..512781 / card..2924</x:v>
      </x:c>
      <x:c r="B671" s="34" t="n">
        <x:v>46050.59583333333</x:v>
      </x:c>
      <x:c r="C671" s="15" t="str">
        <x:v>R283.25 reserved for purchase @ Buco Komatipoort from Current a/c..512781 using card..2924. Avail R39155. 28Jan 14:18</x:v>
      </x:c>
      <x:c r="D671" s="38" t="n">
        <x:v>0</x:v>
      </x:c>
      <x:c r="E671" s="38" t="n">
        <x:v>283.25</x:v>
      </x:c>
      <x:c r="F671" s="38" t="n">
        <x:v>0</x:v>
      </x:c>
      <x:c r="G671" s="38" t="n">
        <x:v>39155</x:v>
      </x:c>
      <x:c r="H671" s="15" t="str">
        <x:v>Supplier payments</x:v>
      </x:c>
      <x:c r="I671" s="15" t="str">
        <x:v>Buco Komatipoort</x:v>
      </x:c>
      <x:c r="J671" s="15" t="str">
        <x:v>eml_ALL_currentac__512781 (2).zip &gt; eml7currentac__512781.zip / FNB _-) R283.25 reserved for purchase @ Buco Komatipoort from Current a_c..512781 using card..2924. 28Jan 14_18.eml</x:v>
      </x:c>
    </x:row>
    <x:row r="672">
      <x:c r="A672" s="15" t="str">
        <x:v>Current a/c..512781 / card..2924</x:v>
      </x:c>
      <x:c r="B672" s="34" t="n">
        <x:v>46050.61388888889</x:v>
      </x:c>
      <x:c r="C672" s="15" t="str">
        <x:v>R243.00 reserved for purchase @ Komati Liquor from Current a/c..512781 using card..2924. Avail R38912. 28Jan 14:44</x:v>
      </x:c>
      <x:c r="D672" s="38" t="n">
        <x:v>0</x:v>
      </x:c>
      <x:c r="E672" s="38" t="n">
        <x:v>243</x:v>
      </x:c>
      <x:c r="F672" s="38" t="n">
        <x:v>0</x:v>
      </x:c>
      <x:c r="G672" s="38" t="n">
        <x:v>38912</x:v>
      </x:c>
      <x:c r="H672" s="15" t="str">
        <x:v>Meals / restaurants / entertainment</x:v>
      </x:c>
      <x:c r="I672" s="15" t="str">
        <x:v>Komati Liquor</x:v>
      </x:c>
      <x:c r="J672" s="15" t="str">
        <x:v>eml_ALL_currentac__512781 (2).zip &gt; eml7currentac__512781.zip / FNB _-) R243.00 reserved for purchase @ Komati Liquor from Current a_c..512781 using card..2924. 28Jan 14_44.eml</x:v>
      </x:c>
    </x:row>
    <x:row r="673">
      <x:c r="A673" s="15" t="str">
        <x:v>Current a/c..512781 / card..2924</x:v>
      </x:c>
      <x:c r="B673" s="34" t="n">
        <x:v>46050.62708333333</x:v>
      </x:c>
      <x:c r="C673" s="15" t="str">
        <x:v>R269.47 reserved for purchase @ Superspar Komatipoor from Current a/c..512781 using card..2924. Avail R38643. 28Jan 15:03</x:v>
      </x:c>
      <x:c r="D673" s="38" t="n">
        <x:v>0</x:v>
      </x:c>
      <x:c r="E673" s="38" t="n">
        <x:v>269.47</x:v>
      </x:c>
      <x:c r="F673" s="38" t="n">
        <x:v>0</x:v>
      </x:c>
      <x:c r="G673" s="38" t="n">
        <x:v>38643</x:v>
      </x:c>
      <x:c r="H673" s="15" t="str">
        <x:v>Supplier payments</x:v>
      </x:c>
      <x:c r="I673" s="15" t="str">
        <x:v>Superspar Komatipoor</x:v>
      </x:c>
      <x:c r="J673" s="15" t="str">
        <x:v>eml_ALL_currentac__512781 (2).zip &gt; eml7currentac__512781.zip / FNB _-) R269.47 reserved for purchase @ Superspar Komatipoor from Current a_c..512781 using card..2924. 28Jan 15_03.eml</x:v>
      </x:c>
    </x:row>
    <x:row r="674">
      <x:c r="A674" s="15" t="str">
        <x:v>Current a/c..512781 / card..2924</x:v>
      </x:c>
      <x:c r="B674" s="34" t="n">
        <x:v>46050.62777777778</x:v>
      </x:c>
      <x:c r="C674" s="15" t="str">
        <x:v>R107.99 reserved for purchase @ Superspar Komatipoor from Current a/c..512781 using card..2924. Avail R38535. 28Jan 15:04</x:v>
      </x:c>
      <x:c r="D674" s="38" t="n">
        <x:v>0</x:v>
      </x:c>
      <x:c r="E674" s="38" t="n">
        <x:v>107.99</x:v>
      </x:c>
      <x:c r="F674" s="38" t="n">
        <x:v>0</x:v>
      </x:c>
      <x:c r="G674" s="38" t="n">
        <x:v>38535</x:v>
      </x:c>
      <x:c r="H674" s="15" t="str">
        <x:v>Supplier payments</x:v>
      </x:c>
      <x:c r="I674" s="15" t="str">
        <x:v>Superspar Komatipoor</x:v>
      </x:c>
      <x:c r="J674" s="15" t="str">
        <x:v>eml_ALL_currentac__512781 (2).zip &gt; eml7currentac__512781.zip / FNB _-) R107.99 reserved for purchase @ Superspar Komatipoor from Current a_c..512781 using card..2924. 28Jan 15_04.eml</x:v>
      </x:c>
    </x:row>
    <x:row r="675">
      <x:c r="A675" s="15" t="str">
        <x:v>Current a/c..512781 / card..2924</x:v>
      </x:c>
      <x:c r="B675" s="34" t="n">
        <x:v>46050.64722222222</x:v>
      </x:c>
      <x:c r="C675" s="15" t="str">
        <x:v>R137.20 reserved for purchase @ Oasis Water Komatipo from Current a/c..512781 using card..2924. Avail R38383. 28Jan 15:32</x:v>
      </x:c>
      <x:c r="D675" s="38" t="n">
        <x:v>0</x:v>
      </x:c>
      <x:c r="E675" s="38" t="n">
        <x:v>137.2</x:v>
      </x:c>
      <x:c r="F675" s="38" t="n">
        <x:v>0</x:v>
      </x:c>
      <x:c r="G675" s="38" t="n">
        <x:v>38383</x:v>
      </x:c>
      <x:c r="H675" s="15" t="str">
        <x:v>Supplier payments</x:v>
      </x:c>
      <x:c r="I675" s="15" t="str">
        <x:v>Oasis Water Komatipo</x:v>
      </x:c>
      <x:c r="J675" s="15" t="str">
        <x:v>eml_ALL_currentac__512781 (2).zip &gt; eml7currentac__512781.zip / FNB _-) R137.20 reserved for purchase @ Oasis Water Komatipo from Current a_c..512781 using card..2924. 28Jan 15_32.eml</x:v>
      </x:c>
    </x:row>
    <x:row r="676">
      <x:c r="A676" s="15" t="str">
        <x:v>Current a/c..512781 / card..2924</x:v>
      </x:c>
      <x:c r="B676" s="34" t="n">
        <x:v>46051.53611111111</x:v>
      </x:c>
      <x:c r="C676" s="15" t="str">
        <x:v>R508.84 reserved for purchase @ Superspar Komatipoor from Current a/c..512781 using card..2924. Avail R37777. 29Jan 12:52</x:v>
      </x:c>
      <x:c r="D676" s="38" t="n">
        <x:v>0</x:v>
      </x:c>
      <x:c r="E676" s="38" t="n">
        <x:v>508.84</x:v>
      </x:c>
      <x:c r="F676" s="38" t="n">
        <x:v>0</x:v>
      </x:c>
      <x:c r="G676" s="38" t="n">
        <x:v>37777</x:v>
      </x:c>
      <x:c r="H676" s="15" t="str">
        <x:v>Supplier payments</x:v>
      </x:c>
      <x:c r="I676" s="15" t="str">
        <x:v>Superspar Komatipoor</x:v>
      </x:c>
      <x:c r="J676" s="15" t="str">
        <x:v>eml_ALL_currentac__512781 (2).zip &gt; eml7currentac__512781.zip / FNB _-) R508.84 reserved for purchase @ Superspar Komatipoor from Current a_c..512781 using card..2924. 29Jan 12_52.eml</x:v>
      </x:c>
    </x:row>
    <x:row r="677">
      <x:c r="A677" s="15" t="str">
        <x:v>Current a/c..512781 / card..2924</x:v>
      </x:c>
      <x:c r="B677" s="34" t="n">
        <x:v>46051.614583333336</x:v>
      </x:c>
      <x:c r="C677" s="15" t="str">
        <x:v>R279.99 reserved for purchase @ Savemor Marloth from Current a/c..512781 using card..2924. Avail R38809. 29Jan 14:45</x:v>
      </x:c>
      <x:c r="D677" s="38" t="n">
        <x:v>0</x:v>
      </x:c>
      <x:c r="E677" s="38" t="n">
        <x:v>279.99</x:v>
      </x:c>
      <x:c r="F677" s="38" t="n">
        <x:v>0</x:v>
      </x:c>
      <x:c r="G677" s="38" t="n">
        <x:v>38809</x:v>
      </x:c>
      <x:c r="H677" s="15" t="str">
        <x:v>Supplier payments</x:v>
      </x:c>
      <x:c r="I677" s="15" t="str">
        <x:v>Savemor Marloth</x:v>
      </x:c>
      <x:c r="J677" s="15" t="str">
        <x:v>eml_ALL_currentac__512781 (2).zip &gt; eml7currentac__512781.zip / FNB _-) R279.99 reserved for purchase @ Savemor Marloth from Current a_c..512781 using card..2924. 29Jan 14_45.eml</x:v>
      </x:c>
    </x:row>
    <x:row r="678">
      <x:c r="A678" s="15" t="str">
        <x:v>Current a/c..512781 / card..2924</x:v>
      </x:c>
      <x:c r="B678" s="34" t="n">
        <x:v>46051.70625</x:v>
      </x:c>
      <x:c r="C678" s="15" t="str">
        <x:v>R370.94 reserved for purchase @ Savemor Marloth from Current a/c..512781 using card..2924. Avail R38438. 29Jan 16:57</x:v>
      </x:c>
      <x:c r="D678" s="38" t="n">
        <x:v>0</x:v>
      </x:c>
      <x:c r="E678" s="38" t="n">
        <x:v>370.94</x:v>
      </x:c>
      <x:c r="F678" s="38" t="n">
        <x:v>0</x:v>
      </x:c>
      <x:c r="G678" s="38" t="n">
        <x:v>38438</x:v>
      </x:c>
      <x:c r="H678" s="15" t="str">
        <x:v>Supplier payments</x:v>
      </x:c>
      <x:c r="I678" s="15" t="str">
        <x:v>Savemor Marloth</x:v>
      </x:c>
      <x:c r="J678" s="15" t="str">
        <x:v>eml_ALL_currentac__512781 (2).zip &gt; eml7currentac__512781.zip / FNB _-) R370.94 reserved for purchase @ Savemor Marloth from Current a_c..512781 using card..2924. 29Jan 16_57.eml</x:v>
      </x:c>
    </x:row>
    <x:row r="679">
      <x:c r="A679" s="15" t="str">
        <x:v>Current a/c..512781 / card..2924</x:v>
      </x:c>
      <x:c r="B679" s="34" t="n">
        <x:v>46051.725694444445</x:v>
      </x:c>
      <x:c r="C679" s="15" t="str">
        <x:v>R500.00 reserved for purchase @ Marlothi Petrol Stat from Current a/c..512781 using card..2924. Avail R37938. 29Jan 17:25</x:v>
      </x:c>
      <x:c r="D679" s="38" t="n">
        <x:v>0</x:v>
      </x:c>
      <x:c r="E679" s="38" t="n">
        <x:v>500</x:v>
      </x:c>
      <x:c r="F679" s="38" t="n">
        <x:v>0</x:v>
      </x:c>
      <x:c r="G679" s="38" t="n">
        <x:v>37938</x:v>
      </x:c>
      <x:c r="H679" s="15" t="str">
        <x:v>Fuel / transport</x:v>
      </x:c>
      <x:c r="I679" s="15" t="str">
        <x:v>Marlothi Petrol Stat</x:v>
      </x:c>
      <x:c r="J679" s="15" t="str">
        <x:v>eml_ALL_currentac__512781 (2).zip &gt; eml7currentac__512781.zip / FNB _-) R500.00 reserved for purchase @ Marlothi Petrol Stat from Current a_c..512781 using card..2924. 29Jan 17_25.eml</x:v>
      </x:c>
    </x:row>
    <x:row r="680">
      <x:c r="A680" s="15" t="str">
        <x:v>Current a/c..512781 / card..2924</x:v>
      </x:c>
      <x:c r="B680" s="34" t="n">
        <x:v>46052.63958333333</x:v>
      </x:c>
      <x:c r="C680" s="15" t="str">
        <x:v>R265.77 reserved for purchase @ Savemor Marloth from Current a/c..512781 using card..2924. Avail R49286. 30Jan 15:21</x:v>
      </x:c>
      <x:c r="D680" s="38" t="n">
        <x:v>0</x:v>
      </x:c>
      <x:c r="E680" s="38" t="n">
        <x:v>265.77</x:v>
      </x:c>
      <x:c r="F680" s="38" t="n">
        <x:v>0</x:v>
      </x:c>
      <x:c r="G680" s="38" t="n">
        <x:v>49286</x:v>
      </x:c>
      <x:c r="H680" s="15" t="str">
        <x:v>Supplier payments</x:v>
      </x:c>
      <x:c r="I680" s="15" t="str">
        <x:v>Savemor Marloth</x:v>
      </x:c>
      <x:c r="J680" s="15" t="str">
        <x:v>eml_ALL_currentac__512781 (2).zip &gt; eml7currentac__512781.zip / FNB _-) R265.77 reserved for purchase @ Savemor Marloth from Current a_c..512781 using card..2924. 30Jan 15_21.eml</x:v>
      </x:c>
    </x:row>
    <x:row r="681">
      <x:c r="A681" s="15" t="str">
        <x:v>Current a/c..512781 / card..2924</x:v>
      </x:c>
      <x:c r="B681" s="34" t="n">
        <x:v>46052.64375</x:v>
      </x:c>
      <x:c r="C681" s="15" t="str">
        <x:v>R300.00 reserved for purchase @ Marlothi Petrol Stat from Current a/c..512781 using card..2924. Avail R48986. 30Jan 15:27</x:v>
      </x:c>
      <x:c r="D681" s="38" t="n">
        <x:v>0</x:v>
      </x:c>
      <x:c r="E681" s="38" t="n">
        <x:v>300</x:v>
      </x:c>
      <x:c r="F681" s="38" t="n">
        <x:v>0</x:v>
      </x:c>
      <x:c r="G681" s="38" t="n">
        <x:v>48986</x:v>
      </x:c>
      <x:c r="H681" s="15" t="str">
        <x:v>Fuel / transport</x:v>
      </x:c>
      <x:c r="I681" s="15" t="str">
        <x:v>Marlothi Petrol Stat</x:v>
      </x:c>
      <x:c r="J681" s="15" t="str">
        <x:v>eml_ALL_currentac__512781 (2).zip &gt; eml7currentac__512781.zip / FNB _-) R300.00 reserved for purchase @ Marlothi Petrol Stat from Current a_c..512781 using card..2924. 30Jan 15_27.eml</x:v>
      </x:c>
    </x:row>
    <x:row r="682">
      <x:c r="A682" s="15" t="str">
        <x:v>Current a/c..512781 / card..2924</x:v>
      </x:c>
      <x:c r="B682" s="34" t="n">
        <x:v>46053.520833333336</x:v>
      </x:c>
      <x:c r="C682" s="15" t="str">
        <x:v>R893.69 reserved for purchase @ Shoprite Komatipoort from Current a/c..512781 using card..2924. Avail R48053. 31Jan 12:30</x:v>
      </x:c>
      <x:c r="D682" s="38" t="n">
        <x:v>0</x:v>
      </x:c>
      <x:c r="E682" s="38" t="n">
        <x:v>893.69</x:v>
      </x:c>
      <x:c r="F682" s="38" t="n">
        <x:v>0</x:v>
      </x:c>
      <x:c r="G682" s="38" t="n">
        <x:v>48053</x:v>
      </x:c>
      <x:c r="H682" s="15" t="str">
        <x:v>Supplier payments</x:v>
      </x:c>
      <x:c r="I682" s="15" t="str">
        <x:v>Shoprite Komatipoort</x:v>
      </x:c>
      <x:c r="J682" s="15" t="str">
        <x:v>eml_ALL_currentac__512781 (2).zip &gt; eml7currentac__512781.zip / FNB _-) R893.69 reserved for purchase @ Shoprite Komatipoort from Current a_c..512781 using card..2924. 31Jan 12_30.eml</x:v>
      </x:c>
    </x:row>
    <x:row r="683">
      <x:c r="A683" s="15" t="str">
        <x:v>Current a/c..512781 / card..2924</x:v>
      </x:c>
      <x:c r="B683" s="34" t="n">
        <x:v>46053.535416666666</x:v>
      </x:c>
      <x:c r="C683" s="15" t="str">
        <x:v>R118.83 reserved for purchase @ Lebombo Butchery from Current a/c..512781 using card..2924. Avail R47934. 31Jan 12:51</x:v>
      </x:c>
      <x:c r="D683" s="38" t="n">
        <x:v>0</x:v>
      </x:c>
      <x:c r="E683" s="38" t="n">
        <x:v>118.83</x:v>
      </x:c>
      <x:c r="F683" s="38" t="n">
        <x:v>0</x:v>
      </x:c>
      <x:c r="G683" s="38" t="n">
        <x:v>47934</x:v>
      </x:c>
      <x:c r="H683" s="15" t="str">
        <x:v>Supplier payments</x:v>
      </x:c>
      <x:c r="I683" s="15" t="str">
        <x:v>Lebombo Butchery</x:v>
      </x:c>
      <x:c r="J683" s="15" t="str">
        <x:v>eml_ALL_currentac__512781 (2).zip &gt; eml7currentac__512781.zip / FNB _-) R118.83 reserved for purchase @ Lebombo Butchery from Current a_c..512781 using card..2924. 31Jan 12_51.eml</x:v>
      </x:c>
    </x:row>
    <x:row r="684">
      <x:c r="A684" s="15" t="str">
        <x:v>Current a/c..512781 / card..2924</x:v>
      </x:c>
      <x:c r="B684" s="34" t="n">
        <x:v>46053.55972222222</x:v>
      </x:c>
      <x:c r="C684" s="15" t="str">
        <x:v>R1235.30 reserved for purchase @ Superspar Komatipoor from Current a/c..512781 using card..2924. Avail R19180. 31Jan 13:26</x:v>
      </x:c>
      <x:c r="D684" s="38" t="n">
        <x:v>0</x:v>
      </x:c>
      <x:c r="E684" s="38" t="n">
        <x:v>1235.3</x:v>
      </x:c>
      <x:c r="F684" s="38" t="n">
        <x:v>0</x:v>
      </x:c>
      <x:c r="G684" s="38" t="n">
        <x:v>19180</x:v>
      </x:c>
      <x:c r="H684" s="15" t="str">
        <x:v>Supplier payments</x:v>
      </x:c>
      <x:c r="I684" s="15" t="str">
        <x:v>Superspar Komatipoor</x:v>
      </x:c>
      <x:c r="J684" s="15" t="str">
        <x:v>eml_ALL_currentac__512781 (2).zip &gt; eml7currentac__512781.zip / FNB _-) R1235.30 reserved for purchase @ Superspar Komatipoor from Current a_c..512781 using card..2924. 31Jan 13_26.eml</x:v>
      </x:c>
    </x:row>
    <x:row r="685">
      <x:c r="A685" s="15" t="str">
        <x:v>Current a/c..512781 / card..2924</x:v>
      </x:c>
      <x:c r="B685" s="34" t="n">
        <x:v>46053.57152777778</x:v>
      </x:c>
      <x:c r="C685" s="15" t="str">
        <x:v>R275.02 reserved for purchase @ Pep Home 5771 Komati from Current a/c..512781 using card..2924. Avail R18905. 31Jan 13:43</x:v>
      </x:c>
      <x:c r="D685" s="38" t="n">
        <x:v>0</x:v>
      </x:c>
      <x:c r="E685" s="38" t="n">
        <x:v>275.02</x:v>
      </x:c>
      <x:c r="F685" s="38" t="n">
        <x:v>0</x:v>
      </x:c>
      <x:c r="G685" s="38" t="n">
        <x:v>18905</x:v>
      </x:c>
      <x:c r="H685" s="15" t="str">
        <x:v>Supplier payments</x:v>
      </x:c>
      <x:c r="I685" s="15" t="str">
        <x:v>Pep Home 5771 Komati</x:v>
      </x:c>
      <x:c r="J685" s="15" t="str">
        <x:v>eml_ALL_currentac__512781 (2).zip &gt; eml7currentac__512781.zip / FNB _-) R275.02 reserved for purchase @ Pep Home 5771 Komati from Current a_c..512781 using card..2924. 31Jan 13_43.eml</x:v>
      </x:c>
    </x:row>
    <x:row r="686">
      <x:c r="A686" s="15" t="str">
        <x:v>Current a/c..512781 / card..2924</x:v>
      </x:c>
      <x:c r="B686" s="34" t="n">
        <x:v>46054.768055555556</x:v>
      </x:c>
      <x:c r="C686" s="15" t="str">
        <x:v>R625.00 reserved for purchase @ The Tin Shack from Current a/c..512781 using card..2924. Avail R14880. 1Feb 18:26</x:v>
      </x:c>
      <x:c r="D686" s="38" t="n">
        <x:v>0</x:v>
      </x:c>
      <x:c r="E686" s="38" t="n">
        <x:v>625</x:v>
      </x:c>
      <x:c r="F686" s="38" t="n">
        <x:v>0</x:v>
      </x:c>
      <x:c r="G686" s="38" t="n">
        <x:v>14880</x:v>
      </x:c>
      <x:c r="H686" s="15" t="str">
        <x:v>Meals / restaurants / entertainment</x:v>
      </x:c>
      <x:c r="I686" s="15" t="str">
        <x:v>The Tin Shack</x:v>
      </x:c>
      <x:c r="J686" s="15" t="str">
        <x:v>eml_ALL_currentac__512781 (2).zip &gt; eml7currentac__512781.zip / FNB _-) R625.00 reserved for purchase @ The Tin Shack from Current a_c..512781 using card..2924.  1Feb 18_26.eml</x:v>
      </x:c>
    </x:row>
    <x:row r="687">
      <x:c r="A687" s="15" t="str">
        <x:v>Current a/c..512781 / card..2924</x:v>
      </x:c>
      <x:c r="B687" s="34" t="n">
        <x:v>46054.819444444445</x:v>
      </x:c>
      <x:c r="C687" s="15" t="str">
        <x:v>R419.34 reserved for purchase @ Sqsp* Domain from Current a/c..512781 using card..2924. Avail R14461. 1Feb 19:40</x:v>
      </x:c>
      <x:c r="D687" s="38" t="n">
        <x:v>0</x:v>
      </x:c>
      <x:c r="E687" s="38" t="n">
        <x:v>419.34</x:v>
      </x:c>
      <x:c r="F687" s="38" t="n">
        <x:v>0</x:v>
      </x:c>
      <x:c r="G687" s="38" t="n">
        <x:v>14461</x:v>
      </x:c>
      <x:c r="H687" s="15" t="str">
        <x:v>Software / subscriptions</x:v>
      </x:c>
      <x:c r="I687" s="15" t="str">
        <x:v>Sqsp* Domain</x:v>
      </x:c>
      <x:c r="J687" s="15" t="str">
        <x:v>eml_ALL_currentac__512781 (2).zip &gt; eml7currentac__512781.zip / FNB _-) R419.34 reserved for purchase @ Sqsp_ Domain from Current a_c..512781 using card..2924.  1Feb 19_40.eml</x:v>
      </x:c>
    </x:row>
    <x:row r="688">
      <x:c r="A688" s="15" t="str">
        <x:v>Current a/c..512781 / card..2924</x:v>
      </x:c>
      <x:c r="B688" s="34" t="n">
        <x:v>46055.615277777775</x:v>
      </x:c>
      <x:c r="C688" s="15" t="str">
        <x:v>R113.44 reserved for purchase @ Savemor Marloth from Current a/c..512781 using card..2924. Avail R26164. 2Feb 14:46</x:v>
      </x:c>
      <x:c r="D688" s="38" t="n">
        <x:v>0</x:v>
      </x:c>
      <x:c r="E688" s="38" t="n">
        <x:v>113.44</x:v>
      </x:c>
      <x:c r="F688" s="38" t="n">
        <x:v>0</x:v>
      </x:c>
      <x:c r="G688" s="38" t="n">
        <x:v>26164</x:v>
      </x:c>
      <x:c r="H688" s="15" t="str">
        <x:v>Supplier payments</x:v>
      </x:c>
      <x:c r="I688" s="15" t="str">
        <x:v>Savemor Marloth</x:v>
      </x:c>
      <x:c r="J688" s="15" t="str">
        <x:v>eml_ALL_currentac__512781 (2).zip &gt; eml7currentac__512781.zip / FNB _-) R113.44 reserved for purchase @ Savemor Marloth from Current a_c..512781 using card..2924.  2Feb 14_46.eml</x:v>
      </x:c>
    </x:row>
    <x:row r="689">
      <x:c r="A689" s="15" t="str">
        <x:v>Current a/c..512781 / card..2924</x:v>
      </x:c>
      <x:c r="B689" s="34" t="n">
        <x:v>46056.48263888889</x:v>
      </x:c>
      <x:c r="C689" s="15" t="str">
        <x:v>R170.00 reserved for purchase @ Sparkling Auto Nelsp from Current a/c..512781 using card..2924. Avail R19685. 3Feb 11:35</x:v>
      </x:c>
      <x:c r="D689" s="38" t="n">
        <x:v>0</x:v>
      </x:c>
      <x:c r="E689" s="38" t="n">
        <x:v>170</x:v>
      </x:c>
      <x:c r="F689" s="38" t="n">
        <x:v>0</x:v>
      </x:c>
      <x:c r="G689" s="38" t="n">
        <x:v>19685</x:v>
      </x:c>
      <x:c r="H689" s="15" t="str">
        <x:v>Supplier payments</x:v>
      </x:c>
      <x:c r="I689" s="15" t="str">
        <x:v>Sparkling Auto Nelsp</x:v>
      </x:c>
      <x:c r="J689" s="15" t="str">
        <x:v>eml_ALL_currentac__512781 (2).zip &gt; eml7currentac__512781.zip / FNB _-) R170.00 reserved for purchase @ Sparkling Auto Nelsp from Current a_c..512781 using card..2924.  3Feb 11_35.eml</x:v>
      </x:c>
    </x:row>
    <x:row r="690">
      <x:c r="A690" s="15" t="str">
        <x:v>Current a/c..512781 / card..2924</x:v>
      </x:c>
      <x:c r="B690" s="34" t="n">
        <x:v>46056.50347222222</x:v>
      </x:c>
      <x:c r="C690" s="15" t="str">
        <x:v>R299.97 reserved for purchase @ Superspar The Grove from Current a/c..512781 using card..2924. Avail R19385. 3Feb 12:05</x:v>
      </x:c>
      <x:c r="D690" s="38" t="n">
        <x:v>0</x:v>
      </x:c>
      <x:c r="E690" s="38" t="n">
        <x:v>299.97</x:v>
      </x:c>
      <x:c r="F690" s="38" t="n">
        <x:v>0</x:v>
      </x:c>
      <x:c r="G690" s="38" t="n">
        <x:v>19385</x:v>
      </x:c>
      <x:c r="H690" s="15" t="str">
        <x:v>Supplier payments</x:v>
      </x:c>
      <x:c r="I690" s="15" t="str">
        <x:v>Superspar The Grove</x:v>
      </x:c>
      <x:c r="J690" s="15" t="str">
        <x:v>eml_ALL_currentac__512781 (2).zip &gt; eml7currentac__512781.zip / FNB _-) R299.97 reserved for purchase @ Superspar The Grove from Current a_c..512781 using card..2924.  3Feb 12_05.eml</x:v>
      </x:c>
    </x:row>
    <x:row r="691">
      <x:c r="A691" s="15" t="str">
        <x:v>Current a/c..512781 / card..2924</x:v>
      </x:c>
      <x:c r="B691" s="34" t="n">
        <x:v>46056.54375</x:v>
      </x:c>
      <x:c r="C691" s="15" t="str">
        <x:v>R500.00 reserved for purchase @ Engen Prime Corner C from Current a/c..512781 using card..2924. Avail R18885. 3Feb 13:03</x:v>
      </x:c>
      <x:c r="D691" s="38" t="n">
        <x:v>0</x:v>
      </x:c>
      <x:c r="E691" s="38" t="n">
        <x:v>500</x:v>
      </x:c>
      <x:c r="F691" s="38" t="n">
        <x:v>0</x:v>
      </x:c>
      <x:c r="G691" s="38" t="n">
        <x:v>18885</x:v>
      </x:c>
      <x:c r="H691" s="15" t="str">
        <x:v>Fuel / transport</x:v>
      </x:c>
      <x:c r="I691" s="15" t="str">
        <x:v>Engen Prime Corner C</x:v>
      </x:c>
      <x:c r="J691" s="15" t="str">
        <x:v>eml_ALL_currentac__512781 (2).zip &gt; eml7currentac__512781.zip / FNB _-) R500.00 reserved for purchase @ Engen Prime Corner C from Current a_c..512781 using card..2924.  3Feb 13_03.eml</x:v>
      </x:c>
    </x:row>
    <x:row r="692">
      <x:c r="A692" s="15" t="str">
        <x:v>Current a/c..512781 / card..2924</x:v>
      </x:c>
      <x:c r="B692" s="34" t="n">
        <x:v>46057.62986111111</x:v>
      </x:c>
      <x:c r="C692" s="15" t="str">
        <x:v>R524.81 reserved for purchase @ Savemor Marloth from Current a/c..512781 using card..2924. Avail R11646. 4Feb 15:07</x:v>
      </x:c>
      <x:c r="D692" s="38" t="n">
        <x:v>0</x:v>
      </x:c>
      <x:c r="E692" s="38" t="n">
        <x:v>524.81</x:v>
      </x:c>
      <x:c r="F692" s="38" t="n">
        <x:v>0</x:v>
      </x:c>
      <x:c r="G692" s="38" t="n">
        <x:v>11646</x:v>
      </x:c>
      <x:c r="H692" s="15" t="str">
        <x:v>Supplier payments</x:v>
      </x:c>
      <x:c r="I692" s="15" t="str">
        <x:v>Savemor Marloth</x:v>
      </x:c>
      <x:c r="J692" s="15" t="str">
        <x:v>eml_ALL_currentac__512781 (2).zip &gt; eml7currentac__512781.zip / FNB _-) R524.81 reserved for purchase @ Savemor Marloth from Current a_c..512781 using card..2924.  4Feb 15_07.eml</x:v>
      </x:c>
    </x:row>
    <x:row r="693">
      <x:c r="A693" s="15" t="str">
        <x:v>Current a/c..512781 / card..2924</x:v>
      </x:c>
      <x:c r="B693" s="34" t="n">
        <x:v>46058.490277777775</x:v>
      </x:c>
      <x:c r="C693" s="15" t="str">
        <x:v>R1791.43 reserved for purchase @ Superspar Komatipoor from Current a/c..512781 using card..2924. Avail R9397. 5Feb 11:46</x:v>
      </x:c>
      <x:c r="D693" s="38" t="n">
        <x:v>0</x:v>
      </x:c>
      <x:c r="E693" s="38" t="n">
        <x:v>1791.43</x:v>
      </x:c>
      <x:c r="F693" s="38" t="n">
        <x:v>0</x:v>
      </x:c>
      <x:c r="G693" s="38" t="n">
        <x:v>9397</x:v>
      </x:c>
      <x:c r="H693" s="15" t="str">
        <x:v>Supplier payments</x:v>
      </x:c>
      <x:c r="I693" s="15" t="str">
        <x:v>Superspar Komatipoor</x:v>
      </x:c>
      <x:c r="J693" s="15" t="str">
        <x:v>eml_ALL_currentac__512781 (2).zip &gt; eml7currentac__512781.zip / FNB _-) R1791.43 reserved for purchase @ Superspar Komatipoor from Current a_c..512781 using card..2924.  5Feb 11_46.eml</x:v>
      </x:c>
    </x:row>
    <x:row r="694">
      <x:c r="A694" s="15" t="str">
        <x:v>Current a/c..512781 / card..2924</x:v>
      </x:c>
      <x:c r="B694" s="34" t="n">
        <x:v>46058.50486111111</x:v>
      </x:c>
      <x:c r="C694" s="15" t="str">
        <x:v>R600.00 reserved for purchase @ Obaro Komatipoort Fc from Current a/c..512781 using card..2924. Avail R8797. 5Feb 12:07</x:v>
      </x:c>
      <x:c r="D694" s="38" t="n">
        <x:v>0</x:v>
      </x:c>
      <x:c r="E694" s="38" t="n">
        <x:v>600</x:v>
      </x:c>
      <x:c r="F694" s="38" t="n">
        <x:v>0</x:v>
      </x:c>
      <x:c r="G694" s="38" t="n">
        <x:v>8797</x:v>
      </x:c>
      <x:c r="H694" s="15" t="str">
        <x:v>Supplier payments</x:v>
      </x:c>
      <x:c r="I694" s="15" t="str">
        <x:v>Obaro Komatipoort Fc</x:v>
      </x:c>
      <x:c r="J694" s="15" t="str">
        <x:v>eml_ALL_currentac__512781 (2).zip &gt; eml7currentac__512781.zip / FNB _-) R600.00 reserved for purchase @ Obaro Komatipoort Fc from Current a_c..512781 using card..2924.  5Feb 12_07.eml</x:v>
      </x:c>
    </x:row>
    <x:row r="695">
      <x:c r="A695" s="15" t="str">
        <x:v>Current a/c..512781 / card..2924</x:v>
      </x:c>
      <x:c r="B695" s="34" t="n">
        <x:v>46058.510416666664</x:v>
      </x:c>
      <x:c r="C695" s="15" t="str">
        <x:v>R254.40 reserved for purchase @ Oasis Water Komatipo from Current a/c..512781 using card..2924. Avail R8543. 5Feb 12:15</x:v>
      </x:c>
      <x:c r="D695" s="38" t="n">
        <x:v>0</x:v>
      </x:c>
      <x:c r="E695" s="38" t="n">
        <x:v>254.4</x:v>
      </x:c>
      <x:c r="F695" s="38" t="n">
        <x:v>0</x:v>
      </x:c>
      <x:c r="G695" s="38" t="n">
        <x:v>8543</x:v>
      </x:c>
      <x:c r="H695" s="15" t="str">
        <x:v>Supplier payments</x:v>
      </x:c>
      <x:c r="I695" s="15" t="str">
        <x:v>Oasis Water Komatipo</x:v>
      </x:c>
      <x:c r="J695" s="15" t="str">
        <x:v>eml_ALL_currentac__512781 (2).zip &gt; eml7currentac__512781.zip / FNB _-) R254.40 reserved for purchase @ Oasis Water Komatipo from Current a_c..512781 using card..2924.  5Feb 12_15.eml</x:v>
      </x:c>
    </x:row>
    <x:row r="696">
      <x:c r="A696" s="15" t="str">
        <x:v>Current a/c..512781 / card..2924</x:v>
      </x:c>
      <x:c r="B696" s="34" t="n">
        <x:v>46059.40833333333</x:v>
      </x:c>
      <x:c r="C696" s="15" t="str">
        <x:v>R499.99 reserved for purchase @ Savemor Marloth from Current a/c..512781 using card..2924. Avail R671. 6Feb 09:48</x:v>
      </x:c>
      <x:c r="D696" s="38" t="n">
        <x:v>0</x:v>
      </x:c>
      <x:c r="E696" s="38" t="n">
        <x:v>499.99</x:v>
      </x:c>
      <x:c r="F696" s="38" t="n">
        <x:v>0</x:v>
      </x:c>
      <x:c r="G696" s="38" t="n">
        <x:v>671</x:v>
      </x:c>
      <x:c r="H696" s="15" t="str">
        <x:v>Supplier payments</x:v>
      </x:c>
      <x:c r="I696" s="15" t="str">
        <x:v>Savemor Marloth</x:v>
      </x:c>
      <x:c r="J696" s="15" t="str">
        <x:v>eml_ALL_currentac__512781 (2).zip &gt; eml6currentac__512781.zip / FNB _-) R499.99 reserved for purchase @ Savemor Marloth from Current a_c..512781 using card..2924.  6Feb 09_48.eml</x:v>
      </x:c>
    </x:row>
    <x:row r="697">
      <x:c r="A697" s="15" t="str">
        <x:v>Current a/c..512781 / card..2924</x:v>
      </x:c>
      <x:c r="B697" s="34" t="n">
        <x:v>46059.48819444444</x:v>
      </x:c>
      <x:c r="C697" s="15" t="str">
        <x:v>R573.50 reserved for purchase @ Engen Siyaya Numbi from Current a/c..512781 using card..2924. Avail R12867. 6Feb 11:43</x:v>
      </x:c>
      <x:c r="D697" s="38" t="n">
        <x:v>0</x:v>
      </x:c>
      <x:c r="E697" s="38" t="n">
        <x:v>573.5</x:v>
      </x:c>
      <x:c r="F697" s="38" t="n">
        <x:v>0</x:v>
      </x:c>
      <x:c r="G697" s="38" t="n">
        <x:v>12867</x:v>
      </x:c>
      <x:c r="H697" s="15" t="str">
        <x:v>Fuel / transport</x:v>
      </x:c>
      <x:c r="I697" s="15" t="str">
        <x:v>Engen Siyaya Numbi</x:v>
      </x:c>
      <x:c r="J697" s="15" t="str">
        <x:v>eml_ALL_currentac__512781 (2).zip &gt; eml6currentac__512781.zip / FNB _-) R573.50 reserved for purchase @ Engen Siyaya Numbi from Current a_c..512781 using card..2924.  6Feb 11_43.eml</x:v>
      </x:c>
    </x:row>
    <x:row r="698">
      <x:c r="A698" s="15" t="str">
        <x:v>Current a/c..512781 / card..2924</x:v>
      </x:c>
      <x:c r="B698" s="34" t="n">
        <x:v>46059.73472222222</x:v>
      </x:c>
      <x:c r="C698" s="15" t="str">
        <x:v>R469.95 reserved for purchase @ Savemor Marloth Liqu from Current a/c..512781 using card..2924. Avail R11619. 6Feb 17:38</x:v>
      </x:c>
      <x:c r="D698" s="38" t="n">
        <x:v>0</x:v>
      </x:c>
      <x:c r="E698" s="38" t="n">
        <x:v>469.95</x:v>
      </x:c>
      <x:c r="F698" s="38" t="n">
        <x:v>0</x:v>
      </x:c>
      <x:c r="G698" s="38" t="n">
        <x:v>11619</x:v>
      </x:c>
      <x:c r="H698" s="15" t="str">
        <x:v>Meals / restaurants / entertainment</x:v>
      </x:c>
      <x:c r="I698" s="15" t="str">
        <x:v>Savemor Marloth Liqu</x:v>
      </x:c>
      <x:c r="J698" s="15" t="str">
        <x:v>eml_ALL_currentac__512781 (2).zip &gt; eml6currentac__512781.zip / FNB _-) R469.95 reserved for purchase @ Savemor Marloth Liqu from Current a_c..512781 using card..2924.  6Feb 17_38.eml</x:v>
      </x:c>
    </x:row>
    <x:row r="699">
      <x:c r="A699" s="15" t="str">
        <x:v>Current a/c..512781 / card..2924</x:v>
      </x:c>
      <x:c r="B699" s="34" t="n">
        <x:v>46060.42083333333</x:v>
      </x:c>
      <x:c r="C699" s="15" t="str">
        <x:v>R500.00 reserved for purchase @ Sasol Emkhatsini from Current a/c..512781 using card..2924. Avail R11011. 7Feb 10:06</x:v>
      </x:c>
      <x:c r="D699" s="38" t="n">
        <x:v>0</x:v>
      </x:c>
      <x:c r="E699" s="38" t="n">
        <x:v>500</x:v>
      </x:c>
      <x:c r="F699" s="38" t="n">
        <x:v>0</x:v>
      </x:c>
      <x:c r="G699" s="38" t="n">
        <x:v>11011</x:v>
      </x:c>
      <x:c r="H699" s="15" t="str">
        <x:v>Fuel / transport</x:v>
      </x:c>
      <x:c r="I699" s="15" t="str">
        <x:v>Sasol Emkhatsini</x:v>
      </x:c>
      <x:c r="J699" s="15" t="str">
        <x:v>eml_ALL_currentac__512781 (2).zip &gt; eml6currentac__512781.zip / FNB _-) R500.00 reserved for purchase @ Sasol Emkhatsini from Current a_c..512781 using card..2924.  7Feb 10_06.eml</x:v>
      </x:c>
    </x:row>
    <x:row r="700">
      <x:c r="A700" s="15" t="str">
        <x:v>Current a/c..512781 / card..2924</x:v>
      </x:c>
      <x:c r="B700" s="34" t="n">
        <x:v>46060.45763888889</x:v>
      </x:c>
      <x:c r="C700" s="15" t="str">
        <x:v>R339.97 reserved for purchase @ Superspar Malelane from Current a/c..512781 using card..2924. Avail R16674. 7Feb 10:59</x:v>
      </x:c>
      <x:c r="D700" s="38" t="n">
        <x:v>0</x:v>
      </x:c>
      <x:c r="E700" s="38" t="n">
        <x:v>339.97</x:v>
      </x:c>
      <x:c r="F700" s="38" t="n">
        <x:v>0</x:v>
      </x:c>
      <x:c r="G700" s="38" t="n">
        <x:v>16674</x:v>
      </x:c>
      <x:c r="H700" s="15" t="str">
        <x:v>Supplier payments</x:v>
      </x:c>
      <x:c r="I700" s="15" t="str">
        <x:v>Superspar Malelane</x:v>
      </x:c>
      <x:c r="J700" s="15" t="str">
        <x:v>eml_ALL_currentac__512781 (2).zip &gt; eml6currentac__512781.zip / FNB _-) R339.97 reserved for purchase @ Superspar Malelane from Current a_c..512781 using card..2924.  7Feb 10_59.eml</x:v>
      </x:c>
    </x:row>
    <x:row r="701">
      <x:c r="A701" s="15" t="str">
        <x:v>Current a/c..512781 / card..2924</x:v>
      </x:c>
      <x:c r="B701" s="34" t="n">
        <x:v>46060.53402777778</x:v>
      </x:c>
      <x:c r="C701" s="15" t="str">
        <x:v>R200.00 withdrawn from Current a/c..512781 using card..2924 @ Atmh11960000001. Avail R16474. 7Feb 12:49</x:v>
      </x:c>
      <x:c r="D701" s="38" t="n">
        <x:v>0</x:v>
      </x:c>
      <x:c r="E701" s="38" t="n">
        <x:v>200</x:v>
      </x:c>
      <x:c r="F701" s="38" t="n">
        <x:v>0</x:v>
      </x:c>
      <x:c r="G701" s="38" t="n">
        <x:v>16474</x:v>
      </x:c>
      <x:c r="H701" s="15" t="str">
        <x:v>Cash withdrawal</x:v>
      </x:c>
      <x:c r="I701" s="15" t="str">
        <x:v>Atmh11960000001</x:v>
      </x:c>
      <x:c r="J701" s="15" t="str">
        <x:v>eml_ALL_currentac__512781 (2).zip &gt; eml6currentac__512781.zip / FNB _-) R200.00 withdrawn from Current a_c..512781 using card..2924 @ Atmh11960000001.  7Feb 12_49.eml</x:v>
      </x:c>
    </x:row>
    <x:row r="702">
      <x:c r="A702" s="15" t="str">
        <x:v>Current a/c..512781 / card..2924</x:v>
      </x:c>
      <x:c r="B702" s="34" t="n">
        <x:v>46060.535416666666</x:v>
      </x:c>
      <x:c r="C702" s="15" t="str">
        <x:v>R200.00 withdrawn from Current a/c..512781 using card..2924 @ Atmh11960000001. Avail R16474. 7Feb 12:51</x:v>
      </x:c>
      <x:c r="D702" s="38" t="n">
        <x:v>0</x:v>
      </x:c>
      <x:c r="E702" s="38" t="n">
        <x:v>200</x:v>
      </x:c>
      <x:c r="F702" s="38" t="n">
        <x:v>0</x:v>
      </x:c>
      <x:c r="G702" s="38" t="n">
        <x:v>16474</x:v>
      </x:c>
      <x:c r="H702" s="15" t="str">
        <x:v>Cash withdrawal</x:v>
      </x:c>
      <x:c r="I702" s="15" t="str">
        <x:v>Atmh11960000001</x:v>
      </x:c>
      <x:c r="J702" s="15" t="str">
        <x:v>eml_ALL_currentac__512781 (2).zip &gt; eml6currentac__512781.zip / FNB _-) R200.00 withdrawn from Current a_c..512781 using card..2924 @ Atmh11960000001.  7Feb 12_51.eml</x:v>
      </x:c>
    </x:row>
    <x:row r="703">
      <x:c r="A703" s="15" t="str">
        <x:v>Current a/c..512781 / card..2924</x:v>
      </x:c>
      <x:c r="B703" s="34" t="n">
        <x:v>46060.54652777778</x:v>
      </x:c>
      <x:c r="C703" s="15" t="str">
        <x:v>R351.88 reserved for purchase @ Savemor Marloth from Current a/c..512781 using card..2924. Avail R16122. 7Feb 13:07</x:v>
      </x:c>
      <x:c r="D703" s="38" t="n">
        <x:v>0</x:v>
      </x:c>
      <x:c r="E703" s="38" t="n">
        <x:v>351.88</x:v>
      </x:c>
      <x:c r="F703" s="38" t="n">
        <x:v>0</x:v>
      </x:c>
      <x:c r="G703" s="38" t="n">
        <x:v>16122</x:v>
      </x:c>
      <x:c r="H703" s="15" t="str">
        <x:v>Supplier payments</x:v>
      </x:c>
      <x:c r="I703" s="15" t="str">
        <x:v>Savemor Marloth</x:v>
      </x:c>
      <x:c r="J703" s="15" t="str">
        <x:v>eml_ALL_currentac__512781 (2).zip &gt; eml6currentac__512781.zip / FNB _-) R351.88 reserved for purchase @ Savemor Marloth from Current a_c..512781 using card..2924.  7Feb 13_07.eml</x:v>
      </x:c>
    </x:row>
    <x:row r="704">
      <x:c r="A704" s="15" t="str">
        <x:v>Current a/c..512781 / card..2924</x:v>
      </x:c>
      <x:c r="B704" s="34" t="n">
        <x:v>46062.63263888889</x:v>
      </x:c>
      <x:c r="C704" s="15" t="str">
        <x:v>R242.90 reserved for purchase @ Savemor Marloth from Current a/c..512781 using card..2924. Avail R26252. 9Feb 15:11</x:v>
      </x:c>
      <x:c r="D704" s="38" t="n">
        <x:v>0</x:v>
      </x:c>
      <x:c r="E704" s="38" t="n">
        <x:v>242.9</x:v>
      </x:c>
      <x:c r="F704" s="38" t="n">
        <x:v>0</x:v>
      </x:c>
      <x:c r="G704" s="38" t="n">
        <x:v>26252</x:v>
      </x:c>
      <x:c r="H704" s="15" t="str">
        <x:v>Supplier payments</x:v>
      </x:c>
      <x:c r="I704" s="15" t="str">
        <x:v>Savemor Marloth</x:v>
      </x:c>
      <x:c r="J704" s="15" t="str">
        <x:v>eml_ALL_currentac__512781 (2).zip &gt; eml6currentac__512781.zip / FNB _-) R242.90 reserved for purchase @ Savemor Marloth from Current a_c..512781 using card..2924.  9Feb 15_11.eml</x:v>
      </x:c>
    </x:row>
    <x:row r="705">
      <x:c r="A705" s="15" t="str">
        <x:v>Current a/c..512781 / card..2924</x:v>
      </x:c>
      <x:c r="B705" s="34" t="n">
        <x:v>46062.82430555556</x:v>
      </x:c>
      <x:c r="C705" s="15" t="str">
        <x:v>R380.00 reserved for purchase @ The Tin Shack from Current a/c..512781 using card..2924. Avail R25872. 9Feb 19:47</x:v>
      </x:c>
      <x:c r="D705" s="38" t="n">
        <x:v>0</x:v>
      </x:c>
      <x:c r="E705" s="38" t="n">
        <x:v>380</x:v>
      </x:c>
      <x:c r="F705" s="38" t="n">
        <x:v>0</x:v>
      </x:c>
      <x:c r="G705" s="38" t="n">
        <x:v>25872</x:v>
      </x:c>
      <x:c r="H705" s="15" t="str">
        <x:v>Meals / restaurants / entertainment</x:v>
      </x:c>
      <x:c r="I705" s="15" t="str">
        <x:v>The Tin Shack</x:v>
      </x:c>
      <x:c r="J705" s="15" t="str">
        <x:v>eml_ALL_currentac__512781 (2).zip &gt; eml6currentac__512781.zip / FNB _-) R380.00 reserved for purchase @ The Tin Shack from Current a_c..512781 using card..2924.  9Feb 19_47.eml</x:v>
      </x:c>
    </x:row>
    <x:row r="706">
      <x:c r="A706" s="15" t="str">
        <x:v>Current a/c..512781 / card..2924</x:v>
      </x:c>
      <x:c r="B706" s="34" t="n">
        <x:v>46063.45</x:v>
      </x:c>
      <x:c r="C706" s="15" t="str">
        <x:v>R489.84 reserved for purchase @ Shoprite Komatipoort from Current a/c..512781 using card..2924. Avail R25301. 10Feb 10:48</x:v>
      </x:c>
      <x:c r="D706" s="38" t="n">
        <x:v>0</x:v>
      </x:c>
      <x:c r="E706" s="38" t="n">
        <x:v>489.84</x:v>
      </x:c>
      <x:c r="F706" s="38" t="n">
        <x:v>0</x:v>
      </x:c>
      <x:c r="G706" s="38" t="n">
        <x:v>25301</x:v>
      </x:c>
      <x:c r="H706" s="15" t="str">
        <x:v>Supplier payments</x:v>
      </x:c>
      <x:c r="I706" s="15" t="str">
        <x:v>Shoprite Komatipoort</x:v>
      </x:c>
      <x:c r="J706" s="15" t="str">
        <x:v>eml_ALL_currentac__512781 (2).zip &gt; eml6currentac__512781.zip / FNB _-) R489.84 reserved for purchase @ Shoprite Komatipoort from Current a_c..512781 using card..2924. 10Feb 10_48.eml</x:v>
      </x:c>
    </x:row>
    <x:row r="707">
      <x:c r="A707" s="15" t="str">
        <x:v>Current a/c..512781 / card..2924</x:v>
      </x:c>
      <x:c r="B707" s="34" t="n">
        <x:v>46063.472916666666</x:v>
      </x:c>
      <x:c r="C707" s="15" t="str">
        <x:v>R769.67 reserved for purchase @ Buco Komatipoort 116 from Current a/c..512781 using card..2924. Avail R24531. 10Feb 11:21</x:v>
      </x:c>
      <x:c r="D707" s="38" t="n">
        <x:v>0</x:v>
      </x:c>
      <x:c r="E707" s="38" t="n">
        <x:v>769.67</x:v>
      </x:c>
      <x:c r="F707" s="38" t="n">
        <x:v>0</x:v>
      </x:c>
      <x:c r="G707" s="38" t="n">
        <x:v>24531</x:v>
      </x:c>
      <x:c r="H707" s="15" t="str">
        <x:v>Supplier payments</x:v>
      </x:c>
      <x:c r="I707" s="15" t="str">
        <x:v>Buco Komatipoort 116</x:v>
      </x:c>
      <x:c r="J707" s="15" t="str">
        <x:v>eml_ALL_currentac__512781 (2).zip &gt; eml6currentac__512781.zip / FNB _-) R769.67 reserved for purchase @ Buco Komatipoort 116 from Current a_c..512781 using card..2924. 10Feb 11_21.eml</x:v>
      </x:c>
    </x:row>
    <x:row r="708">
      <x:c r="A708" s="15" t="str">
        <x:v>Current a/c..512781 / card..2924</x:v>
      </x:c>
      <x:c r="B708" s="34" t="n">
        <x:v>46063.490277777775</x:v>
      </x:c>
      <x:c r="C708" s="15" t="str">
        <x:v>R395.99 reserved for purchase @ Pep Home 5771 Komati from Current a/c..512781 using card..2924. Avail R24135. 10Feb 11:46</x:v>
      </x:c>
      <x:c r="D708" s="38" t="n">
        <x:v>0</x:v>
      </x:c>
      <x:c r="E708" s="38" t="n">
        <x:v>395.99</x:v>
      </x:c>
      <x:c r="F708" s="38" t="n">
        <x:v>0</x:v>
      </x:c>
      <x:c r="G708" s="38" t="n">
        <x:v>24135</x:v>
      </x:c>
      <x:c r="H708" s="15" t="str">
        <x:v>Supplier payments</x:v>
      </x:c>
      <x:c r="I708" s="15" t="str">
        <x:v>Pep Home 5771 Komati</x:v>
      </x:c>
      <x:c r="J708" s="15" t="str">
        <x:v>eml_ALL_currentac__512781 (2).zip &gt; eml6currentac__512781.zip / FNB _-) R395.99 reserved for purchase @ Pep Home 5771 Komati from Current a_c..512781 using card..2924. 10Feb 11_46.eml</x:v>
      </x:c>
    </x:row>
    <x:row r="709">
      <x:c r="A709" s="15" t="str">
        <x:v>Current a/c..512781 / card..2924</x:v>
      </x:c>
      <x:c r="B709" s="34" t="n">
        <x:v>46063.53958333333</x:v>
      </x:c>
      <x:c r="C709" s="15" t="str">
        <x:v>R1433.22 reserved for purchase @ Superspar Komatipoor from Current a/c..512781 using card..2924. Avail R22702. 10Feb 12:57</x:v>
      </x:c>
      <x:c r="D709" s="38" t="n">
        <x:v>0</x:v>
      </x:c>
      <x:c r="E709" s="38" t="n">
        <x:v>1433.22</x:v>
      </x:c>
      <x:c r="F709" s="38" t="n">
        <x:v>0</x:v>
      </x:c>
      <x:c r="G709" s="38" t="n">
        <x:v>22702</x:v>
      </x:c>
      <x:c r="H709" s="15" t="str">
        <x:v>Supplier payments</x:v>
      </x:c>
      <x:c r="I709" s="15" t="str">
        <x:v>Superspar Komatipoor</x:v>
      </x:c>
      <x:c r="J709" s="15" t="str">
        <x:v>eml_ALL_currentac__512781 (2).zip &gt; eml6currentac__512781.zip / FNB _-) R1433.22 reserved for purchase @ Superspar Komatipoor from Current a_c..512781 using card..2924. 10Feb 12_57.eml</x:v>
      </x:c>
    </x:row>
    <x:row r="710">
      <x:c r="A710" s="15" t="str">
        <x:v>Current a/c..512781 / card..2924</x:v>
      </x:c>
      <x:c r="B710" s="34" t="n">
        <x:v>46064.404861111114</x:v>
      </x:c>
      <x:c r="C710" s="15" t="str">
        <x:v>R200.00 reserved for purchase @ Marlothi Petrol Stat from Current a/c..512781 using card..2924. Avail R24652. 11Feb 09:43</x:v>
      </x:c>
      <x:c r="D710" s="38" t="n">
        <x:v>0</x:v>
      </x:c>
      <x:c r="E710" s="38" t="n">
        <x:v>200</x:v>
      </x:c>
      <x:c r="F710" s="38" t="n">
        <x:v>0</x:v>
      </x:c>
      <x:c r="G710" s="38" t="n">
        <x:v>24652</x:v>
      </x:c>
      <x:c r="H710" s="15" t="str">
        <x:v>Fuel / transport</x:v>
      </x:c>
      <x:c r="I710" s="15" t="str">
        <x:v>Marlothi Petrol Stat</x:v>
      </x:c>
      <x:c r="J710" s="15" t="str">
        <x:v>eml_ALL_currentac__512781 (2).zip &gt; eml6currentac__512781.zip / FNB _-) R200.00 reserved for purchase @ Marlothi Petrol Stat from Current a_c..512781 using card..2924. 11Feb 09_43.eml</x:v>
      </x:c>
    </x:row>
    <x:row r="711">
      <x:c r="A711" s="15" t="str">
        <x:v>Current a/c..512781 / card..2924</x:v>
      </x:c>
      <x:c r="B711" s="34" t="n">
        <x:v>46064.529861111114</x:v>
      </x:c>
      <x:c r="C711" s="15" t="str">
        <x:v>R135.61 reserved for purchase @ Superspar Komatipoor from Current a/c..512781 using card..2924. Avail R17689. 11Feb 12:43</x:v>
      </x:c>
      <x:c r="D711" s="38" t="n">
        <x:v>0</x:v>
      </x:c>
      <x:c r="E711" s="38" t="n">
        <x:v>135.61</x:v>
      </x:c>
      <x:c r="F711" s="38" t="n">
        <x:v>0</x:v>
      </x:c>
      <x:c r="G711" s="38" t="n">
        <x:v>17689</x:v>
      </x:c>
      <x:c r="H711" s="15" t="str">
        <x:v>Supplier payments</x:v>
      </x:c>
      <x:c r="I711" s="15" t="str">
        <x:v>Superspar Komatipoor</x:v>
      </x:c>
      <x:c r="J711" s="15" t="str">
        <x:v>eml_ALL_currentac__512781 (2).zip &gt; eml6currentac__512781.zip / FNB _-) R135.61 reserved for purchase @ Superspar Komatipoor from Current a_c..512781 using card..2924. 11Feb 12_43.eml</x:v>
      </x:c>
    </x:row>
    <x:row r="712">
      <x:c r="A712" s="15" t="str">
        <x:v>Current a/c..512781 / card..2924</x:v>
      </x:c>
      <x:c r="B712" s="34" t="n">
        <x:v>46064.549305555556</x:v>
      </x:c>
      <x:c r="C712" s="15" t="str">
        <x:v>R233.00 reserved for purchase @ Obaro Komatipoort from Current a/c..512781 using card..2924. Avail R17456. 11Feb 13:11</x:v>
      </x:c>
      <x:c r="D712" s="38" t="n">
        <x:v>0</x:v>
      </x:c>
      <x:c r="E712" s="38" t="n">
        <x:v>233</x:v>
      </x:c>
      <x:c r="F712" s="38" t="n">
        <x:v>0</x:v>
      </x:c>
      <x:c r="G712" s="38" t="n">
        <x:v>17456</x:v>
      </x:c>
      <x:c r="H712" s="15" t="str">
        <x:v>Supplier payments</x:v>
      </x:c>
      <x:c r="I712" s="15" t="str">
        <x:v>Obaro Komatipoort</x:v>
      </x:c>
      <x:c r="J712" s="15" t="str">
        <x:v>eml_ALL_currentac__512781 (2).zip &gt; eml6currentac__512781.zip / FNB _-) R233.00 reserved for purchase @ Obaro Komatipoort from Current a_c..512781 using card..2924. 11Feb 13_11.eml</x:v>
      </x:c>
    </x:row>
    <x:row r="713">
      <x:c r="A713" s="15" t="str">
        <x:v>Current a/c..512781 / card..2924</x:v>
      </x:c>
      <x:c r="B713" s="34" t="n">
        <x:v>46064.61944444444</x:v>
      </x:c>
      <x:c r="C713" s="15" t="str">
        <x:v>R400.00 reserved for purchase @ Marlothi Petrol Stat from Current a/c..512781 using card..2924. Avail R17056. 11Feb 14:52</x:v>
      </x:c>
      <x:c r="D713" s="38" t="n">
        <x:v>0</x:v>
      </x:c>
      <x:c r="E713" s="38" t="n">
        <x:v>400</x:v>
      </x:c>
      <x:c r="F713" s="38" t="n">
        <x:v>0</x:v>
      </x:c>
      <x:c r="G713" s="38" t="n">
        <x:v>17056</x:v>
      </x:c>
      <x:c r="H713" s="15" t="str">
        <x:v>Fuel / transport</x:v>
      </x:c>
      <x:c r="I713" s="15" t="str">
        <x:v>Marlothi Petrol Stat</x:v>
      </x:c>
      <x:c r="J713" s="15" t="str">
        <x:v>eml_ALL_currentac__512781 (2).zip &gt; eml6currentac__512781.zip / FNB _-) R400.00 reserved for purchase @ Marlothi Petrol Stat from Current a_c..512781 using card..2924. 11Feb 14_52.eml</x:v>
      </x:c>
    </x:row>
    <x:row r="714">
      <x:c r="A714" s="15" t="str">
        <x:v>Current a/c..512781 / card..2924</x:v>
      </x:c>
      <x:c r="B714" s="34" t="n">
        <x:v>46065.506944444445</x:v>
      </x:c>
      <x:c r="C714" s="15" t="str">
        <x:v>R150.00 reserved for purchase @ Hpy*vodafone Cellula from Current a/c..512781 using card..2924. Avail R44922. 12Feb 12:10</x:v>
      </x:c>
      <x:c r="D714" s="38" t="n">
        <x:v>0</x:v>
      </x:c>
      <x:c r="E714" s="38" t="n">
        <x:v>150</x:v>
      </x:c>
      <x:c r="F714" s="38" t="n">
        <x:v>0</x:v>
      </x:c>
      <x:c r="G714" s="38" t="n">
        <x:v>44922</x:v>
      </x:c>
      <x:c r="H714" s="15" t="str">
        <x:v>Card spend</x:v>
      </x:c>
      <x:c r="I714" s="15" t="str">
        <x:v>Hpy*vodafone Cellula</x:v>
      </x:c>
      <x:c r="J714" s="15" t="str">
        <x:v>eml_ALL_currentac__512781 (2).zip &gt; eml6currentac__512781.zip / FNB _-) R150.00 reserved for purchase @ Hpy_vodafone Cellula from Current a_c..512781 using card..2924. 12Feb 12_10.eml</x:v>
      </x:c>
    </x:row>
    <x:row r="715">
      <x:c r="A715" s="15" t="str">
        <x:v>Current a/c..512781 / card..2924</x:v>
      </x:c>
      <x:c r="B715" s="34" t="n">
        <x:v>46065.521527777775</x:v>
      </x:c>
      <x:c r="C715" s="15" t="str">
        <x:v>R489.46 reserved for purchase @ Superspar Komatipoor from Current a/c..512781 using card..2924. Avail R44433. 12Feb 12:31</x:v>
      </x:c>
      <x:c r="D715" s="38" t="n">
        <x:v>0</x:v>
      </x:c>
      <x:c r="E715" s="38" t="n">
        <x:v>489.46</x:v>
      </x:c>
      <x:c r="F715" s="38" t="n">
        <x:v>0</x:v>
      </x:c>
      <x:c r="G715" s="38" t="n">
        <x:v>44433</x:v>
      </x:c>
      <x:c r="H715" s="15" t="str">
        <x:v>Supplier payments</x:v>
      </x:c>
      <x:c r="I715" s="15" t="str">
        <x:v>Superspar Komatipoor</x:v>
      </x:c>
      <x:c r="J715" s="15" t="str">
        <x:v>eml_ALL_currentac__512781 (2).zip &gt; eml6currentac__512781.zip / FNB _-) R489.46 reserved for purchase @ Superspar Komatipoor from Current a_c..512781 using card..2924. 12Feb 12_31.eml</x:v>
      </x:c>
    </x:row>
    <x:row r="716">
      <x:c r="A716" s="15" t="str">
        <x:v>Current a/c..512781 / card..2924</x:v>
      </x:c>
      <x:c r="B716" s="34" t="n">
        <x:v>46065.558333333334</x:v>
      </x:c>
      <x:c r="C716" s="15" t="str">
        <x:v>R575.00 reserved for purchase @ Goldwagen Komatipoor from Current a/c..512781 using card..2924. Avail R43858. 12Feb 13:24</x:v>
      </x:c>
      <x:c r="D716" s="38" t="n">
        <x:v>0</x:v>
      </x:c>
      <x:c r="E716" s="38" t="n">
        <x:v>575</x:v>
      </x:c>
      <x:c r="F716" s="38" t="n">
        <x:v>0</x:v>
      </x:c>
      <x:c r="G716" s="38" t="n">
        <x:v>43858</x:v>
      </x:c>
      <x:c r="H716" s="15" t="str">
        <x:v>Card spend</x:v>
      </x:c>
      <x:c r="I716" s="15" t="str">
        <x:v>Goldwagen Komatipoor</x:v>
      </x:c>
      <x:c r="J716" s="15" t="str">
        <x:v>eml_ALL_currentac__512781 (2).zip &gt; eml6currentac__512781.zip / FNB _-) R575.00 reserved for purchase @ Goldwagen Komatipoor from Current a_c..512781 using card..2924. 12Feb 13_24.eml</x:v>
      </x:c>
    </x:row>
    <x:row r="717">
      <x:c r="A717" s="15" t="str">
        <x:v>Current a/c..512781 / card..2924</x:v>
      </x:c>
      <x:c r="B717" s="34" t="n">
        <x:v>46066.490277777775</x:v>
      </x:c>
      <x:c r="C717" s="15" t="str">
        <x:v>R2021.17 reserved for purchase @ Buco Komatipoort 116 from Current a/c..512781 using card..2924. Avail R45297. 13Feb 11:46</x:v>
      </x:c>
      <x:c r="D717" s="38" t="n">
        <x:v>0</x:v>
      </x:c>
      <x:c r="E717" s="38" t="n">
        <x:v>2021.17</x:v>
      </x:c>
      <x:c r="F717" s="38" t="n">
        <x:v>0</x:v>
      </x:c>
      <x:c r="G717" s="38" t="n">
        <x:v>45297</x:v>
      </x:c>
      <x:c r="H717" s="15" t="str">
        <x:v>Supplier payments</x:v>
      </x:c>
      <x:c r="I717" s="15" t="str">
        <x:v>Buco Komatipoort 116</x:v>
      </x:c>
      <x:c r="J717" s="15" t="str">
        <x:v>eml_ALL_currentac__512781 (2).zip &gt; eml6currentac__512781.zip / FNB _-) R2021.17 reserved for purchase @ Buco Komatipoort 116 from Current a_c..512781 using card..2924. 13Feb 11_46.eml</x:v>
      </x:c>
    </x:row>
    <x:row r="718">
      <x:c r="A718" s="15" t="str">
        <x:v>Current a/c..512781 / card..2924</x:v>
      </x:c>
      <x:c r="B718" s="34" t="n">
        <x:v>46066.504166666666</x:v>
      </x:c>
      <x:c r="C718" s="15" t="str">
        <x:v>R355.00 reserved for purchase @ Goldwagen Komatipoor from Current a/c..512781 using card..2924. Avail R44942. 13Feb 12:06</x:v>
      </x:c>
      <x:c r="D718" s="38" t="n">
        <x:v>0</x:v>
      </x:c>
      <x:c r="E718" s="38" t="n">
        <x:v>355</x:v>
      </x:c>
      <x:c r="F718" s="38" t="n">
        <x:v>0</x:v>
      </x:c>
      <x:c r="G718" s="38" t="n">
        <x:v>44942</x:v>
      </x:c>
      <x:c r="H718" s="15" t="str">
        <x:v>Card spend</x:v>
      </x:c>
      <x:c r="I718" s="15" t="str">
        <x:v>Goldwagen Komatipoor</x:v>
      </x:c>
      <x:c r="J718" s="15" t="str">
        <x:v>eml_ALL_currentac__512781 (2).zip &gt; eml6currentac__512781.zip / FNB _-) R355.00 reserved for purchase @ Goldwagen Komatipoor from Current a_c..512781 using card..2924. 13Feb 12_06.eml</x:v>
      </x:c>
    </x:row>
    <x:row r="719">
      <x:c r="A719" s="15" t="str">
        <x:v>Current a/c..512781 / card..2924</x:v>
      </x:c>
      <x:c r="B719" s="34" t="n">
        <x:v>46066.59444444445</x:v>
      </x:c>
      <x:c r="C719" s="15" t="str">
        <x:v>R2621.98 reserved for purchase @ Superspar Komatipoor from Current a/c..512781 using card..2924. Avail R42234. 13Feb 14:16</x:v>
      </x:c>
      <x:c r="D719" s="38" t="n">
        <x:v>0</x:v>
      </x:c>
      <x:c r="E719" s="38" t="n">
        <x:v>2621.98</x:v>
      </x:c>
      <x:c r="F719" s="38" t="n">
        <x:v>0</x:v>
      </x:c>
      <x:c r="G719" s="38" t="n">
        <x:v>42234</x:v>
      </x:c>
      <x:c r="H719" s="15" t="str">
        <x:v>Supplier payments</x:v>
      </x:c>
      <x:c r="I719" s="15" t="str">
        <x:v>Superspar Komatipoor</x:v>
      </x:c>
      <x:c r="J719" s="15" t="str">
        <x:v>eml_ALL_currentac__512781 (2).zip &gt; eml6currentac__512781.zip / FNB _-) R2621.98 reserved for purchase @ Superspar Komatipoor from Current a_c..512781 using card..2924. 13Feb 14_16.eml</x:v>
      </x:c>
    </x:row>
    <x:row r="720">
      <x:c r="A720" s="15" t="str">
        <x:v>Current a/c..512781 / card..2924</x:v>
      </x:c>
      <x:c r="B720" s="34" t="n">
        <x:v>46066.60277777778</x:v>
      </x:c>
      <x:c r="C720" s="15" t="str">
        <x:v>R500.00 reserved for purchase @ Obaro Komatipoort Fc from Current a/c..512781 using card..2924. Avail R41734. 13Feb 14:28</x:v>
      </x:c>
      <x:c r="D720" s="38" t="n">
        <x:v>0</x:v>
      </x:c>
      <x:c r="E720" s="38" t="n">
        <x:v>500</x:v>
      </x:c>
      <x:c r="F720" s="38" t="n">
        <x:v>0</x:v>
      </x:c>
      <x:c r="G720" s="38" t="n">
        <x:v>41734</x:v>
      </x:c>
      <x:c r="H720" s="15" t="str">
        <x:v>Supplier payments</x:v>
      </x:c>
      <x:c r="I720" s="15" t="str">
        <x:v>Obaro Komatipoort Fc</x:v>
      </x:c>
      <x:c r="J720" s="15" t="str">
        <x:v>eml_ALL_currentac__512781 (2).zip &gt; eml6currentac__512781.zip / FNB _-) R500.00 reserved for purchase @ Obaro Komatipoort Fc from Current a_c..512781 using card..2924. 13Feb 14_28.eml</x:v>
      </x:c>
    </x:row>
    <x:row r="721">
      <x:c r="A721" s="15" t="str">
        <x:v>Current a/c..512781 / card..2924</x:v>
      </x:c>
      <x:c r="B721" s="34" t="n">
        <x:v>46066.62777777778</x:v>
      </x:c>
      <x:c r="C721" s="15" t="str">
        <x:v>R450.97 reserved for purchase @ Savemor Marloth from Current a/c..512781 using card..2924. Avail R41283. 13Feb 15:04</x:v>
      </x:c>
      <x:c r="D721" s="38" t="n">
        <x:v>0</x:v>
      </x:c>
      <x:c r="E721" s="38" t="n">
        <x:v>450.97</x:v>
      </x:c>
      <x:c r="F721" s="38" t="n">
        <x:v>0</x:v>
      </x:c>
      <x:c r="G721" s="38" t="n">
        <x:v>41283</x:v>
      </x:c>
      <x:c r="H721" s="15" t="str">
        <x:v>Supplier payments</x:v>
      </x:c>
      <x:c r="I721" s="15" t="str">
        <x:v>Savemor Marloth</x:v>
      </x:c>
      <x:c r="J721" s="15" t="str">
        <x:v>eml_ALL_currentac__512781 (2).zip &gt; eml6currentac__512781.zip / FNB _-) R450.97 reserved for purchase @ Savemor Marloth from Current a_c..512781 using card..2924. 13Feb 15_04.eml</x:v>
      </x:c>
    </x:row>
    <x:row r="722">
      <x:c r="A722" s="15" t="str">
        <x:v>Current a/c..512781 / card..2924</x:v>
      </x:c>
      <x:c r="B722" s="34" t="n">
        <x:v>46066.63125</x:v>
      </x:c>
      <x:c r="C722" s="15" t="str">
        <x:v>R330.96 reserved for purchase @ Savemor Marloth Liqu from Current a/c..512781 using card..2924. Avail R40952. 13Feb 15:09</x:v>
      </x:c>
      <x:c r="D722" s="38" t="n">
        <x:v>0</x:v>
      </x:c>
      <x:c r="E722" s="38" t="n">
        <x:v>330.96</x:v>
      </x:c>
      <x:c r="F722" s="38" t="n">
        <x:v>0</x:v>
      </x:c>
      <x:c r="G722" s="38" t="n">
        <x:v>40952</x:v>
      </x:c>
      <x:c r="H722" s="15" t="str">
        <x:v>Meals / restaurants / entertainment</x:v>
      </x:c>
      <x:c r="I722" s="15" t="str">
        <x:v>Savemor Marloth Liqu</x:v>
      </x:c>
      <x:c r="J722" s="15" t="str">
        <x:v>eml_ALL_currentac__512781 (2).zip &gt; eml6currentac__512781.zip / FNB _-) R330.96 reserved for purchase @ Savemor Marloth Liqu from Current a_c..512781 using card..2924. 13Feb 15_09.eml</x:v>
      </x:c>
    </x:row>
    <x:row r="723">
      <x:c r="A723" s="15" t="str">
        <x:v>Current a/c..512781 / card..2924</x:v>
      </x:c>
      <x:c r="B723" s="34" t="n">
        <x:v>46067.525</x:v>
      </x:c>
      <x:c r="C723" s="15" t="str">
        <x:v>R620.09 reserved for purchase @ Sqsp* Websit from Current a/c..512781 using card..2924. Avail R25792. 14Feb 12:36</x:v>
      </x:c>
      <x:c r="D723" s="38" t="n">
        <x:v>0</x:v>
      </x:c>
      <x:c r="E723" s="38" t="n">
        <x:v>620.09</x:v>
      </x:c>
      <x:c r="F723" s="38" t="n">
        <x:v>0</x:v>
      </x:c>
      <x:c r="G723" s="38" t="n">
        <x:v>25792</x:v>
      </x:c>
      <x:c r="H723" s="15" t="str">
        <x:v>Software / subscriptions</x:v>
      </x:c>
      <x:c r="I723" s="15" t="str">
        <x:v>Sqsp* Websit</x:v>
      </x:c>
      <x:c r="J723" s="15" t="str">
        <x:v>eml_ALL_currentac__512781 (2).zip &gt; eml6currentac__512781.zip / FNB _-) R620.09 reserved for purchase @ Sqsp_ Websit from Current a_c..512781 using card..2924. 14Feb 12_36.eml</x:v>
      </x:c>
    </x:row>
    <x:row r="724">
      <x:c r="A724" s="15" t="str">
        <x:v>Current a/c..512781 / card..2924</x:v>
      </x:c>
      <x:c r="B724" s="34" t="n">
        <x:v>46069.572916666664</x:v>
      </x:c>
      <x:c r="C724" s="15" t="str">
        <x:v>R628.86 reserved for purchase @ Shoprite Komatipoort from Current a/c..512781 using card..2924. Avail R20916. 16Feb 13:45</x:v>
      </x:c>
      <x:c r="D724" s="38" t="n">
        <x:v>0</x:v>
      </x:c>
      <x:c r="E724" s="38" t="n">
        <x:v>628.86</x:v>
      </x:c>
      <x:c r="F724" s="38" t="n">
        <x:v>0</x:v>
      </x:c>
      <x:c r="G724" s="38" t="n">
        <x:v>20916</x:v>
      </x:c>
      <x:c r="H724" s="15" t="str">
        <x:v>Supplier payments</x:v>
      </x:c>
      <x:c r="I724" s="15" t="str">
        <x:v>Shoprite Komatipoort</x:v>
      </x:c>
      <x:c r="J724" s="15" t="str">
        <x:v>eml_ALL_currentac__512781 (2).zip &gt; eml6currentac__512781.zip / FNB _-) R628.86 reserved for purchase @ Shoprite Komatipoort from Current a_c..512781 using card..2924. 16Feb 13_45.eml</x:v>
      </x:c>
    </x:row>
    <x:row r="725">
      <x:c r="A725" s="15" t="str">
        <x:v>Current a/c..512781 / card..2924</x:v>
      </x:c>
      <x:c r="B725" s="34" t="n">
        <x:v>46069.61875</x:v>
      </x:c>
      <x:c r="C725" s="15" t="str">
        <x:v>R1817.30 reserved for purchase @ Superspar Komatipoor from Current a/c..512781 using card..2924. Avail R26968. 16Feb 14:51</x:v>
      </x:c>
      <x:c r="D725" s="38" t="n">
        <x:v>0</x:v>
      </x:c>
      <x:c r="E725" s="38" t="n">
        <x:v>1817.3</x:v>
      </x:c>
      <x:c r="F725" s="38" t="n">
        <x:v>0</x:v>
      </x:c>
      <x:c r="G725" s="38" t="n">
        <x:v>26968</x:v>
      </x:c>
      <x:c r="H725" s="15" t="str">
        <x:v>Supplier payments</x:v>
      </x:c>
      <x:c r="I725" s="15" t="str">
        <x:v>Superspar Komatipoor</x:v>
      </x:c>
      <x:c r="J725" s="15" t="str">
        <x:v>eml_ALL_currentac__512781 (2).zip &gt; eml6currentac__512781.zip / FNB _-) R1817.30 reserved for purchase @ Superspar Komatipoor from Current a_c..512781 using card..2924. 16Feb 14_51.eml</x:v>
      </x:c>
    </x:row>
    <x:row r="726">
      <x:c r="A726" s="15" t="str">
        <x:v>Current a/c..512781 / card..2924</x:v>
      </x:c>
      <x:c r="B726" s="34" t="n">
        <x:v>46070.479166666664</x:v>
      </x:c>
      <x:c r="C726" s="15" t="str">
        <x:v>R316.54 reserved for purchase @ Superspar Malelane from Current a/c..512781 using card..2924. Avail R20094. 17Feb 11:30</x:v>
      </x:c>
      <x:c r="D726" s="38" t="n">
        <x:v>0</x:v>
      </x:c>
      <x:c r="E726" s="38" t="n">
        <x:v>316.54</x:v>
      </x:c>
      <x:c r="F726" s="38" t="n">
        <x:v>0</x:v>
      </x:c>
      <x:c r="G726" s="38" t="n">
        <x:v>20094</x:v>
      </x:c>
      <x:c r="H726" s="15" t="str">
        <x:v>Supplier payments</x:v>
      </x:c>
      <x:c r="I726" s="15" t="str">
        <x:v>Superspar Malelane</x:v>
      </x:c>
      <x:c r="J726" s="15" t="str">
        <x:v>eml_ALL_currentac__512781 (2).zip &gt; eml6currentac__512781.zip / FNB _-) R316.54 reserved for purchase @ Superspar Malelane from Current a_c..512781 using card..2924. 17Feb 11_30.eml</x:v>
      </x:c>
    </x:row>
    <x:row r="727">
      <x:c r="A727" s="15" t="str">
        <x:v>Current a/c..512781 / card..2924</x:v>
      </x:c>
      <x:c r="B727" s="34" t="n">
        <x:v>46070.48611111111</x:v>
      </x:c>
      <x:c r="C727" s="15" t="str">
        <x:v>R186.00 reserved for purchase @ Tops Malelane from Current a/c..512781 using card..2924. Avail R19908. 17Feb 11:40</x:v>
      </x:c>
      <x:c r="D727" s="38" t="n">
        <x:v>0</x:v>
      </x:c>
      <x:c r="E727" s="38" t="n">
        <x:v>186</x:v>
      </x:c>
      <x:c r="F727" s="38" t="n">
        <x:v>0</x:v>
      </x:c>
      <x:c r="G727" s="38" t="n">
        <x:v>19908</x:v>
      </x:c>
      <x:c r="H727" s="15" t="str">
        <x:v>Meals / restaurants / entertainment</x:v>
      </x:c>
      <x:c r="I727" s="15" t="str">
        <x:v>Tops Malelane</x:v>
      </x:c>
      <x:c r="J727" s="15" t="str">
        <x:v>eml_ALL_currentac__512781 (2).zip &gt; eml6currentac__512781.zip / FNB _-) R186.00 reserved for purchase @ Tops Malelane from Current a_c..512781 using card..2924. 17Feb 11_40.eml</x:v>
      </x:c>
    </x:row>
    <x:row r="728">
      <x:c r="A728" s="15" t="str">
        <x:v>Current a/c..512781 / card..2924</x:v>
      </x:c>
      <x:c r="B728" s="34" t="n">
        <x:v>46070.48888888889</x:v>
      </x:c>
      <x:c r="C728" s="15" t="str">
        <x:v>R228.85 reserved for purchase @ Paystack *zoho Co from Current a/c..512781 using card..2924. Avail R19679. 17Feb 11:44</x:v>
      </x:c>
      <x:c r="D728" s="38" t="n">
        <x:v>0</x:v>
      </x:c>
      <x:c r="E728" s="38" t="n">
        <x:v>228.85</x:v>
      </x:c>
      <x:c r="F728" s="38" t="n">
        <x:v>0</x:v>
      </x:c>
      <x:c r="G728" s="38" t="n">
        <x:v>19679</x:v>
      </x:c>
      <x:c r="H728" s="15" t="str">
        <x:v>Software / subscriptions</x:v>
      </x:c>
      <x:c r="I728" s="15" t="str">
        <x:v>Paystack *zoho Co</x:v>
      </x:c>
      <x:c r="J728" s="15" t="str">
        <x:v>eml_ALL_currentac__512781 (2).zip &gt; eml6currentac__512781.zip / FNB _-) R228.85 reserved for purchase @ Paystack _zoho Co from Current a_c..512781 using card..2924. 17Feb 11_44.eml</x:v>
      </x:c>
    </x:row>
    <x:row r="729">
      <x:c r="A729" s="15" t="str">
        <x:v>Current a/c..512781 / card..2924</x:v>
      </x:c>
      <x:c r="B729" s="34" t="n">
        <x:v>46070.61597222222</x:v>
      </x:c>
      <x:c r="C729" s="15" t="str">
        <x:v>R300.10 reserved for purchase @ Savemor Marloth from Current a/c..512781 using card..2924. Avail R19379. 17Feb 14:47</x:v>
      </x:c>
      <x:c r="D729" s="38" t="n">
        <x:v>0</x:v>
      </x:c>
      <x:c r="E729" s="38" t="n">
        <x:v>300.1</x:v>
      </x:c>
      <x:c r="F729" s="38" t="n">
        <x:v>0</x:v>
      </x:c>
      <x:c r="G729" s="38" t="n">
        <x:v>19379</x:v>
      </x:c>
      <x:c r="H729" s="15" t="str">
        <x:v>Supplier payments</x:v>
      </x:c>
      <x:c r="I729" s="15" t="str">
        <x:v>Savemor Marloth</x:v>
      </x:c>
      <x:c r="J729" s="15" t="str">
        <x:v>eml_ALL_currentac__512781 (2).zip &gt; eml6currentac__512781.zip / FNB _-) R300.10 reserved for purchase @ Savemor Marloth from Current a_c..512781 using card..2924. 17Feb 14_47.eml</x:v>
      </x:c>
    </x:row>
    <x:row r="730">
      <x:c r="A730" s="15" t="str">
        <x:v>Current a/c..512781 / card..2924</x:v>
      </x:c>
      <x:c r="B730" s="34" t="n">
        <x:v>46071.45347222222</x:v>
      </x:c>
      <x:c r="C730" s="15" t="str">
        <x:v>R1499.99 reserved for purchase @ Savemor Marloth from Current a/c..512781 using card..2924. Avail R17804. 18Feb 10:53</x:v>
      </x:c>
      <x:c r="D730" s="38" t="n">
        <x:v>0</x:v>
      </x:c>
      <x:c r="E730" s="38" t="n">
        <x:v>1499.99</x:v>
      </x:c>
      <x:c r="F730" s="38" t="n">
        <x:v>0</x:v>
      </x:c>
      <x:c r="G730" s="38" t="n">
        <x:v>17804</x:v>
      </x:c>
      <x:c r="H730" s="15" t="str">
        <x:v>Supplier payments</x:v>
      </x:c>
      <x:c r="I730" s="15" t="str">
        <x:v>Savemor Marloth</x:v>
      </x:c>
      <x:c r="J730" s="15" t="str">
        <x:v>eml_ALL_currentac__512781 (2).zip &gt; eml6currentac__512781.zip / FNB _-) R1499.99 reserved for purchase @ Savemor Marloth from Current a_c..512781 using card..2924. 18Feb 10_53.eml</x:v>
      </x:c>
    </x:row>
    <x:row r="731">
      <x:c r="A731" s="15" t="str">
        <x:v>Current a/c..512781 / card..2924</x:v>
      </x:c>
      <x:c r="B731" s="34" t="n">
        <x:v>46071.45625</x:v>
      </x:c>
      <x:c r="C731" s="15" t="str">
        <x:v>R500.00 reserved for purchase @ Marlothi Petrol Stat from Current a/c..512781 using card..2924. Avail R17304. 18Feb 10:57</x:v>
      </x:c>
      <x:c r="D731" s="38" t="n">
        <x:v>0</x:v>
      </x:c>
      <x:c r="E731" s="38" t="n">
        <x:v>500</x:v>
      </x:c>
      <x:c r="F731" s="38" t="n">
        <x:v>0</x:v>
      </x:c>
      <x:c r="G731" s="38" t="n">
        <x:v>17304</x:v>
      </x:c>
      <x:c r="H731" s="15" t="str">
        <x:v>Fuel / transport</x:v>
      </x:c>
      <x:c r="I731" s="15" t="str">
        <x:v>Marlothi Petrol Stat</x:v>
      </x:c>
      <x:c r="J731" s="15" t="str">
        <x:v>eml_ALL_currentac__512781 (2).zip &gt; eml6currentac__512781.zip / FNB _-) R500.00 reserved for purchase @ Marlothi Petrol Stat from Current a_c..512781 using card..2924. 18Feb 10_57.eml</x:v>
      </x:c>
    </x:row>
    <x:row r="732">
      <x:c r="A732" s="15" t="str">
        <x:v>Current a/c..512781 / card..2924</x:v>
      </x:c>
      <x:c r="B732" s="34" t="n">
        <x:v>46071.853472222225</x:v>
      </x:c>
      <x:c r="C732" s="15" t="str">
        <x:v>R470.00 reserved for purchase @ K2025744041 Sou 262 from Current a/c..512781 using card..2924. Avail R16834. 18Feb 20:29</x:v>
      </x:c>
      <x:c r="D732" s="38" t="n">
        <x:v>0</x:v>
      </x:c>
      <x:c r="E732" s="38" t="n">
        <x:v>470</x:v>
      </x:c>
      <x:c r="F732" s="38" t="n">
        <x:v>0</x:v>
      </x:c>
      <x:c r="G732" s="38" t="n">
        <x:v>16834</x:v>
      </x:c>
      <x:c r="H732" s="15" t="str">
        <x:v>Card spend</x:v>
      </x:c>
      <x:c r="I732" s="15" t="str">
        <x:v>K2025744041 Sou 262</x:v>
      </x:c>
      <x:c r="J732" s="15" t="str">
        <x:v>eml_ALL_currentac__512781 (2).zip &gt; eml6currentac__512781.zip / FNB _-) R470.00 reserved for purchase @ K2025744041 Sou 262 from Current a_c..512781 using card..2924. 18Feb 20_29.eml</x:v>
      </x:c>
    </x:row>
    <x:row r="733">
      <x:c r="A733" s="15" t="str">
        <x:v>Current a/c..512781 / card..2924</x:v>
      </x:c>
      <x:c r="B733" s="34" t="n">
        <x:v>46072.74375</x:v>
      </x:c>
      <x:c r="C733" s="15" t="str">
        <x:v>R171.37 reserved for purchase @ Savemor Marloth from Current a/c..512781 using card..2924. Avail R52981. 19Feb 17:51</x:v>
      </x:c>
      <x:c r="D733" s="38" t="n">
        <x:v>0</x:v>
      </x:c>
      <x:c r="E733" s="38" t="n">
        <x:v>171.37</x:v>
      </x:c>
      <x:c r="F733" s="38" t="n">
        <x:v>0</x:v>
      </x:c>
      <x:c r="G733" s="38" t="n">
        <x:v>52981</x:v>
      </x:c>
      <x:c r="H733" s="15" t="str">
        <x:v>Supplier payments</x:v>
      </x:c>
      <x:c r="I733" s="15" t="str">
        <x:v>Savemor Marloth</x:v>
      </x:c>
      <x:c r="J733" s="15" t="str">
        <x:v>eml_ALL_currentac__512781 (2).zip &gt; eml6currentac__512781.zip / FNB _-) R171.37 reserved for purchase @ Savemor Marloth from Current a_c..512781 using card..2924. 19Feb 17_51.eml</x:v>
      </x:c>
    </x:row>
    <x:row r="734">
      <x:c r="A734" s="15" t="str">
        <x:v>Current a/c..512781 / card..2924</x:v>
      </x:c>
      <x:c r="B734" s="34" t="n">
        <x:v>46073.69652777778</x:v>
      </x:c>
      <x:c r="C734" s="15" t="str">
        <x:v>R149.70 reserved for purchase @ Oasis Water Komatipo from Current a/c..512781 using card..2924. Avail R75438. 20Feb 16:43</x:v>
      </x:c>
      <x:c r="D734" s="38" t="n">
        <x:v>0</x:v>
      </x:c>
      <x:c r="E734" s="38" t="n">
        <x:v>149.7</x:v>
      </x:c>
      <x:c r="F734" s="38" t="n">
        <x:v>0</x:v>
      </x:c>
      <x:c r="G734" s="38" t="n">
        <x:v>75438</x:v>
      </x:c>
      <x:c r="H734" s="15" t="str">
        <x:v>Supplier payments</x:v>
      </x:c>
      <x:c r="I734" s="15" t="str">
        <x:v>Oasis Water Komatipo</x:v>
      </x:c>
      <x:c r="J734" s="15" t="str">
        <x:v>eml_ALL_currentac__512781 (2).zip &gt; eml6currentac__512781.zip / FNB _-) R149.70 reserved for purchase @ Oasis Water Komatipo from Current a_c..512781 using card..2924. 20Feb 16_43.eml</x:v>
      </x:c>
    </x:row>
    <x:row r="735">
      <x:c r="A735" s="15" t="str">
        <x:v>Current a/c..512781 / card..2924</x:v>
      </x:c>
      <x:c r="B735" s="34" t="n">
        <x:v>46073.711805555555</x:v>
      </x:c>
      <x:c r="C735" s="15" t="str">
        <x:v>R693.43 reserved for purchase @ Superspar Komatipoor from Current a/c..512781 using card..2924. Avail R74744. 20Feb 17:05</x:v>
      </x:c>
      <x:c r="D735" s="38" t="n">
        <x:v>0</x:v>
      </x:c>
      <x:c r="E735" s="38" t="n">
        <x:v>693.43</x:v>
      </x:c>
      <x:c r="F735" s="38" t="n">
        <x:v>0</x:v>
      </x:c>
      <x:c r="G735" s="38" t="n">
        <x:v>74744</x:v>
      </x:c>
      <x:c r="H735" s="15" t="str">
        <x:v>Supplier payments</x:v>
      </x:c>
      <x:c r="I735" s="15" t="str">
        <x:v>Superspar Komatipoor</x:v>
      </x:c>
      <x:c r="J735" s="15" t="str">
        <x:v>eml_ALL_currentac__512781 (2).zip &gt; eml6currentac__512781.zip / FNB _-) R693.43 reserved for purchase @ Superspar Komatipoor from Current a_c..512781 using card..2924. 20Feb 17_05.eml</x:v>
      </x:c>
    </x:row>
    <x:row r="736">
      <x:c r="A736" s="15" t="str">
        <x:v>Current a/c..512781 / card..2924</x:v>
      </x:c>
      <x:c r="B736" s="34" t="n">
        <x:v>46073.84305555555</x:v>
      </x:c>
      <x:c r="C736" s="15" t="str">
        <x:v>R185.00 reserved for purchase @ The Tin Shack from Current a/c..512781 using card..2924. Avail R72556. 20Feb 20:14</x:v>
      </x:c>
      <x:c r="D736" s="38" t="n">
        <x:v>0</x:v>
      </x:c>
      <x:c r="E736" s="38" t="n">
        <x:v>185</x:v>
      </x:c>
      <x:c r="F736" s="38" t="n">
        <x:v>0</x:v>
      </x:c>
      <x:c r="G736" s="38" t="n">
        <x:v>72556</x:v>
      </x:c>
      <x:c r="H736" s="15" t="str">
        <x:v>Meals / restaurants / entertainment</x:v>
      </x:c>
      <x:c r="I736" s="15" t="str">
        <x:v>The Tin Shack</x:v>
      </x:c>
      <x:c r="J736" s="15" t="str">
        <x:v>eml_ALL_currentac__512781 (2).zip &gt; eml6currentac__512781.zip / FNB _-) R185.00 reserved for purchase @ The Tin Shack from Current a_c..512781 using card..2924. 20Feb 20_14.eml</x:v>
      </x:c>
    </x:row>
    <x:row r="737">
      <x:c r="A737" s="15" t="str">
        <x:v>Current a/c..512781 / card..2924</x:v>
      </x:c>
      <x:c r="B737" s="34" t="n">
        <x:v>46074.433333333334</x:v>
      </x:c>
      <x:c r="C737" s="15" t="str">
        <x:v>R1201.40 reserved for purchase @ Savemor Marloth from Current a/c..512781 using card..2924. Avail R71335. 21Feb 10:24</x:v>
      </x:c>
      <x:c r="D737" s="38" t="n">
        <x:v>0</x:v>
      </x:c>
      <x:c r="E737" s="38" t="n">
        <x:v>1201.4</x:v>
      </x:c>
      <x:c r="F737" s="38" t="n">
        <x:v>0</x:v>
      </x:c>
      <x:c r="G737" s="38" t="n">
        <x:v>71335</x:v>
      </x:c>
      <x:c r="H737" s="15" t="str">
        <x:v>Supplier payments</x:v>
      </x:c>
      <x:c r="I737" s="15" t="str">
        <x:v>Savemor Marloth</x:v>
      </x:c>
      <x:c r="J737" s="15" t="str">
        <x:v>eml_ALL_currentac__512781 (2).zip &gt; eml6currentac__512781.zip / FNB _-) R1201.40 reserved for purchase @ Savemor Marloth from Current a_c..512781 using card..2924. 21Feb 10_24.eml</x:v>
      </x:c>
    </x:row>
    <x:row r="738">
      <x:c r="A738" s="15" t="str">
        <x:v>Current a/c..512781 / card..2924</x:v>
      </x:c>
      <x:c r="B738" s="34" t="n">
        <x:v>46074.45486111111</x:v>
      </x:c>
      <x:c r="C738" s="15" t="str">
        <x:v>R316.00 reserved for purchase @ Komati Liquor from Current a/c..512781 using card..2924. Avail R71019. 21Feb 10:55</x:v>
      </x:c>
      <x:c r="D738" s="38" t="n">
        <x:v>0</x:v>
      </x:c>
      <x:c r="E738" s="38" t="n">
        <x:v>316</x:v>
      </x:c>
      <x:c r="F738" s="38" t="n">
        <x:v>0</x:v>
      </x:c>
      <x:c r="G738" s="38" t="n">
        <x:v>71019</x:v>
      </x:c>
      <x:c r="H738" s="15" t="str">
        <x:v>Meals / restaurants / entertainment</x:v>
      </x:c>
      <x:c r="I738" s="15" t="str">
        <x:v>Komati Liquor</x:v>
      </x:c>
      <x:c r="J738" s="15" t="str">
        <x:v>eml_ALL_currentac__512781 (2).zip &gt; eml6currentac__512781.zip / FNB _-) R316.00 reserved for purchase @ Komati Liquor from Current a_c..512781 using card..2924. 21Feb 10_55.eml</x:v>
      </x:c>
    </x:row>
    <x:row r="739">
      <x:c r="A739" s="15" t="str">
        <x:v>Current a/c..512781 / card..2924</x:v>
      </x:c>
      <x:c r="B739" s="34" t="n">
        <x:v>46074.461805555555</x:v>
      </x:c>
      <x:c r="C739" s="15" t="str">
        <x:v>R700.00 reserved for purchase @ Eastern Border Fuels from Current a/c..512781 using card..2924. Avail R70319. 21Feb 11:05</x:v>
      </x:c>
      <x:c r="D739" s="38" t="n">
        <x:v>0</x:v>
      </x:c>
      <x:c r="E739" s="38" t="n">
        <x:v>700</x:v>
      </x:c>
      <x:c r="F739" s="38" t="n">
        <x:v>0</x:v>
      </x:c>
      <x:c r="G739" s="38" t="n">
        <x:v>70319</x:v>
      </x:c>
      <x:c r="H739" s="15" t="str">
        <x:v>Fuel / transport</x:v>
      </x:c>
      <x:c r="I739" s="15" t="str">
        <x:v>Eastern Border Fuels</x:v>
      </x:c>
      <x:c r="J739" s="15" t="str">
        <x:v>eml_ALL_currentac__512781 (2).zip &gt; eml6currentac__512781.zip / FNB _-) R700.00 reserved for purchase @ Eastern Border Fuels from Current a_c..512781 using card..2924. 21Feb 11_05.eml</x:v>
      </x:c>
    </x:row>
    <x:row r="740">
      <x:c r="A740" s="15" t="str">
        <x:v>Current a/c..512781 / card..2924</x:v>
      </x:c>
      <x:c r="B740" s="34" t="n">
        <x:v>46074.481944444444</x:v>
      </x:c>
      <x:c r="C740" s="15" t="str">
        <x:v>R475.39 reserved for purchase @ Superspar Komatipoor from Current a/c..512781 using card..2924. Avail R69843. 21Feb 11:34</x:v>
      </x:c>
      <x:c r="D740" s="38" t="n">
        <x:v>0</x:v>
      </x:c>
      <x:c r="E740" s="38" t="n">
        <x:v>475.39</x:v>
      </x:c>
      <x:c r="F740" s="38" t="n">
        <x:v>0</x:v>
      </x:c>
      <x:c r="G740" s="38" t="n">
        <x:v>69843</x:v>
      </x:c>
      <x:c r="H740" s="15" t="str">
        <x:v>Supplier payments</x:v>
      </x:c>
      <x:c r="I740" s="15" t="str">
        <x:v>Superspar Komatipoor</x:v>
      </x:c>
      <x:c r="J740" s="15" t="str">
        <x:v>eml_ALL_currentac__512781 (2).zip &gt; eml6currentac__512781.zip / FNB _-) R475.39 reserved for purchase @ Superspar Komatipoor from Current a_c..512781 using card..2924. 21Feb 11_34.eml</x:v>
      </x:c>
    </x:row>
    <x:row r="741">
      <x:c r="A741" s="15" t="str">
        <x:v>Current a/c..512781 / card..2924</x:v>
      </x:c>
      <x:c r="B741" s="34" t="n">
        <x:v>46074.52222222222</x:v>
      </x:c>
      <x:c r="C741" s="15" t="str">
        <x:v>R200.00 reserved for purchase @ Marlothi Petrol Stat from Current a/c..512781 using card..2924. Avail R69600. 21Feb 12:32</x:v>
      </x:c>
      <x:c r="D741" s="38" t="n">
        <x:v>0</x:v>
      </x:c>
      <x:c r="E741" s="38" t="n">
        <x:v>200</x:v>
      </x:c>
      <x:c r="F741" s="38" t="n">
        <x:v>0</x:v>
      </x:c>
      <x:c r="G741" s="38" t="n">
        <x:v>69600</x:v>
      </x:c>
      <x:c r="H741" s="15" t="str">
        <x:v>Fuel / transport</x:v>
      </x:c>
      <x:c r="I741" s="15" t="str">
        <x:v>Marlothi Petrol Stat</x:v>
      </x:c>
      <x:c r="J741" s="15" t="str">
        <x:v>eml_ALL_currentac__512781 (2).zip &gt; eml6currentac__512781.zip / FNB _-) R200.00 reserved for purchase @ Marlothi Petrol Stat from Current a_c..512781 using card..2924. 21Feb 12_32.eml</x:v>
      </x:c>
    </x:row>
    <x:row r="742">
      <x:c r="A742" s="15" t="str">
        <x:v>Current a/c..512781 / card..2924</x:v>
      </x:c>
      <x:c r="B742" s="34" t="n">
        <x:v>46074.527083333334</x:v>
      </x:c>
      <x:c r="C742" s="15" t="str">
        <x:v>R161.96 reserved for purchase @ Savemor Marloth from Current a/c..512781 using card..2924. Avail R69438. 21Feb 12:39</x:v>
      </x:c>
      <x:c r="D742" s="38" t="n">
        <x:v>0</x:v>
      </x:c>
      <x:c r="E742" s="38" t="n">
        <x:v>161.96</x:v>
      </x:c>
      <x:c r="F742" s="38" t="n">
        <x:v>0</x:v>
      </x:c>
      <x:c r="G742" s="38" t="n">
        <x:v>69438</x:v>
      </x:c>
      <x:c r="H742" s="15" t="str">
        <x:v>Supplier payments</x:v>
      </x:c>
      <x:c r="I742" s="15" t="str">
        <x:v>Savemor Marloth</x:v>
      </x:c>
      <x:c r="J742" s="15" t="str">
        <x:v>eml_ALL_currentac__512781 (2).zip &gt; eml6currentac__512781.zip / FNB _-) R161.96 reserved for purchase @ Savemor Marloth from Current a_c..512781 using card..2924. 21Feb 12_39.eml</x:v>
      </x:c>
    </x:row>
    <x:row r="743">
      <x:c r="A743" s="15" t="str">
        <x:v>Current a/c..512781 / card..2924</x:v>
      </x:c>
      <x:c r="B743" s="34" t="n">
        <x:v>46075.525</x:v>
      </x:c>
      <x:c r="C743" s="15" t="str">
        <x:v>R650.99 reserved for purchase @ Savemor Marloth from Current a/c..512781 using card..2924. Avail R68447. 22Feb 12:36</x:v>
      </x:c>
      <x:c r="D743" s="38" t="n">
        <x:v>0</x:v>
      </x:c>
      <x:c r="E743" s="38" t="n">
        <x:v>650.99</x:v>
      </x:c>
      <x:c r="F743" s="38" t="n">
        <x:v>0</x:v>
      </x:c>
      <x:c r="G743" s="38" t="n">
        <x:v>68447</x:v>
      </x:c>
      <x:c r="H743" s="15" t="str">
        <x:v>Supplier payments</x:v>
      </x:c>
      <x:c r="I743" s="15" t="str">
        <x:v>Savemor Marloth</x:v>
      </x:c>
      <x:c r="J743" s="15" t="str">
        <x:v>eml_ALL_currentac__512781 (2).zip &gt; eml6currentac__512781.zip / FNB _-) R650.99 reserved for purchase @ Savemor Marloth from Current a_c..512781 using card..2924. 22Feb 12_36.eml</x:v>
      </x:c>
    </x:row>
    <x:row r="744">
      <x:c r="A744" s="15" t="str">
        <x:v>Current a/c..512781 / card..2924</x:v>
      </x:c>
      <x:c r="B744" s="34" t="n">
        <x:v>46075.56805555556</x:v>
      </x:c>
      <x:c r="C744" s="15" t="str">
        <x:v>R179.98 reserved for purchase @ Savemor Marloth Liqu from Current a/c..512781 using card..2924. Avail R68267. 22Feb 13:38</x:v>
      </x:c>
      <x:c r="D744" s="38" t="n">
        <x:v>0</x:v>
      </x:c>
      <x:c r="E744" s="38" t="n">
        <x:v>179.98</x:v>
      </x:c>
      <x:c r="F744" s="38" t="n">
        <x:v>0</x:v>
      </x:c>
      <x:c r="G744" s="38" t="n">
        <x:v>68267</x:v>
      </x:c>
      <x:c r="H744" s="15" t="str">
        <x:v>Meals / restaurants / entertainment</x:v>
      </x:c>
      <x:c r="I744" s="15" t="str">
        <x:v>Savemor Marloth Liqu</x:v>
      </x:c>
      <x:c r="J744" s="15" t="str">
        <x:v>eml_ALL_currentac__512781 (2).zip &gt; eml5currentac__512781.zip / FNB _-) R179.98 reserved for purchase @ Savemor Marloth Liqu from Current a_c..512781 using card..2924. 22Feb 13_38.eml</x:v>
      </x:c>
    </x:row>
    <x:row r="745">
      <x:c r="A745" s="15" t="str">
        <x:v>Current a/c..512781 / card..2924</x:v>
      </x:c>
      <x:c r="B745" s="34" t="n">
        <x:v>46076.475</x:v>
      </x:c>
      <x:c r="C745" s="15" t="str">
        <x:v>R306.00 reserved for purchase @ Pep 5668 Malelane from Current a/c..512781 using card..2924. Avail R67904. 23Feb 11:24</x:v>
      </x:c>
      <x:c r="D745" s="38" t="n">
        <x:v>0</x:v>
      </x:c>
      <x:c r="E745" s="38" t="n">
        <x:v>306</x:v>
      </x:c>
      <x:c r="F745" s="38" t="n">
        <x:v>0</x:v>
      </x:c>
      <x:c r="G745" s="38" t="n">
        <x:v>67904</x:v>
      </x:c>
      <x:c r="H745" s="15" t="str">
        <x:v>Supplier payments</x:v>
      </x:c>
      <x:c r="I745" s="15" t="str">
        <x:v>Pep 5668 Malelane</x:v>
      </x:c>
      <x:c r="J745" s="15" t="str">
        <x:v>eml_ALL_currentac__512781 (2).zip &gt; eml5currentac__512781.zip / FNB _-) R306.00 reserved for purchase @ Pep 5668 Malelane from Current a_c..512781 using card..2924. 23Feb 11_24.eml</x:v>
      </x:c>
    </x:row>
    <x:row r="746">
      <x:c r="A746" s="15" t="str">
        <x:v>Current a/c..512781 / card..2924</x:v>
      </x:c>
      <x:c r="B746" s="34" t="n">
        <x:v>46076.49236111111</x:v>
      </x:c>
      <x:c r="C746" s="15" t="str">
        <x:v>R539.90 reserved for purchase @ Clicks Malelane Ingw from Current a/c..512781 using card..2924. Avail R67364. 23Feb 11:49</x:v>
      </x:c>
      <x:c r="D746" s="38" t="n">
        <x:v>0</x:v>
      </x:c>
      <x:c r="E746" s="38" t="n">
        <x:v>539.9</x:v>
      </x:c>
      <x:c r="F746" s="38" t="n">
        <x:v>0</x:v>
      </x:c>
      <x:c r="G746" s="38" t="n">
        <x:v>67364</x:v>
      </x:c>
      <x:c r="H746" s="15" t="str">
        <x:v>Supplier payments</x:v>
      </x:c>
      <x:c r="I746" s="15" t="str">
        <x:v>Clicks Malelane Ingw</x:v>
      </x:c>
      <x:c r="J746" s="15" t="str">
        <x:v>eml_ALL_currentac__512781 (2).zip &gt; eml5currentac__512781.zip / FNB _-) R539.90 reserved for purchase @ Clicks Malelane Ingw from Current a_c..512781 using card..2924. 23Feb 11_49.eml</x:v>
      </x:c>
    </x:row>
    <x:row r="747">
      <x:c r="A747" s="15" t="str">
        <x:v>Current a/c..512781 / card..2924</x:v>
      </x:c>
      <x:c r="B747" s="34" t="n">
        <x:v>46076.51527777778</x:v>
      </x:c>
      <x:c r="C747" s="15" t="str">
        <x:v>R585.76 reserved for purchase @ Woolworths from Current a/c..512781 using card..2924. Avail R66778. 23Feb 12:22</x:v>
      </x:c>
      <x:c r="D747" s="38" t="n">
        <x:v>0</x:v>
      </x:c>
      <x:c r="E747" s="38" t="n">
        <x:v>585.76</x:v>
      </x:c>
      <x:c r="F747" s="38" t="n">
        <x:v>0</x:v>
      </x:c>
      <x:c r="G747" s="38" t="n">
        <x:v>66778</x:v>
      </x:c>
      <x:c r="H747" s="15" t="str">
        <x:v>Supplier payments</x:v>
      </x:c>
      <x:c r="I747" s="15" t="str">
        <x:v>Woolworths</x:v>
      </x:c>
      <x:c r="J747" s="15" t="str">
        <x:v>eml_ALL_currentac__512781 (2).zip &gt; eml5currentac__512781.zip / FNB _-) R585.76 reserved for purchase @ Woolworths from Current a_c..512781 using card..2924. 23Feb 12_22.eml</x:v>
      </x:c>
    </x:row>
    <x:row r="748">
      <x:c r="A748" s="15" t="str">
        <x:v>Current a/c..512781 / card..2924</x:v>
      </x:c>
      <x:c r="B748" s="34" t="n">
        <x:v>46076.57916666667</x:v>
      </x:c>
      <x:c r="C748" s="15" t="str">
        <x:v>R2441.61 reserved for purchase @ Superspar Malelane from Current a/c..512781 using card..2924. Avail R62627. 23Feb 13:54</x:v>
      </x:c>
      <x:c r="D748" s="38" t="n">
        <x:v>0</x:v>
      </x:c>
      <x:c r="E748" s="38" t="n">
        <x:v>2441.61</x:v>
      </x:c>
      <x:c r="F748" s="38" t="n">
        <x:v>0</x:v>
      </x:c>
      <x:c r="G748" s="38" t="n">
        <x:v>62627</x:v>
      </x:c>
      <x:c r="H748" s="15" t="str">
        <x:v>Supplier payments</x:v>
      </x:c>
      <x:c r="I748" s="15" t="str">
        <x:v>Superspar Malelane</x:v>
      </x:c>
      <x:c r="J748" s="15" t="str">
        <x:v>eml_ALL_currentac__512781 (2).zip &gt; eml5currentac__512781.zip / FNB _-) R2441.61 reserved for purchase @ Superspar Malelane from Current a_c..512781 using card..2924. 23Feb 13_54.eml</x:v>
      </x:c>
    </x:row>
    <x:row r="749">
      <x:c r="A749" s="15" t="str">
        <x:v>Current a/c..512781 / card..2924</x:v>
      </x:c>
      <x:c r="B749" s="34" t="n">
        <x:v>46079.46875</x:v>
      </x:c>
      <x:c r="C749" s="15" t="str">
        <x:v>R8233.82 reserved for purchase @ Nkomazi Local Munici from Current a/c..512781 using card..2924. Avail R16096. 26Feb 11:15</x:v>
      </x:c>
      <x:c r="D749" s="38" t="n">
        <x:v>0</x:v>
      </x:c>
      <x:c r="E749" s="38" t="n">
        <x:v>8233.82</x:v>
      </x:c>
      <x:c r="F749" s="38" t="n">
        <x:v>0</x:v>
      </x:c>
      <x:c r="G749" s="38" t="n">
        <x:v>16096</x:v>
      </x:c>
      <x:c r="H749" s="15" t="str">
        <x:v>Card spend</x:v>
      </x:c>
      <x:c r="I749" s="15" t="str">
        <x:v>Nkomazi Local Munici</x:v>
      </x:c>
      <x:c r="J749" s="15" t="str">
        <x:v>eml_ALL_currentac__512781 (2).zip &gt; eml5currentac__512781.zip / FNB _-) R8233.82 reserved for purchase @ Nkomazi Local Munici from Current a_c..512781 using card..2924. 26Feb 11_15.eml</x:v>
      </x:c>
    </x:row>
    <x:row r="750">
      <x:c r="A750" s="15" t="str">
        <x:v>Current a/c..512781 / card..2924</x:v>
      </x:c>
      <x:c r="B750" s="34" t="n">
        <x:v>46080.61944444444</x:v>
      </x:c>
      <x:c r="C750" s="15" t="str">
        <x:v>R123.48 reserved for purchase @ Savemor Marloth from Current a/c..512781 using card..2924. Avail R39326. 27Feb 14:52</x:v>
      </x:c>
      <x:c r="D750" s="38" t="n">
        <x:v>0</x:v>
      </x:c>
      <x:c r="E750" s="38" t="n">
        <x:v>123.48</x:v>
      </x:c>
      <x:c r="F750" s="38" t="n">
        <x:v>0</x:v>
      </x:c>
      <x:c r="G750" s="38" t="n">
        <x:v>39326</x:v>
      </x:c>
      <x:c r="H750" s="15" t="str">
        <x:v>Supplier payments</x:v>
      </x:c>
      <x:c r="I750" s="15" t="str">
        <x:v>Savemor Marloth</x:v>
      </x:c>
      <x:c r="J750" s="15" t="str">
        <x:v>eml_ALL_currentac__512781 (2).zip &gt; eml5currentac__512781.zip / FNB _-) R123.48 reserved for purchase @ Savemor Marloth from Current a_c..512781 using card..2924. 27Feb 14_52.eml</x:v>
      </x:c>
    </x:row>
    <x:row r="751">
      <x:c r="A751" s="15" t="str">
        <x:v>Current a/c..512781 / card..2924</x:v>
      </x:c>
      <x:c r="B751" s="34" t="n">
        <x:v>46080.83194444444</x:v>
      </x:c>
      <x:c r="C751" s="15" t="str">
        <x:v>R460.00 reserved for purchase @ Amazing Kruger from Current a/c..512781 using card..2924. Avail R21346. 27Feb 19:58</x:v>
      </x:c>
      <x:c r="D751" s="38" t="n">
        <x:v>0</x:v>
      </x:c>
      <x:c r="E751" s="38" t="n">
        <x:v>460</x:v>
      </x:c>
      <x:c r="F751" s="38" t="n">
        <x:v>0</x:v>
      </x:c>
      <x:c r="G751" s="38" t="n">
        <x:v>21346</x:v>
      </x:c>
      <x:c r="H751" s="15" t="str">
        <x:v>Card spend</x:v>
      </x:c>
      <x:c r="I751" s="15" t="str">
        <x:v>Amazing Kruger</x:v>
      </x:c>
      <x:c r="J751" s="15" t="str">
        <x:v>eml_ALL_currentac__512781 (2).zip &gt; eml5currentac__512781.zip / FNB _-) R460.00 reserved for purchase @ Amazing Kruger from Current a_c..512781 using card..2924. 27Feb 19_58.eml</x:v>
      </x:c>
    </x:row>
    <x:row r="752">
      <x:c r="A752" s="15" t="str">
        <x:v>Current a/c..512781 / card..2924</x:v>
      </x:c>
      <x:c r="B752" s="34" t="n">
        <x:v>46081.38055555556</x:v>
      </x:c>
      <x:c r="C752" s="15" t="str">
        <x:v>R419.91 reserved for purchase @ Toppies Hardware 66 from Current a/c..512781 using card..2924. Avail R20916. 28Feb 09:08</x:v>
      </x:c>
      <x:c r="D752" s="38" t="n">
        <x:v>0</x:v>
      </x:c>
      <x:c r="E752" s="38" t="n">
        <x:v>419.91</x:v>
      </x:c>
      <x:c r="F752" s="38" t="n">
        <x:v>0</x:v>
      </x:c>
      <x:c r="G752" s="38" t="n">
        <x:v>20916</x:v>
      </x:c>
      <x:c r="H752" s="15" t="str">
        <x:v>Supplier payments</x:v>
      </x:c>
      <x:c r="I752" s="15" t="str">
        <x:v>Toppies Hardware 66</x:v>
      </x:c>
      <x:c r="J752" s="15" t="str">
        <x:v>eml_ALL_currentac__512781 (2).zip &gt; eml5currentac__512781.zip / FNB _-) R419.91 reserved for purchase @ Toppies Hardware 66 from Current a_c..512781 using card..2924. 28Feb 09_08.eml</x:v>
      </x:c>
    </x:row>
    <x:row r="753">
      <x:c r="A753" s="15" t="str">
        <x:v>Current a/c..512781 / card..2924</x:v>
      </x:c>
      <x:c r="B753" s="34" t="n">
        <x:v>46081.59583333333</x:v>
      </x:c>
      <x:c r="C753" s="15" t="str">
        <x:v>R300.00 withdrawn from Current a/c..512781 using card..2924 @ Atmh11960000001. Avail R20526. 28Feb 14:18</x:v>
      </x:c>
      <x:c r="D753" s="38" t="n">
        <x:v>0</x:v>
      </x:c>
      <x:c r="E753" s="38" t="n">
        <x:v>300</x:v>
      </x:c>
      <x:c r="F753" s="38" t="n">
        <x:v>0</x:v>
      </x:c>
      <x:c r="G753" s="38" t="n">
        <x:v>20526</x:v>
      </x:c>
      <x:c r="H753" s="15" t="str">
        <x:v>Cash withdrawal</x:v>
      </x:c>
      <x:c r="I753" s="15" t="str">
        <x:v>Atmh11960000001</x:v>
      </x:c>
      <x:c r="J753" s="15" t="str">
        <x:v>eml_ALL_currentac__512781 (2).zip &gt; eml5currentac__512781.zip / FNB _-) R300.00 withdrawn from Current a_c..512781 using card..2924 @ Atmh11960000001. 28Feb 14_18.eml</x:v>
      </x:c>
    </x:row>
    <x:row r="754">
      <x:c r="A754" s="15" t="str">
        <x:v>Current a/c..512781 / card..2924</x:v>
      </x:c>
      <x:c r="B754" s="34" t="n">
        <x:v>46082.330555555556</x:v>
      </x:c>
      <x:c r="C754" s="15" t="str">
        <x:v>R1280.00 reserved for purchase @ Frontier Fuels from Current a/c..512781 using card..2924. Avail R18988. 1Mar 07:56</x:v>
      </x:c>
      <x:c r="D754" s="38" t="n">
        <x:v>0</x:v>
      </x:c>
      <x:c r="E754" s="38" t="n">
        <x:v>1280</x:v>
      </x:c>
      <x:c r="F754" s="38" t="n">
        <x:v>0</x:v>
      </x:c>
      <x:c r="G754" s="38" t="n">
        <x:v>18988</x:v>
      </x:c>
      <x:c r="H754" s="15" t="str">
        <x:v>Fuel / transport</x:v>
      </x:c>
      <x:c r="I754" s="15" t="str">
        <x:v>Frontier Fuels</x:v>
      </x:c>
      <x:c r="J754" s="15" t="str">
        <x:v>eml_ALL_currentac__512781 (2).zip &gt; eml5currentac__512781.zip / FNB _-) R1280.00 reserved for purchase @ Frontier Fuels from Current a_c..512781 using card..2924.  1Mar 07_56.eml</x:v>
      </x:c>
    </x:row>
    <x:row r="755">
      <x:c r="A755" s="15" t="str">
        <x:v>Current a/c..512781 / card..2924</x:v>
      </x:c>
      <x:c r="B755" s="34" t="n">
        <x:v>46082.33819444444</x:v>
      </x:c>
      <x:c r="C755" s="15" t="str">
        <x:v>R222.40 reserved for purchase @ Buco Komatipoort from Current a/c..512781 using card..2924. Avail R18766. 1Mar 08:07</x:v>
      </x:c>
      <x:c r="D755" s="38" t="n">
        <x:v>0</x:v>
      </x:c>
      <x:c r="E755" s="38" t="n">
        <x:v>222.4</x:v>
      </x:c>
      <x:c r="F755" s="38" t="n">
        <x:v>0</x:v>
      </x:c>
      <x:c r="G755" s="38" t="n">
        <x:v>18766</x:v>
      </x:c>
      <x:c r="H755" s="15" t="str">
        <x:v>Supplier payments</x:v>
      </x:c>
      <x:c r="I755" s="15" t="str">
        <x:v>Buco Komatipoort</x:v>
      </x:c>
      <x:c r="J755" s="15" t="str">
        <x:v>eml_ALL_currentac__512781 (2).zip &gt; eml5currentac__512781.zip / FNB _-) R222.40 reserved for purchase @ Buco Komatipoort from Current a_c..512781 using card..2924.  1Mar 08_07.eml</x:v>
      </x:c>
    </x:row>
    <x:row r="756">
      <x:c r="A756" s="15" t="str">
        <x:v>Current a/c..512781 / card..2924</x:v>
      </x:c>
      <x:c r="B756" s="34" t="n">
        <x:v>46082.55069444444</x:v>
      </x:c>
      <x:c r="C756" s="15" t="str">
        <x:v>R649.95 reserved for purchase @ Savemor Marloth from Current a/c..512781 using card..2924. Avail R18116. 1Mar 13:13</x:v>
      </x:c>
      <x:c r="D756" s="38" t="n">
        <x:v>0</x:v>
      </x:c>
      <x:c r="E756" s="38" t="n">
        <x:v>649.95</x:v>
      </x:c>
      <x:c r="F756" s="38" t="n">
        <x:v>0</x:v>
      </x:c>
      <x:c r="G756" s="38" t="n">
        <x:v>18116</x:v>
      </x:c>
      <x:c r="H756" s="15" t="str">
        <x:v>Supplier payments</x:v>
      </x:c>
      <x:c r="I756" s="15" t="str">
        <x:v>Savemor Marloth</x:v>
      </x:c>
      <x:c r="J756" s="15" t="str">
        <x:v>eml_ALL_currentac__512781 (2).zip &gt; eml5currentac__512781.zip / FNB _-) R649.95 reserved for purchase @ Savemor Marloth from Current a_c..512781 using card..2924.  1Mar 13_13.eml</x:v>
      </x:c>
    </x:row>
    <x:row r="757">
      <x:c r="A757" s="15" t="str">
        <x:v>Current a/c..512781 / card..2924</x:v>
      </x:c>
      <x:c r="B757" s="34" t="n">
        <x:v>46083.4</x:v>
      </x:c>
      <x:c r="C757" s="15" t="str">
        <x:v>R328.72 reserved for purchase @ Superspar Komatipoor from Current a/c..512781 using card..2924. Avail R17787. 2Mar 09:36</x:v>
      </x:c>
      <x:c r="D757" s="38" t="n">
        <x:v>0</x:v>
      </x:c>
      <x:c r="E757" s="38" t="n">
        <x:v>328.72</x:v>
      </x:c>
      <x:c r="F757" s="38" t="n">
        <x:v>0</x:v>
      </x:c>
      <x:c r="G757" s="38" t="n">
        <x:v>17787</x:v>
      </x:c>
      <x:c r="H757" s="15" t="str">
        <x:v>Supplier payments</x:v>
      </x:c>
      <x:c r="I757" s="15" t="str">
        <x:v>Superspar Komatipoor</x:v>
      </x:c>
      <x:c r="J757" s="15" t="str">
        <x:v>eml_ALL_currentac__512781 (2).zip &gt; eml5currentac__512781.zip / FNB _-) R328.72 reserved for purchase @ Superspar Komatipoor from Current a_c..512781 using card..2924.  2Mar 09_36.eml</x:v>
      </x:c>
    </x:row>
    <x:row r="758">
      <x:c r="A758" s="15" t="str">
        <x:v>Current a/c..512781 / card..2924</x:v>
      </x:c>
      <x:c r="B758" s="34" t="n">
        <x:v>46083.40347222222</x:v>
      </x:c>
      <x:c r="C758" s="15" t="str">
        <x:v>R429.97 reserved for purchase @ Buco Komatipoort 116 from Current a/c..512781 using card..2924. Avail R17357. 2Mar 09:41</x:v>
      </x:c>
      <x:c r="D758" s="38" t="n">
        <x:v>0</x:v>
      </x:c>
      <x:c r="E758" s="38" t="n">
        <x:v>429.97</x:v>
      </x:c>
      <x:c r="F758" s="38" t="n">
        <x:v>0</x:v>
      </x:c>
      <x:c r="G758" s="38" t="n">
        <x:v>17357</x:v>
      </x:c>
      <x:c r="H758" s="15" t="str">
        <x:v>Supplier payments</x:v>
      </x:c>
      <x:c r="I758" s="15" t="str">
        <x:v>Buco Komatipoort 116</x:v>
      </x:c>
      <x:c r="J758" s="15" t="str">
        <x:v>eml_ALL_currentac__512781 (2).zip &gt; eml5currentac__512781.zip / FNB _-) R429.97 reserved for purchase @ Buco Komatipoort 116 from Current a_c..512781 using card..2924.  2Mar 09_41.eml</x:v>
      </x:c>
    </x:row>
    <x:row r="759">
      <x:c r="A759" s="15" t="str">
        <x:v>Current a/c..512781 / card..2924</x:v>
      </x:c>
      <x:c r="B759" s="34" t="n">
        <x:v>46083.419444444444</x:v>
      </x:c>
      <x:c r="C759" s="15" t="str">
        <x:v>R254.40 reserved for purchase @ Oasis Water Komatipo from Current a/c..512781 using card..2924. Avail R17103. 2Mar 10:04</x:v>
      </x:c>
      <x:c r="D759" s="38" t="n">
        <x:v>0</x:v>
      </x:c>
      <x:c r="E759" s="38" t="n">
        <x:v>254.4</x:v>
      </x:c>
      <x:c r="F759" s="38" t="n">
        <x:v>0</x:v>
      </x:c>
      <x:c r="G759" s="38" t="n">
        <x:v>17103</x:v>
      </x:c>
      <x:c r="H759" s="15" t="str">
        <x:v>Supplier payments</x:v>
      </x:c>
      <x:c r="I759" s="15" t="str">
        <x:v>Oasis Water Komatipo</x:v>
      </x:c>
      <x:c r="J759" s="15" t="str">
        <x:v>eml_ALL_currentac__512781 (2).zip &gt; eml5currentac__512781.zip / FNB _-) R254.40 reserved for purchase @ Oasis Water Komatipo from Current a_c..512781 using card..2924.  2Mar 10_04.eml</x:v>
      </x:c>
    </x:row>
    <x:row r="760">
      <x:c r="A760" s="15" t="str">
        <x:v>Current a/c..512781 / card..2924</x:v>
      </x:c>
      <x:c r="B760" s="34" t="n">
        <x:v>46083.63125</x:v>
      </x:c>
      <x:c r="C760" s="15" t="str">
        <x:v>R197.95 reserved for purchase @ Savemor Marloth from Current a/c..512781 using card..2924. Avail R13831. 2Mar 15:09</x:v>
      </x:c>
      <x:c r="D760" s="38" t="n">
        <x:v>0</x:v>
      </x:c>
      <x:c r="E760" s="38" t="n">
        <x:v>197.95</x:v>
      </x:c>
      <x:c r="F760" s="38" t="n">
        <x:v>0</x:v>
      </x:c>
      <x:c r="G760" s="38" t="n">
        <x:v>13831</x:v>
      </x:c>
      <x:c r="H760" s="15" t="str">
        <x:v>Supplier payments</x:v>
      </x:c>
      <x:c r="I760" s="15" t="str">
        <x:v>Savemor Marloth</x:v>
      </x:c>
      <x:c r="J760" s="15" t="str">
        <x:v>eml_ALL_currentac__512781 (2).zip &gt; eml5currentac__512781.zip / FNB _-) R197.95 reserved for purchase @ Savemor Marloth from Current a_c..512781 using card..2924.  2Mar 15_09.eml</x:v>
      </x:c>
    </x:row>
    <x:row r="761">
      <x:c r="A761" s="15" t="str">
        <x:v>Current a/c..512781 / card..2924</x:v>
      </x:c>
      <x:c r="B761" s="34" t="n">
        <x:v>46083.63958333333</x:v>
      </x:c>
      <x:c r="C761" s="15" t="str">
        <x:v>R253.95 reserved for purchase @ Savemor Marloth Liqu from Current a/c..512781 using card..2924. Avail R13551. 2Mar 15:21</x:v>
      </x:c>
      <x:c r="D761" s="38" t="n">
        <x:v>0</x:v>
      </x:c>
      <x:c r="E761" s="38" t="n">
        <x:v>253.95</x:v>
      </x:c>
      <x:c r="F761" s="38" t="n">
        <x:v>0</x:v>
      </x:c>
      <x:c r="G761" s="38" t="n">
        <x:v>13551</x:v>
      </x:c>
      <x:c r="H761" s="15" t="str">
        <x:v>Meals / restaurants / entertainment</x:v>
      </x:c>
      <x:c r="I761" s="15" t="str">
        <x:v>Savemor Marloth Liqu</x:v>
      </x:c>
      <x:c r="J761" s="15" t="str">
        <x:v>eml_ALL_currentac__512781 (2).zip &gt; eml5currentac__512781.zip / FNB _-) R253.95 reserved for purchase @ Savemor Marloth Liqu from Current a_c..512781 using card..2924.  2Mar 15_21.eml</x:v>
      </x:c>
    </x:row>
    <x:row r="762">
      <x:c r="A762" s="15" t="str">
        <x:v>Current a/c..512781 / card..2924</x:v>
      </x:c>
      <x:c r="B762" s="34" t="n">
        <x:v>46084.677777777775</x:v>
      </x:c>
      <x:c r="C762" s="15" t="str">
        <x:v>R574.40 reserved for purchase @ Ingwe Supermarket146 from Current a/c..512781 using card..2924. Avail R12869. 3Mar 16:16</x:v>
      </x:c>
      <x:c r="D762" s="38" t="n">
        <x:v>0</x:v>
      </x:c>
      <x:c r="E762" s="38" t="n">
        <x:v>574.4</x:v>
      </x:c>
      <x:c r="F762" s="38" t="n">
        <x:v>0</x:v>
      </x:c>
      <x:c r="G762" s="38" t="n">
        <x:v>12869</x:v>
      </x:c>
      <x:c r="H762" s="15" t="str">
        <x:v>Card spend</x:v>
      </x:c>
      <x:c r="I762" s="15" t="str">
        <x:v>Ingwe Supermarket146</x:v>
      </x:c>
      <x:c r="J762" s="15" t="str">
        <x:v>eml_ALL_currentac__512781 (2).zip &gt; eml5currentac__512781.zip / FNB _-) R574.40 reserved for purchase @ Ingwe Supermarket146 from Current a_c..512781 using card..2924.  3Mar 16_16.eml</x:v>
      </x:c>
    </x:row>
    <x:row r="763">
      <x:c r="A763" s="15" t="str">
        <x:v>Current a/c..512781 / card..2924</x:v>
      </x:c>
      <x:c r="B763" s="34" t="n">
        <x:v>46085.55694444444</x:v>
      </x:c>
      <x:c r="C763" s="15" t="str">
        <x:v>R382.97 reserved for purchase @ Komati Pharmacy from Current a/c..512781 using card..2924. Avail R12459. 4Mar 13:22</x:v>
      </x:c>
      <x:c r="D763" s="38" t="n">
        <x:v>0</x:v>
      </x:c>
      <x:c r="E763" s="38" t="n">
        <x:v>382.97</x:v>
      </x:c>
      <x:c r="F763" s="38" t="n">
        <x:v>0</x:v>
      </x:c>
      <x:c r="G763" s="38" t="n">
        <x:v>12459</x:v>
      </x:c>
      <x:c r="H763" s="15" t="str">
        <x:v>Supplier payments</x:v>
      </x:c>
      <x:c r="I763" s="15" t="str">
        <x:v>Komati Pharmacy</x:v>
      </x:c>
      <x:c r="J763" s="15" t="str">
        <x:v>eml_ALL_currentac__512781 (2).zip &gt; eml5currentac__512781.zip / FNB _-) R382.97 reserved for purchase @ Komati Pharmacy from Current a_c..512781 using card..2924.  4Mar 13_22.eml</x:v>
      </x:c>
    </x:row>
    <x:row r="764">
      <x:c r="A764" s="15" t="str">
        <x:v>Current a/c..512781 / card..2924</x:v>
      </x:c>
      <x:c r="B764" s="34" t="n">
        <x:v>46085.55763888889</x:v>
      </x:c>
      <x:c r="C764" s="15" t="str">
        <x:v>R108.09 reserved for purchase @ Komati Pharmacy from Current a/c..512781 using card..2924. Avail R12351. 4Mar 13:23</x:v>
      </x:c>
      <x:c r="D764" s="38" t="n">
        <x:v>0</x:v>
      </x:c>
      <x:c r="E764" s="38" t="n">
        <x:v>108.09</x:v>
      </x:c>
      <x:c r="F764" s="38" t="n">
        <x:v>0</x:v>
      </x:c>
      <x:c r="G764" s="38" t="n">
        <x:v>12351</x:v>
      </x:c>
      <x:c r="H764" s="15" t="str">
        <x:v>Supplier payments</x:v>
      </x:c>
      <x:c r="I764" s="15" t="str">
        <x:v>Komati Pharmacy</x:v>
      </x:c>
      <x:c r="J764" s="15" t="str">
        <x:v>eml_ALL_currentac__512781 (2).zip &gt; eml5currentac__512781.zip / FNB _-) R108.09 reserved for purchase @ Komati Pharmacy from Current a_c..512781 using card..2924.  4Mar 13_23.eml</x:v>
      </x:c>
    </x:row>
    <x:row r="765">
      <x:c r="A765" s="15" t="str">
        <x:v>Current a/c..512781 / card..2924</x:v>
      </x:c>
      <x:c r="B765" s="34" t="n">
        <x:v>46085.606944444444</x:v>
      </x:c>
      <x:c r="C765" s="15" t="str">
        <x:v>R1423.76 reserved for purchase @ Superspar Komatipoor from Current a/c..512781 using card..2924. Avail R10927. 4Mar 14:34</x:v>
      </x:c>
      <x:c r="D765" s="38" t="n">
        <x:v>0</x:v>
      </x:c>
      <x:c r="E765" s="38" t="n">
        <x:v>1423.76</x:v>
      </x:c>
      <x:c r="F765" s="38" t="n">
        <x:v>0</x:v>
      </x:c>
      <x:c r="G765" s="38" t="n">
        <x:v>10927</x:v>
      </x:c>
      <x:c r="H765" s="15" t="str">
        <x:v>Supplier payments</x:v>
      </x:c>
      <x:c r="I765" s="15" t="str">
        <x:v>Superspar Komatipoor</x:v>
      </x:c>
      <x:c r="J765" s="15" t="str">
        <x:v>eml_ALL_currentac__512781 (2).zip &gt; eml5currentac__512781.zip / FNB _-) R1423.76 reserved for purchase @ Superspar Komatipoor from Current a_c..512781 using card..2924.  4Mar 14_34.eml</x:v>
      </x:c>
    </x:row>
    <x:row r="766">
      <x:c r="A766" s="15" t="str">
        <x:v>Current a/c..512781 / card..2924</x:v>
      </x:c>
      <x:c r="B766" s="34" t="n">
        <x:v>46085.61736111111</x:v>
      </x:c>
      <x:c r="C766" s="15" t="str">
        <x:v>R200.00 reserved for purchase @ Ae Komatipoort from Current a/c..512781 using card..2924. Avail R10727. 4Mar 14:49</x:v>
      </x:c>
      <x:c r="D766" s="38" t="n">
        <x:v>0</x:v>
      </x:c>
      <x:c r="E766" s="38" t="n">
        <x:v>200</x:v>
      </x:c>
      <x:c r="F766" s="38" t="n">
        <x:v>0</x:v>
      </x:c>
      <x:c r="G766" s="38" t="n">
        <x:v>10727</x:v>
      </x:c>
      <x:c r="H766" s="15" t="str">
        <x:v>Card spend</x:v>
      </x:c>
      <x:c r="I766" s="15" t="str">
        <x:v>Ae Komatipoort</x:v>
      </x:c>
      <x:c r="J766" s="15" t="str">
        <x:v>eml_ALL_currentac__512781 (2).zip &gt; eml5currentac__512781.zip / FNB _-) R200.00 reserved for purchase @ Ae Komatipoort from Current a_c..512781 using card..2924.  4Mar 14_49.eml</x:v>
      </x:c>
    </x:row>
    <x:row r="767">
      <x:c r="A767" s="15" t="str">
        <x:v>Current a/c..512781 / card..2924</x:v>
      </x:c>
      <x:c r="B767" s="34" t="n">
        <x:v>46087.48819444444</x:v>
      </x:c>
      <x:c r="C767" s="15" t="str">
        <x:v>R166.50 reserved for purchase @ Hpy*twin City Fabric from Current a/c..512781 using card..2924. Avail R20794. 6Mar 11:43</x:v>
      </x:c>
      <x:c r="D767" s="38" t="n">
        <x:v>0</x:v>
      </x:c>
      <x:c r="E767" s="38" t="n">
        <x:v>166.5</x:v>
      </x:c>
      <x:c r="F767" s="38" t="n">
        <x:v>0</x:v>
      </x:c>
      <x:c r="G767" s="38" t="n">
        <x:v>20794</x:v>
      </x:c>
      <x:c r="H767" s="15" t="str">
        <x:v>Card spend</x:v>
      </x:c>
      <x:c r="I767" s="15" t="str">
        <x:v>Hpy*twin City Fabric</x:v>
      </x:c>
      <x:c r="J767" s="15" t="str">
        <x:v>eml_ALL_currentac__512781 (2).zip &gt; eml5currentac__512781.zip / FNB _-) R166.50 reserved for purchase @ Hpy_twin City Fabric from Current a_c..512781 using card..2924.  6Mar 11_43.eml</x:v>
      </x:c>
    </x:row>
    <x:row r="768">
      <x:c r="A768" s="15" t="str">
        <x:v>Current a/c..512781 / card..2924</x:v>
      </x:c>
      <x:c r="B768" s="34" t="n">
        <x:v>46087.51736111111</x:v>
      </x:c>
      <x:c r="C768" s="15" t="str">
        <x:v>R542.89 reserved for purchase @ Woolworths from Current a/c..512781 using card..2924. Avail R20251. 6Mar 12:25</x:v>
      </x:c>
      <x:c r="D768" s="38" t="n">
        <x:v>0</x:v>
      </x:c>
      <x:c r="E768" s="38" t="n">
        <x:v>542.89</x:v>
      </x:c>
      <x:c r="F768" s="38" t="n">
        <x:v>0</x:v>
      </x:c>
      <x:c r="G768" s="38" t="n">
        <x:v>20251</x:v>
      </x:c>
      <x:c r="H768" s="15" t="str">
        <x:v>Supplier payments</x:v>
      </x:c>
      <x:c r="I768" s="15" t="str">
        <x:v>Woolworths</x:v>
      </x:c>
      <x:c r="J768" s="15" t="str">
        <x:v>eml_ALL_currentac__512781 (2).zip &gt; eml5currentac__512781.zip / FNB _-) R542.89 reserved for purchase @ Woolworths from Current a_c..512781 using card..2924.  6Mar 12_25.eml</x:v>
      </x:c>
    </x:row>
    <x:row r="769">
      <x:c r="A769" s="15" t="str">
        <x:v>Current a/c..512781 / card..2924</x:v>
      </x:c>
      <x:c r="B769" s="34" t="n">
        <x:v>46087.54791666667</x:v>
      </x:c>
      <x:c r="C769" s="15" t="str">
        <x:v>R580.11 reserved for purchase @ Superspar Malelane from Current a/c..512781 using card..2924. Avail R19671. 6Mar 13:09</x:v>
      </x:c>
      <x:c r="D769" s="38" t="n">
        <x:v>0</x:v>
      </x:c>
      <x:c r="E769" s="38" t="n">
        <x:v>580.11</x:v>
      </x:c>
      <x:c r="F769" s="38" t="n">
        <x:v>0</x:v>
      </x:c>
      <x:c r="G769" s="38" t="n">
        <x:v>19671</x:v>
      </x:c>
      <x:c r="H769" s="15" t="str">
        <x:v>Supplier payments</x:v>
      </x:c>
      <x:c r="I769" s="15" t="str">
        <x:v>Superspar Malelane</x:v>
      </x:c>
      <x:c r="J769" s="15" t="str">
        <x:v>eml_ALL_currentac__512781 (2).zip &gt; eml5currentac__512781.zip / FNB _-) R580.11 reserved for purchase @ Superspar Malelane from Current a_c..512781 using card..2924.  6Mar 13_09.eml</x:v>
      </x:c>
    </x:row>
    <x:row r="770">
      <x:c r="A770" s="15" t="str">
        <x:v>Current a/c..512781 / card..2924</x:v>
      </x:c>
      <x:c r="B770" s="34" t="n">
        <x:v>46088.56805555556</x:v>
      </x:c>
      <x:c r="C770" s="15" t="str">
        <x:v>R214.99 reserved for purchase @ Ingwe Supermarket146 from Current a/c..512781 using card..2924. Avail R34242. 7Mar 13:38</x:v>
      </x:c>
      <x:c r="D770" s="38" t="n">
        <x:v>0</x:v>
      </x:c>
      <x:c r="E770" s="38" t="n">
        <x:v>214.99</x:v>
      </x:c>
      <x:c r="F770" s="38" t="n">
        <x:v>0</x:v>
      </x:c>
      <x:c r="G770" s="38" t="n">
        <x:v>34242</x:v>
      </x:c>
      <x:c r="H770" s="15" t="str">
        <x:v>Card spend</x:v>
      </x:c>
      <x:c r="I770" s="15" t="str">
        <x:v>Ingwe Supermarket146</x:v>
      </x:c>
      <x:c r="J770" s="15" t="str">
        <x:v>eml_ALL_currentac__512781 (2).zip &gt; eml5currentac__512781.zip / FNB _-) R214.99 reserved for purchase @ Ingwe Supermarket146 from Current a_c..512781 using card..2924.  7Mar 13_38.eml</x:v>
      </x:c>
    </x:row>
    <x:row r="771">
      <x:c r="A771" s="15" t="str">
        <x:v>Current a/c..512781 / card..2924</x:v>
      </x:c>
      <x:c r="B771" s="34" t="n">
        <x:v>46089.552777777775</x:v>
      </x:c>
      <x:c r="C771" s="15" t="str">
        <x:v>R541.52 reserved for purchase @ Savemor Marloth from Current a/c..512781 using card..2924. Avail R33700. 8Mar 13:16</x:v>
      </x:c>
      <x:c r="D771" s="38" t="n">
        <x:v>0</x:v>
      </x:c>
      <x:c r="E771" s="38" t="n">
        <x:v>541.52</x:v>
      </x:c>
      <x:c r="F771" s="38" t="n">
        <x:v>0</x:v>
      </x:c>
      <x:c r="G771" s="38" t="n">
        <x:v>33700</x:v>
      </x:c>
      <x:c r="H771" s="15" t="str">
        <x:v>Supplier payments</x:v>
      </x:c>
      <x:c r="I771" s="15" t="str">
        <x:v>Savemor Marloth</x:v>
      </x:c>
      <x:c r="J771" s="15" t="str">
        <x:v>eml_ALL_currentac__512781 (2).zip &gt; eml5currentac__512781.zip / FNB _-) R541.52 reserved for purchase @ Savemor Marloth from Current a_c..512781 using card..2924.  8Mar 13_16.eml</x:v>
      </x:c>
    </x:row>
    <x:row r="772">
      <x:c r="A772" s="15" t="str">
        <x:v>Current a/c..512781 / card..2924</x:v>
      </x:c>
      <x:c r="B772" s="34" t="n">
        <x:v>46089.555555555555</x:v>
      </x:c>
      <x:c r="C772" s="15" t="str">
        <x:v>R200.00 reserved for purchase @ Marlothi Petrol Stat from Current a/c..512781 using card..2924. Avail R33500. 8Mar 13:20</x:v>
      </x:c>
      <x:c r="D772" s="38" t="n">
        <x:v>0</x:v>
      </x:c>
      <x:c r="E772" s="38" t="n">
        <x:v>200</x:v>
      </x:c>
      <x:c r="F772" s="38" t="n">
        <x:v>0</x:v>
      </x:c>
      <x:c r="G772" s="38" t="n">
        <x:v>33500</x:v>
      </x:c>
      <x:c r="H772" s="15" t="str">
        <x:v>Fuel / transport</x:v>
      </x:c>
      <x:c r="I772" s="15" t="str">
        <x:v>Marlothi Petrol Stat</x:v>
      </x:c>
      <x:c r="J772" s="15" t="str">
        <x:v>eml_ALL_currentac__512781 (2).zip &gt; eml5currentac__512781.zip / FNB _-) R200.00 reserved for purchase @ Marlothi Petrol Stat from Current a_c..512781 using card..2924.  8Mar 13_20.eml</x:v>
      </x:c>
    </x:row>
    <x:row r="773">
      <x:c r="A773" s="15" t="str">
        <x:v>Current a/c..512781 / card..2924</x:v>
      </x:c>
      <x:c r="B773" s="34" t="n">
        <x:v>46090.54375</x:v>
      </x:c>
      <x:c r="C773" s="15" t="str">
        <x:v>R342.92 reserved for purchase @ Savemor Marloth from Current a/c..512781 using card..2924. Avail R33627. 9Mar 13:03</x:v>
      </x:c>
      <x:c r="D773" s="38" t="n">
        <x:v>0</x:v>
      </x:c>
      <x:c r="E773" s="38" t="n">
        <x:v>342.92</x:v>
      </x:c>
      <x:c r="F773" s="38" t="n">
        <x:v>0</x:v>
      </x:c>
      <x:c r="G773" s="38" t="n">
        <x:v>33627</x:v>
      </x:c>
      <x:c r="H773" s="15" t="str">
        <x:v>Supplier payments</x:v>
      </x:c>
      <x:c r="I773" s="15" t="str">
        <x:v>Savemor Marloth</x:v>
      </x:c>
      <x:c r="J773" s="15" t="str">
        <x:v>eml_ALL_currentac__512781 (2).zip &gt; eml5currentac__512781.zip / FNB _-) R342.92 reserved for purchase @ Savemor Marloth from Current a_c..512781 using card..2924.  9Mar 13_03.eml</x:v>
      </x:c>
    </x:row>
    <x:row r="774">
      <x:c r="A774" s="15" t="str">
        <x:v>Current a/c..512781 / card..2924</x:v>
      </x:c>
      <x:c r="B774" s="34" t="n">
        <x:v>46090.62708333333</x:v>
      </x:c>
      <x:c r="C774" s="15" t="str">
        <x:v>R128.01 reserved for purchase @ Ingwe Supermarket from Current a/c..512781 using card..2924. Avail R33499. 9Mar 15:03</x:v>
      </x:c>
      <x:c r="D774" s="38" t="n">
        <x:v>0</x:v>
      </x:c>
      <x:c r="E774" s="38" t="n">
        <x:v>128.01</x:v>
      </x:c>
      <x:c r="F774" s="38" t="n">
        <x:v>0</x:v>
      </x:c>
      <x:c r="G774" s="38" t="n">
        <x:v>33499</x:v>
      </x:c>
      <x:c r="H774" s="15" t="str">
        <x:v>Card spend</x:v>
      </x:c>
      <x:c r="I774" s="15" t="str">
        <x:v>Ingwe Supermarket</x:v>
      </x:c>
      <x:c r="J774" s="15" t="str">
        <x:v>eml_ALL_currentac__512781 (2).zip &gt; eml5currentac__512781.zip / FNB _-) R128.01 reserved for purchase @ Ingwe Supermarket from Current a_c..512781 using card..2924.  9Mar 15_03.eml</x:v>
      </x:c>
    </x:row>
    <x:row r="775">
      <x:c r="A775" s="15" t="str">
        <x:v>Current a/c..512781 / card..2924</x:v>
      </x:c>
      <x:c r="B775" s="34" t="n">
        <x:v>46090.63333333333</x:v>
      </x:c>
      <x:c r="C775" s="15" t="str">
        <x:v>R265.98 reserved for purchase @ Toppies Hardware 66 from Current a/c..512781 using card..2924. Avail R33233. 9Mar 15:12</x:v>
      </x:c>
      <x:c r="D775" s="38" t="n">
        <x:v>0</x:v>
      </x:c>
      <x:c r="E775" s="38" t="n">
        <x:v>265.98</x:v>
      </x:c>
      <x:c r="F775" s="38" t="n">
        <x:v>0</x:v>
      </x:c>
      <x:c r="G775" s="38" t="n">
        <x:v>33233</x:v>
      </x:c>
      <x:c r="H775" s="15" t="str">
        <x:v>Supplier payments</x:v>
      </x:c>
      <x:c r="I775" s="15" t="str">
        <x:v>Toppies Hardware 66</x:v>
      </x:c>
      <x:c r="J775" s="15" t="str">
        <x:v>eml_ALL_currentac__512781 (2).zip &gt; eml5currentac__512781.zip / FNB _-) R265.98 reserved for purchase @ Toppies Hardware 66 from Current a_c..512781 using card..2924.  9Mar 15_12.eml</x:v>
      </x:c>
    </x:row>
    <x:row r="776">
      <x:c r="A776" s="15" t="str">
        <x:v>Current a/c..512781 / card..2924</x:v>
      </x:c>
      <x:c r="B776" s="34" t="n">
        <x:v>46091.50555555556</x:v>
      </x:c>
      <x:c r="C776" s="15" t="str">
        <x:v>R1287.85 reserved for purchase @ Buco Komatipoort 116 from Current a/c..512781 using card..2924. Avail R31921. 10Mar 12:08</x:v>
      </x:c>
      <x:c r="D776" s="38" t="n">
        <x:v>0</x:v>
      </x:c>
      <x:c r="E776" s="38" t="n">
        <x:v>1287.85</x:v>
      </x:c>
      <x:c r="F776" s="38" t="n">
        <x:v>0</x:v>
      </x:c>
      <x:c r="G776" s="38" t="n">
        <x:v>31921</x:v>
      </x:c>
      <x:c r="H776" s="15" t="str">
        <x:v>Supplier payments</x:v>
      </x:c>
      <x:c r="I776" s="15" t="str">
        <x:v>Buco Komatipoort 116</x:v>
      </x:c>
      <x:c r="J776" s="15" t="str">
        <x:v>eml_ALL_currentac__512781 (2).zip &gt; eml5currentac__512781.zip / FNB _-) R1287.85 reserved for purchase @ Buco Komatipoort 116 from Current a_c..512781 using card..2924. 10Mar 12_08.eml</x:v>
      </x:c>
    </x:row>
    <x:row r="777">
      <x:c r="A777" s="15" t="str">
        <x:v>Current a/c..512781 / card..2924</x:v>
      </x:c>
      <x:c r="B777" s="34" t="n">
        <x:v>46091.558333333334</x:v>
      </x:c>
      <x:c r="C777" s="15" t="str">
        <x:v>R625.53 reserved for purchase @ Superspar Komatipoor from Current a/c..512781 using card..2924. Avail R31296. 10Mar 13:24</x:v>
      </x:c>
      <x:c r="D777" s="38" t="n">
        <x:v>0</x:v>
      </x:c>
      <x:c r="E777" s="38" t="n">
        <x:v>625.53</x:v>
      </x:c>
      <x:c r="F777" s="38" t="n">
        <x:v>0</x:v>
      </x:c>
      <x:c r="G777" s="38" t="n">
        <x:v>31296</x:v>
      </x:c>
      <x:c r="H777" s="15" t="str">
        <x:v>Supplier payments</x:v>
      </x:c>
      <x:c r="I777" s="15" t="str">
        <x:v>Superspar Komatipoor</x:v>
      </x:c>
      <x:c r="J777" s="15" t="str">
        <x:v>eml_ALL_currentac__512781 (2).zip &gt; eml5currentac__512781.zip / FNB _-) R625.53 reserved for purchase @ Superspar Komatipoor from Current a_c..512781 using card..2924. 10Mar 13_24.eml</x:v>
      </x:c>
    </x:row>
    <x:row r="778">
      <x:c r="A778" s="15" t="str">
        <x:v>Current a/c..512781 / card..2924</x:v>
      </x:c>
      <x:c r="B778" s="34" t="n">
        <x:v>46091.62430555555</x:v>
      </x:c>
      <x:c r="C778" s="15" t="str">
        <x:v>R114.49 reserved for purchase @ Savemor Marloth from Current a/c..512781 using card..2924. Avail R31181. 10Mar 14:59</x:v>
      </x:c>
      <x:c r="D778" s="38" t="n">
        <x:v>0</x:v>
      </x:c>
      <x:c r="E778" s="38" t="n">
        <x:v>114.49</x:v>
      </x:c>
      <x:c r="F778" s="38" t="n">
        <x:v>0</x:v>
      </x:c>
      <x:c r="G778" s="38" t="n">
        <x:v>31181</x:v>
      </x:c>
      <x:c r="H778" s="15" t="str">
        <x:v>Supplier payments</x:v>
      </x:c>
      <x:c r="I778" s="15" t="str">
        <x:v>Savemor Marloth</x:v>
      </x:c>
      <x:c r="J778" s="15" t="str">
        <x:v>eml_ALL_currentac__512781 (2).zip &gt; eml5currentac__512781.zip / FNB _-) R114.49 reserved for purchase @ Savemor Marloth from Current a_c..512781 using card..2924. 10Mar 14_59.eml</x:v>
      </x:c>
    </x:row>
    <x:row r="779">
      <x:c r="A779" s="15" t="str">
        <x:v>Current a/c..512781 / card..2924</x:v>
      </x:c>
      <x:c r="B779" s="34" t="n">
        <x:v>46093.47361111111</x:v>
      </x:c>
      <x:c r="C779" s="15" t="str">
        <x:v>R1102.67 reserved for purchase @ Superspar Komatipoor from Current a/c..512781 using card..2924. Avail R53186. 12Mar 11:22</x:v>
      </x:c>
      <x:c r="D779" s="38" t="n">
        <x:v>0</x:v>
      </x:c>
      <x:c r="E779" s="38" t="n">
        <x:v>1102.67</x:v>
      </x:c>
      <x:c r="F779" s="38" t="n">
        <x:v>0</x:v>
      </x:c>
      <x:c r="G779" s="38" t="n">
        <x:v>53186</x:v>
      </x:c>
      <x:c r="H779" s="15" t="str">
        <x:v>Supplier payments</x:v>
      </x:c>
      <x:c r="I779" s="15" t="str">
        <x:v>Superspar Komatipoor</x:v>
      </x:c>
      <x:c r="J779" s="15" t="str">
        <x:v>eml_ALL_currentac__512781 (2).zip &gt; eml5currentac__512781.zip / FNB _-) R1102.67 reserved for purchase @ Superspar Komatipoor from Current a_c..512781 using card..2924. 12Mar 11_22.eml</x:v>
      </x:c>
    </x:row>
    <x:row r="780">
      <x:c r="A780" s="15" t="str">
        <x:v>Current a/c..512781 / card..2924</x:v>
      </x:c>
      <x:c r="B780" s="34" t="n">
        <x:v>46095.524305555555</x:v>
      </x:c>
      <x:c r="C780" s="15" t="str">
        <x:v>R636.02 reserved for purchase @ Sqsp* Websit from Current a/c..512781 using card..2924. Avail R45131. 14Mar 12:35</x:v>
      </x:c>
      <x:c r="D780" s="38" t="n">
        <x:v>0</x:v>
      </x:c>
      <x:c r="E780" s="38" t="n">
        <x:v>636.02</x:v>
      </x:c>
      <x:c r="F780" s="38" t="n">
        <x:v>0</x:v>
      </x:c>
      <x:c r="G780" s="38" t="n">
        <x:v>45131</x:v>
      </x:c>
      <x:c r="H780" s="15" t="str">
        <x:v>Software / subscriptions</x:v>
      </x:c>
      <x:c r="I780" s="15" t="str">
        <x:v>Sqsp* Websit</x:v>
      </x:c>
      <x:c r="J780" s="15" t="str">
        <x:v>eml_ALL_currentac__512781 (2).zip &gt; eml5currentac__512781.zip / FNB _-) R636.02 reserved for purchase @ Sqsp_ Websit from Current a_c..512781 using card..2924. 14Mar 12_35.eml</x:v>
      </x:c>
    </x:row>
    <x:row r="781">
      <x:c r="A781" s="15" t="str">
        <x:v>Current a/c..512781 / card..2924</x:v>
      </x:c>
      <x:c r="B781" s="34" t="n">
        <x:v>46095.58263888889</x:v>
      </x:c>
      <x:c r="C781" s="15" t="str">
        <x:v>R264.32 reserved for purchase @ Ingwe Supermarket from Current a/c..512781 using card..2924. Avail R44866. 14Mar 13:59</x:v>
      </x:c>
      <x:c r="D781" s="38" t="n">
        <x:v>0</x:v>
      </x:c>
      <x:c r="E781" s="38" t="n">
        <x:v>264.32</x:v>
      </x:c>
      <x:c r="F781" s="38" t="n">
        <x:v>0</x:v>
      </x:c>
      <x:c r="G781" s="38" t="n">
        <x:v>44866</x:v>
      </x:c>
      <x:c r="H781" s="15" t="str">
        <x:v>Card spend</x:v>
      </x:c>
      <x:c r="I781" s="15" t="str">
        <x:v>Ingwe Supermarket</x:v>
      </x:c>
      <x:c r="J781" s="15" t="str">
        <x:v>eml_ALL_currentac__512781 (2).zip &gt; eml5currentac__512781.zip / FNB _-) R264.32 reserved for purchase @ Ingwe Supermarket from Current a_c..512781 using card..2924. 14Mar 13_59.eml</x:v>
      </x:c>
    </x:row>
    <x:row r="782">
      <x:c r="A782" s="15" t="str">
        <x:v>Current a/c..512781 / card..2924</x:v>
      </x:c>
      <x:c r="B782" s="34" t="n">
        <x:v>46096.410416666666</x:v>
      </x:c>
      <x:c r="C782" s="15" t="str">
        <x:v>R200.00 reserved for purchase @ Marlothi Petrol Stat from Current a/c..512781 using card..2924. Avail R44666. 15Mar 09:51</x:v>
      </x:c>
      <x:c r="D782" s="38" t="n">
        <x:v>0</x:v>
      </x:c>
      <x:c r="E782" s="38" t="n">
        <x:v>200</x:v>
      </x:c>
      <x:c r="F782" s="38" t="n">
        <x:v>0</x:v>
      </x:c>
      <x:c r="G782" s="38" t="n">
        <x:v>44666</x:v>
      </x:c>
      <x:c r="H782" s="15" t="str">
        <x:v>Fuel / transport</x:v>
      </x:c>
      <x:c r="I782" s="15" t="str">
        <x:v>Marlothi Petrol Stat</x:v>
      </x:c>
      <x:c r="J782" s="15" t="str">
        <x:v>eml_ALL_currentac__512781 (2).zip &gt; eml5currentac__512781.zip / FNB _-) R200.00 reserved for purchase @ Marlothi Petrol Stat from Current a_c..512781 using card..2924. 15Mar 09_51.eml</x:v>
      </x:c>
    </x:row>
    <x:row r="783">
      <x:c r="A783" s="15" t="str">
        <x:v>Current a/c..512781 / card..2924</x:v>
      </x:c>
      <x:c r="B783" s="34" t="n">
        <x:v>46096.43472222222</x:v>
      </x:c>
      <x:c r="C783" s="15" t="str">
        <x:v>R153.99 reserved for purchase @ Buco Komatipoort 116 from Current a/c..512781 using card..2924. Avail R44512. 15Mar 10:26</x:v>
      </x:c>
      <x:c r="D783" s="38" t="n">
        <x:v>0</x:v>
      </x:c>
      <x:c r="E783" s="38" t="n">
        <x:v>153.99</x:v>
      </x:c>
      <x:c r="F783" s="38" t="n">
        <x:v>0</x:v>
      </x:c>
      <x:c r="G783" s="38" t="n">
        <x:v>44512</x:v>
      </x:c>
      <x:c r="H783" s="15" t="str">
        <x:v>Supplier payments</x:v>
      </x:c>
      <x:c r="I783" s="15" t="str">
        <x:v>Buco Komatipoort 116</x:v>
      </x:c>
      <x:c r="J783" s="15" t="str">
        <x:v>eml_ALL_currentac__512781 (2).zip &gt; eml5currentac__512781.zip / FNB _-) R153.99 reserved for purchase @ Buco Komatipoort 116 from Current a_c..512781 using card..2924. 15Mar 10_26.eml</x:v>
      </x:c>
    </x:row>
    <x:row r="784">
      <x:c r="A784" s="15" t="str">
        <x:v>Current a/c..512781 / card..2924</x:v>
      </x:c>
      <x:c r="B784" s="34" t="n">
        <x:v>46096.46388888889</x:v>
      </x:c>
      <x:c r="C784" s="15" t="str">
        <x:v>R877.76 reserved for purchase @ Superspar Komatipoor from Current a/c..512781 using card..2924. Avail R43485. 15Mar 11:08</x:v>
      </x:c>
      <x:c r="D784" s="38" t="n">
        <x:v>0</x:v>
      </x:c>
      <x:c r="E784" s="38" t="n">
        <x:v>877.76</x:v>
      </x:c>
      <x:c r="F784" s="38" t="n">
        <x:v>0</x:v>
      </x:c>
      <x:c r="G784" s="38" t="n">
        <x:v>43485</x:v>
      </x:c>
      <x:c r="H784" s="15" t="str">
        <x:v>Supplier payments</x:v>
      </x:c>
      <x:c r="I784" s="15" t="str">
        <x:v>Superspar Komatipoor</x:v>
      </x:c>
      <x:c r="J784" s="15" t="str">
        <x:v>eml_ALL_currentac__512781 (2).zip &gt; eml5currentac__512781.zip / FNB _-) R877.76 reserved for purchase @ Superspar Komatipoor from Current a_c..512781 using card..2924. 15Mar 11_08.eml</x:v>
      </x:c>
    </x:row>
    <x:row r="785">
      <x:c r="A785" s="15" t="str">
        <x:v>Current a/c..512781 / card..2924</x:v>
      </x:c>
      <x:c r="B785" s="34" t="n">
        <x:v>46098.43263888889</x:v>
      </x:c>
      <x:c r="C785" s="15" t="str">
        <x:v>R228.85 reserved for purchase @ Paystack *zoho Co from Current a/c..512781 using card..2924. Avail R37540. 17Mar 10:23</x:v>
      </x:c>
      <x:c r="D785" s="38" t="n">
        <x:v>0</x:v>
      </x:c>
      <x:c r="E785" s="38" t="n">
        <x:v>228.85</x:v>
      </x:c>
      <x:c r="F785" s="38" t="n">
        <x:v>0</x:v>
      </x:c>
      <x:c r="G785" s="38" t="n">
        <x:v>37540</x:v>
      </x:c>
      <x:c r="H785" s="15" t="str">
        <x:v>Software / subscriptions</x:v>
      </x:c>
      <x:c r="I785" s="15" t="str">
        <x:v>Paystack *zoho Co</x:v>
      </x:c>
      <x:c r="J785" s="15" t="str">
        <x:v>eml_ALL_currentac__512781 (2).zip &gt; eml5currentac__512781.zip / FNB _-) R228.85 reserved for purchase @ Paystack _zoho Co from Current a_c..512781 using card..2924. 17Mar 10_23.eml</x:v>
      </x:c>
    </x:row>
    <x:row r="786">
      <x:c r="A786" s="15" t="str">
        <x:v>Current a/c..512781 / card..2924</x:v>
      </x:c>
      <x:c r="B786" s="34" t="n">
        <x:v>46098.535416666666</x:v>
      </x:c>
      <x:c r="C786" s="15" t="str">
        <x:v>R318.29 reserved for purchase @ Savemor Marloth from Current a/c..512781 using card..2924. Avail R37222. 17Mar 12:51</x:v>
      </x:c>
      <x:c r="D786" s="38" t="n">
        <x:v>0</x:v>
      </x:c>
      <x:c r="E786" s="38" t="n">
        <x:v>318.29</x:v>
      </x:c>
      <x:c r="F786" s="38" t="n">
        <x:v>0</x:v>
      </x:c>
      <x:c r="G786" s="38" t="n">
        <x:v>37222</x:v>
      </x:c>
      <x:c r="H786" s="15" t="str">
        <x:v>Supplier payments</x:v>
      </x:c>
      <x:c r="I786" s="15" t="str">
        <x:v>Savemor Marloth</x:v>
      </x:c>
      <x:c r="J786" s="15" t="str">
        <x:v>eml_ALL_currentac__512781 (2).zip &gt; eml5currentac__512781.zip / FNB _-) R318.29 reserved for purchase @ Savemor Marloth from Current a_c..512781 using card..2924. 17Mar 12_51.eml</x:v>
      </x:c>
    </x:row>
    <x:row r="787">
      <x:c r="A787" s="15" t="str">
        <x:v>Current a/c..512781 / card..2924</x:v>
      </x:c>
      <x:c r="B787" s="34" t="n">
        <x:v>46098.53958333333</x:v>
      </x:c>
      <x:c r="C787" s="15" t="str">
        <x:v>R219.97 reserved for purchase @ Savemor Marloth Liqu from Current a/c..512781 using card..2924. Avail R37002. 17Mar 12:57</x:v>
      </x:c>
      <x:c r="D787" s="38" t="n">
        <x:v>0</x:v>
      </x:c>
      <x:c r="E787" s="38" t="n">
        <x:v>219.97</x:v>
      </x:c>
      <x:c r="F787" s="38" t="n">
        <x:v>0</x:v>
      </x:c>
      <x:c r="G787" s="38" t="n">
        <x:v>37002</x:v>
      </x:c>
      <x:c r="H787" s="15" t="str">
        <x:v>Meals / restaurants / entertainment</x:v>
      </x:c>
      <x:c r="I787" s="15" t="str">
        <x:v>Savemor Marloth Liqu</x:v>
      </x:c>
      <x:c r="J787" s="15" t="str">
        <x:v>eml_ALL_currentac__512781 (2).zip &gt; eml5currentac__512781.zip / FNB _-) R219.97 reserved for purchase @ Savemor Marloth Liqu from Current a_c..512781 using card..2924. 17Mar 12_57.eml</x:v>
      </x:c>
    </x:row>
    <x:row r="788">
      <x:c r="A788" s="15" t="str">
        <x:v>Current a/c..512781 / card..2924</x:v>
      </x:c>
      <x:c r="B788" s="34" t="n">
        <x:v>46098.55138888889</x:v>
      </x:c>
      <x:c r="C788" s="15" t="str">
        <x:v>R148.25 reserved for purchase @ At Wild Butchery 133 from Current a/c..512781 using card..2924. Avail R36854. 17Mar 13:14</x:v>
      </x:c>
      <x:c r="D788" s="38" t="n">
        <x:v>0</x:v>
      </x:c>
      <x:c r="E788" s="38" t="n">
        <x:v>148.25</x:v>
      </x:c>
      <x:c r="F788" s="38" t="n">
        <x:v>0</x:v>
      </x:c>
      <x:c r="G788" s="38" t="n">
        <x:v>36854</x:v>
      </x:c>
      <x:c r="H788" s="15" t="str">
        <x:v>Supplier payments</x:v>
      </x:c>
      <x:c r="I788" s="15" t="str">
        <x:v>At Wild Butchery 133</x:v>
      </x:c>
      <x:c r="J788" s="15" t="str">
        <x:v>eml_ALL_currentac__512781 (2).zip &gt; eml5currentac__512781.zip / FNB _-) R148.25 reserved for purchase @ At Wild Butchery 133 from Current a_c..512781 using card..2924. 17Mar 13_14.eml</x:v>
      </x:c>
    </x:row>
    <x:row r="789">
      <x:c r="A789" s="15" t="str">
        <x:v>Current a/c..512781 / card..2924</x:v>
      </x:c>
      <x:c r="B789" s="34" t="n">
        <x:v>46099.77847222222</x:v>
      </x:c>
      <x:c r="C789" s="15" t="str">
        <x:v>R204.00 reserved for purchase @ The Tin Shack from Current a/c..512781 using card..2924. Avail R34752. 18Mar 18:41</x:v>
      </x:c>
      <x:c r="D789" s="38" t="n">
        <x:v>0</x:v>
      </x:c>
      <x:c r="E789" s="38" t="n">
        <x:v>204</x:v>
      </x:c>
      <x:c r="F789" s="38" t="n">
        <x:v>0</x:v>
      </x:c>
      <x:c r="G789" s="38" t="n">
        <x:v>34752</x:v>
      </x:c>
      <x:c r="H789" s="15" t="str">
        <x:v>Meals / restaurants / entertainment</x:v>
      </x:c>
      <x:c r="I789" s="15" t="str">
        <x:v>The Tin Shack</x:v>
      </x:c>
      <x:c r="J789" s="15" t="str">
        <x:v>eml_ALL_currentac__512781 (2).zip &gt; eml4currentac__512781.zip / FNB _-) R204.00 reserved for purchase @ The Tin Shack from Current a_c..512781 using card..2924. 18Mar 18_41.eml</x:v>
      </x:c>
    </x:row>
    <x:row r="790">
      <x:c r="A790" s="15" t="str">
        <x:v>Current a/c..512781 / card..2924</x:v>
      </x:c>
      <x:c r="B790" s="34" t="n">
        <x:v>46100.45138888889</x:v>
      </x:c>
      <x:c r="C790" s="15" t="str">
        <x:v>R1069.68 reserved for purchase @ Superspar Komatipoor from Current a/c..512781 using card..2924. Avail R39186. 19Mar 10:50</x:v>
      </x:c>
      <x:c r="D790" s="38" t="n">
        <x:v>0</x:v>
      </x:c>
      <x:c r="E790" s="38" t="n">
        <x:v>1069.68</x:v>
      </x:c>
      <x:c r="F790" s="38" t="n">
        <x:v>0</x:v>
      </x:c>
      <x:c r="G790" s="38" t="n">
        <x:v>39186</x:v>
      </x:c>
      <x:c r="H790" s="15" t="str">
        <x:v>Supplier payments</x:v>
      </x:c>
      <x:c r="I790" s="15" t="str">
        <x:v>Superspar Komatipoor</x:v>
      </x:c>
      <x:c r="J790" s="15" t="str">
        <x:v>eml_ALL_currentac__512781 (2).zip &gt; eml4currentac__512781.zip / FNB _-) R1069.68 reserved for purchase @ Superspar Komatipoor from Current a_c..512781 using card..2924. 19Mar 10_50.eml</x:v>
      </x:c>
    </x:row>
    <x:row r="791">
      <x:c r="A791" s="15" t="str">
        <x:v>Current a/c..512781 / card..2924</x:v>
      </x:c>
      <x:c r="B791" s="34" t="n">
        <x:v>46101.62569444445</x:v>
      </x:c>
      <x:c r="C791" s="15" t="str">
        <x:v>R130.97 reserved for purchase @ Savemor Marloth from Current a/c..512781 using card..2924. Avail R38964. 20Mar 15:01</x:v>
      </x:c>
      <x:c r="D791" s="38" t="n">
        <x:v>0</x:v>
      </x:c>
      <x:c r="E791" s="38" t="n">
        <x:v>130.97</x:v>
      </x:c>
      <x:c r="F791" s="38" t="n">
        <x:v>0</x:v>
      </x:c>
      <x:c r="G791" s="38" t="n">
        <x:v>38964</x:v>
      </x:c>
      <x:c r="H791" s="15" t="str">
        <x:v>Supplier payments</x:v>
      </x:c>
      <x:c r="I791" s="15" t="str">
        <x:v>Savemor Marloth</x:v>
      </x:c>
      <x:c r="J791" s="15" t="str">
        <x:v>eml_ALL_currentac__512781 (2).zip &gt; eml4currentac__512781.zip / FNB _-) R130.97 reserved for purchase @ Savemor Marloth from Current a_c..512781 using card..2924. 20Mar 15_01.eml</x:v>
      </x:c>
    </x:row>
    <x:row r="792">
      <x:c r="A792" s="15" t="str">
        <x:v>Current a/c..512781 / card..2924</x:v>
      </x:c>
      <x:c r="B792" s="34" t="n">
        <x:v>46101.629166666666</x:v>
      </x:c>
      <x:c r="C792" s="15" t="str">
        <x:v>R200.00 reserved for purchase @ Marlothi Petrol Stat from Current a/c..512781 using card..2924. Avail R38764. 20Mar 15:06</x:v>
      </x:c>
      <x:c r="D792" s="38" t="n">
        <x:v>0</x:v>
      </x:c>
      <x:c r="E792" s="38" t="n">
        <x:v>200</x:v>
      </x:c>
      <x:c r="F792" s="38" t="n">
        <x:v>0</x:v>
      </x:c>
      <x:c r="G792" s="38" t="n">
        <x:v>38764</x:v>
      </x:c>
      <x:c r="H792" s="15" t="str">
        <x:v>Fuel / transport</x:v>
      </x:c>
      <x:c r="I792" s="15" t="str">
        <x:v>Marlothi Petrol Stat</x:v>
      </x:c>
      <x:c r="J792" s="15" t="str">
        <x:v>eml_ALL_currentac__512781 (2).zip &gt; eml4currentac__512781.zip / FNB _-) R200.00 reserved for purchase @ Marlothi Petrol Stat from Current a_c..512781 using card..2924. 20Mar 15_06.eml</x:v>
      </x:c>
    </x:row>
    <x:row r="793">
      <x:c r="A793" s="15" t="str">
        <x:v>Current a/c..512781 / card..2924</x:v>
      </x:c>
      <x:c r="B793" s="34" t="n">
        <x:v>46102.479166666664</x:v>
      </x:c>
      <x:c r="C793" s="15" t="str">
        <x:v>R365.96 reserved for purchase @ Superspar Komatipoor from Current a/c..512781 using card..2924. Avail R38343. 21Mar 11:30</x:v>
      </x:c>
      <x:c r="D793" s="38" t="n">
        <x:v>0</x:v>
      </x:c>
      <x:c r="E793" s="38" t="n">
        <x:v>365.96</x:v>
      </x:c>
      <x:c r="F793" s="38" t="n">
        <x:v>0</x:v>
      </x:c>
      <x:c r="G793" s="38" t="n">
        <x:v>38343</x:v>
      </x:c>
      <x:c r="H793" s="15" t="str">
        <x:v>Supplier payments</x:v>
      </x:c>
      <x:c r="I793" s="15" t="str">
        <x:v>Superspar Komatipoor</x:v>
      </x:c>
      <x:c r="J793" s="15" t="str">
        <x:v>eml_ALL_currentac__512781 (2).zip &gt; eml4currentac__512781.zip / FNB _-) R365.96 reserved for purchase @ Superspar Komatipoor from Current a_c..512781 using card..2924. 21Mar 11_30.eml</x:v>
      </x:c>
    </x:row>
    <x:row r="794">
      <x:c r="A794" s="15" t="str">
        <x:v>Current a/c..512781 / card..2924</x:v>
      </x:c>
      <x:c r="B794" s="34" t="n">
        <x:v>46104.68125</x:v>
      </x:c>
      <x:c r="C794" s="15" t="str">
        <x:v>R668.69 reserved for purchase @ Superspar Komatipoor from Current a/c..512781 using card..2924. Avail R39377. 23Mar 16:21</x:v>
      </x:c>
      <x:c r="D794" s="38" t="n">
        <x:v>0</x:v>
      </x:c>
      <x:c r="E794" s="38" t="n">
        <x:v>668.69</x:v>
      </x:c>
      <x:c r="F794" s="38" t="n">
        <x:v>0</x:v>
      </x:c>
      <x:c r="G794" s="38" t="n">
        <x:v>39377</x:v>
      </x:c>
      <x:c r="H794" s="15" t="str">
        <x:v>Supplier payments</x:v>
      </x:c>
      <x:c r="I794" s="15" t="str">
        <x:v>Superspar Komatipoor</x:v>
      </x:c>
      <x:c r="J794" s="15" t="str">
        <x:v>eml_ALL_currentac__512781 (2).zip &gt; eml4currentac__512781.zip / FNB _-) R668.69 reserved for purchase @ Superspar Komatipoor from Current a_c..512781 using card..2924. 23Mar 16_21.eml</x:v>
      </x:c>
    </x:row>
    <x:row r="795">
      <x:c r="A795" s="15" t="str">
        <x:v>Current a/c..512781 / card..2924</x:v>
      </x:c>
      <x:c r="B795" s="34" t="n">
        <x:v>46105.63611111111</x:v>
      </x:c>
      <x:c r="C795" s="15" t="str">
        <x:v>R153.97 reserved for purchase @ Savemor Marloth from Current a/c..512781 using card..2924. Avail R38206. 24Mar 15:16</x:v>
      </x:c>
      <x:c r="D795" s="38" t="n">
        <x:v>0</x:v>
      </x:c>
      <x:c r="E795" s="38" t="n">
        <x:v>153.97</x:v>
      </x:c>
      <x:c r="F795" s="38" t="n">
        <x:v>0</x:v>
      </x:c>
      <x:c r="G795" s="38" t="n">
        <x:v>38206</x:v>
      </x:c>
      <x:c r="H795" s="15" t="str">
        <x:v>Supplier payments</x:v>
      </x:c>
      <x:c r="I795" s="15" t="str">
        <x:v>Savemor Marloth</x:v>
      </x:c>
      <x:c r="J795" s="15" t="str">
        <x:v>eml_ALL_currentac__512781 (2).zip &gt; eml4currentac__512781.zip / FNB _-) R153.97 reserved for purchase @ Savemor Marloth from Current a_c..512781 using card..2924. 24Mar 15_16.eml</x:v>
      </x:c>
    </x:row>
    <x:row r="796">
      <x:c r="A796" s="15" t="str">
        <x:v>Current a/c..512781 / card..2924</x:v>
      </x:c>
      <x:c r="B796" s="34" t="n">
        <x:v>46106.48333333333</x:v>
      </x:c>
      <x:c r="C796" s="15" t="str">
        <x:v>R292.96 reserved for purchase @ Pep Home 5771 Komati from Current a/c..512781 using card..2924. Avail R36193. 25Mar 11:36</x:v>
      </x:c>
      <x:c r="D796" s="38" t="n">
        <x:v>0</x:v>
      </x:c>
      <x:c r="E796" s="38" t="n">
        <x:v>292.96</x:v>
      </x:c>
      <x:c r="F796" s="38" t="n">
        <x:v>0</x:v>
      </x:c>
      <x:c r="G796" s="38" t="n">
        <x:v>36193</x:v>
      </x:c>
      <x:c r="H796" s="15" t="str">
        <x:v>Supplier payments</x:v>
      </x:c>
      <x:c r="I796" s="15" t="str">
        <x:v>Pep Home 5771 Komati</x:v>
      </x:c>
      <x:c r="J796" s="15" t="str">
        <x:v>eml_ALL_currentac__512781 (2).zip &gt; eml4currentac__512781.zip / FNB _-) R292.96 reserved for purchase @ Pep Home 5771 Komati from Current a_c..512781 using card..2924. 25Mar 11_36.eml</x:v>
      </x:c>
    </x:row>
    <x:row r="797">
      <x:c r="A797" s="15" t="str">
        <x:v>Current a/c..512781 / card..2924</x:v>
      </x:c>
      <x:c r="B797" s="34" t="n">
        <x:v>46106.48819444444</x:v>
      </x:c>
      <x:c r="C797" s="15" t="str">
        <x:v>R119.97 reserved for purchase @ Pep Home 5771 Komati from Current a/c..512781 using card..2924. Avail R36073. 25Mar 11:43</x:v>
      </x:c>
      <x:c r="D797" s="38" t="n">
        <x:v>0</x:v>
      </x:c>
      <x:c r="E797" s="38" t="n">
        <x:v>119.97</x:v>
      </x:c>
      <x:c r="F797" s="38" t="n">
        <x:v>0</x:v>
      </x:c>
      <x:c r="G797" s="38" t="n">
        <x:v>36073</x:v>
      </x:c>
      <x:c r="H797" s="15" t="str">
        <x:v>Supplier payments</x:v>
      </x:c>
      <x:c r="I797" s="15" t="str">
        <x:v>Pep Home 5771 Komati</x:v>
      </x:c>
      <x:c r="J797" s="15" t="str">
        <x:v>eml_ALL_currentac__512781 (2).zip &gt; eml4currentac__512781.zip / FNB _-) R119.97 reserved for purchase @ Pep Home 5771 Komati from Current a_c..512781 using card..2924. 25Mar 11_43.eml</x:v>
      </x:c>
    </x:row>
    <x:row r="798">
      <x:c r="A798" s="15" t="str">
        <x:v>Current a/c..512781 / card..2924</x:v>
      </x:c>
      <x:c r="B798" s="34" t="n">
        <x:v>46106.53402777778</x:v>
      </x:c>
      <x:c r="C798" s="15" t="str">
        <x:v>R1730.48 reserved for purchase @ Superspar Komatipoor from Current a/c..512781 using card..2924. Avail R34343. 25Mar 12:49</x:v>
      </x:c>
      <x:c r="D798" s="38" t="n">
        <x:v>0</x:v>
      </x:c>
      <x:c r="E798" s="38" t="n">
        <x:v>1730.48</x:v>
      </x:c>
      <x:c r="F798" s="38" t="n">
        <x:v>0</x:v>
      </x:c>
      <x:c r="G798" s="38" t="n">
        <x:v>34343</x:v>
      </x:c>
      <x:c r="H798" s="15" t="str">
        <x:v>Supplier payments</x:v>
      </x:c>
      <x:c r="I798" s="15" t="str">
        <x:v>Superspar Komatipoor</x:v>
      </x:c>
      <x:c r="J798" s="15" t="str">
        <x:v>eml_ALL_currentac__512781 (2).zip &gt; eml4currentac__512781.zip / FNB _-) R1730.48 reserved for purchase @ Superspar Komatipoor from Current a_c..512781 using card..2924. 25Mar 12_49.eml</x:v>
      </x:c>
    </x:row>
    <x:row r="799">
      <x:c r="A799" s="15" t="str">
        <x:v>Current a/c..512781 / card..2924</x:v>
      </x:c>
      <x:c r="B799" s="34" t="n">
        <x:v>46106.566666666666</x:v>
      </x:c>
      <x:c r="C799" s="15" t="str">
        <x:v>R200.00 reserved for purchase @ Mascor Komatipoort F from Current a/c..512781 using card..2924. Avail R34143. 25Mar 13:36</x:v>
      </x:c>
      <x:c r="D799" s="38" t="n">
        <x:v>0</x:v>
      </x:c>
      <x:c r="E799" s="38" t="n">
        <x:v>200</x:v>
      </x:c>
      <x:c r="F799" s="38" t="n">
        <x:v>0</x:v>
      </x:c>
      <x:c r="G799" s="38" t="n">
        <x:v>34143</x:v>
      </x:c>
      <x:c r="H799" s="15" t="str">
        <x:v>Card spend</x:v>
      </x:c>
      <x:c r="I799" s="15" t="str">
        <x:v>Mascor Komatipoort F</x:v>
      </x:c>
      <x:c r="J799" s="15" t="str">
        <x:v>eml_ALL_currentac__512781 (2).zip &gt; eml4currentac__512781.zip / FNB _-) R200.00 reserved for purchase @ Mascor Komatipoort F from Current a_c..512781 using card..2924. 25Mar 13_36.eml</x:v>
      </x:c>
    </x:row>
    <x:row r="800">
      <x:c r="A800" s="15" t="str">
        <x:v>Current a/c..512781 / card..2924</x:v>
      </x:c>
      <x:c r="B800" s="34" t="n">
        <x:v>46106.575694444444</x:v>
      </x:c>
      <x:c r="C800" s="15" t="str">
        <x:v>R240.20 reserved for purchase @ Oasis Water Komatipo from Current a/c..512781 using card..2924. Avail R33903. 25Mar 13:49</x:v>
      </x:c>
      <x:c r="D800" s="38" t="n">
        <x:v>0</x:v>
      </x:c>
      <x:c r="E800" s="38" t="n">
        <x:v>240.2</x:v>
      </x:c>
      <x:c r="F800" s="38" t="n">
        <x:v>0</x:v>
      </x:c>
      <x:c r="G800" s="38" t="n">
        <x:v>33903</x:v>
      </x:c>
      <x:c r="H800" s="15" t="str">
        <x:v>Supplier payments</x:v>
      </x:c>
      <x:c r="I800" s="15" t="str">
        <x:v>Oasis Water Komatipo</x:v>
      </x:c>
      <x:c r="J800" s="15" t="str">
        <x:v>eml_ALL_currentac__512781 (2).zip &gt; eml4currentac__512781.zip / FNB _-) R240.20 reserved for purchase @ Oasis Water Komatipo from Current a_c..512781 using card..2924. 25Mar 13_49.eml</x:v>
      </x:c>
    </x:row>
    <x:row r="801">
      <x:c r="A801" s="15" t="str">
        <x:v>Current a/c..512781 / card..2924</x:v>
      </x:c>
      <x:c r="B801" s="34" t="n">
        <x:v>46106.58263888889</x:v>
      </x:c>
      <x:c r="C801" s="15" t="str">
        <x:v>R112.80 reserved for purchase @ Oasis Water Komatipo from Current a/c..512781 using card..2924. Avail R33790. 25Mar 13:59</x:v>
      </x:c>
      <x:c r="D801" s="38" t="n">
        <x:v>0</x:v>
      </x:c>
      <x:c r="E801" s="38" t="n">
        <x:v>112.8</x:v>
      </x:c>
      <x:c r="F801" s="38" t="n">
        <x:v>0</x:v>
      </x:c>
      <x:c r="G801" s="38" t="n">
        <x:v>33790</x:v>
      </x:c>
      <x:c r="H801" s="15" t="str">
        <x:v>Supplier payments</x:v>
      </x:c>
      <x:c r="I801" s="15" t="str">
        <x:v>Oasis Water Komatipo</x:v>
      </x:c>
      <x:c r="J801" s="15" t="str">
        <x:v>eml_ALL_currentac__512781 (2).zip &gt; eml4currentac__512781.zip / FNB _-) R112.80 reserved for purchase @ Oasis Water Komatipo from Current a_c..512781 using card..2924. 25Mar 13_59.eml</x:v>
      </x:c>
    </x:row>
    <x:row r="802">
      <x:c r="A802" s="15" t="str">
        <x:v>Current a/c..512781 / card..2924</x:v>
      </x:c>
      <x:c r="B802" s="34" t="n">
        <x:v>46107.59097222222</x:v>
      </x:c>
      <x:c r="C802" s="15" t="str">
        <x:v>R150.00 reserved for purchase @ Jabula Lodge 73 from Current a/c..512781 using card..2924. Avail R46293. 26Mar 14:11</x:v>
      </x:c>
      <x:c r="D802" s="38" t="n">
        <x:v>0</x:v>
      </x:c>
      <x:c r="E802" s="38" t="n">
        <x:v>150</x:v>
      </x:c>
      <x:c r="F802" s="38" t="n">
        <x:v>0</x:v>
      </x:c>
      <x:c r="G802" s="38" t="n">
        <x:v>46293</x:v>
      </x:c>
      <x:c r="H802" s="15" t="str">
        <x:v>Accommodation / hotels</x:v>
      </x:c>
      <x:c r="I802" s="15" t="str">
        <x:v>Jabula Lodge 73</x:v>
      </x:c>
      <x:c r="J802" s="15" t="str">
        <x:v>eml_ALL_currentac__512781 (2).zip &gt; eml4currentac__512781.zip / FNB _-) R150.00 reserved for purchase @ Jabula Lodge 73 from Current a_c..512781 using card..2924. 26Mar 14_11.eml</x:v>
      </x:c>
    </x:row>
    <x:row r="803">
      <x:c r="A803" s="15" t="str">
        <x:v>Current a/c..512781 / card..2924</x:v>
      </x:c>
      <x:c r="B803" s="34" t="n">
        <x:v>46107.606944444444</x:v>
      </x:c>
      <x:c r="C803" s="15" t="str">
        <x:v>R265.96 reserved for purchase @ Savemor Marloth Liqu from Current a/c..512781 using card..2924. Avail R46027. 26Mar 14:34</x:v>
      </x:c>
      <x:c r="D803" s="38" t="n">
        <x:v>0</x:v>
      </x:c>
      <x:c r="E803" s="38" t="n">
        <x:v>265.96</x:v>
      </x:c>
      <x:c r="F803" s="38" t="n">
        <x:v>0</x:v>
      </x:c>
      <x:c r="G803" s="38" t="n">
        <x:v>46027</x:v>
      </x:c>
      <x:c r="H803" s="15" t="str">
        <x:v>Meals / restaurants / entertainment</x:v>
      </x:c>
      <x:c r="I803" s="15" t="str">
        <x:v>Savemor Marloth Liqu</x:v>
      </x:c>
      <x:c r="J803" s="15" t="str">
        <x:v>eml_ALL_currentac__512781 (2).zip &gt; eml4currentac__512781.zip / FNB _-) R265.96 reserved for purchase @ Savemor Marloth Liqu from Current a_c..512781 using card..2924. 26Mar 14_34.eml</x:v>
      </x:c>
    </x:row>
    <x:row r="804">
      <x:c r="A804" s="15" t="str">
        <x:v>Current a/c..512781 / card..2924</x:v>
      </x:c>
      <x:c r="B804" s="34" t="n">
        <x:v>46107.626388888886</x:v>
      </x:c>
      <x:c r="C804" s="15" t="str">
        <x:v>R200.01 reserved for purchase @ Toppies Hardware 66 from Current a/c..512781 using card..2924. Avail R45827. 26Mar 15:02</x:v>
      </x:c>
      <x:c r="D804" s="38" t="n">
        <x:v>0</x:v>
      </x:c>
      <x:c r="E804" s="38" t="n">
        <x:v>200.01</x:v>
      </x:c>
      <x:c r="F804" s="38" t="n">
        <x:v>0</x:v>
      </x:c>
      <x:c r="G804" s="38" t="n">
        <x:v>45827</x:v>
      </x:c>
      <x:c r="H804" s="15" t="str">
        <x:v>Supplier payments</x:v>
      </x:c>
      <x:c r="I804" s="15" t="str">
        <x:v>Toppies Hardware 66</x:v>
      </x:c>
      <x:c r="J804" s="15" t="str">
        <x:v>eml_ALL_currentac__512781 (2).zip &gt; eml4currentac__512781.zip / FNB _-) R200.01 reserved for purchase @ Toppies Hardware 66 from Current a_c..512781 using card..2924. 26Mar 15_02.eml</x:v>
      </x:c>
    </x:row>
    <x:row r="805">
      <x:c r="A805" s="15" t="str">
        <x:v>Current a/c..512781 / card..2924</x:v>
      </x:c>
      <x:c r="B805" s="34" t="n">
        <x:v>46108.52777777778</x:v>
      </x:c>
      <x:c r="C805" s="15" t="str">
        <x:v>R842.37 reserved for purchase @ Superspar Komatipoor from Current a/c..512781 using card..2924. Avail R44981. 27Mar 12:40</x:v>
      </x:c>
      <x:c r="D805" s="38" t="n">
        <x:v>0</x:v>
      </x:c>
      <x:c r="E805" s="38" t="n">
        <x:v>842.37</x:v>
      </x:c>
      <x:c r="F805" s="38" t="n">
        <x:v>0</x:v>
      </x:c>
      <x:c r="G805" s="38" t="n">
        <x:v>44981</x:v>
      </x:c>
      <x:c r="H805" s="15" t="str">
        <x:v>Supplier payments</x:v>
      </x:c>
      <x:c r="I805" s="15" t="str">
        <x:v>Superspar Komatipoor</x:v>
      </x:c>
      <x:c r="J805" s="15" t="str">
        <x:v>eml_ALL_currentac__512781 (2).zip &gt; eml4currentac__512781.zip / FNB _-) R842.37 reserved for purchase @ Superspar Komatipoor from Current a_c..512781 using card..2924. 27Mar 12_40.eml</x:v>
      </x:c>
    </x:row>
    <x:row r="806">
      <x:c r="A806" s="15" t="str">
        <x:v>Current a/c..512781 / card..2924</x:v>
      </x:c>
      <x:c r="B806" s="34" t="n">
        <x:v>46108.53194444445</x:v>
      </x:c>
      <x:c r="C806" s="15" t="str">
        <x:v>R450.00 reserved for purchase @ Superspar Komatipoor from Current a/c..512781 using card..2924. Avail R44531. 27Mar 12:46</x:v>
      </x:c>
      <x:c r="D806" s="38" t="n">
        <x:v>0</x:v>
      </x:c>
      <x:c r="E806" s="38" t="n">
        <x:v>450</x:v>
      </x:c>
      <x:c r="F806" s="38" t="n">
        <x:v>0</x:v>
      </x:c>
      <x:c r="G806" s="38" t="n">
        <x:v>44531</x:v>
      </x:c>
      <x:c r="H806" s="15" t="str">
        <x:v>Supplier payments</x:v>
      </x:c>
      <x:c r="I806" s="15" t="str">
        <x:v>Superspar Komatipoor</x:v>
      </x:c>
      <x:c r="J806" s="15" t="str">
        <x:v>eml_ALL_currentac__512781 (2).zip &gt; eml4currentac__512781.zip / FNB _-) R450.00 reserved for purchase @ Superspar Komatipoor from Current a_c..512781 using card..2924. 27Mar 12_46.eml</x:v>
      </x:c>
    </x:row>
    <x:row r="807">
      <x:c r="A807" s="15" t="str">
        <x:v>Current a/c..512781 / card..2924</x:v>
      </x:c>
      <x:c r="B807" s="34" t="n">
        <x:v>46109.77916666667</x:v>
      </x:c>
      <x:c r="C807" s="15" t="str">
        <x:v>R240.00 reserved for purchase @ Amazing Kruger from Current a/c..512781 using card..2924. Avail R41218. 28Mar 18:42</x:v>
      </x:c>
      <x:c r="D807" s="38" t="n">
        <x:v>0</x:v>
      </x:c>
      <x:c r="E807" s="38" t="n">
        <x:v>240</x:v>
      </x:c>
      <x:c r="F807" s="38" t="n">
        <x:v>0</x:v>
      </x:c>
      <x:c r="G807" s="38" t="n">
        <x:v>41218</x:v>
      </x:c>
      <x:c r="H807" s="15" t="str">
        <x:v>Card spend</x:v>
      </x:c>
      <x:c r="I807" s="15" t="str">
        <x:v>Amazing Kruger</x:v>
      </x:c>
      <x:c r="J807" s="15" t="str">
        <x:v>eml_ALL_currentac__512781 (2).zip &gt; eml4currentac__512781.zip / FNB _-) R240.00 reserved for purchase @ Amazing Kruger from Current a_c..512781 using card..2924. 28Mar 18_42.eml</x:v>
      </x:c>
    </x:row>
    <x:row r="808">
      <x:c r="A808" s="15" t="str">
        <x:v>Current a/c..512781 / card..2924</x:v>
      </x:c>
      <x:c r="B808" s="34" t="n">
        <x:v>46110.53611111111</x:v>
      </x:c>
      <x:c r="C808" s="15" t="str">
        <x:v>R724.38 reserved for purchase @ Marlothi Petrol Stat from Current a/c..512781 using card..2924. Avail R40478. 29Mar 12:52</x:v>
      </x:c>
      <x:c r="D808" s="38" t="n">
        <x:v>0</x:v>
      </x:c>
      <x:c r="E808" s="38" t="n">
        <x:v>724.38</x:v>
      </x:c>
      <x:c r="F808" s="38" t="n">
        <x:v>0</x:v>
      </x:c>
      <x:c r="G808" s="38" t="n">
        <x:v>40478</x:v>
      </x:c>
      <x:c r="H808" s="15" t="str">
        <x:v>Fuel / transport</x:v>
      </x:c>
      <x:c r="I808" s="15" t="str">
        <x:v>Marlothi Petrol Stat</x:v>
      </x:c>
      <x:c r="J808" s="15" t="str">
        <x:v>eml_ALL_currentac__512781 (2).zip &gt; eml4currentac__512781.zip / FNB _-) R724.38 reserved for purchase @ Marlothi Petrol Stat from Current a_c..512781 using card..2924. 29Mar 12_52.eml</x:v>
      </x:c>
    </x:row>
    <x:row r="809">
      <x:c r="A809" s="15" t="str">
        <x:v>Current a/c..512781 / card..2924</x:v>
      </x:c>
      <x:c r="B809" s="34" t="n">
        <x:v>46110.75069444445</x:v>
      </x:c>
      <x:c r="C809" s="15" t="str">
        <x:v>R250.00 reserved for purchase @ The Tin Shack from Current a/c..512781 using card..2924. Avail R40163. 29Mar 18:01</x:v>
      </x:c>
      <x:c r="D809" s="38" t="n">
        <x:v>0</x:v>
      </x:c>
      <x:c r="E809" s="38" t="n">
        <x:v>250</x:v>
      </x:c>
      <x:c r="F809" s="38" t="n">
        <x:v>0</x:v>
      </x:c>
      <x:c r="G809" s="38" t="n">
        <x:v>40163</x:v>
      </x:c>
      <x:c r="H809" s="15" t="str">
        <x:v>Meals / restaurants / entertainment</x:v>
      </x:c>
      <x:c r="I809" s="15" t="str">
        <x:v>The Tin Shack</x:v>
      </x:c>
      <x:c r="J809" s="15" t="str">
        <x:v>eml_ALL_currentac__512781 (2).zip &gt; eml4currentac__512781.zip / FNB _-) R250.00 reserved for purchase @ The Tin Shack from Current a_c..512781 using card..2924. 29Mar 18_01.eml</x:v>
      </x:c>
    </x:row>
    <x:row r="810">
      <x:c r="A810" s="15" t="str">
        <x:v>Current a/c..512781 / card..2924</x:v>
      </x:c>
      <x:c r="B810" s="34" t="n">
        <x:v>46111.631944444445</x:v>
      </x:c>
      <x:c r="C810" s="15" t="str">
        <x:v>R105.61 reserved for purchase @ Savemor Marloth from Current a/c..512781 using card..2924. Avail R72094. 30Mar 15:10</x:v>
      </x:c>
      <x:c r="D810" s="38" t="n">
        <x:v>0</x:v>
      </x:c>
      <x:c r="E810" s="38" t="n">
        <x:v>105.61</x:v>
      </x:c>
      <x:c r="F810" s="38" t="n">
        <x:v>0</x:v>
      </x:c>
      <x:c r="G810" s="38" t="n">
        <x:v>72094</x:v>
      </x:c>
      <x:c r="H810" s="15" t="str">
        <x:v>Supplier payments</x:v>
      </x:c>
      <x:c r="I810" s="15" t="str">
        <x:v>Savemor Marloth</x:v>
      </x:c>
      <x:c r="J810" s="15" t="str">
        <x:v>eml_ALL_currentac__512781 (2).zip &gt; eml4currentac__512781.zip / FNB _-) R105.61 reserved for purchase @ Savemor Marloth from Current a_c..512781 using card..2924. 30Mar 15_10.eml</x:v>
      </x:c>
    </x:row>
    <x:row r="811">
      <x:c r="A811" s="15" t="str">
        <x:v>Current a/c..512781 / card..2924</x:v>
      </x:c>
      <x:c r="B811" s="34" t="n">
        <x:v>46112.57361111111</x:v>
      </x:c>
      <x:c r="C811" s="15" t="str">
        <x:v>R973.88 reserved for purchase @ Superspar Komatipoor from Current a/c..512781 using card..2924. Avail R59183. 31Mar 13:46</x:v>
      </x:c>
      <x:c r="D811" s="38" t="n">
        <x:v>0</x:v>
      </x:c>
      <x:c r="E811" s="38" t="n">
        <x:v>973.88</x:v>
      </x:c>
      <x:c r="F811" s="38" t="n">
        <x:v>0</x:v>
      </x:c>
      <x:c r="G811" s="38" t="n">
        <x:v>59183</x:v>
      </x:c>
      <x:c r="H811" s="15" t="str">
        <x:v>Supplier payments</x:v>
      </x:c>
      <x:c r="I811" s="15" t="str">
        <x:v>Superspar Komatipoor</x:v>
      </x:c>
      <x:c r="J811" s="15" t="str">
        <x:v>eml_ALL_currentac__512781 (2).zip &gt; eml4currentac__512781.zip / FNB _-) R973.88 reserved for purchase @ Superspar Komatipoor from Current a_c..512781 using card..2924. 31Mar 13_46.eml</x:v>
      </x:c>
    </x:row>
    <x:row r="812">
      <x:c r="A812" s="15" t="str">
        <x:v>Current a/c..512781 / card..2924</x:v>
      </x:c>
      <x:c r="B812" s="34" t="n">
        <x:v>46113.57083333333</x:v>
      </x:c>
      <x:c r="C812" s="15" t="str">
        <x:v>R1486.59 reserved for purchase @ Shoprite Komatipoort from Current a/c..512781 using card..2924. Avail R9771. 1Apr 13:42</x:v>
      </x:c>
      <x:c r="D812" s="38" t="n">
        <x:v>0</x:v>
      </x:c>
      <x:c r="E812" s="38" t="n">
        <x:v>1486.59</x:v>
      </x:c>
      <x:c r="F812" s="38" t="n">
        <x:v>0</x:v>
      </x:c>
      <x:c r="G812" s="38" t="n">
        <x:v>9771</x:v>
      </x:c>
      <x:c r="H812" s="15" t="str">
        <x:v>Supplier payments</x:v>
      </x:c>
      <x:c r="I812" s="15" t="str">
        <x:v>Shoprite Komatipoort</x:v>
      </x:c>
      <x:c r="J812" s="15" t="str">
        <x:v>eml_ALL_currentac__512781 (2).zip &gt; eml4currentac__512781.zip / FNB _-) R1486.59 reserved for purchase @ Shoprite Komatipoort from Current a_c..512781 using card..2924.  1Apr 13_42.eml</x:v>
      </x:c>
    </x:row>
    <x:row r="813">
      <x:c r="A813" s="15" t="str">
        <x:v>Current a/c..512781 / card..2924</x:v>
      </x:c>
      <x:c r="B813" s="34" t="n">
        <x:v>46113.583333333336</x:v>
      </x:c>
      <x:c r="C813" s="15" t="str">
        <x:v>R122.30 reserved for purchase @ Lebombo Butchery from Current a/c..512781 using card..2924. Avail R9649. 1Apr 14:00</x:v>
      </x:c>
      <x:c r="D813" s="38" t="n">
        <x:v>0</x:v>
      </x:c>
      <x:c r="E813" s="38" t="n">
        <x:v>122.3</x:v>
      </x:c>
      <x:c r="F813" s="38" t="n">
        <x:v>0</x:v>
      </x:c>
      <x:c r="G813" s="38" t="n">
        <x:v>9649</x:v>
      </x:c>
      <x:c r="H813" s="15" t="str">
        <x:v>Supplier payments</x:v>
      </x:c>
      <x:c r="I813" s="15" t="str">
        <x:v>Lebombo Butchery</x:v>
      </x:c>
      <x:c r="J813" s="15" t="str">
        <x:v>eml_ALL_currentac__512781 (2).zip &gt; eml4currentac__512781.zip / FNB _-) R122.30 reserved for purchase @ Lebombo Butchery from Current a_c..512781 using card..2924.  1Apr 14_00.eml</x:v>
      </x:c>
    </x:row>
    <x:row r="814">
      <x:c r="A814" s="15" t="str">
        <x:v>Current a/c..512781 / card..2924</x:v>
      </x:c>
      <x:c r="B814" s="34" t="n">
        <x:v>46114.501388888886</x:v>
      </x:c>
      <x:c r="C814" s="15" t="str">
        <x:v>R1137.33 reserved for purchase @ Woolworths from Current a/c..512781 using card..2924. Avail R28540. 2Apr 12:02</x:v>
      </x:c>
      <x:c r="D814" s="38" t="n">
        <x:v>0</x:v>
      </x:c>
      <x:c r="E814" s="38" t="n">
        <x:v>1137.33</x:v>
      </x:c>
      <x:c r="F814" s="38" t="n">
        <x:v>0</x:v>
      </x:c>
      <x:c r="G814" s="38" t="n">
        <x:v>28540</x:v>
      </x:c>
      <x:c r="H814" s="15" t="str">
        <x:v>Supplier payments</x:v>
      </x:c>
      <x:c r="I814" s="15" t="str">
        <x:v>Woolworths</x:v>
      </x:c>
      <x:c r="J814" s="15" t="str">
        <x:v>eml_ALL_currentac__512781 (2).zip &gt; eml4currentac__512781.zip / FNB _-) R1137.33 reserved for purchase @ Woolworths from Current a_c..512781 using card..2924.  2Apr 12_02.eml</x:v>
      </x:c>
    </x:row>
    <x:row r="815">
      <x:c r="A815" s="15" t="str">
        <x:v>Current a/c..512781 / card..2924</x:v>
      </x:c>
      <x:c r="B815" s="34" t="n">
        <x:v>46114.55972222222</x:v>
      </x:c>
      <x:c r="C815" s="15" t="str">
        <x:v>R918.06 reserved for purchase @ Superspar Malelane from Current a/c..512781 using card..2924. Avail R27622. 2Apr 13:26</x:v>
      </x:c>
      <x:c r="D815" s="38" t="n">
        <x:v>0</x:v>
      </x:c>
      <x:c r="E815" s="38" t="n">
        <x:v>918.06</x:v>
      </x:c>
      <x:c r="F815" s="38" t="n">
        <x:v>0</x:v>
      </x:c>
      <x:c r="G815" s="38" t="n">
        <x:v>27622</x:v>
      </x:c>
      <x:c r="H815" s="15" t="str">
        <x:v>Supplier payments</x:v>
      </x:c>
      <x:c r="I815" s="15" t="str">
        <x:v>Superspar Malelane</x:v>
      </x:c>
      <x:c r="J815" s="15" t="str">
        <x:v>eml_ALL_currentac__512781 (2).zip &gt; eml4currentac__512781.zip / FNB _-) R918.06 reserved for purchase @ Superspar Malelane from Current a_c..512781 using card..2924.  2Apr 13_26.eml</x:v>
      </x:c>
    </x:row>
    <x:row r="816">
      <x:c r="A816" s="15" t="str">
        <x:v>Current a/c..512781 / card..2924</x:v>
      </x:c>
      <x:c r="B816" s="34" t="n">
        <x:v>46114.57361111111</x:v>
      </x:c>
      <x:c r="C816" s="15" t="str">
        <x:v>R254.20 reserved for purchase @ Oasis Water Malelane from Current a/c..512781 using card..2924. Avail R27285. 2Apr 13:46</x:v>
      </x:c>
      <x:c r="D816" s="38" t="n">
        <x:v>0</x:v>
      </x:c>
      <x:c r="E816" s="38" t="n">
        <x:v>254.2</x:v>
      </x:c>
      <x:c r="F816" s="38" t="n">
        <x:v>0</x:v>
      </x:c>
      <x:c r="G816" s="38" t="n">
        <x:v>27285</x:v>
      </x:c>
      <x:c r="H816" s="15" t="str">
        <x:v>Supplier payments</x:v>
      </x:c>
      <x:c r="I816" s="15" t="str">
        <x:v>Oasis Water Malelane</x:v>
      </x:c>
      <x:c r="J816" s="15" t="str">
        <x:v>eml_ALL_currentac__512781 (2).zip &gt; eml4currentac__512781.zip / FNB _-) R254.20 reserved for purchase @ Oasis Water Malelane from Current a_c..512781 using card..2924.  2Apr 13_46.eml</x:v>
      </x:c>
    </x:row>
    <x:row r="817">
      <x:c r="A817" s="15" t="str">
        <x:v>Current a/c..512781 / card..2924</x:v>
      </x:c>
      <x:c r="B817" s="34" t="n">
        <x:v>46114.73125</x:v>
      </x:c>
      <x:c r="C817" s="15" t="str">
        <x:v>R500.00 reserved for purchase @ The Tin Shack from Current a/c..512781 using card..2924. Avail R26285. 2Apr 17:33</x:v>
      </x:c>
      <x:c r="D817" s="38" t="n">
        <x:v>0</x:v>
      </x:c>
      <x:c r="E817" s="38" t="n">
        <x:v>500</x:v>
      </x:c>
      <x:c r="F817" s="38" t="n">
        <x:v>0</x:v>
      </x:c>
      <x:c r="G817" s="38" t="n">
        <x:v>26285</x:v>
      </x:c>
      <x:c r="H817" s="15" t="str">
        <x:v>Meals / restaurants / entertainment</x:v>
      </x:c>
      <x:c r="I817" s="15" t="str">
        <x:v>The Tin Shack</x:v>
      </x:c>
      <x:c r="J817" s="15" t="str">
        <x:v>eml_ALL_currentac__512781 (2).zip &gt; eml4currentac__512781.zip / FNB _-) R500.00 reserved for purchase @ The Tin Shack from Current a_c..512781 using card..2924.  2Apr 17_33.eml</x:v>
      </x:c>
    </x:row>
    <x:row r="818">
      <x:c r="A818" s="15" t="str">
        <x:v>Current a/c..512781 / card..2924</x:v>
      </x:c>
      <x:c r="B818" s="34" t="n">
        <x:v>46115.44236111111</x:v>
      </x:c>
      <x:c r="C818" s="15" t="str">
        <x:v>R329.96 reserved for purchase @ Savemor Marloth from Current a/c..512781 using card..2924. Avail R25954. 3Apr 10:37</x:v>
      </x:c>
      <x:c r="D818" s="38" t="n">
        <x:v>0</x:v>
      </x:c>
      <x:c r="E818" s="38" t="n">
        <x:v>329.96</x:v>
      </x:c>
      <x:c r="F818" s="38" t="n">
        <x:v>0</x:v>
      </x:c>
      <x:c r="G818" s="38" t="n">
        <x:v>25954</x:v>
      </x:c>
      <x:c r="H818" s="15" t="str">
        <x:v>Supplier payments</x:v>
      </x:c>
      <x:c r="I818" s="15" t="str">
        <x:v>Savemor Marloth</x:v>
      </x:c>
      <x:c r="J818" s="15" t="str">
        <x:v>eml_ALL_currentac__512781 (2).zip &gt; eml4currentac__512781.zip / FNB _-) R329.96 reserved for purchase @ Savemor Marloth from Current a_c..512781 using card..2924.  3Apr 10_37.eml</x:v>
      </x:c>
    </x:row>
    <x:row r="819">
      <x:c r="A819" s="15" t="str">
        <x:v>Current a/c..512781 / card..2924</x:v>
      </x:c>
      <x:c r="B819" s="34" t="n">
        <x:v>46115.868055555555</x:v>
      </x:c>
      <x:c r="C819" s="15" t="str">
        <x:v>R335.00 reserved for purchase @ Yoco *k2025744041 from Current a/c..512781 using card..2924. Avail R25619. 3Apr 20:50</x:v>
      </x:c>
      <x:c r="D819" s="38" t="n">
        <x:v>0</x:v>
      </x:c>
      <x:c r="E819" s="38" t="n">
        <x:v>335</x:v>
      </x:c>
      <x:c r="F819" s="38" t="n">
        <x:v>0</x:v>
      </x:c>
      <x:c r="G819" s="38" t="n">
        <x:v>25619</x:v>
      </x:c>
      <x:c r="H819" s="15" t="str">
        <x:v>Card spend</x:v>
      </x:c>
      <x:c r="I819" s="15" t="str">
        <x:v>Yoco *k2025744041</x:v>
      </x:c>
      <x:c r="J819" s="15" t="str">
        <x:v>eml_ALL_currentac__512781 (2).zip &gt; eml4currentac__512781.zip / FNB _-) R335.00 reserved for purchase @ Yoco _k2025744041 from Current a_c..512781 using card..2924.  3Apr 20_50.eml</x:v>
      </x:c>
    </x:row>
    <x:row r="820">
      <x:c r="A820" s="15" t="str">
        <x:v>Current a/c..512781 / card..2924</x:v>
      </x:c>
      <x:c r="B820" s="34" t="n">
        <x:v>46116.50486111111</x:v>
      </x:c>
      <x:c r="C820" s="15" t="str">
        <x:v>R736.86 reserved for purchase @ Woolworths from Current a/c..512781 using card..2924. Avail R25109. 4Apr 12:07</x:v>
      </x:c>
      <x:c r="D820" s="38" t="n">
        <x:v>0</x:v>
      </x:c>
      <x:c r="E820" s="38" t="n">
        <x:v>736.86</x:v>
      </x:c>
      <x:c r="F820" s="38" t="n">
        <x:v>0</x:v>
      </x:c>
      <x:c r="G820" s="38" t="n">
        <x:v>25109</x:v>
      </x:c>
      <x:c r="H820" s="15" t="str">
        <x:v>Supplier payments</x:v>
      </x:c>
      <x:c r="I820" s="15" t="str">
        <x:v>Woolworths</x:v>
      </x:c>
      <x:c r="J820" s="15" t="str">
        <x:v>eml_ALL_currentac__512781 (2).zip &gt; eml4currentac__512781.zip / FNB _-) R736.86 reserved for purchase @ Woolworths from Current a_c..512781 using card..2924.  4Apr 12_07.eml</x:v>
      </x:c>
    </x:row>
    <x:row r="821">
      <x:c r="A821" s="15" t="str">
        <x:v>Current a/c..512781 / card..2924</x:v>
      </x:c>
      <x:c r="B821" s="34" t="n">
        <x:v>46116.53611111111</x:v>
      </x:c>
      <x:c r="C821" s="15" t="str">
        <x:v>R731.35 reserved for purchase @ Superspar Malelane from Current a/c..512781 using card..2924. Avail R24377. 4Apr 12:52</x:v>
      </x:c>
      <x:c r="D821" s="38" t="n">
        <x:v>0</x:v>
      </x:c>
      <x:c r="E821" s="38" t="n">
        <x:v>731.35</x:v>
      </x:c>
      <x:c r="F821" s="38" t="n">
        <x:v>0</x:v>
      </x:c>
      <x:c r="G821" s="38" t="n">
        <x:v>24377</x:v>
      </x:c>
      <x:c r="H821" s="15" t="str">
        <x:v>Supplier payments</x:v>
      </x:c>
      <x:c r="I821" s="15" t="str">
        <x:v>Superspar Malelane</x:v>
      </x:c>
      <x:c r="J821" s="15" t="str">
        <x:v>eml_ALL_currentac__512781 (2).zip &gt; eml4currentac__512781.zip / FNB _-) R731.35 reserved for purchase @ Superspar Malelane from Current a_c..512781 using card..2924.  4Apr 12_52.eml</x:v>
      </x:c>
    </x:row>
    <x:row r="822">
      <x:c r="A822" s="15" t="str">
        <x:v>Current a/c..512781 / card..2924</x:v>
      </x:c>
      <x:c r="B822" s="34" t="n">
        <x:v>46117.50763888889</x:v>
      </x:c>
      <x:c r="C822" s="15" t="str">
        <x:v>R400.00 withdrawn from Current a/c..512781 using card..2924 @ Atmh11960000001. Avail R23668. 5Apr 12:11</x:v>
      </x:c>
      <x:c r="D822" s="38" t="n">
        <x:v>0</x:v>
      </x:c>
      <x:c r="E822" s="38" t="n">
        <x:v>400</x:v>
      </x:c>
      <x:c r="F822" s="38" t="n">
        <x:v>0</x:v>
      </x:c>
      <x:c r="G822" s="38" t="n">
        <x:v>23668</x:v>
      </x:c>
      <x:c r="H822" s="15" t="str">
        <x:v>Cash withdrawal</x:v>
      </x:c>
      <x:c r="I822" s="15" t="str">
        <x:v>Atmh11960000001</x:v>
      </x:c>
      <x:c r="J822" s="15" t="str">
        <x:v>eml_ALL_currentac__512781 (2).zip &gt; eml4currentac__512781.zip / FNB _-) R400.00 withdrawn from Current a_c..512781 using card..2924 @ Atmh11960000001.  5Apr 12_11.eml</x:v>
      </x:c>
    </x:row>
    <x:row r="823">
      <x:c r="A823" s="15" t="str">
        <x:v>Current a/c..512781 / card..2924</x:v>
      </x:c>
      <x:c r="B823" s="34" t="n">
        <x:v>46118.53055555555</x:v>
      </x:c>
      <x:c r="C823" s="15" t="str">
        <x:v>R169.96 reserved for purchase @ Savemor Marloth from Current a/c..512781 using card..2924. Avail R23498. 6Apr 12:44</x:v>
      </x:c>
      <x:c r="D823" s="38" t="n">
        <x:v>0</x:v>
      </x:c>
      <x:c r="E823" s="38" t="n">
        <x:v>169.96</x:v>
      </x:c>
      <x:c r="F823" s="38" t="n">
        <x:v>0</x:v>
      </x:c>
      <x:c r="G823" s="38" t="n">
        <x:v>23498</x:v>
      </x:c>
      <x:c r="H823" s="15" t="str">
        <x:v>Supplier payments</x:v>
      </x:c>
      <x:c r="I823" s="15" t="str">
        <x:v>Savemor Marloth</x:v>
      </x:c>
      <x:c r="J823" s="15" t="str">
        <x:v>eml_ALL_currentac__512781 (2).zip &gt; eml4currentac__512781.zip / FNB _-) R169.96 reserved for purchase @ Savemor Marloth from Current a_c..512781 using card..2924.  6Apr 12_44.eml</x:v>
      </x:c>
    </x:row>
    <x:row r="824">
      <x:c r="A824" s="15" t="str">
        <x:v>Current a/c..512781 / card..2924</x:v>
      </x:c>
      <x:c r="B824" s="34" t="n">
        <x:v>46119.552777777775</x:v>
      </x:c>
      <x:c r="C824" s="15" t="str">
        <x:v>R129.61 reserved for purchase @ Pep Home 5771 Komati from Current a/c..512781 using card..2924. Avail R23057. 7Apr 13:16</x:v>
      </x:c>
      <x:c r="D824" s="38" t="n">
        <x:v>0</x:v>
      </x:c>
      <x:c r="E824" s="38" t="n">
        <x:v>129.61</x:v>
      </x:c>
      <x:c r="F824" s="38" t="n">
        <x:v>0</x:v>
      </x:c>
      <x:c r="G824" s="38" t="n">
        <x:v>23057</x:v>
      </x:c>
      <x:c r="H824" s="15" t="str">
        <x:v>Supplier payments</x:v>
      </x:c>
      <x:c r="I824" s="15" t="str">
        <x:v>Pep Home 5771 Komati</x:v>
      </x:c>
      <x:c r="J824" s="15" t="str">
        <x:v>eml_ALL_currentac__512781 (2).zip &gt; eml4currentac__512781.zip / FNB _-) R129.61 reserved for purchase @ Pep Home 5771 Komati from Current a_c..512781 using card..2924.  7Apr 13_16.eml</x:v>
      </x:c>
    </x:row>
    <x:row r="825">
      <x:c r="A825" s="15" t="str">
        <x:v>Current a/c..512781 / card..2924</x:v>
      </x:c>
      <x:c r="B825" s="34" t="n">
        <x:v>46119.59444444445</x:v>
      </x:c>
      <x:c r="C825" s="15" t="str">
        <x:v>R1285.78 reserved for purchase @ Superspar Komatipoor from Current a/c..512781 using card..2924. Avail R49457. 7Apr 14:16</x:v>
      </x:c>
      <x:c r="D825" s="38" t="n">
        <x:v>0</x:v>
      </x:c>
      <x:c r="E825" s="38" t="n">
        <x:v>1285.78</x:v>
      </x:c>
      <x:c r="F825" s="38" t="n">
        <x:v>0</x:v>
      </x:c>
      <x:c r="G825" s="38" t="n">
        <x:v>49457</x:v>
      </x:c>
      <x:c r="H825" s="15" t="str">
        <x:v>Supplier payments</x:v>
      </x:c>
      <x:c r="I825" s="15" t="str">
        <x:v>Superspar Komatipoor</x:v>
      </x:c>
      <x:c r="J825" s="15" t="str">
        <x:v>eml_ALL_currentac__512781 (2).zip &gt; eml4currentac__512781.zip / FNB _-) R1285.78 reserved for purchase @ Superspar Komatipoor from Current a_c..512781 using card..2924.  7Apr 14_16.eml</x:v>
      </x:c>
    </x:row>
    <x:row r="826">
      <x:c r="A826" s="15" t="str">
        <x:v>Current a/c..512781 / card..2924</x:v>
      </x:c>
      <x:c r="B826" s="34" t="n">
        <x:v>46119.600694444445</x:v>
      </x:c>
      <x:c r="C826" s="15" t="str">
        <x:v>R164.89 reserved for purchase @ The Crazy Store Koma from Current a/c..512781 using card..2924. Avail R49292. 7Apr 14:25</x:v>
      </x:c>
      <x:c r="D826" s="38" t="n">
        <x:v>0</x:v>
      </x:c>
      <x:c r="E826" s="38" t="n">
        <x:v>164.89</x:v>
      </x:c>
      <x:c r="F826" s="38" t="n">
        <x:v>0</x:v>
      </x:c>
      <x:c r="G826" s="38" t="n">
        <x:v>49292</x:v>
      </x:c>
      <x:c r="H826" s="15" t="str">
        <x:v>Card spend</x:v>
      </x:c>
      <x:c r="I826" s="15" t="str">
        <x:v>The Crazy Store Koma</x:v>
      </x:c>
      <x:c r="J826" s="15" t="str">
        <x:v>eml_ALL_currentac__512781 (2).zip &gt; eml4currentac__512781.zip / FNB _-) R164.89 reserved for purchase @ The Crazy Store Koma from Current a_c..512781 using card..2924.  7Apr 14_25.eml</x:v>
      </x:c>
    </x:row>
    <x:row r="827">
      <x:c r="A827" s="15" t="str">
        <x:v>Current a/c..512781 / card..2924</x:v>
      </x:c>
      <x:c r="B827" s="34" t="n">
        <x:v>46121.580555555556</x:v>
      </x:c>
      <x:c r="C827" s="15" t="str">
        <x:v>R905.75 reserved for purchase @ Superspar Komatipoor from Current a/c..512781 using card..2924. Avail R73206. 9Apr 13:56</x:v>
      </x:c>
      <x:c r="D827" s="38" t="n">
        <x:v>0</x:v>
      </x:c>
      <x:c r="E827" s="38" t="n">
        <x:v>905.75</x:v>
      </x:c>
      <x:c r="F827" s="38" t="n">
        <x:v>0</x:v>
      </x:c>
      <x:c r="G827" s="38" t="n">
        <x:v>73206</x:v>
      </x:c>
      <x:c r="H827" s="15" t="str">
        <x:v>Supplier payments</x:v>
      </x:c>
      <x:c r="I827" s="15" t="str">
        <x:v>Superspar Komatipoor</x:v>
      </x:c>
      <x:c r="J827" s="15" t="str">
        <x:v>eml_ALL_currentac__512781 (2).zip &gt; eml4currentac__512781.zip / FNB _-) R905.75 reserved for purchase @ Superspar Komatipoor from Current a_c..512781 using card..2924.  9Apr 13_56.eml</x:v>
      </x:c>
    </x:row>
    <x:row r="828">
      <x:c r="A828" s="15" t="str">
        <x:v>Current a/c..512781 / card..2924</x:v>
      </x:c>
      <x:c r="B828" s="34" t="n">
        <x:v>46121.59930555556</x:v>
      </x:c>
      <x:c r="C828" s="15" t="str">
        <x:v>R235.20 reserved for purchase @ Oasis Water Komatipo from Current a/c..512781 using card..2924. Avail R72971. 9Apr 14:23</x:v>
      </x:c>
      <x:c r="D828" s="38" t="n">
        <x:v>0</x:v>
      </x:c>
      <x:c r="E828" s="38" t="n">
        <x:v>235.2</x:v>
      </x:c>
      <x:c r="F828" s="38" t="n">
        <x:v>0</x:v>
      </x:c>
      <x:c r="G828" s="38" t="n">
        <x:v>72971</x:v>
      </x:c>
      <x:c r="H828" s="15" t="str">
        <x:v>Supplier payments</x:v>
      </x:c>
      <x:c r="I828" s="15" t="str">
        <x:v>Oasis Water Komatipo</x:v>
      </x:c>
      <x:c r="J828" s="15" t="str">
        <x:v>eml_ALL_currentac__512781 (2).zip &gt; eml4currentac__512781.zip / FNB _-) R235.20 reserved for purchase @ Oasis Water Komatipo from Current a_c..512781 using card..2924.  9Apr 14_23.eml</x:v>
      </x:c>
    </x:row>
    <x:row r="829">
      <x:c r="A829" s="15" t="str">
        <x:v>Current a/c..512781 / card..2924</x:v>
      </x:c>
      <x:c r="B829" s="34" t="n">
        <x:v>46122.77569444444</x:v>
      </x:c>
      <x:c r="C829" s="15" t="str">
        <x:v>R210.00 reserved for purchase @ The Tin Shack from Current a/c..512781 using card..2924. Avail R99065. 10Apr 18:37</x:v>
      </x:c>
      <x:c r="D829" s="38" t="n">
        <x:v>0</x:v>
      </x:c>
      <x:c r="E829" s="38" t="n">
        <x:v>210</x:v>
      </x:c>
      <x:c r="F829" s="38" t="n">
        <x:v>0</x:v>
      </x:c>
      <x:c r="G829" s="38" t="n">
        <x:v>99065</x:v>
      </x:c>
      <x:c r="H829" s="15" t="str">
        <x:v>Meals / restaurants / entertainment</x:v>
      </x:c>
      <x:c r="I829" s="15" t="str">
        <x:v>The Tin Shack</x:v>
      </x:c>
      <x:c r="J829" s="15" t="str">
        <x:v>eml_ALL_currentac__512781 (2).zip &gt; eml4currentac__512781.zip / FNB _-) R210.00 reserved for purchase @ The Tin Shack from Current a_c..512781 using card..2924. 10Apr 18_37.eml</x:v>
      </x:c>
    </x:row>
    <x:row r="830">
      <x:c r="A830" s="15" t="str">
        <x:v>Current a/c..512781 / card..2924</x:v>
      </x:c>
      <x:c r="B830" s="34" t="n">
        <x:v>46123.46388888889</x:v>
      </x:c>
      <x:c r="C830" s="15" t="str">
        <x:v>R174.98 reserved for purchase @ Buco Komatipoort 116 from Current a/c..512781 using card..2924. Avail R98886. 11Apr 11:08</x:v>
      </x:c>
      <x:c r="D830" s="38" t="n">
        <x:v>0</x:v>
      </x:c>
      <x:c r="E830" s="38" t="n">
        <x:v>174.98</x:v>
      </x:c>
      <x:c r="F830" s="38" t="n">
        <x:v>0</x:v>
      </x:c>
      <x:c r="G830" s="38" t="n">
        <x:v>98886</x:v>
      </x:c>
      <x:c r="H830" s="15" t="str">
        <x:v>Supplier payments</x:v>
      </x:c>
      <x:c r="I830" s="15" t="str">
        <x:v>Buco Komatipoort 116</x:v>
      </x:c>
      <x:c r="J830" s="15" t="str">
        <x:v>eml_ALL_currentac__512781 (2).zip &gt; eml4currentac__512781.zip / FNB _-) R174.98 reserved for purchase @ Buco Komatipoort 116 from Current a_c..512781 using card..2924. 11Apr 11_08.eml</x:v>
      </x:c>
    </x:row>
    <x:row r="831">
      <x:c r="A831" s="15" t="str">
        <x:v>Current a/c..512781 / card..2924</x:v>
      </x:c>
      <x:c r="B831" s="34" t="n">
        <x:v>46123.49097222222</x:v>
      </x:c>
      <x:c r="C831" s="15" t="str">
        <x:v>R534.31 reserved for purchase @ Superspar Komatipoor from Current a/c..512781 using card..2924. Avail R98352. 11Apr 11:47</x:v>
      </x:c>
      <x:c r="D831" s="38" t="n">
        <x:v>0</x:v>
      </x:c>
      <x:c r="E831" s="38" t="n">
        <x:v>534.31</x:v>
      </x:c>
      <x:c r="F831" s="38" t="n">
        <x:v>0</x:v>
      </x:c>
      <x:c r="G831" s="38" t="n">
        <x:v>98352</x:v>
      </x:c>
      <x:c r="H831" s="15" t="str">
        <x:v>Supplier payments</x:v>
      </x:c>
      <x:c r="I831" s="15" t="str">
        <x:v>Superspar Komatipoor</x:v>
      </x:c>
      <x:c r="J831" s="15" t="str">
        <x:v>eml_ALL_currentac__512781 (2).zip &gt; eml4currentac__512781.zip / FNB _-) R534.31 reserved for purchase @ Superspar Komatipoor from Current a_c..512781 using card..2924. 11Apr 11_47.eml</x:v>
      </x:c>
    </x:row>
    <x:row r="832">
      <x:c r="A832" s="15" t="str">
        <x:v>Current a/c..512781 / card..2924</x:v>
      </x:c>
      <x:c r="B832" s="34" t="n">
        <x:v>46123.501388888886</x:v>
      </x:c>
      <x:c r="C832" s="15" t="str">
        <x:v>R138.49 reserved for purchase @ Komati Pharmacy from Current a/c..512781 using card..2924. Avail R98213. 11Apr 12:02</x:v>
      </x:c>
      <x:c r="D832" s="38" t="n">
        <x:v>0</x:v>
      </x:c>
      <x:c r="E832" s="38" t="n">
        <x:v>138.49</x:v>
      </x:c>
      <x:c r="F832" s="38" t="n">
        <x:v>0</x:v>
      </x:c>
      <x:c r="G832" s="38" t="n">
        <x:v>98213</x:v>
      </x:c>
      <x:c r="H832" s="15" t="str">
        <x:v>Supplier payments</x:v>
      </x:c>
      <x:c r="I832" s="15" t="str">
        <x:v>Komati Pharmacy</x:v>
      </x:c>
      <x:c r="J832" s="15" t="str">
        <x:v>eml_ALL_currentac__512781 (2).zip &gt; eml4currentac__512781.zip / FNB _-) R138.49 reserved for purchase @ Komati Pharmacy from Current a_c..512781 using card..2924. 11Apr 12_02.eml</x:v>
      </x:c>
    </x:row>
    <x:row r="833">
      <x:c r="A833" s="15" t="str">
        <x:v>Current a/c..512781 / card..2924</x:v>
      </x:c>
      <x:c r="B833" s="34" t="n">
        <x:v>46123.50625</x:v>
      </x:c>
      <x:c r="C833" s="15" t="str">
        <x:v>R214.96 reserved for purchase @ Tops Komatipoort from Current a/c..512781 using card..2924. Avail R97998. 11Apr 12:09</x:v>
      </x:c>
      <x:c r="D833" s="38" t="n">
        <x:v>0</x:v>
      </x:c>
      <x:c r="E833" s="38" t="n">
        <x:v>214.96</x:v>
      </x:c>
      <x:c r="F833" s="38" t="n">
        <x:v>0</x:v>
      </x:c>
      <x:c r="G833" s="38" t="n">
        <x:v>97998</x:v>
      </x:c>
      <x:c r="H833" s="15" t="str">
        <x:v>Meals / restaurants / entertainment</x:v>
      </x:c>
      <x:c r="I833" s="15" t="str">
        <x:v>Tops Komatipoort</x:v>
      </x:c>
      <x:c r="J833" s="15" t="str">
        <x:v>eml_ALL_currentac__512781 (2).zip &gt; eml4currentac__512781.zip / FNB _-) R214.96 reserved for purchase @ Tops Komatipoort from Current a_c..512781 using card..2924. 11Apr 12_09.eml</x:v>
      </x:c>
    </x:row>
    <x:row r="834">
      <x:c r="A834" s="15" t="str">
        <x:v>Current a/c..512781 / card..2924</x:v>
      </x:c>
      <x:c r="B834" s="34" t="n">
        <x:v>46123.513194444444</x:v>
      </x:c>
      <x:c r="C834" s="15" t="str">
        <x:v>R200.00 reserved for purchase @ Ae Komatipoort from Current a/c..512781 using card..2924. Avail R97798. 11Apr 12:19</x:v>
      </x:c>
      <x:c r="D834" s="38" t="n">
        <x:v>0</x:v>
      </x:c>
      <x:c r="E834" s="38" t="n">
        <x:v>200</x:v>
      </x:c>
      <x:c r="F834" s="38" t="n">
        <x:v>0</x:v>
      </x:c>
      <x:c r="G834" s="38" t="n">
        <x:v>97798</x:v>
      </x:c>
      <x:c r="H834" s="15" t="str">
        <x:v>Card spend</x:v>
      </x:c>
      <x:c r="I834" s="15" t="str">
        <x:v>Ae Komatipoort</x:v>
      </x:c>
      <x:c r="J834" s="15" t="str">
        <x:v>eml_ALL_currentac__512781 (2).zip &gt; eml3currentac__512781.zip / FNB _-) R200.00 reserved for purchase @ Ae Komatipoort from Current a_c..512781 using card..2924. 11Apr 12_19.eml</x:v>
      </x:c>
    </x:row>
    <x:row r="835">
      <x:c r="A835" s="15" t="str">
        <x:v>Current a/c..512781 / card..2924</x:v>
      </x:c>
      <x:c r="B835" s="34" t="n">
        <x:v>46124.54027777778</x:v>
      </x:c>
      <x:c r="C835" s="15" t="str">
        <x:v>R550.00 withdrawn from Current a/c..512781 using card..2924 @ Atmh11960000001. Avail R96868. 12Apr 12:58</x:v>
      </x:c>
      <x:c r="D835" s="38" t="n">
        <x:v>0</x:v>
      </x:c>
      <x:c r="E835" s="38" t="n">
        <x:v>550</x:v>
      </x:c>
      <x:c r="F835" s="38" t="n">
        <x:v>0</x:v>
      </x:c>
      <x:c r="G835" s="38" t="n">
        <x:v>96868</x:v>
      </x:c>
      <x:c r="H835" s="15" t="str">
        <x:v>Cash withdrawal</x:v>
      </x:c>
      <x:c r="I835" s="15" t="str">
        <x:v>Atmh11960000001</x:v>
      </x:c>
      <x:c r="J835" s="15" t="str">
        <x:v>eml_ALL_currentac__512781 (2).zip &gt; eml3currentac__512781.zip / FNB _-) R550.00 withdrawn from Current a_c..512781 using card..2924 @ Atmh11960000001. 12Apr 12_58.eml</x:v>
      </x:c>
    </x:row>
    <x:row r="836">
      <x:c r="A836" s="15" t="str">
        <x:v>Current a/c..512781 / card..2924</x:v>
      </x:c>
      <x:c r="B836" s="34" t="n">
        <x:v>46126.50555555556</x:v>
      </x:c>
      <x:c r="C836" s="15" t="str">
        <x:v>R632.48 reserved for purchase @ Sqsp* Websit from Current a/c..512781 using card..2924. Avail R91746. 14Apr 12:08</x:v>
      </x:c>
      <x:c r="D836" s="38" t="n">
        <x:v>0</x:v>
      </x:c>
      <x:c r="E836" s="38" t="n">
        <x:v>632.48</x:v>
      </x:c>
      <x:c r="F836" s="38" t="n">
        <x:v>0</x:v>
      </x:c>
      <x:c r="G836" s="38" t="n">
        <x:v>91746</x:v>
      </x:c>
      <x:c r="H836" s="15" t="str">
        <x:v>Software / subscriptions</x:v>
      </x:c>
      <x:c r="I836" s="15" t="str">
        <x:v>Sqsp* Websit</x:v>
      </x:c>
      <x:c r="J836" s="15" t="str">
        <x:v>eml_ALL_currentac__512781 (2).zip &gt; eml3currentac__512781.zip / FNB _-) R632.48 reserved for purchase @ Sqsp_ Websit from Current a_c..512781 using card..2924. 14Apr 12_08.eml</x:v>
      </x:c>
    </x:row>
    <x:row r="837">
      <x:c r="A837" s="15" t="str">
        <x:v>Current a/c..512781 / card..2924</x:v>
      </x:c>
      <x:c r="B837" s="34" t="n">
        <x:v>46126.55138888889</x:v>
      </x:c>
      <x:c r="C837" s="15" t="str">
        <x:v>R1416.72 reserved for purchase @ Superspar Komatipoor from Current a/c..512781 using card..2924. Avail R90329. 14Apr 13:14</x:v>
      </x:c>
      <x:c r="D837" s="38" t="n">
        <x:v>0</x:v>
      </x:c>
      <x:c r="E837" s="38" t="n">
        <x:v>1416.72</x:v>
      </x:c>
      <x:c r="F837" s="38" t="n">
        <x:v>0</x:v>
      </x:c>
      <x:c r="G837" s="38" t="n">
        <x:v>90329</x:v>
      </x:c>
      <x:c r="H837" s="15" t="str">
        <x:v>Supplier payments</x:v>
      </x:c>
      <x:c r="I837" s="15" t="str">
        <x:v>Superspar Komatipoor</x:v>
      </x:c>
      <x:c r="J837" s="15" t="str">
        <x:v>eml_ALL_currentac__512781 (2).zip &gt; eml3currentac__512781.zip / FNB _-) R1416.72 reserved for purchase @ Superspar Komatipoor from Current a_c..512781 using card..2924. 14Apr 13_14.eml</x:v>
      </x:c>
    </x:row>
    <x:row r="838">
      <x:c r="A838" s="15" t="str">
        <x:v>Current a/c..512781 / card..2924</x:v>
      </x:c>
      <x:c r="B838" s="34" t="n">
        <x:v>46126.57083333333</x:v>
      </x:c>
      <x:c r="C838" s="15" t="str">
        <x:v>R252.74 reserved for purchase @ Buco Komatipoort 116 from Current a/c..512781 using card..2924. Avail R90076. 14Apr 13:42</x:v>
      </x:c>
      <x:c r="D838" s="38" t="n">
        <x:v>0</x:v>
      </x:c>
      <x:c r="E838" s="38" t="n">
        <x:v>252.74</x:v>
      </x:c>
      <x:c r="F838" s="38" t="n">
        <x:v>0</x:v>
      </x:c>
      <x:c r="G838" s="38" t="n">
        <x:v>90076</x:v>
      </x:c>
      <x:c r="H838" s="15" t="str">
        <x:v>Supplier payments</x:v>
      </x:c>
      <x:c r="I838" s="15" t="str">
        <x:v>Buco Komatipoort 116</x:v>
      </x:c>
      <x:c r="J838" s="15" t="str">
        <x:v>eml_ALL_currentac__512781 (2).zip &gt; eml3currentac__512781.zip / FNB _-) R252.74 reserved for purchase @ Buco Komatipoort 116 from Current a_c..512781 using card..2924. 14Apr 13_42.eml</x:v>
      </x:c>
    </x:row>
    <x:row r="839">
      <x:c r="A839" s="15" t="str">
        <x:v>Current a/c..512781 / card..2924</x:v>
      </x:c>
      <x:c r="B839" s="34" t="n">
        <x:v>46127.629166666666</x:v>
      </x:c>
      <x:c r="C839" s="15" t="str">
        <x:v>R118.57 reserved for purchase @ Savemor Marloth from Current a/c..512781 using card..2924. Avail R97711. 15Apr 15:06</x:v>
      </x:c>
      <x:c r="D839" s="38" t="n">
        <x:v>0</x:v>
      </x:c>
      <x:c r="E839" s="38" t="n">
        <x:v>118.57</x:v>
      </x:c>
      <x:c r="F839" s="38" t="n">
        <x:v>0</x:v>
      </x:c>
      <x:c r="G839" s="38" t="n">
        <x:v>97711</x:v>
      </x:c>
      <x:c r="H839" s="15" t="str">
        <x:v>Supplier payments</x:v>
      </x:c>
      <x:c r="I839" s="15" t="str">
        <x:v>Savemor Marloth</x:v>
      </x:c>
      <x:c r="J839" s="15" t="str">
        <x:v>eml_ALL_currentac__512781 (2).zip &gt; eml3currentac__512781.zip / FNB _-) R118.57 reserved for purchase @ Savemor Marloth from Current a_c..512781 using card..2924. 15Apr 15_06.eml</x:v>
      </x:c>
    </x:row>
    <x:row r="840">
      <x:c r="A840" s="15" t="str">
        <x:v>Current a/c..512781 / card..2924</x:v>
      </x:c>
      <x:c r="B840" s="34" t="n">
        <x:v>46128.618055555555</x:v>
      </x:c>
      <x:c r="C840" s="15" t="str">
        <x:v>R200.00 reserved for purchase @ Marlothi Petrol Stat from Current a/c..512781 using card..2924. Avail R101072. 16Apr 14:50</x:v>
      </x:c>
      <x:c r="D840" s="38" t="n">
        <x:v>0</x:v>
      </x:c>
      <x:c r="E840" s="38" t="n">
        <x:v>200</x:v>
      </x:c>
      <x:c r="F840" s="38" t="n">
        <x:v>0</x:v>
      </x:c>
      <x:c r="G840" s="38" t="n">
        <x:v>101072</x:v>
      </x:c>
      <x:c r="H840" s="15" t="str">
        <x:v>Fuel / transport</x:v>
      </x:c>
      <x:c r="I840" s="15" t="str">
        <x:v>Marlothi Petrol Stat</x:v>
      </x:c>
      <x:c r="J840" s="15" t="str">
        <x:v>eml_ALL_currentac__512781 (2).zip &gt; eml3currentac__512781.zip / FNB _-) R200.00 reserved for purchase @ Marlothi Petrol Stat from Current a_c..512781 using card..2924. 16Apr 14_50.eml</x:v>
      </x:c>
    </x:row>
    <x:row r="841">
      <x:c r="A841" s="15" t="str">
        <x:v>Current a/c..512781 / card..2924</x:v>
      </x:c>
      <x:c r="B841" s="34" t="n">
        <x:v>46129.44375</x:v>
      </x:c>
      <x:c r="C841" s="15" t="str">
        <x:v>R228.85 reserved for purchase @ Paystack *zoho Co from Current a/c..512781 using card..2924. Avail R100649. 17Apr 10:39</x:v>
      </x:c>
      <x:c r="D841" s="38" t="n">
        <x:v>0</x:v>
      </x:c>
      <x:c r="E841" s="38" t="n">
        <x:v>228.85</x:v>
      </x:c>
      <x:c r="F841" s="38" t="n">
        <x:v>0</x:v>
      </x:c>
      <x:c r="G841" s="38" t="n">
        <x:v>100649</x:v>
      </x:c>
      <x:c r="H841" s="15" t="str">
        <x:v>Software / subscriptions</x:v>
      </x:c>
      <x:c r="I841" s="15" t="str">
        <x:v>Paystack *zoho Co</x:v>
      </x:c>
      <x:c r="J841" s="15" t="str">
        <x:v>eml_ALL_currentac__512781 (2).zip &gt; eml3currentac__512781.zip / FNB _-) R228.85 reserved for purchase @ Paystack _zoho Co from Current a_c..512781 using card..2924. 17Apr 10_39.eml</x:v>
      </x:c>
    </x:row>
    <x:row r="842">
      <x:c r="A842" s="15" t="str">
        <x:v>Current a/c..512781 / card..2924</x:v>
      </x:c>
      <x:c r="B842" s="34" t="n">
        <x:v>46130.47638888889</x:v>
      </x:c>
      <x:c r="C842" s="15" t="str">
        <x:v>R579.00 reserved for purchase @ Buco Komatipoort 116 from Current a/c..512781 using card..2924. Avail R99633. 18Apr 11:26</x:v>
      </x:c>
      <x:c r="D842" s="38" t="n">
        <x:v>0</x:v>
      </x:c>
      <x:c r="E842" s="38" t="n">
        <x:v>579</x:v>
      </x:c>
      <x:c r="F842" s="38" t="n">
        <x:v>0</x:v>
      </x:c>
      <x:c r="G842" s="38" t="n">
        <x:v>99633</x:v>
      </x:c>
      <x:c r="H842" s="15" t="str">
        <x:v>Supplier payments</x:v>
      </x:c>
      <x:c r="I842" s="15" t="str">
        <x:v>Buco Komatipoort 116</x:v>
      </x:c>
      <x:c r="J842" s="15" t="str">
        <x:v>eml_ALL_currentac__512781 (2).zip &gt; eml3currentac__512781.zip / FNB _-) R579.00 reserved for purchase @ Buco Komatipoort 116 from Current a_c..512781 using card..2924. 18Apr 11_26.eml</x:v>
      </x:c>
    </x:row>
    <x:row r="843">
      <x:c r="A843" s="15" t="str">
        <x:v>Current a/c..512781 / card..2924</x:v>
      </x:c>
      <x:c r="B843" s="34" t="n">
        <x:v>46130.509722222225</x:v>
      </x:c>
      <x:c r="C843" s="15" t="str">
        <x:v>R1093.90 reserved for purchase @ Superspar Komatipoor from Current a/c..512781 using card..2924. Avail R98539. 18Apr 12:14</x:v>
      </x:c>
      <x:c r="D843" s="38" t="n">
        <x:v>0</x:v>
      </x:c>
      <x:c r="E843" s="38" t="n">
        <x:v>1093.9</x:v>
      </x:c>
      <x:c r="F843" s="38" t="n">
        <x:v>0</x:v>
      </x:c>
      <x:c r="G843" s="38" t="n">
        <x:v>98539</x:v>
      </x:c>
      <x:c r="H843" s="15" t="str">
        <x:v>Supplier payments</x:v>
      </x:c>
      <x:c r="I843" s="15" t="str">
        <x:v>Superspar Komatipoor</x:v>
      </x:c>
      <x:c r="J843" s="15" t="str">
        <x:v>eml_ALL_currentac__512781 (2).zip &gt; eml3currentac__512781.zip / FNB _-) R1093.90 reserved for purchase @ Superspar Komatipoor from Current a_c..512781 using card..2924. 18Apr 12_14.eml</x:v>
      </x:c>
    </x:row>
    <x:row r="844">
      <x:c r="A844" s="15" t="str">
        <x:v>Current a/c..512781 / card..2924</x:v>
      </x:c>
      <x:c r="B844" s="34" t="n">
        <x:v>46131.555555555555</x:v>
      </x:c>
      <x:c r="C844" s="15" t="str">
        <x:v>R329.98 reserved for purchase @ Savemor Marloth from Current a/c..512781 using card..2924. Avail R98209. 19Apr 13:20</x:v>
      </x:c>
      <x:c r="D844" s="38" t="n">
        <x:v>0</x:v>
      </x:c>
      <x:c r="E844" s="38" t="n">
        <x:v>329.98</x:v>
      </x:c>
      <x:c r="F844" s="38" t="n">
        <x:v>0</x:v>
      </x:c>
      <x:c r="G844" s="38" t="n">
        <x:v>98209</x:v>
      </x:c>
      <x:c r="H844" s="15" t="str">
        <x:v>Supplier payments</x:v>
      </x:c>
      <x:c r="I844" s="15" t="str">
        <x:v>Savemor Marloth</x:v>
      </x:c>
      <x:c r="J844" s="15" t="str">
        <x:v>eml_ALL_currentac__512781 (2).zip &gt; eml3currentac__512781.zip / FNB _-) R329.98 reserved for purchase @ Savemor Marloth from Current a_c..512781 using card..2924. 19Apr 13_20.eml</x:v>
      </x:c>
    </x:row>
    <x:row r="845">
      <x:c r="A845" s="15" t="str">
        <x:v>Current a/c..512781 / card..2924</x:v>
      </x:c>
      <x:c r="B845" s="34" t="n">
        <x:v>46133.39444444444</x:v>
      </x:c>
      <x:c r="C845" s="15" t="str">
        <x:v>R2015.02 reserved for purchase @ Toppies Hardware 66 from Current a/c..512781 using card..2924. Avail R69340. 21Apr 09:28</x:v>
      </x:c>
      <x:c r="D845" s="38" t="n">
        <x:v>0</x:v>
      </x:c>
      <x:c r="E845" s="38" t="n">
        <x:v>2015.02</x:v>
      </x:c>
      <x:c r="F845" s="38" t="n">
        <x:v>0</x:v>
      </x:c>
      <x:c r="G845" s="38" t="n">
        <x:v>69340</x:v>
      </x:c>
      <x:c r="H845" s="15" t="str">
        <x:v>Supplier payments</x:v>
      </x:c>
      <x:c r="I845" s="15" t="str">
        <x:v>Toppies Hardware 66</x:v>
      </x:c>
      <x:c r="J845" s="15" t="str">
        <x:v>eml_ALL_currentac__512781 (2).zip &gt; eml3currentac__512781.zip / FNB _-) R2015.02 reserved for purchase @ Toppies Hardware 66 from Current a_c..512781 using card..2924. 21Apr 09_28.eml</x:v>
      </x:c>
    </x:row>
    <x:row r="846">
      <x:c r="A846" s="15" t="str">
        <x:v>Current a/c..512781 / card..2924</x:v>
      </x:c>
      <x:c r="B846" s="34" t="n">
        <x:v>46133.498611111114</x:v>
      </x:c>
      <x:c r="C846" s="15" t="str">
        <x:v>R1854.99 reserved for purchase @ Superspar Komatipoor from Current a/c..512781 using card..2924. Avail R67485. 21Apr 11:58</x:v>
      </x:c>
      <x:c r="D846" s="38" t="n">
        <x:v>0</x:v>
      </x:c>
      <x:c r="E846" s="38" t="n">
        <x:v>1854.99</x:v>
      </x:c>
      <x:c r="F846" s="38" t="n">
        <x:v>0</x:v>
      </x:c>
      <x:c r="G846" s="38" t="n">
        <x:v>67485</x:v>
      </x:c>
      <x:c r="H846" s="15" t="str">
        <x:v>Supplier payments</x:v>
      </x:c>
      <x:c r="I846" s="15" t="str">
        <x:v>Superspar Komatipoor</x:v>
      </x:c>
      <x:c r="J846" s="15" t="str">
        <x:v>eml_ALL_currentac__512781 (2).zip &gt; eml3currentac__512781.zip / FNB _-) R1854.99 reserved for purchase @ Superspar Komatipoor from Current a_c..512781 using card..2924. 21Apr 11_58.eml</x:v>
      </x:c>
    </x:row>
    <x:row r="847">
      <x:c r="A847" s="15" t="str">
        <x:v>Current a/c..512781 / card..2924</x:v>
      </x:c>
      <x:c r="B847" s="34" t="n">
        <x:v>46133.50347222222</x:v>
      </x:c>
      <x:c r="C847" s="15" t="str">
        <x:v>R194.97 reserved for purchase @ Tops Komatipoort from Current a/c..512781 using card..2924. Avail R67290. 21Apr 12:05</x:v>
      </x:c>
      <x:c r="D847" s="38" t="n">
        <x:v>0</x:v>
      </x:c>
      <x:c r="E847" s="38" t="n">
        <x:v>194.97</x:v>
      </x:c>
      <x:c r="F847" s="38" t="n">
        <x:v>0</x:v>
      </x:c>
      <x:c r="G847" s="38" t="n">
        <x:v>67290</x:v>
      </x:c>
      <x:c r="H847" s="15" t="str">
        <x:v>Meals / restaurants / entertainment</x:v>
      </x:c>
      <x:c r="I847" s="15" t="str">
        <x:v>Tops Komatipoort</x:v>
      </x:c>
      <x:c r="J847" s="15" t="str">
        <x:v>eml_ALL_currentac__512781 (2).zip &gt; eml3currentac__512781.zip / FNB _-) R194.97 reserved for purchase @ Tops Komatipoort from Current a_c..512781 using card..2924. 21Apr 12_05.eml</x:v>
      </x:c>
    </x:row>
    <x:row r="848">
      <x:c r="A848" s="15" t="str">
        <x:v>Current a/c..512781 / card..2924</x:v>
      </x:c>
      <x:c r="B848" s="34" t="n">
        <x:v>46134.63333333333</x:v>
      </x:c>
      <x:c r="C848" s="15" t="str">
        <x:v>R333.37 reserved for purchase @ Savemor Marloth from Current a/c..512781 using card..2924. Avail R53853. 22Apr 15:12</x:v>
      </x:c>
      <x:c r="D848" s="38" t="n">
        <x:v>0</x:v>
      </x:c>
      <x:c r="E848" s="38" t="n">
        <x:v>333.37</x:v>
      </x:c>
      <x:c r="F848" s="38" t="n">
        <x:v>0</x:v>
      </x:c>
      <x:c r="G848" s="38" t="n">
        <x:v>53853</x:v>
      </x:c>
      <x:c r="H848" s="15" t="str">
        <x:v>Supplier payments</x:v>
      </x:c>
      <x:c r="I848" s="15" t="str">
        <x:v>Savemor Marloth</x:v>
      </x:c>
      <x:c r="J848" s="15" t="str">
        <x:v>eml_ALL_currentac__512781 (2).zip &gt; eml3currentac__512781.zip / FNB _-) R333.37 reserved for purchase @ Savemor Marloth from Current a_c..512781 using card..2924. 22Apr 15_12.eml</x:v>
      </x:c>
    </x:row>
    <x:row r="849">
      <x:c r="A849" s="15" t="str">
        <x:v>Current a/c..512781 / card..2924</x:v>
      </x:c>
      <x:c r="B849" s="34" t="n">
        <x:v>46134.64791666667</x:v>
      </x:c>
      <x:c r="C849" s="15" t="str">
        <x:v>R200.00 reserved for purchase @ Marlothi Petrol Stat from Current a/c..512781 using card..2924. Avail R53653. 22Apr 15:33</x:v>
      </x:c>
      <x:c r="D849" s="38" t="n">
        <x:v>0</x:v>
      </x:c>
      <x:c r="E849" s="38" t="n">
        <x:v>200</x:v>
      </x:c>
      <x:c r="F849" s="38" t="n">
        <x:v>0</x:v>
      </x:c>
      <x:c r="G849" s="38" t="n">
        <x:v>53653</x:v>
      </x:c>
      <x:c r="H849" s="15" t="str">
        <x:v>Fuel / transport</x:v>
      </x:c>
      <x:c r="I849" s="15" t="str">
        <x:v>Marlothi Petrol Stat</x:v>
      </x:c>
      <x:c r="J849" s="15" t="str">
        <x:v>eml_ALL_currentac__512781 (2).zip &gt; eml3currentac__512781.zip / FNB _-) R200.00 reserved for purchase @ Marlothi Petrol Stat from Current a_c..512781 using card..2924. 22Apr 15_33.eml</x:v>
      </x:c>
    </x:row>
    <x:row r="850">
      <x:c r="A850" s="15" t="str">
        <x:v>Current a/c..512781 / card..2924</x:v>
      </x:c>
      <x:c r="B850" s="34" t="n">
        <x:v>46135.51527777778</x:v>
      </x:c>
      <x:c r="C850" s="15" t="str">
        <x:v>R831.04 reserved for purchase @ Shoprite Komatipoort from Current a/c..512781 using card..2924. Avail R59600. 23Apr 12:22</x:v>
      </x:c>
      <x:c r="D850" s="38" t="n">
        <x:v>0</x:v>
      </x:c>
      <x:c r="E850" s="38" t="n">
        <x:v>831.04</x:v>
      </x:c>
      <x:c r="F850" s="38" t="n">
        <x:v>0</x:v>
      </x:c>
      <x:c r="G850" s="38" t="n">
        <x:v>59600</x:v>
      </x:c>
      <x:c r="H850" s="15" t="str">
        <x:v>Supplier payments</x:v>
      </x:c>
      <x:c r="I850" s="15" t="str">
        <x:v>Shoprite Komatipoort</x:v>
      </x:c>
      <x:c r="J850" s="15" t="str">
        <x:v>eml_ALL_currentac__512781 (2).zip &gt; eml3currentac__512781.zip / FNB _-) R831.04 reserved for purchase @ Shoprite Komatipoort from Current a_c..512781 using card..2924. 23Apr 12_22.eml</x:v>
      </x:c>
    </x:row>
    <x:row r="851">
      <x:c r="A851" s="15" t="str">
        <x:v>Current a/c..512781 / card..2924</x:v>
      </x:c>
      <x:c r="B851" s="34" t="n">
        <x:v>46135.527083333334</x:v>
      </x:c>
      <x:c r="C851" s="15" t="str">
        <x:v>R304.29 reserved for purchase @ Agrico Pty Ltd from Current a/c..512781 using card..2924. Avail R54288. 23Apr 12:39</x:v>
      </x:c>
      <x:c r="D851" s="38" t="n">
        <x:v>0</x:v>
      </x:c>
      <x:c r="E851" s="38" t="n">
        <x:v>304.29</x:v>
      </x:c>
      <x:c r="F851" s="38" t="n">
        <x:v>0</x:v>
      </x:c>
      <x:c r="G851" s="38" t="n">
        <x:v>54288</x:v>
      </x:c>
      <x:c r="H851" s="15" t="str">
        <x:v>Supplier payments</x:v>
      </x:c>
      <x:c r="I851" s="15" t="str">
        <x:v>Agrico Pty Ltd</x:v>
      </x:c>
      <x:c r="J851" s="15" t="str">
        <x:v>eml_ALL_currentac__512781 (2).zip &gt; eml3currentac__512781.zip / FNB _-) R304.29 reserved for purchase @ Agrico Pty Ltd from Current a_c..512781 using card..2924. 23Apr 12_39.eml</x:v>
      </x:c>
    </x:row>
    <x:row r="852">
      <x:c r="A852" s="15" t="str">
        <x:v>Current a/c..512781 / card..2924</x:v>
      </x:c>
      <x:c r="B852" s="34" t="n">
        <x:v>46135.56319444445</x:v>
      </x:c>
      <x:c r="C852" s="15" t="str">
        <x:v>R273.99 reserved for purchase @ Tops Komatipoort from Current a/c..512781 using card..2924. Avail R53459. 23Apr 13:31</x:v>
      </x:c>
      <x:c r="D852" s="38" t="n">
        <x:v>0</x:v>
      </x:c>
      <x:c r="E852" s="38" t="n">
        <x:v>273.99</x:v>
      </x:c>
      <x:c r="F852" s="38" t="n">
        <x:v>0</x:v>
      </x:c>
      <x:c r="G852" s="38" t="n">
        <x:v>53459</x:v>
      </x:c>
      <x:c r="H852" s="15" t="str">
        <x:v>Meals / restaurants / entertainment</x:v>
      </x:c>
      <x:c r="I852" s="15" t="str">
        <x:v>Tops Komatipoort</x:v>
      </x:c>
      <x:c r="J852" s="15" t="str">
        <x:v>eml_ALL_currentac__512781 (2).zip &gt; eml3currentac__512781.zip / FNB _-) R273.99 reserved for purchase @ Tops Komatipoort from Current a_c..512781 using card..2924. 23Apr 13_31.eml</x:v>
      </x:c>
    </x:row>
    <x:row r="853">
      <x:c r="A853" s="15" t="str">
        <x:v>Current a/c..512781 / card..2924</x:v>
      </x:c>
      <x:c r="B853" s="34" t="n">
        <x:v>46135.83611111111</x:v>
      </x:c>
      <x:c r="C853" s="15" t="str">
        <x:v>R503.00 reserved for purchase @ The Tin Shack from Current a/c..512781 using card..2924. Avail R52956. 23Apr 20:04</x:v>
      </x:c>
      <x:c r="D853" s="38" t="n">
        <x:v>0</x:v>
      </x:c>
      <x:c r="E853" s="38" t="n">
        <x:v>503</x:v>
      </x:c>
      <x:c r="F853" s="38" t="n">
        <x:v>0</x:v>
      </x:c>
      <x:c r="G853" s="38" t="n">
        <x:v>52956</x:v>
      </x:c>
      <x:c r="H853" s="15" t="str">
        <x:v>Meals / restaurants / entertainment</x:v>
      </x:c>
      <x:c r="I853" s="15" t="str">
        <x:v>The Tin Shack</x:v>
      </x:c>
      <x:c r="J853" s="15" t="str">
        <x:v>eml_ALL_currentac__512781 (2).zip &gt; eml3currentac__512781.zip / FNB _-) R503.00 reserved for purchase @ The Tin Shack from Current a_c..512781 using card..2924. 23Apr 20_04.eml</x:v>
      </x:c>
    </x:row>
    <x:row r="854">
      <x:c r="A854" s="15" t="str">
        <x:v>Current a/c..512781 / card..2924</x:v>
      </x:c>
      <x:c r="B854" s="34" t="n">
        <x:v>46136.62291666667</x:v>
      </x:c>
      <x:c r="C854" s="15" t="str">
        <x:v>R269.99 reserved for purchase @ Savemor Marloth from Current a/c..512781 using card..2924. Avail R52659. 24Apr 14:57</x:v>
      </x:c>
      <x:c r="D854" s="38" t="n">
        <x:v>0</x:v>
      </x:c>
      <x:c r="E854" s="38" t="n">
        <x:v>269.99</x:v>
      </x:c>
      <x:c r="F854" s="38" t="n">
        <x:v>0</x:v>
      </x:c>
      <x:c r="G854" s="38" t="n">
        <x:v>52659</x:v>
      </x:c>
      <x:c r="H854" s="15" t="str">
        <x:v>Supplier payments</x:v>
      </x:c>
      <x:c r="I854" s="15" t="str">
        <x:v>Savemor Marloth</x:v>
      </x:c>
      <x:c r="J854" s="15" t="str">
        <x:v>eml_ALL_currentac__512781 (2).zip &gt; eml3currentac__512781.zip / FNB _-) R269.99 reserved for purchase @ Savemor Marloth from Current a_c..512781 using card..2924. 24Apr 14_57.eml</x:v>
      </x:c>
    </x:row>
    <x:row r="855">
      <x:c r="A855" s="15" t="str">
        <x:v>Current a/c..512781 / card..2924</x:v>
      </x:c>
      <x:c r="B855" s="34" t="n">
        <x:v>46137.493055555555</x:v>
      </x:c>
      <x:c r="C855" s="15" t="str">
        <x:v>R523.48 reserved for purchase @ Shoprite Komatipoort from Current a/c..512781 using card..2924. Avail R49611. 25Apr 11:50</x:v>
      </x:c>
      <x:c r="D855" s="38" t="n">
        <x:v>0</x:v>
      </x:c>
      <x:c r="E855" s="38" t="n">
        <x:v>523.48</x:v>
      </x:c>
      <x:c r="F855" s="38" t="n">
        <x:v>0</x:v>
      </x:c>
      <x:c r="G855" s="38" t="n">
        <x:v>49611</x:v>
      </x:c>
      <x:c r="H855" s="15" t="str">
        <x:v>Supplier payments</x:v>
      </x:c>
      <x:c r="I855" s="15" t="str">
        <x:v>Shoprite Komatipoort</x:v>
      </x:c>
      <x:c r="J855" s="15" t="str">
        <x:v>eml_ALL_currentac__512781 (2).zip &gt; eml3currentac__512781.zip / FNB _-) R523.48 reserved for purchase @ Shoprite Komatipoort from Current a_c..512781 using card..2924. 25Apr 11_50.eml</x:v>
      </x:c>
    </x:row>
    <x:row r="856">
      <x:c r="A856" s="15" t="str">
        <x:v>Current a/c..512781 / card..2924</x:v>
      </x:c>
      <x:c r="B856" s="34" t="n">
        <x:v>46137.51875</x:v>
      </x:c>
      <x:c r="C856" s="15" t="str">
        <x:v>R431.53 reserved for purchase @ Superspar Komatipoor from Current a/c..512781 using card..2924. Avail R49179. 25Apr 12:27</x:v>
      </x:c>
      <x:c r="D856" s="38" t="n">
        <x:v>0</x:v>
      </x:c>
      <x:c r="E856" s="38" t="n">
        <x:v>431.53</x:v>
      </x:c>
      <x:c r="F856" s="38" t="n">
        <x:v>0</x:v>
      </x:c>
      <x:c r="G856" s="38" t="n">
        <x:v>49179</x:v>
      </x:c>
      <x:c r="H856" s="15" t="str">
        <x:v>Supplier payments</x:v>
      </x:c>
      <x:c r="I856" s="15" t="str">
        <x:v>Superspar Komatipoor</x:v>
      </x:c>
      <x:c r="J856" s="15" t="str">
        <x:v>eml_ALL_currentac__512781 (2).zip &gt; eml3currentac__512781.zip / FNB _-) R431.53 reserved for purchase @ Superspar Komatipoor from Current a_c..512781 using card..2924. 25Apr 12_27.eml</x:v>
      </x:c>
    </x:row>
    <x:row r="857">
      <x:c r="A857" s="15" t="str">
        <x:v>Current a/c..512781 / card..2924</x:v>
      </x:c>
      <x:c r="B857" s="34" t="n">
        <x:v>46137.52777777778</x:v>
      </x:c>
      <x:c r="C857" s="15" t="str">
        <x:v>R267.86 reserved for purchase @ The Crazy Store Koma from Current a/c..512781 using card..2924. Avail R48912. 25Apr 12:40</x:v>
      </x:c>
      <x:c r="D857" s="38" t="n">
        <x:v>0</x:v>
      </x:c>
      <x:c r="E857" s="38" t="n">
        <x:v>267.86</x:v>
      </x:c>
      <x:c r="F857" s="38" t="n">
        <x:v>0</x:v>
      </x:c>
      <x:c r="G857" s="38" t="n">
        <x:v>48912</x:v>
      </x:c>
      <x:c r="H857" s="15" t="str">
        <x:v>Card spend</x:v>
      </x:c>
      <x:c r="I857" s="15" t="str">
        <x:v>The Crazy Store Koma</x:v>
      </x:c>
      <x:c r="J857" s="15" t="str">
        <x:v>eml_ALL_currentac__512781 (2).zip &gt; eml3currentac__512781.zip / FNB _-) R267.86 reserved for purchase @ The Crazy Store Koma from Current a_c..512781 using card..2924. 25Apr 12_40.eml</x:v>
      </x:c>
    </x:row>
    <x:row r="858">
      <x:c r="A858" s="15" t="str">
        <x:v>Current a/c..512781 / card..2924</x:v>
      </x:c>
      <x:c r="B858" s="34" t="n">
        <x:v>46137.53055555555</x:v>
      </x:c>
      <x:c r="C858" s="15" t="str">
        <x:v>R241.46 reserved for purchase @ Tops Komatipoort from Current a/c..512781 using card..2924. Avail R48670. 25Apr 12:44</x:v>
      </x:c>
      <x:c r="D858" s="38" t="n">
        <x:v>0</x:v>
      </x:c>
      <x:c r="E858" s="38" t="n">
        <x:v>241.46</x:v>
      </x:c>
      <x:c r="F858" s="38" t="n">
        <x:v>0</x:v>
      </x:c>
      <x:c r="G858" s="38" t="n">
        <x:v>48670</x:v>
      </x:c>
      <x:c r="H858" s="15" t="str">
        <x:v>Meals / restaurants / entertainment</x:v>
      </x:c>
      <x:c r="I858" s="15" t="str">
        <x:v>Tops Komatipoort</x:v>
      </x:c>
      <x:c r="J858" s="15" t="str">
        <x:v>eml_ALL_currentac__512781 (2).zip &gt; eml3currentac__512781.zip / FNB _-) R241.46 reserved for purchase @ Tops Komatipoort from Current a_c..512781 using card..2924. 25Apr 12_44.eml</x:v>
      </x:c>
    </x:row>
    <x:row r="859">
      <x:c r="A859" s="15" t="str">
        <x:v>Current a/c..512781 / card..2924</x:v>
      </x:c>
      <x:c r="B859" s="34" t="n">
        <x:v>46137.729166666664</x:v>
      </x:c>
      <x:c r="C859" s="15" t="str">
        <x:v>R102.95 reserved for purchase @ Savemor Marloth from Current a/c..512781 using card..2924. Avail R48567. 25Apr 17:30</x:v>
      </x:c>
      <x:c r="D859" s="38" t="n">
        <x:v>0</x:v>
      </x:c>
      <x:c r="E859" s="38" t="n">
        <x:v>102.95</x:v>
      </x:c>
      <x:c r="F859" s="38" t="n">
        <x:v>0</x:v>
      </x:c>
      <x:c r="G859" s="38" t="n">
        <x:v>48567</x:v>
      </x:c>
      <x:c r="H859" s="15" t="str">
        <x:v>Supplier payments</x:v>
      </x:c>
      <x:c r="I859" s="15" t="str">
        <x:v>Savemor Marloth</x:v>
      </x:c>
      <x:c r="J859" s="15" t="str">
        <x:v>eml_ALL_currentac__512781 (2).zip &gt; eml3currentac__512781.zip / FNB _-) R102.95 reserved for purchase @ Savemor Marloth from Current a_c..512781 using card..2924. 25Apr 17_30.eml</x:v>
      </x:c>
    </x:row>
    <x:row r="860">
      <x:c r="A860" s="15" t="str">
        <x:v>Current a/c..512781 / card..2924</x:v>
      </x:c>
      <x:c r="B860" s="34" t="n">
        <x:v>46138.55902777778</x:v>
      </x:c>
      <x:c r="C860" s="15" t="str">
        <x:v>R616.97 reserved for purchase @ Savemor Marloth from Current a/c..512781 using card..2924. Avail R47881. 26Apr 13:25</x:v>
      </x:c>
      <x:c r="D860" s="38" t="n">
        <x:v>0</x:v>
      </x:c>
      <x:c r="E860" s="38" t="n">
        <x:v>616.97</x:v>
      </x:c>
      <x:c r="F860" s="38" t="n">
        <x:v>0</x:v>
      </x:c>
      <x:c r="G860" s="38" t="n">
        <x:v>47881</x:v>
      </x:c>
      <x:c r="H860" s="15" t="str">
        <x:v>Supplier payments</x:v>
      </x:c>
      <x:c r="I860" s="15" t="str">
        <x:v>Savemor Marloth</x:v>
      </x:c>
      <x:c r="J860" s="15" t="str">
        <x:v>eml_ALL_currentac__512781 (2).zip &gt; eml3currentac__512781.zip / FNB _-) R616.97 reserved for purchase @ Savemor Marloth from Current a_c..512781 using card..2924. 26Apr 13_25.eml</x:v>
      </x:c>
    </x:row>
    <x:row r="861">
      <x:c r="A861" s="15" t="str">
        <x:v>Current a/c..512781 / card..2924</x:v>
      </x:c>
      <x:c r="B861" s="34" t="n">
        <x:v>46139.30347222222</x:v>
      </x:c>
      <x:c r="C861" s="15" t="str">
        <x:v>R200.00 reserved for purchase @ Marlothi Petrol Stat from Current a/c..512781 using card..2924. Avail R47681. 27Apr 07:17</x:v>
      </x:c>
      <x:c r="D861" s="38" t="n">
        <x:v>0</x:v>
      </x:c>
      <x:c r="E861" s="38" t="n">
        <x:v>200</x:v>
      </x:c>
      <x:c r="F861" s="38" t="n">
        <x:v>0</x:v>
      </x:c>
      <x:c r="G861" s="38" t="n">
        <x:v>47681</x:v>
      </x:c>
      <x:c r="H861" s="15" t="str">
        <x:v>Fuel / transport</x:v>
      </x:c>
      <x:c r="I861" s="15" t="str">
        <x:v>Marlothi Petrol Stat</x:v>
      </x:c>
      <x:c r="J861" s="15" t="str">
        <x:v>eml_ALL_currentac__512781 (2).zip &gt; eml3currentac__512781.zip / FNB _-) R200.00 reserved for purchase @ Marlothi Petrol Stat from Current a_c..512781 using card..2924. 27Apr 07_17.eml</x:v>
      </x:c>
    </x:row>
    <x:row r="862">
      <x:c r="A862" s="15" t="str">
        <x:v>Current a/c..512781 / card..2924</x:v>
      </x:c>
      <x:c r="B862" s="34" t="n">
        <x:v>46140.563888888886</x:v>
      </x:c>
      <x:c r="C862" s="15" t="str">
        <x:v>R567.74 reserved for purchase @ Superspar Komatipoor from Current a/c..512781 using card..2924. Avail R71454. 28Apr 13:32</x:v>
      </x:c>
      <x:c r="D862" s="38" t="n">
        <x:v>0</x:v>
      </x:c>
      <x:c r="E862" s="38" t="n">
        <x:v>567.74</x:v>
      </x:c>
      <x:c r="F862" s="38" t="n">
        <x:v>0</x:v>
      </x:c>
      <x:c r="G862" s="38" t="n">
        <x:v>71454</x:v>
      </x:c>
      <x:c r="H862" s="15" t="str">
        <x:v>Supplier payments</x:v>
      </x:c>
      <x:c r="I862" s="15" t="str">
        <x:v>Superspar Komatipoor</x:v>
      </x:c>
      <x:c r="J862" s="15" t="str">
        <x:v>eml_ALL_currentac__512781 (2).zip &gt; eml3currentac__512781.zip / FNB _-) R567.74 reserved for purchase @ Superspar Komatipoor from Current a_c..512781 using card..2924. 28Apr 13_32.eml</x:v>
      </x:c>
    </x:row>
    <x:row r="863">
      <x:c r="A863" s="15" t="str">
        <x:v>Current a/c..512781 / card..2924</x:v>
      </x:c>
      <x:c r="B863" s="34" t="n">
        <x:v>46140.592361111114</x:v>
      </x:c>
      <x:c r="C863" s="15" t="str">
        <x:v>R177.07 reserved for purchase @ Shoprite Komatipoort from Current a/c..512781 using card..2924. Avail R73472. 28Apr 14:13</x:v>
      </x:c>
      <x:c r="D863" s="38" t="n">
        <x:v>0</x:v>
      </x:c>
      <x:c r="E863" s="38" t="n">
        <x:v>177.07</x:v>
      </x:c>
      <x:c r="F863" s="38" t="n">
        <x:v>0</x:v>
      </x:c>
      <x:c r="G863" s="38" t="n">
        <x:v>73472</x:v>
      </x:c>
      <x:c r="H863" s="15" t="str">
        <x:v>Supplier payments</x:v>
      </x:c>
      <x:c r="I863" s="15" t="str">
        <x:v>Shoprite Komatipoort</x:v>
      </x:c>
      <x:c r="J863" s="15" t="str">
        <x:v>eml_ALL_currentac__512781 (2).zip &gt; eml3currentac__512781.zip / FNB _-) R177.07 reserved for purchase @ Shoprite Komatipoort from Current a_c..512781 using card..2924. 28Apr 14_13.eml</x:v>
      </x:c>
    </x:row>
    <x:row r="864">
      <x:c r="A864" s="15" t="str">
        <x:v>Current a/c..512781 / card..2924</x:v>
      </x:c>
      <x:c r="B864" s="34" t="n">
        <x:v>46140.603472222225</x:v>
      </x:c>
      <x:c r="C864" s="15" t="str">
        <x:v>R125.00 reserved for purchase @ Yoco *locksmart Pt from Current a/c..512781 using card..2924. Avail R73347. 28Apr 14:29</x:v>
      </x:c>
      <x:c r="D864" s="38" t="n">
        <x:v>0</x:v>
      </x:c>
      <x:c r="E864" s="38" t="n">
        <x:v>125</x:v>
      </x:c>
      <x:c r="F864" s="38" t="n">
        <x:v>0</x:v>
      </x:c>
      <x:c r="G864" s="38" t="n">
        <x:v>73347</x:v>
      </x:c>
      <x:c r="H864" s="15" t="str">
        <x:v>Card spend</x:v>
      </x:c>
      <x:c r="I864" s="15" t="str">
        <x:v>Yoco *locksmart Pt</x:v>
      </x:c>
      <x:c r="J864" s="15" t="str">
        <x:v>eml_ALL_currentac__512781 (2).zip &gt; eml3currentac__512781.zip / FNB _-) R125.00 reserved for purchase @ Yoco _locksmart Pt from Current a_c..512781 using card..2924. 28Apr 14_29.eml</x:v>
      </x:c>
    </x:row>
    <x:row r="865">
      <x:c r="A865" s="15" t="str">
        <x:v>Current a/c..512781 / card..2924</x:v>
      </x:c>
      <x:c r="B865" s="34" t="n">
        <x:v>46141.540972222225</x:v>
      </x:c>
      <x:c r="C865" s="15" t="str">
        <x:v>R189.98 reserved for purchase @ Toppies Hardware 66 from Current a/c..512781 using card..2924. Avail R72729. 29Apr 12:59</x:v>
      </x:c>
      <x:c r="D865" s="38" t="n">
        <x:v>0</x:v>
      </x:c>
      <x:c r="E865" s="38" t="n">
        <x:v>189.98</x:v>
      </x:c>
      <x:c r="F865" s="38" t="n">
        <x:v>0</x:v>
      </x:c>
      <x:c r="G865" s="38" t="n">
        <x:v>72729</x:v>
      </x:c>
      <x:c r="H865" s="15" t="str">
        <x:v>Supplier payments</x:v>
      </x:c>
      <x:c r="I865" s="15" t="str">
        <x:v>Toppies Hardware 66</x:v>
      </x:c>
      <x:c r="J865" s="15" t="str">
        <x:v>eml_ALL_currentac__512781 (2).zip &gt; eml3currentac__512781.zip / FNB _-) R189.98 reserved for purchase @ Toppies Hardware 66 from Current a_c..512781 using card..2924. 29Apr 12_59.eml</x:v>
      </x:c>
    </x:row>
    <x:row r="866">
      <x:c r="A866" s="15" t="str">
        <x:v>Current a/c..512781 / card..2924</x:v>
      </x:c>
      <x:c r="B866" s="34" t="n">
        <x:v>46141.64513888889</x:v>
      </x:c>
      <x:c r="C866" s="15" t="str">
        <x:v>R283.98 reserved for purchase @ Savemor Marloth from Current a/c..512781 using card..2924. Avail R91477. 29Apr 15:29</x:v>
      </x:c>
      <x:c r="D866" s="38" t="n">
        <x:v>0</x:v>
      </x:c>
      <x:c r="E866" s="38" t="n">
        <x:v>283.98</x:v>
      </x:c>
      <x:c r="F866" s="38" t="n">
        <x:v>0</x:v>
      </x:c>
      <x:c r="G866" s="38" t="n">
        <x:v>91477</x:v>
      </x:c>
      <x:c r="H866" s="15" t="str">
        <x:v>Supplier payments</x:v>
      </x:c>
      <x:c r="I866" s="15" t="str">
        <x:v>Savemor Marloth</x:v>
      </x:c>
      <x:c r="J866" s="15" t="str">
        <x:v>eml_ALL_currentac__512781 (2).zip &gt; eml3currentac__512781.zip / FNB _-) R283.98 reserved for purchase @ Savemor Marloth from Current a_c..512781 using card..2924. 29Apr 15_29.eml</x:v>
      </x:c>
    </x:row>
    <x:row r="867">
      <x:c r="A867" s="15" t="str">
        <x:v>Current a/c..512781 / card..2924</x:v>
      </x:c>
      <x:c r="B867" s="34" t="n">
        <x:v>46142.495833333334</x:v>
      </x:c>
      <x:c r="C867" s="15" t="str">
        <x:v>R428.98 reserved for purchase @ Pep 5668 Malelane from Current a/c..512781 using card..2924. Avail R102108. 30Apr 11:54</x:v>
      </x:c>
      <x:c r="D867" s="38" t="n">
        <x:v>0</x:v>
      </x:c>
      <x:c r="E867" s="38" t="n">
        <x:v>428.98</x:v>
      </x:c>
      <x:c r="F867" s="38" t="n">
        <x:v>0</x:v>
      </x:c>
      <x:c r="G867" s="38" t="n">
        <x:v>102108</x:v>
      </x:c>
      <x:c r="H867" s="15" t="str">
        <x:v>Supplier payments</x:v>
      </x:c>
      <x:c r="I867" s="15" t="str">
        <x:v>Pep 5668 Malelane</x:v>
      </x:c>
      <x:c r="J867" s="15" t="str">
        <x:v>eml_ALL_currentac__512781 (2).zip &gt; eml3currentac__512781.zip / FNB _-) R428.98 reserved for purchase @ Pep 5668 Malelane from Current a_c..512781 using card..2924. 30Apr 11_54.eml</x:v>
      </x:c>
    </x:row>
    <x:row r="868">
      <x:c r="A868" s="15" t="str">
        <x:v>Current a/c..512781 / card..2924</x:v>
      </x:c>
      <x:c r="B868" s="34" t="n">
        <x:v>46142.54236111111</x:v>
      </x:c>
      <x:c r="C868" s="15" t="str">
        <x:v>R668.78 reserved for purchase @ Shoprite Malelane from Current a/c..512781 using card..2924. Avail R73395. 30Apr 13:01</x:v>
      </x:c>
      <x:c r="D868" s="38" t="n">
        <x:v>0</x:v>
      </x:c>
      <x:c r="E868" s="38" t="n">
        <x:v>668.78</x:v>
      </x:c>
      <x:c r="F868" s="38" t="n">
        <x:v>0</x:v>
      </x:c>
      <x:c r="G868" s="38" t="n">
        <x:v>73395</x:v>
      </x:c>
      <x:c r="H868" s="15" t="str">
        <x:v>Supplier payments</x:v>
      </x:c>
      <x:c r="I868" s="15" t="str">
        <x:v>Shoprite Malelane</x:v>
      </x:c>
      <x:c r="J868" s="15" t="str">
        <x:v>eml_ALL_currentac__512781 (2).zip &gt; eml3currentac__512781.zip / FNB _-) R668.78 reserved for purchase @ Shoprite Malelane from Current a_c..512781 using card..2924. 30Apr 13_01.eml</x:v>
      </x:c>
    </x:row>
    <x:row r="869">
      <x:c r="A869" s="15" t="str">
        <x:v>Current a/c..512781 / card..2924</x:v>
      </x:c>
      <x:c r="B869" s="34" t="n">
        <x:v>46142.56736111111</x:v>
      </x:c>
      <x:c r="C869" s="15" t="str">
        <x:v>R1098.88 reserved for purchase @ Woolworths from Current a/c..512781 using card..2924. Avail R72296. 30Apr 13:37</x:v>
      </x:c>
      <x:c r="D869" s="38" t="n">
        <x:v>0</x:v>
      </x:c>
      <x:c r="E869" s="38" t="n">
        <x:v>1098.88</x:v>
      </x:c>
      <x:c r="F869" s="38" t="n">
        <x:v>0</x:v>
      </x:c>
      <x:c r="G869" s="38" t="n">
        <x:v>72296</x:v>
      </x:c>
      <x:c r="H869" s="15" t="str">
        <x:v>Supplier payments</x:v>
      </x:c>
      <x:c r="I869" s="15" t="str">
        <x:v>Woolworths</x:v>
      </x:c>
      <x:c r="J869" s="15" t="str">
        <x:v>eml_ALL_currentac__512781 (2).zip &gt; eml3currentac__512781.zip / FNB _-) R1098.88 reserved for purchase @ Woolworths from Current a_c..512781 using card..2924. 30Apr 13_37.eml</x:v>
      </x:c>
    </x:row>
    <x:row r="870">
      <x:c r="A870" s="15" t="str">
        <x:v>Current a/c..512781 / card..2924</x:v>
      </x:c>
      <x:c r="B870" s="34" t="n">
        <x:v>46142.60138888889</x:v>
      </x:c>
      <x:c r="C870" s="15" t="str">
        <x:v>R1022.89 reserved for purchase @ Superspar Malelane from Current a/c..512781 using card..2924. Avail R71273. 30Apr 14:26</x:v>
      </x:c>
      <x:c r="D870" s="38" t="n">
        <x:v>0</x:v>
      </x:c>
      <x:c r="E870" s="38" t="n">
        <x:v>1022.89</x:v>
      </x:c>
      <x:c r="F870" s="38" t="n">
        <x:v>0</x:v>
      </x:c>
      <x:c r="G870" s="38" t="n">
        <x:v>71273</x:v>
      </x:c>
      <x:c r="H870" s="15" t="str">
        <x:v>Supplier payments</x:v>
      </x:c>
      <x:c r="I870" s="15" t="str">
        <x:v>Superspar Malelane</x:v>
      </x:c>
      <x:c r="J870" s="15" t="str">
        <x:v>eml_ALL_currentac__512781 (2).zip &gt; eml3currentac__512781.zip / FNB _-) R1022.89 reserved for purchase @ Superspar Malelane from Current a_c..512781 using card..2924. 30Apr 14_26.eml</x:v>
      </x:c>
    </x:row>
    <x:row r="871">
      <x:c r="A871" s="15" t="str">
        <x:v>Current a/c..512781 / card..2924</x:v>
      </x:c>
      <x:c r="B871" s="34" t="n">
        <x:v>46142.618055555555</x:v>
      </x:c>
      <x:c r="C871" s="15" t="str">
        <x:v>R721.96 reserved for purchase @ Tops Malelane from Current a/c..512781 using card..2924. Avail R70551. 30Apr 14:50</x:v>
      </x:c>
      <x:c r="D871" s="38" t="n">
        <x:v>0</x:v>
      </x:c>
      <x:c r="E871" s="38" t="n">
        <x:v>721.96</x:v>
      </x:c>
      <x:c r="F871" s="38" t="n">
        <x:v>0</x:v>
      </x:c>
      <x:c r="G871" s="38" t="n">
        <x:v>70551</x:v>
      </x:c>
      <x:c r="H871" s="15" t="str">
        <x:v>Meals / restaurants / entertainment</x:v>
      </x:c>
      <x:c r="I871" s="15" t="str">
        <x:v>Tops Malelane</x:v>
      </x:c>
      <x:c r="J871" s="15" t="str">
        <x:v>eml_ALL_currentac__512781 (2).zip &gt; eml3currentac__512781.zip / FNB _-) R721.96 reserved for purchase @ Tops Malelane from Current a_c..512781 using card..2924. 30Apr 14_50.eml</x:v>
      </x:c>
    </x:row>
    <x:row r="872">
      <x:c r="A872" s="15" t="str">
        <x:v>Current a/c..512781 / card..2924</x:v>
      </x:c>
      <x:c r="B872" s="34" t="n">
        <x:v>46142.64861111111</x:v>
      </x:c>
      <x:c r="C872" s="15" t="str">
        <x:v>R200.00 reserved for purchase @ Engen Hectorspruit from Current a/c..512781 using card..2924. Avail R70251. 30Apr 15:34</x:v>
      </x:c>
      <x:c r="D872" s="38" t="n">
        <x:v>0</x:v>
      </x:c>
      <x:c r="E872" s="38" t="n">
        <x:v>200</x:v>
      </x:c>
      <x:c r="F872" s="38" t="n">
        <x:v>0</x:v>
      </x:c>
      <x:c r="G872" s="38" t="n">
        <x:v>70251</x:v>
      </x:c>
      <x:c r="H872" s="15" t="str">
        <x:v>Fuel / transport</x:v>
      </x:c>
      <x:c r="I872" s="15" t="str">
        <x:v>Engen Hectorspruit</x:v>
      </x:c>
      <x:c r="J872" s="15" t="str">
        <x:v>eml_ALL_currentac__512781 (2).zip &gt; eml3currentac__512781.zip / FNB _-) R200.00 reserved for purchase @ Engen Hectorspruit from Current a_c..512781 using card..2924. 30Apr 15_34.eml</x:v>
      </x:c>
    </x:row>
    <x:row r="873">
      <x:c r="A873" s="15" t="str">
        <x:v>Current a/c..512781 / card..2924</x:v>
      </x:c>
      <x:c r="B873" s="34" t="n">
        <x:v>46143.55069444444</x:v>
      </x:c>
      <x:c r="C873" s="15" t="str">
        <x:v>R112.77 reserved for purchase @ Savemor Marloth from Current a/c..512781 using card..2924. Avail R44727. 1May 13:13</x:v>
      </x:c>
      <x:c r="D873" s="38" t="n">
        <x:v>0</x:v>
      </x:c>
      <x:c r="E873" s="38" t="n">
        <x:v>112.77</x:v>
      </x:c>
      <x:c r="F873" s="38" t="n">
        <x:v>0</x:v>
      </x:c>
      <x:c r="G873" s="38" t="n">
        <x:v>44727</x:v>
      </x:c>
      <x:c r="H873" s="15" t="str">
        <x:v>Supplier payments</x:v>
      </x:c>
      <x:c r="I873" s="15" t="str">
        <x:v>Savemor Marloth</x:v>
      </x:c>
      <x:c r="J873" s="15" t="str">
        <x:v>eml_ALL_currentac__512781 (2).zip &gt; eml3currentac__512781.zip / FNB _-) R112.77 reserved for purchase @ Savemor Marloth from Current a_c..512781 using card..2924.  1May 13_13.eml</x:v>
      </x:c>
    </x:row>
    <x:row r="874">
      <x:c r="A874" s="15" t="str">
        <x:v>Current a/c..512781 / card..2924</x:v>
      </x:c>
      <x:c r="B874" s="34" t="n">
        <x:v>46144.51944444444</x:v>
      </x:c>
      <x:c r="C874" s="15" t="str">
        <x:v>R267.50 reserved for purchase @ Komati Pharmacy from Current a/c..512781 using card..2924. Avail R44459. 2May 12:28</x:v>
      </x:c>
      <x:c r="D874" s="38" t="n">
        <x:v>0</x:v>
      </x:c>
      <x:c r="E874" s="38" t="n">
        <x:v>267.5</x:v>
      </x:c>
      <x:c r="F874" s="38" t="n">
        <x:v>0</x:v>
      </x:c>
      <x:c r="G874" s="38" t="n">
        <x:v>44459</x:v>
      </x:c>
      <x:c r="H874" s="15" t="str">
        <x:v>Supplier payments</x:v>
      </x:c>
      <x:c r="I874" s="15" t="str">
        <x:v>Komati Pharmacy</x:v>
      </x:c>
      <x:c r="J874" s="15" t="str">
        <x:v>eml_ALL_currentac__512781 (2).zip &gt; eml3currentac__512781.zip / FNB _-) R267.50 reserved for purchase @ Komati Pharmacy from Current a_c..512781 using card..2924.  2May 12_28.eml</x:v>
      </x:c>
    </x:row>
    <x:row r="875">
      <x:c r="A875" s="15" t="str">
        <x:v>Current a/c..512781 / card..2924</x:v>
      </x:c>
      <x:c r="B875" s="34" t="n">
        <x:v>46144.54722222222</x:v>
      </x:c>
      <x:c r="C875" s="15" t="str">
        <x:v>R856.06 reserved for purchase @ Superspar Komatipoor from Current a/c..512781 using card..2924. Avail R43603. 2May 13:08</x:v>
      </x:c>
      <x:c r="D875" s="38" t="n">
        <x:v>0</x:v>
      </x:c>
      <x:c r="E875" s="38" t="n">
        <x:v>856.06</x:v>
      </x:c>
      <x:c r="F875" s="38" t="n">
        <x:v>0</x:v>
      </x:c>
      <x:c r="G875" s="38" t="n">
        <x:v>43603</x:v>
      </x:c>
      <x:c r="H875" s="15" t="str">
        <x:v>Supplier payments</x:v>
      </x:c>
      <x:c r="I875" s="15" t="str">
        <x:v>Superspar Komatipoor</x:v>
      </x:c>
      <x:c r="J875" s="15" t="str">
        <x:v>eml_ALL_currentac__512781 (2).zip &gt; eml3currentac__512781.zip / FNB _-) R856.06 reserved for purchase @ Superspar Komatipoor from Current a_c..512781 using card..2924.  2May 13_08.eml</x:v>
      </x:c>
    </x:row>
    <x:row r="876">
      <x:c r="A876" s="15" t="str">
        <x:v>Current a/c..512781 / card..2924</x:v>
      </x:c>
      <x:c r="B876" s="34" t="n">
        <x:v>46144.55138888889</x:v>
      </x:c>
      <x:c r="C876" s="15" t="str">
        <x:v>R269.99 reserved for purchase @ Tops Komatipoort from Current a/c..512781 using card..2924. Avail R43333. 2May 13:14</x:v>
      </x:c>
      <x:c r="D876" s="38" t="n">
        <x:v>0</x:v>
      </x:c>
      <x:c r="E876" s="38" t="n">
        <x:v>269.99</x:v>
      </x:c>
      <x:c r="F876" s="38" t="n">
        <x:v>0</x:v>
      </x:c>
      <x:c r="G876" s="38" t="n">
        <x:v>43333</x:v>
      </x:c>
      <x:c r="H876" s="15" t="str">
        <x:v>Meals / restaurants / entertainment</x:v>
      </x:c>
      <x:c r="I876" s="15" t="str">
        <x:v>Tops Komatipoort</x:v>
      </x:c>
      <x:c r="J876" s="15" t="str">
        <x:v>eml_ALL_currentac__512781 (2).zip &gt; eml3currentac__512781.zip / FNB _-) R269.99 reserved for purchase @ Tops Komatipoort from Current a_c..512781 using card..2924.  2May 13_14.eml</x:v>
      </x:c>
    </x:row>
    <x:row r="877">
      <x:c r="A877" s="15" t="str">
        <x:v>Current a/c..512781 / card..2924</x:v>
      </x:c>
      <x:c r="B877" s="34" t="n">
        <x:v>46144.566666666666</x:v>
      </x:c>
      <x:c r="C877" s="15" t="str">
        <x:v>R211.94 reserved for purchase @ Pep Home 5771 Komati from Current a/c..512781 using card..2924. Avail R43121. 2May 13:36</x:v>
      </x:c>
      <x:c r="D877" s="38" t="n">
        <x:v>0</x:v>
      </x:c>
      <x:c r="E877" s="38" t="n">
        <x:v>211.94</x:v>
      </x:c>
      <x:c r="F877" s="38" t="n">
        <x:v>0</x:v>
      </x:c>
      <x:c r="G877" s="38" t="n">
        <x:v>43121</x:v>
      </x:c>
      <x:c r="H877" s="15" t="str">
        <x:v>Supplier payments</x:v>
      </x:c>
      <x:c r="I877" s="15" t="str">
        <x:v>Pep Home 5771 Komati</x:v>
      </x:c>
      <x:c r="J877" s="15" t="str">
        <x:v>eml_ALL_currentac__512781 (2).zip &gt; eml3currentac__512781.zip / FNB _-) R211.94 reserved for purchase @ Pep Home 5771 Komati from Current a_c..512781 using card..2924.  2May 13_36.eml</x:v>
      </x:c>
    </x:row>
    <x:row r="878">
      <x:c r="A878" s="15" t="str">
        <x:v>Current a/c..512781 / card..2924</x:v>
      </x:c>
      <x:c r="B878" s="34" t="n">
        <x:v>46144.77847222222</x:v>
      </x:c>
      <x:c r="C878" s="15" t="str">
        <x:v>R320.00 reserved for purchase @ Yoco *k2025744041 from Current a/c..512781 using card..2924. Avail R40995. 2May 18:41</x:v>
      </x:c>
      <x:c r="D878" s="38" t="n">
        <x:v>0</x:v>
      </x:c>
      <x:c r="E878" s="38" t="n">
        <x:v>320</x:v>
      </x:c>
      <x:c r="F878" s="38" t="n">
        <x:v>0</x:v>
      </x:c>
      <x:c r="G878" s="38" t="n">
        <x:v>40995</x:v>
      </x:c>
      <x:c r="H878" s="15" t="str">
        <x:v>Card spend</x:v>
      </x:c>
      <x:c r="I878" s="15" t="str">
        <x:v>Yoco *k2025744041</x:v>
      </x:c>
      <x:c r="J878" s="15" t="str">
        <x:v>eml_ALL_currentac__512781 (2).zip &gt; eml3currentac__512781.zip / FNB _-) R320.00 reserved for purchase @ Yoco _k2025744041 from Current a_c..512781 using card..2924.  2May 18_41.eml</x:v>
      </x:c>
    </x:row>
    <x:row r="879">
      <x:c r="A879" s="15" t="str">
        <x:v>Current a/c..512781 / card..2924</x:v>
      </x:c>
      <x:c r="B879" s="34" t="n">
        <x:v>46146.62847222222</x:v>
      </x:c>
      <x:c r="C879" s="15" t="str">
        <x:v>R400.00 reserved for purchase @ Marlothi Petrol Stat from Current a/c..512781 using card..2924. Avail R72013. 4May 15:05</x:v>
      </x:c>
      <x:c r="D879" s="38" t="n">
        <x:v>0</x:v>
      </x:c>
      <x:c r="E879" s="38" t="n">
        <x:v>400</x:v>
      </x:c>
      <x:c r="F879" s="38" t="n">
        <x:v>0</x:v>
      </x:c>
      <x:c r="G879" s="38" t="n">
        <x:v>72013</x:v>
      </x:c>
      <x:c r="H879" s="15" t="str">
        <x:v>Fuel / transport</x:v>
      </x:c>
      <x:c r="I879" s="15" t="str">
        <x:v>Marlothi Petrol Stat</x:v>
      </x:c>
      <x:c r="J879" s="15" t="str">
        <x:v>eml_ALL_currentac__512781 (2).zip &gt; eml3currentac__512781.zip / FNB _-) R400.00 reserved for purchase @ Marlothi Petrol Stat from Current a_c..512781 using card..2924.  4May 15_05.eml</x:v>
      </x:c>
    </x:row>
    <x:row r="880">
      <x:c r="A880" s="15" t="str">
        <x:v>Current a/c..512781 / card..2924</x:v>
      </x:c>
      <x:c r="B880" s="34" t="n">
        <x:v>46147.55625</x:v>
      </x:c>
      <x:c r="C880" s="15" t="str">
        <x:v>R131.99 reserved for purchase @ Ingwe Supermarket146 from Current a/c..512781 using card..2924. Avail R44102. 5May 13:21</x:v>
      </x:c>
      <x:c r="D880" s="38" t="n">
        <x:v>0</x:v>
      </x:c>
      <x:c r="E880" s="38" t="n">
        <x:v>131.99</x:v>
      </x:c>
      <x:c r="F880" s="38" t="n">
        <x:v>0</x:v>
      </x:c>
      <x:c r="G880" s="38" t="n">
        <x:v>44102</x:v>
      </x:c>
      <x:c r="H880" s="15" t="str">
        <x:v>Card spend</x:v>
      </x:c>
      <x:c r="I880" s="15" t="str">
        <x:v>Ingwe Supermarket146</x:v>
      </x:c>
      <x:c r="J880" s="15" t="str">
        <x:v>eml_ALL_currentac__512781 (2).zip &gt; eml3currentac__512781.zip / FNB _-) R131.99 reserved for purchase @ Ingwe Supermarket146 from Current a_c..512781 using card..2924.  5May 13_21.eml</x:v>
      </x:c>
    </x:row>
    <x:row r="881">
      <x:c r="A881" s="15" t="str">
        <x:v>Current a/c..512781 / card..2924</x:v>
      </x:c>
      <x:c r="B881" s="34" t="n">
        <x:v>46147.635416666664</x:v>
      </x:c>
      <x:c r="C881" s="15" t="str">
        <x:v>R475.72 reserved for purchase @ Marlothi Petrol Stat from Current a/c..512781 using card..2924. Avail R43626. 5May 15:15</x:v>
      </x:c>
      <x:c r="D881" s="38" t="n">
        <x:v>0</x:v>
      </x:c>
      <x:c r="E881" s="38" t="n">
        <x:v>475.72</x:v>
      </x:c>
      <x:c r="F881" s="38" t="n">
        <x:v>0</x:v>
      </x:c>
      <x:c r="G881" s="38" t="n">
        <x:v>43626</x:v>
      </x:c>
      <x:c r="H881" s="15" t="str">
        <x:v>Fuel / transport</x:v>
      </x:c>
      <x:c r="I881" s="15" t="str">
        <x:v>Marlothi Petrol Stat</x:v>
      </x:c>
      <x:c r="J881" s="15" t="str">
        <x:v>eml_ALL_currentac__512781 (2).zip &gt; eml2currentac__512781.zip / FNB _-) R475.72 reserved for purchase @ Marlothi Petrol Stat from Current a_c..512781 using card..2924.  5May 15_15.eml</x:v>
      </x:c>
    </x:row>
    <x:row r="882">
      <x:c r="A882" s="15" t="str">
        <x:v>Current a/c..512781 / card..2924</x:v>
      </x:c>
      <x:c r="B882" s="34" t="n">
        <x:v>46148.64166666667</x:v>
      </x:c>
      <x:c r="C882" s="15" t="str">
        <x:v>R239.03 reserved for purchase @ Savemor Marloth from Current a/c..512781 using card..2924. Avail R43315. 6May 15:24</x:v>
      </x:c>
      <x:c r="D882" s="38" t="n">
        <x:v>0</x:v>
      </x:c>
      <x:c r="E882" s="38" t="n">
        <x:v>239.03</x:v>
      </x:c>
      <x:c r="F882" s="38" t="n">
        <x:v>0</x:v>
      </x:c>
      <x:c r="G882" s="38" t="n">
        <x:v>43315</x:v>
      </x:c>
      <x:c r="H882" s="15" t="str">
        <x:v>Supplier payments</x:v>
      </x:c>
      <x:c r="I882" s="15" t="str">
        <x:v>Savemor Marloth</x:v>
      </x:c>
      <x:c r="J882" s="15" t="str">
        <x:v>eml_ALL_currentac__512781 (2).zip &gt; eml2currentac__512781.zip / FNB _-) R239.03 reserved for purchase @ Savemor Marloth from Current a_c..512781 using card..2924.  6May 15_24.eml</x:v>
      </x:c>
    </x:row>
    <x:row r="883">
      <x:c r="A883" s="15" t="str">
        <x:v>Current a/c..512781 / card..2924</x:v>
      </x:c>
      <x:c r="B883" s="34" t="n">
        <x:v>46149.55</x:v>
      </x:c>
      <x:c r="C883" s="15" t="str">
        <x:v>R834.37 reserved for purchase @ Shoprite Komatipoort from Current a/c..512781 using card..2924. Avail R57695. 7May 13:12</x:v>
      </x:c>
      <x:c r="D883" s="38" t="n">
        <x:v>0</x:v>
      </x:c>
      <x:c r="E883" s="38" t="n">
        <x:v>834.37</x:v>
      </x:c>
      <x:c r="F883" s="38" t="n">
        <x:v>0</x:v>
      </x:c>
      <x:c r="G883" s="38" t="n">
        <x:v>57695</x:v>
      </x:c>
      <x:c r="H883" s="15" t="str">
        <x:v>Supplier payments</x:v>
      </x:c>
      <x:c r="I883" s="15" t="str">
        <x:v>Shoprite Komatipoort</x:v>
      </x:c>
      <x:c r="J883" s="15" t="str">
        <x:v>eml_ALL_currentac__512781 (2).zip &gt; eml2currentac__512781.zip / FNB _-) R834.37 reserved for purchase @ Shoprite Komatipoort from Current a_c..512781 using card..2924.  7May 13_12.eml</x:v>
      </x:c>
    </x:row>
    <x:row r="884">
      <x:c r="A884" s="15" t="str">
        <x:v>Current a/c..512781 / card..2924</x:v>
      </x:c>
      <x:c r="B884" s="34" t="n">
        <x:v>46149.57986111111</x:v>
      </x:c>
      <x:c r="C884" s="15" t="str">
        <x:v>R570.86 reserved for purchase @ Pep Home 5771 Komati from Current a/c..512781 using card..2924. Avail R57124. 7May 13:55</x:v>
      </x:c>
      <x:c r="D884" s="38" t="n">
        <x:v>0</x:v>
      </x:c>
      <x:c r="E884" s="38" t="n">
        <x:v>570.86</x:v>
      </x:c>
      <x:c r="F884" s="38" t="n">
        <x:v>0</x:v>
      </x:c>
      <x:c r="G884" s="38" t="n">
        <x:v>57124</x:v>
      </x:c>
      <x:c r="H884" s="15" t="str">
        <x:v>Supplier payments</x:v>
      </x:c>
      <x:c r="I884" s="15" t="str">
        <x:v>Pep Home 5771 Komati</x:v>
      </x:c>
      <x:c r="J884" s="15" t="str">
        <x:v>eml_ALL_currentac__512781 (2).zip &gt; eml2currentac__512781.zip / FNB _-) R570.86 reserved for purchase @ Pep Home 5771 Komati from Current a_c..512781 using card..2924.  7May 13_55.eml</x:v>
      </x:c>
    </x:row>
    <x:row r="885">
      <x:c r="A885" s="15" t="str">
        <x:v>Current a/c..512781 / card..2924</x:v>
      </x:c>
      <x:c r="B885" s="34" t="n">
        <x:v>46149.62847222222</x:v>
      </x:c>
      <x:c r="C885" s="15" t="str">
        <x:v>R969.81 reserved for purchase @ Superspar Komatipoor from Current a/c..512781 using card..2924. Avail R56154. 7May 15:05</x:v>
      </x:c>
      <x:c r="D885" s="38" t="n">
        <x:v>0</x:v>
      </x:c>
      <x:c r="E885" s="38" t="n">
        <x:v>969.81</x:v>
      </x:c>
      <x:c r="F885" s="38" t="n">
        <x:v>0</x:v>
      </x:c>
      <x:c r="G885" s="38" t="n">
        <x:v>56154</x:v>
      </x:c>
      <x:c r="H885" s="15" t="str">
        <x:v>Supplier payments</x:v>
      </x:c>
      <x:c r="I885" s="15" t="str">
        <x:v>Superspar Komatipoor</x:v>
      </x:c>
      <x:c r="J885" s="15" t="str">
        <x:v>eml_ALL_currentac__512781 (2).zip &gt; eml2currentac__512781.zip / FNB _-) R969.81 reserved for purchase @ Superspar Komatipoor from Current a_c..512781 using card..2924.  7May 15_05.eml</x:v>
      </x:c>
    </x:row>
    <x:row r="886">
      <x:c r="A886" s="15" t="str">
        <x:v>Current a/c..512781 / card..2924</x:v>
      </x:c>
      <x:c r="B886" s="34" t="n">
        <x:v>46151.61111111111</x:v>
      </x:c>
      <x:c r="C886" s="15" t="str">
        <x:v>R1601.05 reserved for purchase @ Superspar Komatipoor from Current a/c..512781 using card..2924. Avail R52198. 9May 14:40</x:v>
      </x:c>
      <x:c r="D886" s="38" t="n">
        <x:v>0</x:v>
      </x:c>
      <x:c r="E886" s="38" t="n">
        <x:v>1601.05</x:v>
      </x:c>
      <x:c r="F886" s="38" t="n">
        <x:v>0</x:v>
      </x:c>
      <x:c r="G886" s="38" t="n">
        <x:v>52198</x:v>
      </x:c>
      <x:c r="H886" s="15" t="str">
        <x:v>Supplier payments</x:v>
      </x:c>
      <x:c r="I886" s="15" t="str">
        <x:v>Superspar Komatipoor</x:v>
      </x:c>
      <x:c r="J886" s="15" t="str">
        <x:v>eml_ALL_currentac__512781 (2).zip &gt; eml2currentac__512781.zip / FNB _-) R1601.05 reserved for purchase @ Superspar Komatipoor from Current a_c..512781 using card..2924.  9May 14_40.eml</x:v>
      </x:c>
    </x:row>
    <x:row r="887">
      <x:c r="A887" s="15" t="str">
        <x:v>Current a/c..512781 / card..2924</x:v>
      </x:c>
      <x:c r="B887" s="34" t="n">
        <x:v>46155.493055555555</x:v>
      </x:c>
      <x:c r="C887" s="15" t="str">
        <x:v>R687.78 reserved for purchase @ Shoprite Malelane from Current a/c..512781 using card..2924. Avail R38908. 13May 11:50</x:v>
      </x:c>
      <x:c r="D887" s="38" t="n">
        <x:v>0</x:v>
      </x:c>
      <x:c r="E887" s="38" t="n">
        <x:v>687.78</x:v>
      </x:c>
      <x:c r="F887" s="38" t="n">
        <x:v>0</x:v>
      </x:c>
      <x:c r="G887" s="38" t="n">
        <x:v>38908</x:v>
      </x:c>
      <x:c r="H887" s="15" t="str">
        <x:v>Supplier payments</x:v>
      </x:c>
      <x:c r="I887" s="15" t="str">
        <x:v>Shoprite Malelane</x:v>
      </x:c>
      <x:c r="J887" s="15" t="str">
        <x:v>eml_ALL_currentac__512781 (2).zip &gt; eml2currentac__512781.zip / FNB _-) R687.78 reserved for purchase @ Shoprite Malelane from Current a_c..512781 using card..2924. 13May 11_50.eml</x:v>
      </x:c>
    </x:row>
    <x:row r="888">
      <x:c r="A888" s="15" t="str">
        <x:v>Current a/c..512781 / card..2924</x:v>
      </x:c>
      <x:c r="B888" s="34" t="n">
        <x:v>46155.572222222225</x:v>
      </x:c>
      <x:c r="C888" s="15" t="str">
        <x:v>R534.02 reserved for purchase @ Superspar Malelane from Current a/c..512781 using card..2924. Avail R38374. 13May 13:44</x:v>
      </x:c>
      <x:c r="D888" s="38" t="n">
        <x:v>0</x:v>
      </x:c>
      <x:c r="E888" s="38" t="n">
        <x:v>534.02</x:v>
      </x:c>
      <x:c r="F888" s="38" t="n">
        <x:v>0</x:v>
      </x:c>
      <x:c r="G888" s="38" t="n">
        <x:v>38374</x:v>
      </x:c>
      <x:c r="H888" s="15" t="str">
        <x:v>Supplier payments</x:v>
      </x:c>
      <x:c r="I888" s="15" t="str">
        <x:v>Superspar Malelane</x:v>
      </x:c>
      <x:c r="J888" s="15" t="str">
        <x:v>eml_ALL_currentac__512781 (2).zip &gt; eml2currentac__512781.zip / FNB _-) R534.02 reserved for purchase @ Superspar Malelane from Current a_c..512781 using card..2924. 13May 13_44.eml</x:v>
      </x:c>
    </x:row>
    <x:row r="889">
      <x:c r="A889" s="15" t="str">
        <x:v>Current a/c..512781 / card..2924</x:v>
      </x:c>
      <x:c r="B889" s="34" t="n">
        <x:v>46155.58125</x:v>
      </x:c>
      <x:c r="C889" s="15" t="str">
        <x:v>R259.20 reserved for purchase @ Oasis Water Malelane from Current a/c..512781 using card..2924. Avail R38114. 13May 13:57</x:v>
      </x:c>
      <x:c r="D889" s="38" t="n">
        <x:v>0</x:v>
      </x:c>
      <x:c r="E889" s="38" t="n">
        <x:v>259.2</x:v>
      </x:c>
      <x:c r="F889" s="38" t="n">
        <x:v>0</x:v>
      </x:c>
      <x:c r="G889" s="38" t="n">
        <x:v>38114</x:v>
      </x:c>
      <x:c r="H889" s="15" t="str">
        <x:v>Supplier payments</x:v>
      </x:c>
      <x:c r="I889" s="15" t="str">
        <x:v>Oasis Water Malelane</x:v>
      </x:c>
      <x:c r="J889" s="15" t="str">
        <x:v>eml_ALL_currentac__512781 (2).zip &gt; eml2currentac__512781.zip / FNB _-) R259.20 reserved for purchase @ Oasis Water Malelane from Current a_c..512781 using card..2924. 13May 13_57.eml</x:v>
      </x:c>
    </x:row>
    <x:row r="890">
      <x:c r="A890" s="15" t="str">
        <x:v>Current a/c..512781 / card..2924</x:v>
      </x:c>
      <x:c r="B890" s="34" t="n">
        <x:v>46156.524305555555</x:v>
      </x:c>
      <x:c r="C890" s="15" t="str">
        <x:v>R634.15 reserved for purchase @ Sqsp* Websit from Current a/c..512781 using card..2924. Avail R13715. 14May 12:35</x:v>
      </x:c>
      <x:c r="D890" s="38" t="n">
        <x:v>0</x:v>
      </x:c>
      <x:c r="E890" s="38" t="n">
        <x:v>634.15</x:v>
      </x:c>
      <x:c r="F890" s="38" t="n">
        <x:v>0</x:v>
      </x:c>
      <x:c r="G890" s="38" t="n">
        <x:v>13715</x:v>
      </x:c>
      <x:c r="H890" s="15" t="str">
        <x:v>Software / subscriptions</x:v>
      </x:c>
      <x:c r="I890" s="15" t="str">
        <x:v>Sqsp* Websit</x:v>
      </x:c>
      <x:c r="J890" s="15" t="str">
        <x:v>eml_ALL_currentac__512781 (2).zip &gt; eml2currentac__512781.zip / FNB _-) R634.15 reserved for purchase @ Sqsp_ Websit from Current a_c..512781 using card..2924. 14May 12_35.eml</x:v>
      </x:c>
    </x:row>
    <x:row r="891">
      <x:c r="A891" s="15" t="str">
        <x:v>Current a/c..512781 / card..2924</x:v>
      </x:c>
      <x:c r="B891" s="34" t="n">
        <x:v>46156.62847222222</x:v>
      </x:c>
      <x:c r="C891" s="15" t="str">
        <x:v>R180.75 reserved for purchase @ Savemor Marloth from Current a/c..512781 using card..2924. Avail R13534. 14May 15:05</x:v>
      </x:c>
      <x:c r="D891" s="38" t="n">
        <x:v>0</x:v>
      </x:c>
      <x:c r="E891" s="38" t="n">
        <x:v>180.75</x:v>
      </x:c>
      <x:c r="F891" s="38" t="n">
        <x:v>0</x:v>
      </x:c>
      <x:c r="G891" s="38" t="n">
        <x:v>13534</x:v>
      </x:c>
      <x:c r="H891" s="15" t="str">
        <x:v>Supplier payments</x:v>
      </x:c>
      <x:c r="I891" s="15" t="str">
        <x:v>Savemor Marloth</x:v>
      </x:c>
      <x:c r="J891" s="15" t="str">
        <x:v>eml_ALL_currentac__512781 (2).zip &gt; eml2currentac__512781.zip / FNB _-) R180.75 reserved for purchase @ Savemor Marloth from Current a_c..512781 using card..2924. 14May 15_05.eml</x:v>
      </x:c>
    </x:row>
    <x:row r="892">
      <x:c r="A892" s="15" t="str">
        <x:v>Current a/c..512781 / card..2924</x:v>
      </x:c>
      <x:c r="B892" s="34" t="n">
        <x:v>46158.458333333336</x:v>
      </x:c>
      <x:c r="C892" s="15" t="str">
        <x:v>R1084.09 reserved for purchase @ Superspar Komatipoor from Current a/c..512781 using card..2924. Avail R22646. 16May 11:00</x:v>
      </x:c>
      <x:c r="D892" s="38" t="n">
        <x:v>0</x:v>
      </x:c>
      <x:c r="E892" s="38" t="n">
        <x:v>1084.09</x:v>
      </x:c>
      <x:c r="F892" s="38" t="n">
        <x:v>0</x:v>
      </x:c>
      <x:c r="G892" s="38" t="n">
        <x:v>22646</x:v>
      </x:c>
      <x:c r="H892" s="15" t="str">
        <x:v>Supplier payments</x:v>
      </x:c>
      <x:c r="I892" s="15" t="str">
        <x:v>Superspar Komatipoor</x:v>
      </x:c>
      <x:c r="J892" s="15" t="str">
        <x:v>eml_ALL_currentac__512781 (2).zip &gt; eml2currentac__512781.zip / FNB _-) R1084.09 reserved for purchase @ Superspar Komatipoor from Current a_c..512781 using card..2924. 16May 11_00.eml</x:v>
      </x:c>
    </x:row>
    <x:row r="893">
      <x:c r="A893" s="15" t="str">
        <x:v>Current a/c..512781 / card..2924</x:v>
      </x:c>
      <x:c r="B893" s="34" t="n">
        <x:v>46159.43472222222</x:v>
      </x:c>
      <x:c r="C893" s="15" t="str">
        <x:v>R228.85 reserved for purchase @ Paystack *zoho Co from Current a/c..512781 using card..2924. Avail R21238. 17May 10:26</x:v>
      </x:c>
      <x:c r="D893" s="38" t="n">
        <x:v>0</x:v>
      </x:c>
      <x:c r="E893" s="38" t="n">
        <x:v>228.85</x:v>
      </x:c>
      <x:c r="F893" s="38" t="n">
        <x:v>0</x:v>
      </x:c>
      <x:c r="G893" s="38" t="n">
        <x:v>21238</x:v>
      </x:c>
      <x:c r="H893" s="15" t="str">
        <x:v>Software / subscriptions</x:v>
      </x:c>
      <x:c r="I893" s="15" t="str">
        <x:v>Paystack *zoho Co</x:v>
      </x:c>
      <x:c r="J893" s="15" t="str">
        <x:v>eml_ALL_currentac__512781 (2).zip &gt; eml2currentac__512781.zip / FNB _-) R228.85 reserved for purchase @ Paystack _zoho Co from Current a_c..512781 using card..2924. 17May 10_26.eml</x:v>
      </x:c>
    </x:row>
    <x:row r="894">
      <x:c r="A894" s="15" t="str">
        <x:v>Current a/c..512781 / card..2924</x:v>
      </x:c>
      <x:c r="B894" s="34" t="n">
        <x:v>46159.64166666667</x:v>
      </x:c>
      <x:c r="C894" s="15" t="str">
        <x:v>R600.00 reserved for purchase @ Giraffe Pub And Gril from Current a/c..512781 using card..2924. Avail R19589. 17May 15:24</x:v>
      </x:c>
      <x:c r="D894" s="38" t="n">
        <x:v>0</x:v>
      </x:c>
      <x:c r="E894" s="38" t="n">
        <x:v>600</x:v>
      </x:c>
      <x:c r="F894" s="38" t="n">
        <x:v>0</x:v>
      </x:c>
      <x:c r="G894" s="38" t="n">
        <x:v>19589</x:v>
      </x:c>
      <x:c r="H894" s="15" t="str">
        <x:v>Meals / restaurants / entertainment</x:v>
      </x:c>
      <x:c r="I894" s="15" t="str">
        <x:v>Giraffe Pub And Gril</x:v>
      </x:c>
      <x:c r="J894" s="15" t="str">
        <x:v>eml_ALL_currentac__512781 (2).zip &gt; eml2currentac__512781.zip / FNB _-) R600.00 reserved for purchase @ Giraffe Pub And Gril from Current a_c..512781 using card..2924. 17May 15_24.eml</x:v>
      </x:c>
    </x:row>
    <x:row r="895">
      <x:c r="A895" s="15" t="str">
        <x:v>Current a/c..512781 / card..2924</x:v>
      </x:c>
      <x:c r="B895" s="34" t="n">
        <x:v>46160.5625</x:v>
      </x:c>
      <x:c r="C895" s="15" t="str">
        <x:v>R1017.17 reserved for purchase @ Superspar Komatipoor from Current a/c..512781 using card..2924. Avail R13414. 18May 13:30</x:v>
      </x:c>
      <x:c r="D895" s="38" t="n">
        <x:v>0</x:v>
      </x:c>
      <x:c r="E895" s="38" t="n">
        <x:v>1017.17</x:v>
      </x:c>
      <x:c r="F895" s="38" t="n">
        <x:v>0</x:v>
      </x:c>
      <x:c r="G895" s="38" t="n">
        <x:v>13414</x:v>
      </x:c>
      <x:c r="H895" s="15" t="str">
        <x:v>Supplier payments</x:v>
      </x:c>
      <x:c r="I895" s="15" t="str">
        <x:v>Superspar Komatipoor</x:v>
      </x:c>
      <x:c r="J895" s="15" t="str">
        <x:v>eml_ALL_currentac__512781 (2).zip &gt; eml2currentac__512781.zip / FNB _-) R1017.17 reserved for purchase @ Superspar Komatipoor from Current a_c..512781 using card..2924. 18May 13_30.eml</x:v>
      </x:c>
    </x:row>
    <x:row r="896">
      <x:c r="A896" s="15" t="str">
        <x:v>Current a/c..512781 / card..2924</x:v>
      </x:c>
      <x:c r="B896" s="34" t="n">
        <x:v>46161.46319444444</x:v>
      </x:c>
      <x:c r="C896" s="15" t="str">
        <x:v>R200.00 reserved for purchase @ Marlothi Petrol Stat from Current a/c..512781 using card..2924. Avail R13308. 19May 11:07</x:v>
      </x:c>
      <x:c r="D896" s="38" t="n">
        <x:v>0</x:v>
      </x:c>
      <x:c r="E896" s="38" t="n">
        <x:v>200</x:v>
      </x:c>
      <x:c r="F896" s="38" t="n">
        <x:v>0</x:v>
      </x:c>
      <x:c r="G896" s="38" t="n">
        <x:v>13308</x:v>
      </x:c>
      <x:c r="H896" s="15" t="str">
        <x:v>Fuel / transport</x:v>
      </x:c>
      <x:c r="I896" s="15" t="str">
        <x:v>Marlothi Petrol Stat</x:v>
      </x:c>
      <x:c r="J896" s="15" t="str">
        <x:v>eml_ALL_currentac__512781 (2).zip &gt; eml2currentac__512781.zip / FNB _-) R200.00 reserved for purchase @ Marlothi Petrol Stat from Current a_c..512781 using card..2924. 19May 11_07.eml</x:v>
      </x:c>
    </x:row>
    <x:row r="897">
      <x:c r="A897" s="15" t="str">
        <x:v>Current a/c..512781 / card..2924</x:v>
      </x:c>
      <x:c r="B897" s="34" t="n">
        <x:v>46161.69097222222</x:v>
      </x:c>
      <x:c r="C897" s="15" t="str">
        <x:v>R285.95 reserved for purchase @ Savemor Marloth from Current a/c..512781 using card..2924. Avail R11426. 19May 16:35</x:v>
      </x:c>
      <x:c r="D897" s="38" t="n">
        <x:v>0</x:v>
      </x:c>
      <x:c r="E897" s="38" t="n">
        <x:v>285.95</x:v>
      </x:c>
      <x:c r="F897" s="38" t="n">
        <x:v>0</x:v>
      </x:c>
      <x:c r="G897" s="38" t="n">
        <x:v>11426</x:v>
      </x:c>
      <x:c r="H897" s="15" t="str">
        <x:v>Supplier payments</x:v>
      </x:c>
      <x:c r="I897" s="15" t="str">
        <x:v>Savemor Marloth</x:v>
      </x:c>
      <x:c r="J897" s="15" t="str">
        <x:v>eml_ALL_currentac__512781 (2).zip &gt; eml2currentac__512781.zip / FNB _-) R285.95 reserved for purchase @ Savemor Marloth from Current a_c..512781 using card..2924. 19May 16_35.eml</x:v>
      </x:c>
    </x:row>
    <x:row r="898">
      <x:c r="A898" s="15" t="str">
        <x:v>Current a/c..512781 / card..2924</x:v>
      </x:c>
      <x:c r="B898" s="34" t="n">
        <x:v>46161.694444444445</x:v>
      </x:c>
      <x:c r="C898" s="15" t="str">
        <x:v>R269.97 reserved for purchase @ Savemor Marloth Liqu from Current a/c..512781 using card..2924. Avail R11156. 19May 16:40</x:v>
      </x:c>
      <x:c r="D898" s="38" t="n">
        <x:v>0</x:v>
      </x:c>
      <x:c r="E898" s="38" t="n">
        <x:v>269.97</x:v>
      </x:c>
      <x:c r="F898" s="38" t="n">
        <x:v>0</x:v>
      </x:c>
      <x:c r="G898" s="38" t="n">
        <x:v>11156</x:v>
      </x:c>
      <x:c r="H898" s="15" t="str">
        <x:v>Meals / restaurants / entertainment</x:v>
      </x:c>
      <x:c r="I898" s="15" t="str">
        <x:v>Savemor Marloth Liqu</x:v>
      </x:c>
      <x:c r="J898" s="15" t="str">
        <x:v>eml_ALL_currentac__512781 (2).zip &gt; eml2currentac__512781.zip / FNB _-) R269.97 reserved for purchase @ Savemor Marloth Liqu from Current a_c..512781 using card..2924. 19May 16_40.eml</x:v>
      </x:c>
    </x:row>
    <x:row r="899">
      <x:c r="A899" s="15" t="str">
        <x:v>Current a/c..512781 / card..2924</x:v>
      </x:c>
      <x:c r="B899" s="34" t="n">
        <x:v>46162.48055555556</x:v>
      </x:c>
      <x:c r="C899" s="15" t="str">
        <x:v>R172.96 reserved for purchase @ Pep 5668 Malelane from Current a/c..512781 using card..2924. Avail R10570. 20May 11:32</x:v>
      </x:c>
      <x:c r="D899" s="38" t="n">
        <x:v>0</x:v>
      </x:c>
      <x:c r="E899" s="38" t="n">
        <x:v>172.96</x:v>
      </x:c>
      <x:c r="F899" s="38" t="n">
        <x:v>0</x:v>
      </x:c>
      <x:c r="G899" s="38" t="n">
        <x:v>10570</x:v>
      </x:c>
      <x:c r="H899" s="15" t="str">
        <x:v>Supplier payments</x:v>
      </x:c>
      <x:c r="I899" s="15" t="str">
        <x:v>Pep 5668 Malelane</x:v>
      </x:c>
      <x:c r="J899" s="15" t="str">
        <x:v>eml_ALL_currentac__512781 (2).zip &gt; eml2currentac__512781.zip / FNB _-) R172.96 reserved for purchase @ Pep 5668 Malelane from Current a_c..512781 using card..2924. 20May 11_32.eml</x:v>
      </x:c>
    </x:row>
    <x:row r="900">
      <x:c r="A900" s="15" t="str">
        <x:v>Current a/c..512781 / card..2924</x:v>
      </x:c>
      <x:c r="B900" s="34" t="n">
        <x:v>46162.5</x:v>
      </x:c>
      <x:c r="C900" s="15" t="str">
        <x:v>R410.49 reserved for purchase @ Shoprite Malelane from Current a/c..512781 using card..2924. Avail R10160. 20May 12:00</x:v>
      </x:c>
      <x:c r="D900" s="38" t="n">
        <x:v>0</x:v>
      </x:c>
      <x:c r="E900" s="38" t="n">
        <x:v>410.49</x:v>
      </x:c>
      <x:c r="F900" s="38" t="n">
        <x:v>0</x:v>
      </x:c>
      <x:c r="G900" s="38" t="n">
        <x:v>10160</x:v>
      </x:c>
      <x:c r="H900" s="15" t="str">
        <x:v>Supplier payments</x:v>
      </x:c>
      <x:c r="I900" s="15" t="str">
        <x:v>Shoprite Malelane</x:v>
      </x:c>
      <x:c r="J900" s="15" t="str">
        <x:v>eml_ALL_currentac__512781 (2).zip &gt; eml2currentac__512781.zip / FNB _-) R410.49 reserved for purchase @ Shoprite Malelane from Current a_c..512781 using card..2924. 20May 12_00.eml</x:v>
      </x:c>
    </x:row>
    <x:row r="901">
      <x:c r="A901" s="15" t="str">
        <x:v>Current a/c..512781 / card..2924</x:v>
      </x:c>
      <x:c r="B901" s="34" t="n">
        <x:v>46162.518055555556</x:v>
      </x:c>
      <x:c r="C901" s="15" t="str">
        <x:v>R178.45 reserved for purchase @ Woolworths from Current a/c..512781 using card..2924. Avail R9981. 20May 12:26</x:v>
      </x:c>
      <x:c r="D901" s="38" t="n">
        <x:v>0</x:v>
      </x:c>
      <x:c r="E901" s="38" t="n">
        <x:v>178.45</x:v>
      </x:c>
      <x:c r="F901" s="38" t="n">
        <x:v>0</x:v>
      </x:c>
      <x:c r="G901" s="38" t="n">
        <x:v>9981</x:v>
      </x:c>
      <x:c r="H901" s="15" t="str">
        <x:v>Supplier payments</x:v>
      </x:c>
      <x:c r="I901" s="15" t="str">
        <x:v>Woolworths</x:v>
      </x:c>
      <x:c r="J901" s="15" t="str">
        <x:v>eml_ALL_currentac__512781 (2).zip &gt; eml2currentac__512781.zip / FNB _-) R178.45 reserved for purchase @ Woolworths from Current a_c..512781 using card..2924. 20May 12_26.eml</x:v>
      </x:c>
    </x:row>
    <x:row r="902">
      <x:c r="A902" s="15" t="str">
        <x:v>Current a/c..512781 / card..2924</x:v>
      </x:c>
      <x:c r="B902" s="34" t="n">
        <x:v>46162.561111111114</x:v>
      </x:c>
      <x:c r="C902" s="15" t="str">
        <x:v>R956.42 reserved for purchase @ Superspar Malelane from Current a/c..512781 using card..2924. Avail R5463. 20May 13:28</x:v>
      </x:c>
      <x:c r="D902" s="38" t="n">
        <x:v>0</x:v>
      </x:c>
      <x:c r="E902" s="38" t="n">
        <x:v>956.42</x:v>
      </x:c>
      <x:c r="F902" s="38" t="n">
        <x:v>0</x:v>
      </x:c>
      <x:c r="G902" s="38" t="n">
        <x:v>5463</x:v>
      </x:c>
      <x:c r="H902" s="15" t="str">
        <x:v>Supplier payments</x:v>
      </x:c>
      <x:c r="I902" s="15" t="str">
        <x:v>Superspar Malelane</x:v>
      </x:c>
      <x:c r="J902" s="15" t="str">
        <x:v>eml_ALL_currentac__512781 (2).zip &gt; eml2currentac__512781.zip / FNB _-) R956.42 reserved for purchase @ Superspar Malelane from Current a_c..512781 using card..2924. 20May 13_28.eml</x:v>
      </x:c>
    </x:row>
    <x:row r="903">
      <x:c r="A903" s="15" t="str">
        <x:v>Current a/c..512781 / card..2924</x:v>
      </x:c>
      <x:c r="B903" s="34" t="n">
        <x:v>46163.64444444444</x:v>
      </x:c>
      <x:c r="C903" s="15" t="str">
        <x:v>R276.38 reserved for purchase @ Savemor Marloth from Current a/c..512781 using card..2924. Avail R35661. 21May 15:28</x:v>
      </x:c>
      <x:c r="D903" s="38" t="n">
        <x:v>0</x:v>
      </x:c>
      <x:c r="E903" s="38" t="n">
        <x:v>276.38</x:v>
      </x:c>
      <x:c r="F903" s="38" t="n">
        <x:v>0</x:v>
      </x:c>
      <x:c r="G903" s="38" t="n">
        <x:v>35661</x:v>
      </x:c>
      <x:c r="H903" s="15" t="str">
        <x:v>Supplier payments</x:v>
      </x:c>
      <x:c r="I903" s="15" t="str">
        <x:v>Savemor Marloth</x:v>
      </x:c>
      <x:c r="J903" s="15" t="str">
        <x:v>eml_ALL_currentac__512781 (2).zip &gt; eml2currentac__512781.zip / FNB _-) R276.38 reserved for purchase @ Savemor Marloth from Current a_c..512781 using card..2924. 21May 15_28.eml</x:v>
      </x:c>
    </x:row>
    <x:row r="904">
      <x:c r="A904" s="15" t="str">
        <x:v>Current a/c..512781 / card..2924</x:v>
      </x:c>
      <x:c r="B904" s="34" t="n">
        <x:v>46163.64722222222</x:v>
      </x:c>
      <x:c r="C904" s="15" t="str">
        <x:v>R200.00 reserved for purchase @ Marlothi Petrol Stat from Current a/c..512781 using card..2924. Avail R35461. 21May 15:32</x:v>
      </x:c>
      <x:c r="D904" s="38" t="n">
        <x:v>0</x:v>
      </x:c>
      <x:c r="E904" s="38" t="n">
        <x:v>200</x:v>
      </x:c>
      <x:c r="F904" s="38" t="n">
        <x:v>0</x:v>
      </x:c>
      <x:c r="G904" s="38" t="n">
        <x:v>35461</x:v>
      </x:c>
      <x:c r="H904" s="15" t="str">
        <x:v>Fuel / transport</x:v>
      </x:c>
      <x:c r="I904" s="15" t="str">
        <x:v>Marlothi Petrol Stat</x:v>
      </x:c>
      <x:c r="J904" s="15" t="str">
        <x:v>eml_ALL_currentac__512781 (2).zip &gt; eml2currentac__512781.zip / FNB _-) R200.00 reserved for purchase @ Marlothi Petrol Stat from Current a_c..512781 using card..2924. 21May 15_32.eml</x:v>
      </x:c>
    </x:row>
    <x:row r="905">
      <x:c r="A905" s="15" t="str">
        <x:v>Current a/c..512781 / card..2924</x:v>
      </x:c>
      <x:c r="B905" s="34" t="n">
        <x:v>46164.57430555556</x:v>
      </x:c>
      <x:c r="C905" s="15" t="str">
        <x:v>R552.88 reserved for purchase @ Shoprite Komatipoort from Current a/c..512781 using card..2924. Avail R33877. 22May 13:47</x:v>
      </x:c>
      <x:c r="D905" s="38" t="n">
        <x:v>0</x:v>
      </x:c>
      <x:c r="E905" s="38" t="n">
        <x:v>552.88</x:v>
      </x:c>
      <x:c r="F905" s="38" t="n">
        <x:v>0</x:v>
      </x:c>
      <x:c r="G905" s="38" t="n">
        <x:v>33877</x:v>
      </x:c>
      <x:c r="H905" s="15" t="str">
        <x:v>Supplier payments</x:v>
      </x:c>
      <x:c r="I905" s="15" t="str">
        <x:v>Shoprite Komatipoort</x:v>
      </x:c>
      <x:c r="J905" s="15" t="str">
        <x:v>eml_ALL_currentac__512781 (2).zip &gt; eml2currentac__512781.zip / FNB _-) R552.88 reserved for purchase @ Shoprite Komatipoort from Current a_c..512781 using card..2924. 22May 13_47.eml</x:v>
      </x:c>
    </x:row>
    <x:row r="906">
      <x:c r="A906" s="15" t="str">
        <x:v>Current a/c..512781 / card..2924</x:v>
      </x:c>
      <x:c r="B906" s="34" t="n">
        <x:v>46164.597916666666</x:v>
      </x:c>
      <x:c r="C906" s="15" t="str">
        <x:v>R239.99 reserved for purchase @ Liquorshop Komatipoo from Current a/c..512781 using card..2924. Avail R32634. 22May 14:21</x:v>
      </x:c>
      <x:c r="D906" s="38" t="n">
        <x:v>0</x:v>
      </x:c>
      <x:c r="E906" s="38" t="n">
        <x:v>239.99</x:v>
      </x:c>
      <x:c r="F906" s="38" t="n">
        <x:v>0</x:v>
      </x:c>
      <x:c r="G906" s="38" t="n">
        <x:v>32634</x:v>
      </x:c>
      <x:c r="H906" s="15" t="str">
        <x:v>Meals / restaurants / entertainment</x:v>
      </x:c>
      <x:c r="I906" s="15" t="str">
        <x:v>Liquorshop Komatipoo</x:v>
      </x:c>
      <x:c r="J906" s="15" t="str">
        <x:v>eml_ALL_currentac__512781 (2).zip &gt; eml2currentac__512781.zip / FNB _-) R239.99 reserved for purchase @ Liquorshop Komatipoo from Current a_c..512781 using card..2924. 22May 14_21.eml</x:v>
      </x:c>
    </x:row>
    <x:row r="907">
      <x:c r="A907" s="15" t="str">
        <x:v>Current a/c..512781 / card..2924</x:v>
      </x:c>
      <x:c r="B907" s="34" t="n">
        <x:v>46164.63680555556</x:v>
      </x:c>
      <x:c r="C907" s="15" t="str">
        <x:v>R756.39 reserved for purchase @ Superspar Komatipoor from Current a/c..512781 using card..2924. Avail R31877. 22May 15:17</x:v>
      </x:c>
      <x:c r="D907" s="38" t="n">
        <x:v>0</x:v>
      </x:c>
      <x:c r="E907" s="38" t="n">
        <x:v>756.39</x:v>
      </x:c>
      <x:c r="F907" s="38" t="n">
        <x:v>0</x:v>
      </x:c>
      <x:c r="G907" s="38" t="n">
        <x:v>31877</x:v>
      </x:c>
      <x:c r="H907" s="15" t="str">
        <x:v>Supplier payments</x:v>
      </x:c>
      <x:c r="I907" s="15" t="str">
        <x:v>Superspar Komatipoor</x:v>
      </x:c>
      <x:c r="J907" s="15" t="str">
        <x:v>eml_ALL_currentac__512781 (2).zip &gt; eml2currentac__512781.zip / FNB _-) R756.39 reserved for purchase @ Superspar Komatipoor from Current a_c..512781 using card..2924. 22May 15_17.eml</x:v>
      </x:c>
    </x:row>
    <x:row r="908">
      <x:c r="A908" s="15" t="str">
        <x:v>Current a/c..512781 / card..2924</x:v>
      </x:c>
      <x:c r="B908" s="34" t="n">
        <x:v>46164.65347222222</x:v>
      </x:c>
      <x:c r="C908" s="15" t="str">
        <x:v>R259.20 reserved for purchase @ Oasis Water Komatipo from Current a/c..512781 using card..2924. Avail R30618. 22May 15:41</x:v>
      </x:c>
      <x:c r="D908" s="38" t="n">
        <x:v>0</x:v>
      </x:c>
      <x:c r="E908" s="38" t="n">
        <x:v>259.2</x:v>
      </x:c>
      <x:c r="F908" s="38" t="n">
        <x:v>0</x:v>
      </x:c>
      <x:c r="G908" s="38" t="n">
        <x:v>30618</x:v>
      </x:c>
      <x:c r="H908" s="15" t="str">
        <x:v>Supplier payments</x:v>
      </x:c>
      <x:c r="I908" s="15" t="str">
        <x:v>Oasis Water Komatipo</x:v>
      </x:c>
      <x:c r="J908" s="15" t="str">
        <x:v>eml_ALL_currentac__512781 (2).zip &gt; eml2currentac__512781.zip / FNB _-) R259.20 reserved for purchase @ Oasis Water Komatipo from Current a_c..512781 using card..2924. 22May 15_41.eml</x:v>
      </x:c>
    </x:row>
    <x:row r="909">
      <x:c r="A909" s="15" t="str">
        <x:v>Current a/c..512781 / card..2924</x:v>
      </x:c>
      <x:c r="B909" s="34" t="n">
        <x:v>46166.54027777778</x:v>
      </x:c>
      <x:c r="C909" s="15" t="str">
        <x:v>R266.99 reserved for purchase @ Savemor Marloth from Current a/c..512781 using card..2924. Avail R27620. 24May 12:58</x:v>
      </x:c>
      <x:c r="D909" s="38" t="n">
        <x:v>0</x:v>
      </x:c>
      <x:c r="E909" s="38" t="n">
        <x:v>266.99</x:v>
      </x:c>
      <x:c r="F909" s="38" t="n">
        <x:v>0</x:v>
      </x:c>
      <x:c r="G909" s="38" t="n">
        <x:v>27620</x:v>
      </x:c>
      <x:c r="H909" s="15" t="str">
        <x:v>Supplier payments</x:v>
      </x:c>
      <x:c r="I909" s="15" t="str">
        <x:v>Savemor Marloth</x:v>
      </x:c>
      <x:c r="J909" s="15" t="str">
        <x:v>eml_ALL_currentac__512781 (2).zip &gt; eml2currentac__512781.zip / FNB _-) R266.99 reserved for purchase @ Savemor Marloth from Current a_c..512781 using card..2924. 24May 12_58.eml</x:v>
      </x:c>
    </x:row>
    <x:row r="910">
      <x:c r="A910" s="15" t="str">
        <x:v>Current a/c..512781 / card..2924</x:v>
      </x:c>
      <x:c r="B910" s="34" t="n">
        <x:v>46166.54861111111</x:v>
      </x:c>
      <x:c r="C910" s="15" t="str">
        <x:v>R149.98 reserved for purchase @ Savemor Marloth Liqu from Current a/c..512781 using card..2924. Avail R27378. 24May 13:10</x:v>
      </x:c>
      <x:c r="D910" s="38" t="n">
        <x:v>0</x:v>
      </x:c>
      <x:c r="E910" s="38" t="n">
        <x:v>149.98</x:v>
      </x:c>
      <x:c r="F910" s="38" t="n">
        <x:v>0</x:v>
      </x:c>
      <x:c r="G910" s="38" t="n">
        <x:v>27378</x:v>
      </x:c>
      <x:c r="H910" s="15" t="str">
        <x:v>Meals / restaurants / entertainment</x:v>
      </x:c>
      <x:c r="I910" s="15" t="str">
        <x:v>Savemor Marloth Liqu</x:v>
      </x:c>
      <x:c r="J910" s="15" t="str">
        <x:v>eml_ALL_currentac__512781 (2).zip &gt; eml2currentac__512781.zip / FNB _-) R149.98 reserved for purchase @ Savemor Marloth Liqu from Current a_c..512781 using card..2924. 24May 13_10.eml</x:v>
      </x:c>
    </x:row>
    <x:row r="911">
      <x:c r="A911" s="15" t="str">
        <x:v>Current a/c..512781 / card..2924</x:v>
      </x:c>
      <x:c r="B911" s="34" t="n">
        <x:v>46166.614583333336</x:v>
      </x:c>
      <x:c r="C911" s="15" t="str">
        <x:v>R750.00 reserved for purchase @ Giraffe Pub And Gril from Current a/c..512781 using card..2924. Avail R26628. 24May 14:45</x:v>
      </x:c>
      <x:c r="D911" s="38" t="n">
        <x:v>0</x:v>
      </x:c>
      <x:c r="E911" s="38" t="n">
        <x:v>750</x:v>
      </x:c>
      <x:c r="F911" s="38" t="n">
        <x:v>0</x:v>
      </x:c>
      <x:c r="G911" s="38" t="n">
        <x:v>26628</x:v>
      </x:c>
      <x:c r="H911" s="15" t="str">
        <x:v>Meals / restaurants / entertainment</x:v>
      </x:c>
      <x:c r="I911" s="15" t="str">
        <x:v>Giraffe Pub And Gril</x:v>
      </x:c>
      <x:c r="J911" s="15" t="str">
        <x:v>eml_ALL_currentac__512781 (2).zip &gt; eml2currentac__512781.zip / FNB _-) R750.00 reserved for purchase @ Giraffe Pub And Gril from Current a_c..512781 using card..2924. 24May 14_45.eml</x:v>
      </x:c>
    </x:row>
    <x:row r="912">
      <x:c r="A912" s="15" t="str">
        <x:v>Current a/c..512781 / card..2924</x:v>
      </x:c>
      <x:c r="B912" s="34" t="n">
        <x:v>46167.48541666667</x:v>
      </x:c>
      <x:c r="C912" s="15" t="str">
        <x:v>R200.00 reserved for purchase @ Marlothi Petrol Stat from Current a/c..512781 using card..2924. Avail R25528. 25May 11:39</x:v>
      </x:c>
      <x:c r="D912" s="38" t="n">
        <x:v>0</x:v>
      </x:c>
      <x:c r="E912" s="38" t="n">
        <x:v>200</x:v>
      </x:c>
      <x:c r="F912" s="38" t="n">
        <x:v>0</x:v>
      </x:c>
      <x:c r="G912" s="38" t="n">
        <x:v>25528</x:v>
      </x:c>
      <x:c r="H912" s="15" t="str">
        <x:v>Fuel / transport</x:v>
      </x:c>
      <x:c r="I912" s="15" t="str">
        <x:v>Marlothi Petrol Stat</x:v>
      </x:c>
      <x:c r="J912" s="15" t="str">
        <x:v>eml_ALL_currentac__512781 (2).zip &gt; eml2currentac__512781.zip / FNB _-) R200.00 reserved for purchase @ Marlothi Petrol Stat from Current a_c..512781 using card..2924. 25May 11_39.eml</x:v>
      </x:c>
    </x:row>
    <x:row r="913">
      <x:c r="A913" s="15" t="str">
        <x:v>Current a/c..512781 / card..2924</x:v>
      </x:c>
      <x:c r="B913" s="34" t="n">
        <x:v>46167.506944444445</x:v>
      </x:c>
      <x:c r="C913" s="15" t="str">
        <x:v>R260.00 reserved for purchase @ Lebombo Butchery from Current a/c..512781 using card..2924. Avail R16020. 25May 12:10</x:v>
      </x:c>
      <x:c r="D913" s="38" t="n">
        <x:v>0</x:v>
      </x:c>
      <x:c r="E913" s="38" t="n">
        <x:v>260</x:v>
      </x:c>
      <x:c r="F913" s="38" t="n">
        <x:v>0</x:v>
      </x:c>
      <x:c r="G913" s="38" t="n">
        <x:v>16020</x:v>
      </x:c>
      <x:c r="H913" s="15" t="str">
        <x:v>Supplier payments</x:v>
      </x:c>
      <x:c r="I913" s="15" t="str">
        <x:v>Lebombo Butchery</x:v>
      </x:c>
      <x:c r="J913" s="15" t="str">
        <x:v>eml_ALL_currentac__512781 (2).zip &gt; eml2currentac__512781.zip / FNB _-) R260.00 reserved for purchase @ Lebombo Butchery from Current a_c..512781 using card..2924. 25May 12_10.eml</x:v>
      </x:c>
    </x:row>
    <x:row r="914">
      <x:c r="A914" s="15" t="str">
        <x:v>Current a/c..512781 / card..2924</x:v>
      </x:c>
      <x:c r="B914" s="34" t="n">
        <x:v>46167.53333333333</x:v>
      </x:c>
      <x:c r="C914" s="15" t="str">
        <x:v>R763.84 reserved for purchase @ Superspar Komatipoor from Current a/c..512781 using card..2924. Avail R15256. 25May 12:48</x:v>
      </x:c>
      <x:c r="D914" s="38" t="n">
        <x:v>0</x:v>
      </x:c>
      <x:c r="E914" s="38" t="n">
        <x:v>763.84</x:v>
      </x:c>
      <x:c r="F914" s="38" t="n">
        <x:v>0</x:v>
      </x:c>
      <x:c r="G914" s="38" t="n">
        <x:v>15256</x:v>
      </x:c>
      <x:c r="H914" s="15" t="str">
        <x:v>Supplier payments</x:v>
      </x:c>
      <x:c r="I914" s="15" t="str">
        <x:v>Superspar Komatipoor</x:v>
      </x:c>
      <x:c r="J914" s="15" t="str">
        <x:v>eml_ALL_currentac__512781 (2).zip &gt; eml2currentac__512781.zip / FNB _-) R763.84 reserved for purchase @ Superspar Komatipoor from Current a_c..512781 using card..2924. 25May 12_48.eml</x:v>
      </x:c>
    </x:row>
    <x:row r="915">
      <x:c r="A915" s="15" t="str">
        <x:v>Current a/c..512781 / card..2924</x:v>
      </x:c>
      <x:c r="B915" s="34" t="n">
        <x:v>46168.631944444445</x:v>
      </x:c>
      <x:c r="C915" s="15" t="str">
        <x:v>R361.08 reserved for purchase @ Savemor Marloth from Current a/c..512781 using card..2924. Avail R70549. 26May 15:10</x:v>
      </x:c>
      <x:c r="D915" s="38" t="n">
        <x:v>0</x:v>
      </x:c>
      <x:c r="E915" s="38" t="n">
        <x:v>361.08</x:v>
      </x:c>
      <x:c r="F915" s="38" t="n">
        <x:v>0</x:v>
      </x:c>
      <x:c r="G915" s="38" t="n">
        <x:v>70549</x:v>
      </x:c>
      <x:c r="H915" s="15" t="str">
        <x:v>Supplier payments</x:v>
      </x:c>
      <x:c r="I915" s="15" t="str">
        <x:v>Savemor Marloth</x:v>
      </x:c>
      <x:c r="J915" s="15" t="str">
        <x:v>eml_ALL_currentac__512781 (2).zip &gt; eml2currentac__512781.zip / FNB _-) R361.08 reserved for purchase @ Savemor Marloth from Current a_c..512781 using card..2924. 26May 15_10.eml</x:v>
      </x:c>
    </x:row>
    <x:row r="916">
      <x:c r="A916" s="15" t="str">
        <x:v>Current a/c..512781 / card..2924</x:v>
      </x:c>
      <x:c r="B916" s="34" t="n">
        <x:v>46169.63263888889</x:v>
      </x:c>
      <x:c r="C916" s="15" t="str">
        <x:v>R101.94 reserved for purchase @ Savemor Marloth from Current a/c..512781 using card..2924. Avail R27389. 27May 15:11</x:v>
      </x:c>
      <x:c r="D916" s="38" t="n">
        <x:v>0</x:v>
      </x:c>
      <x:c r="E916" s="38" t="n">
        <x:v>101.94</x:v>
      </x:c>
      <x:c r="F916" s="38" t="n">
        <x:v>0</x:v>
      </x:c>
      <x:c r="G916" s="38" t="n">
        <x:v>27389</x:v>
      </x:c>
      <x:c r="H916" s="15" t="str">
        <x:v>Supplier payments</x:v>
      </x:c>
      <x:c r="I916" s="15" t="str">
        <x:v>Savemor Marloth</x:v>
      </x:c>
      <x:c r="J916" s="15" t="str">
        <x:v>eml_ALL_currentac__512781 (2).zip &gt; eml1currentac__512781.zip / FNB _-) R101.94 reserved for purchase @ Savemor Marloth from Current a_c..512781 using card..2924. 27May 15_11.eml</x:v>
      </x:c>
    </x:row>
    <x:row r="917">
      <x:c r="A917" s="15" t="str">
        <x:v>Current a/c..512781 / card..2924</x:v>
      </x:c>
      <x:c r="B917" s="34" t="n">
        <x:v>46170.54791666667</x:v>
      </x:c>
      <x:c r="C917" s="15" t="str">
        <x:v>R414.46 reserved for purchase @ Shoprite Komatipoort from Current a/c..512781 using card..2924. Avail R46309. 28May 13:09</x:v>
      </x:c>
      <x:c r="D917" s="38" t="n">
        <x:v>0</x:v>
      </x:c>
      <x:c r="E917" s="38" t="n">
        <x:v>414.46</x:v>
      </x:c>
      <x:c r="F917" s="38" t="n">
        <x:v>0</x:v>
      </x:c>
      <x:c r="G917" s="38" t="n">
        <x:v>46309</x:v>
      </x:c>
      <x:c r="H917" s="15" t="str">
        <x:v>Supplier payments</x:v>
      </x:c>
      <x:c r="I917" s="15" t="str">
        <x:v>Shoprite Komatipoort</x:v>
      </x:c>
      <x:c r="J917" s="15" t="str">
        <x:v>eml_ALL_currentac__512781 (2).zip &gt; eml1currentac__512781.zip / FNB _-) R414.46 reserved for purchase @ Shoprite Komatipoort from Current a_c..512781 using card..2924. 28May 13_09.eml</x:v>
      </x:c>
    </x:row>
    <x:row r="918">
      <x:c r="A918" s="15" t="str">
        <x:v>Current a/c..512781 / card..2924</x:v>
      </x:c>
      <x:c r="B918" s="34" t="n">
        <x:v>46170.57847222222</x:v>
      </x:c>
      <x:c r="C918" s="15" t="str">
        <x:v>R1568.76 reserved for purchase @ Superspar Komatipoor from Current a/c..512781 using card..2924. Avail R44740. 28May 13:53</x:v>
      </x:c>
      <x:c r="D918" s="38" t="n">
        <x:v>0</x:v>
      </x:c>
      <x:c r="E918" s="38" t="n">
        <x:v>1568.76</x:v>
      </x:c>
      <x:c r="F918" s="38" t="n">
        <x:v>0</x:v>
      </x:c>
      <x:c r="G918" s="38" t="n">
        <x:v>44740</x:v>
      </x:c>
      <x:c r="H918" s="15" t="str">
        <x:v>Supplier payments</x:v>
      </x:c>
      <x:c r="I918" s="15" t="str">
        <x:v>Superspar Komatipoor</x:v>
      </x:c>
      <x:c r="J918" s="15" t="str">
        <x:v>eml_ALL_currentac__512781 (2).zip &gt; eml1currentac__512781.zip / FNB _-) R1568.76 reserved for purchase @ Superspar Komatipoor from Current a_c..512781 using card..2924. 28May 13_53.eml</x:v>
      </x:c>
    </x:row>
    <x:row r="919">
      <x:c r="A919" s="15" t="str">
        <x:v>Current a/c..512781 / card..2924</x:v>
      </x:c>
      <x:c r="B919" s="34" t="n">
        <x:v>46170.583333333336</x:v>
      </x:c>
      <x:c r="C919" s="15" t="str">
        <x:v>R349.95 reserved for purchase @ Tops Komatipoort from Current a/c..512781 using card..2924. Avail R50160. 28May 14:00</x:v>
      </x:c>
      <x:c r="D919" s="38" t="n">
        <x:v>0</x:v>
      </x:c>
      <x:c r="E919" s="38" t="n">
        <x:v>349.95</x:v>
      </x:c>
      <x:c r="F919" s="38" t="n">
        <x:v>0</x:v>
      </x:c>
      <x:c r="G919" s="38" t="n">
        <x:v>50160</x:v>
      </x:c>
      <x:c r="H919" s="15" t="str">
        <x:v>Meals / restaurants / entertainment</x:v>
      </x:c>
      <x:c r="I919" s="15" t="str">
        <x:v>Tops Komatipoort</x:v>
      </x:c>
      <x:c r="J919" s="15" t="str">
        <x:v>eml_ALL_currentac__512781 (2).zip &gt; eml1currentac__512781.zip / FNB _-) R349.95 reserved for purchase @ Tops Komatipoort from Current a_c..512781 using card..2924. 28May 14_00.eml</x:v>
      </x:c>
    </x:row>
    <x:row r="920">
      <x:c r="A920" s="15" t="str">
        <x:v>Current a/c..512781 / card..2924</x:v>
      </x:c>
      <x:c r="B920" s="34" t="n">
        <x:v>46172.55138888889</x:v>
      </x:c>
      <x:c r="C920" s="15" t="str">
        <x:v>R341.98 reserved for purchase @ Savemor Marloth from Current a/c..512781 using card..2924. Avail R10652. 30May 13:14</x:v>
      </x:c>
      <x:c r="D920" s="38" t="n">
        <x:v>0</x:v>
      </x:c>
      <x:c r="E920" s="38" t="n">
        <x:v>341.98</x:v>
      </x:c>
      <x:c r="F920" s="38" t="n">
        <x:v>0</x:v>
      </x:c>
      <x:c r="G920" s="38" t="n">
        <x:v>10652</x:v>
      </x:c>
      <x:c r="H920" s="15" t="str">
        <x:v>Supplier payments</x:v>
      </x:c>
      <x:c r="I920" s="15" t="str">
        <x:v>Savemor Marloth</x:v>
      </x:c>
      <x:c r="J920" s="15" t="str">
        <x:v>eml_ALL_currentac__512781 (2).zip &gt; eml1currentac__512781.zip / FNB _-) R341.98 reserved for purchase @ Savemor Marloth from Current a_c..512781 using card..2924. 30May 13_14.eml</x:v>
      </x:c>
    </x:row>
    <x:row r="921">
      <x:c r="A921" s="15" t="str">
        <x:v>Current a/c..512781 / card..2924</x:v>
      </x:c>
      <x:c r="B921" s="34" t="n">
        <x:v>46172.55486111111</x:v>
      </x:c>
      <x:c r="C921" s="15" t="str">
        <x:v>R200.00 reserved for purchase @ Marlothi Petrol Stat from Current a/c..512781 using card..2924. Avail R10452. 30May 13:19</x:v>
      </x:c>
      <x:c r="D921" s="38" t="n">
        <x:v>0</x:v>
      </x:c>
      <x:c r="E921" s="38" t="n">
        <x:v>200</x:v>
      </x:c>
      <x:c r="F921" s="38" t="n">
        <x:v>0</x:v>
      </x:c>
      <x:c r="G921" s="38" t="n">
        <x:v>10452</x:v>
      </x:c>
      <x:c r="H921" s="15" t="str">
        <x:v>Fuel / transport</x:v>
      </x:c>
      <x:c r="I921" s="15" t="str">
        <x:v>Marlothi Petrol Stat</x:v>
      </x:c>
      <x:c r="J921" s="15" t="str">
        <x:v>eml_ALL_currentac__512781 (2).zip &gt; eml1currentac__512781.zip / FNB _-) R200.00 reserved for purchase @ Marlothi Petrol Stat from Current a_c..512781 using card..2924. 30May 13_19.eml</x:v>
      </x:c>
    </x:row>
    <x:row r="922">
      <x:c r="A922" s="15" t="str">
        <x:v>Current a/c..512781 / card..2924</x:v>
      </x:c>
      <x:c r="B922" s="34" t="n">
        <x:v>46174.63333333333</x:v>
      </x:c>
      <x:c r="C922" s="15" t="str">
        <x:v>R250.00 withdrawn from Current a/c..512781 using card..2924 @ Absa Bush Centr. Avail R9903. 1Jun 15:12</x:v>
      </x:c>
      <x:c r="D922" s="38" t="n">
        <x:v>0</x:v>
      </x:c>
      <x:c r="E922" s="38" t="n">
        <x:v>250</x:v>
      </x:c>
      <x:c r="F922" s="38" t="n">
        <x:v>0</x:v>
      </x:c>
      <x:c r="G922" s="38" t="n">
        <x:v>9903</x:v>
      </x:c>
      <x:c r="H922" s="15" t="str">
        <x:v>Cash withdrawal</x:v>
      </x:c>
      <x:c r="I922" s="15" t="str">
        <x:v>Absa Bush Centr</x:v>
      </x:c>
      <x:c r="J922" s="15" t="str">
        <x:v>eml_ALL_currentac__512781 (2).zip &gt; eml1currentac__512781.zip / FNB _-) R250.00 withdrawn from Current a_c..512781 using card..2924 @ Absa Bush Centr.  1Jun 15_12.eml</x:v>
      </x:c>
    </x:row>
    <x:row r="923">
      <x:c r="A923" s="15" t="str">
        <x:v>Current a/c..512781 / card..2924</x:v>
      </x:c>
      <x:c r="B923" s="34" t="n">
        <x:v>46175.60486111111</x:v>
      </x:c>
      <x:c r="C923" s="15" t="str">
        <x:v>R1143.93 reserved for purchase @ Superspar Komatipoor from Current a/c..512781 using card..2924. Avail R5641. 2Jun 14:31</x:v>
      </x:c>
      <x:c r="D923" s="38" t="n">
        <x:v>0</x:v>
      </x:c>
      <x:c r="E923" s="38" t="n">
        <x:v>1143.93</x:v>
      </x:c>
      <x:c r="F923" s="38" t="n">
        <x:v>0</x:v>
      </x:c>
      <x:c r="G923" s="38" t="n">
        <x:v>5641</x:v>
      </x:c>
      <x:c r="H923" s="15" t="str">
        <x:v>Supplier payments</x:v>
      </x:c>
      <x:c r="I923" s="15" t="str">
        <x:v>Superspar Komatipoor</x:v>
      </x:c>
      <x:c r="J923" s="15" t="str">
        <x:v>eml_ALL_currentac__512781 (2).zip &gt; eml1currentac__512781.zip / FNB _-) R1143.93 reserved for purchase @ Superspar Komatipoor from Current a_c..512781 using card..2924.  2Jun 14_31.eml</x:v>
      </x:c>
    </x:row>
    <x:row r="924">
      <x:c r="A924" s="15" t="str">
        <x:v>Current a/c..512781 / card..2924</x:v>
      </x:c>
      <x:c r="B924" s="34" t="n">
        <x:v>46175.64722222222</x:v>
      </x:c>
      <x:c r="C924" s="15" t="str">
        <x:v>R500.00 reserved for purchase @ Ae Komatipoort from Current a/c..512781 using card..2924. Avail R5141. 2Jun 15:32</x:v>
      </x:c>
      <x:c r="D924" s="38" t="n">
        <x:v>0</x:v>
      </x:c>
      <x:c r="E924" s="38" t="n">
        <x:v>500</x:v>
      </x:c>
      <x:c r="F924" s="38" t="n">
        <x:v>0</x:v>
      </x:c>
      <x:c r="G924" s="38" t="n">
        <x:v>5141</x:v>
      </x:c>
      <x:c r="H924" s="15" t="str">
        <x:v>Card spend</x:v>
      </x:c>
      <x:c r="I924" s="15" t="str">
        <x:v>Ae Komatipoort</x:v>
      </x:c>
      <x:c r="J924" s="15" t="str">
        <x:v>eml_ALL_currentac__512781 (2).zip &gt; eml1currentac__512781.zip / FNB _-) R500.00 reserved for purchase @ Ae Komatipoort from Current a_c..512781 using card..2924.  2Jun 15_32.eml</x:v>
      </x:c>
    </x:row>
    <x:row r="925">
      <x:c r="A925" s="15" t="str">
        <x:v>Current a/c..512781 / card..2924</x:v>
      </x:c>
      <x:c r="B925" s="34" t="n">
        <x:v>46178.53611111111</x:v>
      </x:c>
      <x:c r="C925" s="15" t="str">
        <x:v>R608.68 reserved for purchase @ Superspar Komatipoor from Current a/c..512781 using card..2924. Avail R3689. 5Jun 12:52</x:v>
      </x:c>
      <x:c r="D925" s="38" t="n">
        <x:v>0</x:v>
      </x:c>
      <x:c r="E925" s="38" t="n">
        <x:v>608.68</x:v>
      </x:c>
      <x:c r="F925" s="38" t="n">
        <x:v>0</x:v>
      </x:c>
      <x:c r="G925" s="38" t="n">
        <x:v>3689</x:v>
      </x:c>
      <x:c r="H925" s="15" t="str">
        <x:v>Supplier payments</x:v>
      </x:c>
      <x:c r="I925" s="15" t="str">
        <x:v>Superspar Komatipoor</x:v>
      </x:c>
      <x:c r="J925" s="15" t="str">
        <x:v>eml_ALL_currentac__512781 (2).zip &gt; eml1currentac__512781.zip / FNB _-) R608.68 reserved for purchase @ Superspar Komatipoor from Current a_c..512781 using card..2924.  5Jun 12_52.eml</x:v>
      </x:c>
    </x:row>
    <x:row r="926">
      <x:c r="A926" s="15" t="str">
        <x:v>Current a/c..512781 / card..2924</x:v>
      </x:c>
      <x:c r="B926" s="34" t="n">
        <x:v>46178.82083333333</x:v>
      </x:c>
      <x:c r="C926" s="15" t="str">
        <x:v>R420.00 reserved for purchase @ Ik *park Horizons Pt from Current a/c..512781 using card..2924. Avail R3200. 5Jun 19:42</x:v>
      </x:c>
      <x:c r="D926" s="38" t="n">
        <x:v>0</x:v>
      </x:c>
      <x:c r="E926" s="38" t="n">
        <x:v>420</x:v>
      </x:c>
      <x:c r="F926" s="38" t="n">
        <x:v>0</x:v>
      </x:c>
      <x:c r="G926" s="38" t="n">
        <x:v>3200</x:v>
      </x:c>
      <x:c r="H926" s="15" t="str">
        <x:v>Card spend</x:v>
      </x:c>
      <x:c r="I926" s="15" t="str">
        <x:v>Ik *park Horizons Pt</x:v>
      </x:c>
      <x:c r="J926" s="15" t="str">
        <x:v>eml_ALL_currentac__512781 (2).zip &gt; eml1currentac__512781.zip / FNB _-) R420.00 reserved for purchase @ Ik _park Horizons Pt from Current a_c..512781 using card..2924.  5Jun 19_42.eml</x:v>
      </x:c>
    </x:row>
    <x:row r="927">
      <x:c r="A927" s="15" t="str">
        <x:v>Current a/c..512781 / card..2924</x:v>
      </x:c>
      <x:c r="B927" s="34" t="n">
        <x:v>46180.58888888889</x:v>
      </x:c>
      <x:c r="C927" s="15" t="str">
        <x:v>R550.00 reserved for purchase @ Giraffe Pub And Gril from Current a/c..512781 using card..2924. Avail R4901. 7Jun 14:08</x:v>
      </x:c>
      <x:c r="D927" s="38" t="n">
        <x:v>0</x:v>
      </x:c>
      <x:c r="E927" s="38" t="n">
        <x:v>550</x:v>
      </x:c>
      <x:c r="F927" s="38" t="n">
        <x:v>0</x:v>
      </x:c>
      <x:c r="G927" s="38" t="n">
        <x:v>4901</x:v>
      </x:c>
      <x:c r="H927" s="15" t="str">
        <x:v>Meals / restaurants / entertainment</x:v>
      </x:c>
      <x:c r="I927" s="15" t="str">
        <x:v>Giraffe Pub And Gril</x:v>
      </x:c>
      <x:c r="J927" s="15" t="str">
        <x:v>eml_ALL_currentac__512781 (2).zip &gt; eml1currentac__512781.zip / FNB _-) R550.00 reserved for purchase @ Giraffe Pub And Gril from Current a_c..512781 using card..2924.  7Jun 14_08.eml</x:v>
      </x:c>
    </x:row>
    <x:row r="928">
      <x:c r="A928" s="15" t="str">
        <x:v>Current a/c..512781 / card..2924</x:v>
      </x:c>
      <x:c r="B928" s="34" t="n">
        <x:v>46181.541666666664</x:v>
      </x:c>
      <x:c r="C928" s="15" t="str">
        <x:v>R296.40 reserved for purchase @ Shoprite Komatipoort from Current a/c..512781 using card..2924. Avail R8373. 8Jun 13:00</x:v>
      </x:c>
      <x:c r="D928" s="38" t="n">
        <x:v>0</x:v>
      </x:c>
      <x:c r="E928" s="38" t="n">
        <x:v>296.4</x:v>
      </x:c>
      <x:c r="F928" s="38" t="n">
        <x:v>0</x:v>
      </x:c>
      <x:c r="G928" s="38" t="n">
        <x:v>8373</x:v>
      </x:c>
      <x:c r="H928" s="15" t="str">
        <x:v>Supplier payments</x:v>
      </x:c>
      <x:c r="I928" s="15" t="str">
        <x:v>Shoprite Komatipoort</x:v>
      </x:c>
      <x:c r="J928" s="15" t="str">
        <x:v>eml_ALL_currentac__512781 (2).zip &gt; eml1currentac__512781.zip / FNB _-) R296.40 reserved for purchase @ Shoprite Komatipoort from Current a_c..512781 using card..2924.  8Jun 13_00.eml</x:v>
      </x:c>
    </x:row>
    <x:row r="929">
      <x:c r="A929" s="15" t="str">
        <x:v>Current a/c..512781 / card..2924</x:v>
      </x:c>
      <x:c r="B929" s="34" t="n">
        <x:v>46181.58263888889</x:v>
      </x:c>
      <x:c r="C929" s="15" t="str">
        <x:v>R391.12 reserved for purchase @ Superspar Komatipoor from Current a/c..512781 using card..2924. Avail R2922. 8Jun 13:59</x:v>
      </x:c>
      <x:c r="D929" s="38" t="n">
        <x:v>0</x:v>
      </x:c>
      <x:c r="E929" s="38" t="n">
        <x:v>391.12</x:v>
      </x:c>
      <x:c r="F929" s="38" t="n">
        <x:v>0</x:v>
      </x:c>
      <x:c r="G929" s="38" t="n">
        <x:v>2922</x:v>
      </x:c>
      <x:c r="H929" s="15" t="str">
        <x:v>Supplier payments</x:v>
      </x:c>
      <x:c r="I929" s="15" t="str">
        <x:v>Superspar Komatipoor</x:v>
      </x:c>
      <x:c r="J929" s="15" t="str">
        <x:v>eml_ALL_currentac__512781 (2).zip &gt; eml1currentac__512781.zip / FNB _-) R391.12 reserved for purchase @ Superspar Komatipoor from Current a_c..512781 using card..2924.  8Jun 13_59.eml</x:v>
      </x:c>
    </x:row>
    <x:row r="930">
      <x:c r="A930" s="15" t="str">
        <x:v>Current a/c..512781 / card..2924</x:v>
      </x:c>
      <x:c r="B930" s="34" t="n">
        <x:v>46181.597916666666</x:v>
      </x:c>
      <x:c r="C930" s="15" t="str">
        <x:v>R395.80 reserved for purchase @ Komati Liquor from Current a/c..512781 using card..2924. Avail R2526. 8Jun 14:21</x:v>
      </x:c>
      <x:c r="D930" s="38" t="n">
        <x:v>0</x:v>
      </x:c>
      <x:c r="E930" s="38" t="n">
        <x:v>395.8</x:v>
      </x:c>
      <x:c r="F930" s="38" t="n">
        <x:v>0</x:v>
      </x:c>
      <x:c r="G930" s="38" t="n">
        <x:v>2526</x:v>
      </x:c>
      <x:c r="H930" s="15" t="str">
        <x:v>Meals / restaurants / entertainment</x:v>
      </x:c>
      <x:c r="I930" s="15" t="str">
        <x:v>Komati Liquor</x:v>
      </x:c>
      <x:c r="J930" s="15" t="str">
        <x:v>eml_ALL_currentac__512781 (2).zip &gt; eml1currentac__512781.zip / FNB _-) R395.80 reserved for purchase @ Komati Liquor from Current a_c..512781 using card..2924.  8Jun 14_21.eml</x:v>
      </x:c>
    </x:row>
    <x:row r="931">
      <x:c r="A931" s="15" t="str">
        <x:v>Current a/c..512781 / card..2924</x:v>
      </x:c>
      <x:c r="B931" s="34" t="n">
        <x:v>46182.59097222222</x:v>
      </x:c>
      <x:c r="C931" s="15" t="str">
        <x:v>R265.80 reserved for purchase @ Lebombo Butchery from Current a/c..512781 using card..2924. Avail R1998. 9Jun 14:11</x:v>
      </x:c>
      <x:c r="D931" s="38" t="n">
        <x:v>0</x:v>
      </x:c>
      <x:c r="E931" s="38" t="n">
        <x:v>265.8</x:v>
      </x:c>
      <x:c r="F931" s="38" t="n">
        <x:v>0</x:v>
      </x:c>
      <x:c r="G931" s="38" t="n">
        <x:v>1998</x:v>
      </x:c>
      <x:c r="H931" s="15" t="str">
        <x:v>Supplier payments</x:v>
      </x:c>
      <x:c r="I931" s="15" t="str">
        <x:v>Lebombo Butchery</x:v>
      </x:c>
      <x:c r="J931" s="15" t="str">
        <x:v>eml_ALL_currentac__512781 (2).zip &gt; eml1currentac__512781.zip / FNB _-) R265.80 reserved for purchase @ Lebombo Butchery from Current a_c..512781 using card..2924.  9Jun 14_11.eml</x:v>
      </x:c>
    </x:row>
    <x:row r="932">
      <x:c r="A932" s="15" t="str">
        <x:v>Current a/c..512781 / card..2924</x:v>
      </x:c>
      <x:c r="B932" s="34" t="n">
        <x:v>46182.60138888889</x:v>
      </x:c>
      <x:c r="C932" s="15" t="str">
        <x:v>R108.89 reserved for purchase @ Superspar Komatipoor from Current a/c..512781 using card..2924. Avail R1889. 9Jun 14:26</x:v>
      </x:c>
      <x:c r="D932" s="38" t="n">
        <x:v>0</x:v>
      </x:c>
      <x:c r="E932" s="38" t="n">
        <x:v>108.89</x:v>
      </x:c>
      <x:c r="F932" s="38" t="n">
        <x:v>0</x:v>
      </x:c>
      <x:c r="G932" s="38" t="n">
        <x:v>1889</x:v>
      </x:c>
      <x:c r="H932" s="15" t="str">
        <x:v>Supplier payments</x:v>
      </x:c>
      <x:c r="I932" s="15" t="str">
        <x:v>Superspar Komatipoor</x:v>
      </x:c>
      <x:c r="J932" s="15" t="str">
        <x:v>eml_ALL_currentac__512781 (2).zip &gt; eml1currentac__512781.zip / FNB _-) R108.89 reserved for purchase @ Superspar Komatipoor from Current a_c..512781 using card..2924.  9Jun 14_26.eml</x:v>
      </x:c>
    </x:row>
    <x:row r="933">
      <x:c r="A933" s="15" t="str">
        <x:v>Current a/c..512781 / card..2924</x:v>
      </x:c>
      <x:c r="B933" s="34" t="n">
        <x:v>46183.51944444444</x:v>
      </x:c>
      <x:c r="C933" s="15" t="str">
        <x:v>R126.00 reserved for purchase @ Machado Tap N Go from Current a/c..512781 using card..2924. Avail R1574. 10Jun 12:28</x:v>
      </x:c>
      <x:c r="D933" s="38" t="n">
        <x:v>0</x:v>
      </x:c>
      <x:c r="E933" s="38" t="n">
        <x:v>126</x:v>
      </x:c>
      <x:c r="F933" s="38" t="n">
        <x:v>0</x:v>
      </x:c>
      <x:c r="G933" s="38" t="n">
        <x:v>1574</x:v>
      </x:c>
      <x:c r="H933" s="15" t="str">
        <x:v>Card spend</x:v>
      </x:c>
      <x:c r="I933" s="15" t="str">
        <x:v>Machado Tap N Go</x:v>
      </x:c>
      <x:c r="J933" s="15" t="str">
        <x:v>eml_ALL_currentac__512781 (2).zip &gt; eml1currentac__512781.zip / FNB _-) R126.00 reserved for purchase @ Machado Tap N Go from Current a_c..512781 using card..2924. 10Jun 12_28.eml</x:v>
      </x:c>
    </x:row>
    <x:row r="934">
      <x:c r="A934" s="15" t="str">
        <x:v>Current a/c..512781 / card..2924</x:v>
      </x:c>
      <x:c r="B934" s="34" t="n">
        <x:v>46183.52569444444</x:v>
      </x:c>
      <x:c r="C934" s="15" t="str">
        <x:v>R300.00 reserved for purchase @ Ae Millys from Current a/c..512781 using card..2924. Avail R1274. 10Jun 12:37</x:v>
      </x:c>
      <x:c r="D934" s="38" t="n">
        <x:v>0</x:v>
      </x:c>
      <x:c r="E934" s="38" t="n">
        <x:v>300</x:v>
      </x:c>
      <x:c r="F934" s="38" t="n">
        <x:v>0</x:v>
      </x:c>
      <x:c r="G934" s="38" t="n">
        <x:v>1274</x:v>
      </x:c>
      <x:c r="H934" s="15" t="str">
        <x:v>Card spend</x:v>
      </x:c>
      <x:c r="I934" s="15" t="str">
        <x:v>Ae Millys</x:v>
      </x:c>
      <x:c r="J934" s="15" t="str">
        <x:v>eml_ALL_currentac__512781 (2).zip &gt; eml1currentac__512781.zip / FNB _-) R300.00 reserved for purchase @ Ae Millys from Current a_c..512781 using card..2924. 10Jun 12_37.eml</x:v>
      </x:c>
    </x:row>
    <x:row r="935">
      <x:c r="A935" s="15" t="str">
        <x:v>Current a/c..512781 / card..2924</x:v>
      </x:c>
      <x:c r="B935" s="34" t="n">
        <x:v>46183.62986111111</x:v>
      </x:c>
      <x:c r="C935" s="15" t="str">
        <x:v>R593.35 reserved for purchase @ Checkers Bronkhorsts from Current a/c..512781 using card..2924. Avail R597. 10Jun 15:07</x:v>
      </x:c>
      <x:c r="D935" s="38" t="n">
        <x:v>0</x:v>
      </x:c>
      <x:c r="E935" s="38" t="n">
        <x:v>593.35</x:v>
      </x:c>
      <x:c r="F935" s="38" t="n">
        <x:v>0</x:v>
      </x:c>
      <x:c r="G935" s="38" t="n">
        <x:v>597</x:v>
      </x:c>
      <x:c r="H935" s="15" t="str">
        <x:v>Supplier payments</x:v>
      </x:c>
      <x:c r="I935" s="15" t="str">
        <x:v>Checkers Bronkhorsts</x:v>
      </x:c>
      <x:c r="J935" s="15" t="str">
        <x:v>eml_ALL_currentac__512781 (2).zip &gt; eml1currentac__512781.zip / FNB _-) R593.35 reserved for purchase @ Checkers Bronkhorsts from Current a_c..512781 using card..2924. 10Jun 15_07.eml</x:v>
      </x:c>
    </x:row>
    <x:row r="936">
      <x:c r="A936" s="15" t="str">
        <x:v>Current a/c..512781 / card..2924</x:v>
      </x:c>
      <x:c r="B936" s="34" t="n">
        <x:v>46187.525</x:v>
      </x:c>
      <x:c r="C936" s="15" t="str">
        <x:v>R619.52 reserved for purchase @ Sqsp* Websit from Current a/c..512781 using card..2924. Avail R4529. 14Jun 12:36</x:v>
      </x:c>
      <x:c r="D936" s="38" t="n">
        <x:v>0</x:v>
      </x:c>
      <x:c r="E936" s="38" t="n">
        <x:v>619.52</x:v>
      </x:c>
      <x:c r="F936" s="38" t="n">
        <x:v>0</x:v>
      </x:c>
      <x:c r="G936" s="38" t="n">
        <x:v>4529</x:v>
      </x:c>
      <x:c r="H936" s="15" t="str">
        <x:v>Software / subscriptions</x:v>
      </x:c>
      <x:c r="I936" s="15" t="str">
        <x:v>Sqsp* Websit</x:v>
      </x:c>
      <x:c r="J936" s="15" t="str">
        <x:v>eml_ALL_currentac__512781 (2).zip &gt; eml1currentac__512781.zip / FNB _-) R619.52 reserved for purchase @ Sqsp_ Websit from Current a_c..512781 using card..2924. 14Jun 12_36.eml</x:v>
      </x:c>
    </x:row>
    <x:row r="937">
      <x:c r="A937" s="15" t="str">
        <x:v>Current a/c..512781 / card..2924</x:v>
      </x:c>
      <x:c r="B937" s="34" t="n">
        <x:v>46187.589583333334</x:v>
      </x:c>
      <x:c r="C937" s="15" t="str">
        <x:v>R793.26 reserved for purchase @ Pnp Fam Bronkhorstsp from Current a/c..512781 using card..2924. Avail R3736. 14Jun 14:09</x:v>
      </x:c>
      <x:c r="D937" s="38" t="n">
        <x:v>0</x:v>
      </x:c>
      <x:c r="E937" s="38" t="n">
        <x:v>793.26</x:v>
      </x:c>
      <x:c r="F937" s="38" t="n">
        <x:v>0</x:v>
      </x:c>
      <x:c r="G937" s="38" t="n">
        <x:v>3736</x:v>
      </x:c>
      <x:c r="H937" s="15" t="str">
        <x:v>Card spend</x:v>
      </x:c>
      <x:c r="I937" s="15" t="str">
        <x:v>Pnp Fam Bronkhorstsp</x:v>
      </x:c>
      <x:c r="J937" s="15" t="str">
        <x:v>eml_ALL_currentac__512781 (2).zip &gt; eml1currentac__512781.zip / FNB _-) R793.26 reserved for purchase @ Pnp Fam Bronkhorstsp from Current a_c..512781 using card..2924. 14Jun 14_09.eml</x:v>
      </x:c>
    </x:row>
    <x:row r="938">
      <x:c r="A938" s="15" t="str">
        <x:v>Current a/c..512781 / card..2924</x:v>
      </x:c>
      <x:c r="B938" s="34" t="n">
        <x:v>46187.600694444445</x:v>
      </x:c>
      <x:c r="C938" s="15" t="str">
        <x:v>R400.00 reserved for purchase @ Hokaai Fuels from Current a/c..512781 using card..2924. Avail R3288. 14Jun 14:25</x:v>
      </x:c>
      <x:c r="D938" s="38" t="n">
        <x:v>0</x:v>
      </x:c>
      <x:c r="E938" s="38" t="n">
        <x:v>400</x:v>
      </x:c>
      <x:c r="F938" s="38" t="n">
        <x:v>0</x:v>
      </x:c>
      <x:c r="G938" s="38" t="n">
        <x:v>3288</x:v>
      </x:c>
      <x:c r="H938" s="15" t="str">
        <x:v>Fuel / transport</x:v>
      </x:c>
      <x:c r="I938" s="15" t="str">
        <x:v>Hokaai Fuels</x:v>
      </x:c>
      <x:c r="J938" s="15" t="str">
        <x:v>eml_ALL_currentac__512781 (2).zip &gt; eml1currentac__512781.zip / FNB _-) R400.00 reserved for purchase @ Hokaai Fuels from Current a_c..512781 using card..2924. 14Jun 14_25.eml</x:v>
      </x:c>
    </x:row>
    <x:row r="939">
      <x:c r="A939" s="15" t="str">
        <x:v>Current a/c..512781 / card..2924</x:v>
      </x:c>
      <x:c r="B939" s="34" t="n">
        <x:v>46188.43541666667</x:v>
      </x:c>
      <x:c r="C939" s="15" t="str">
        <x:v>R126.00 reserved for purchase @ Machado Tap N Go from Current a/c..512781 using card..2924. Avail R1964. 15Jun 10:27</x:v>
      </x:c>
      <x:c r="D939" s="38" t="n">
        <x:v>0</x:v>
      </x:c>
      <x:c r="E939" s="38" t="n">
        <x:v>126</x:v>
      </x:c>
      <x:c r="F939" s="38" t="n">
        <x:v>0</x:v>
      </x:c>
      <x:c r="G939" s="38" t="n">
        <x:v>1964</x:v>
      </x:c>
      <x:c r="H939" s="15" t="str">
        <x:v>Card spend</x:v>
      </x:c>
      <x:c r="I939" s="15" t="str">
        <x:v>Machado Tap N Go</x:v>
      </x:c>
      <x:c r="J939" s="15" t="str">
        <x:v>eml_ALL_currentac__512781 (2).zip &gt; eml1currentac__512781.zip / FNB _-) R126.00 reserved for purchase @ Machado Tap N Go from Current a_c..512781 using card..2924. 15Jun 10_27.eml</x:v>
      </x:c>
    </x:row>
    <x:row r="940">
      <x:c r="A940" s="15" t="str">
        <x:v>Current a/c..512781 / card..2924</x:v>
      </x:c>
      <x:c r="B940" s="34" t="n">
        <x:v>46188.540972222225</x:v>
      </x:c>
      <x:c r="C940" s="15" t="str">
        <x:v>R378.32 reserved for purchase @ Superspar Malelane from Current a/c..512781 using card..2924. Avail R1490. 15Jun 12:59</x:v>
      </x:c>
      <x:c r="D940" s="38" t="n">
        <x:v>0</x:v>
      </x:c>
      <x:c r="E940" s="38" t="n">
        <x:v>378.32</x:v>
      </x:c>
      <x:c r="F940" s="38" t="n">
        <x:v>0</x:v>
      </x:c>
      <x:c r="G940" s="38" t="n">
        <x:v>1490</x:v>
      </x:c>
      <x:c r="H940" s="15" t="str">
        <x:v>Supplier payments</x:v>
      </x:c>
      <x:c r="I940" s="15" t="str">
        <x:v>Superspar Malelane</x:v>
      </x:c>
      <x:c r="J940" s="15" t="str">
        <x:v>eml_ALL_currentac__512781 (2).zip &gt; eml1currentac__512781.zip / FNB _-) R378.32 reserved for purchase @ Superspar Malelane from Current a_c..512781 using card..2924. 15Jun 12_59.eml</x:v>
      </x:c>
    </x:row>
    <x:row r="941">
      <x:c r="A941" s="15" t="str">
        <x:v>Current a/c..512781 / card..2924</x:v>
      </x:c>
      <x:c r="B941" s="34" t="n">
        <x:v>46188.549305555556</x:v>
      </x:c>
      <x:c r="C941" s="15" t="str">
        <x:v>R200.15 reserved for purchase @ Engen Malelane from Current a/c..512781 using card..2924. Avail R1290. 15Jun 13:11</x:v>
      </x:c>
      <x:c r="D941" s="38" t="n">
        <x:v>0</x:v>
      </x:c>
      <x:c r="E941" s="38" t="n">
        <x:v>200.15</x:v>
      </x:c>
      <x:c r="F941" s="38" t="n">
        <x:v>0</x:v>
      </x:c>
      <x:c r="G941" s="38" t="n">
        <x:v>1290</x:v>
      </x:c>
      <x:c r="H941" s="15" t="str">
        <x:v>Fuel / transport</x:v>
      </x:c>
      <x:c r="I941" s="15" t="str">
        <x:v>Engen Malelane</x:v>
      </x:c>
      <x:c r="J941" s="15" t="str">
        <x:v>eml_ALL_currentac__512781 (2).zip &gt; eml1currentac__512781.zip / FNB _-) R200.15 reserved for purchase @ Engen Malelane from Current a_c..512781 using card..2924. 15Jun 13_11.eml</x:v>
      </x:c>
    </x:row>
    <x:row r="942">
      <x:c r="A942" s="15" t="str">
        <x:v>Current a/c..512781 / card..2924</x:v>
      </x:c>
      <x:c r="B942" s="34" t="n">
        <x:v>46189.72361111111</x:v>
      </x:c>
      <x:c r="C942" s="15" t="str">
        <x:v>R250.00 reserved for purchase @ The Tin Shack from Current a/c..512781 using card..2924. Avail R9468. 16Jun 17:22</x:v>
      </x:c>
      <x:c r="D942" s="38" t="n">
        <x:v>0</x:v>
      </x:c>
      <x:c r="E942" s="38" t="n">
        <x:v>250</x:v>
      </x:c>
      <x:c r="F942" s="38" t="n">
        <x:v>0</x:v>
      </x:c>
      <x:c r="G942" s="38" t="n">
        <x:v>9468</x:v>
      </x:c>
      <x:c r="H942" s="15" t="str">
        <x:v>Meals / restaurants / entertainment</x:v>
      </x:c>
      <x:c r="I942" s="15" t="str">
        <x:v>The Tin Shack</x:v>
      </x:c>
      <x:c r="J942" s="15" t="str">
        <x:v>eml_ALL_currentac__512781 (2).zip &gt; eml1currentac__512781.zip / FNB _-) R250.00 reserved for purchase @ The Tin Shack from Current a_c..512781 using card..2924. 16Jun 17_22.eml</x:v>
      </x:c>
    </x:row>
    <x:row r="943">
      <x:c r="A943" s="15" t="str">
        <x:v>Current a/c..512781 / card..2924</x:v>
      </x:c>
      <x:c r="B943" s="34" t="n">
        <x:v>46190.44097222222</x:v>
      </x:c>
      <x:c r="C943" s="15" t="str">
        <x:v>R228.85 reserved for purchase @ Paystack *zoho Co from Current a/c..512781 using card..2924. Avail R9087. 17Jun 10:35</x:v>
      </x:c>
      <x:c r="D943" s="38" t="n">
        <x:v>0</x:v>
      </x:c>
      <x:c r="E943" s="38" t="n">
        <x:v>228.85</x:v>
      </x:c>
      <x:c r="F943" s="38" t="n">
        <x:v>0</x:v>
      </x:c>
      <x:c r="G943" s="38" t="n">
        <x:v>9087</x:v>
      </x:c>
      <x:c r="H943" s="15" t="str">
        <x:v>Software / subscriptions</x:v>
      </x:c>
      <x:c r="I943" s="15" t="str">
        <x:v>Paystack *zoho Co</x:v>
      </x:c>
      <x:c r="J943" s="15" t="str">
        <x:v>eml_ALL_currentac__512781 (2).zip &gt; eml1currentac__512781.zip / FNB _-) R228.85 reserved for purchase @ Paystack _zoho Co from Current a_c..512781 using card..2924. 17Jun 10_35.eml</x:v>
      </x:c>
    </x:row>
    <x:row r="944">
      <x:c r="A944" s="15" t="str">
        <x:v>Current a/c..512781 / card..2924</x:v>
      </x:c>
      <x:c r="B944" s="34" t="n">
        <x:v>46191.46944444445</x:v>
      </x:c>
      <x:c r="C944" s="15" t="str">
        <x:v>R643.85 reserved for purchase @ Shoprite Komatipoort from Current a/c..512781 using card..2924. Avail R9628. 18Jun 11:16</x:v>
      </x:c>
      <x:c r="D944" s="38" t="n">
        <x:v>0</x:v>
      </x:c>
      <x:c r="E944" s="38" t="n">
        <x:v>643.85</x:v>
      </x:c>
      <x:c r="F944" s="38" t="n">
        <x:v>0</x:v>
      </x:c>
      <x:c r="G944" s="38" t="n">
        <x:v>9628</x:v>
      </x:c>
      <x:c r="H944" s="15" t="str">
        <x:v>Supplier payments</x:v>
      </x:c>
      <x:c r="I944" s="15" t="str">
        <x:v>Shoprite Komatipoort</x:v>
      </x:c>
      <x:c r="J944" s="15" t="str">
        <x:v>eml_ALL_currentac__512781 (2).zip &gt; eml1currentac__512781.zip / FNB _-) R643.85 reserved for purchase @ Shoprite Komatipoort from Current a_c..512781 using card..2924. 18Jun 11_16.eml</x:v>
      </x:c>
    </x:row>
    <x:row r="945">
      <x:c r="A945" s="15" t="str">
        <x:v>Current a/c..512781 / card..2924</x:v>
      </x:c>
      <x:c r="B945" s="34" t="n">
        <x:v>46191.50763888889</x:v>
      </x:c>
      <x:c r="C945" s="15" t="str">
        <x:v>R813.73 reserved for purchase @ Superspar Komatipoor from Current a/c..512781 using card..2924. Avail R8814. 18Jun 12:11</x:v>
      </x:c>
      <x:c r="D945" s="38" t="n">
        <x:v>0</x:v>
      </x:c>
      <x:c r="E945" s="38" t="n">
        <x:v>813.73</x:v>
      </x:c>
      <x:c r="F945" s="38" t="n">
        <x:v>0</x:v>
      </x:c>
      <x:c r="G945" s="38" t="n">
        <x:v>8814</x:v>
      </x:c>
      <x:c r="H945" s="15" t="str">
        <x:v>Supplier payments</x:v>
      </x:c>
      <x:c r="I945" s="15" t="str">
        <x:v>Superspar Komatipoor</x:v>
      </x:c>
      <x:c r="J945" s="15" t="str">
        <x:v>eml_ALL_currentac__512781 (2).zip &gt; eml1currentac__512781.zip / FNB _-) R813.73 reserved for purchase @ Superspar Komatipoor from Current a_c..512781 using card..2924. 18Jun 12_11.eml</x:v>
      </x:c>
    </x:row>
    <x:row r="946">
      <x:c r="A946" s="15" t="str">
        <x:v>Current a/c..512781 / card..2924</x:v>
      </x:c>
      <x:c r="B946" s="34" t="n">
        <x:v>46192.50069444445</x:v>
      </x:c>
      <x:c r="C946" s="15" t="str">
        <x:v>R783.50 reserved for purchase @ Superspar Komatipoor from Current a/c..512781 using card..2924. Avail R5017. 19Jun 12:01</x:v>
      </x:c>
      <x:c r="D946" s="38" t="n">
        <x:v>0</x:v>
      </x:c>
      <x:c r="E946" s="38" t="n">
        <x:v>783.5</x:v>
      </x:c>
      <x:c r="F946" s="38" t="n">
        <x:v>0</x:v>
      </x:c>
      <x:c r="G946" s="38" t="n">
        <x:v>5017</x:v>
      </x:c>
      <x:c r="H946" s="15" t="str">
        <x:v>Supplier payments</x:v>
      </x:c>
      <x:c r="I946" s="15" t="str">
        <x:v>Superspar Komatipoor</x:v>
      </x:c>
      <x:c r="J946" s="15" t="str">
        <x:v>eml_ALL_currentac__512781 (2).zip &gt; eml1currentac__512781.zip / FNB _-) R783.50 reserved for purchase @ Superspar Komatipoor from Current a_c..512781 using card..2924. 19Jun 12_01.eml</x:v>
      </x:c>
    </x:row>
    <x:row r="947">
      <x:c r="A947" s="15" t="str">
        <x:v>Current a/c..512781 / card..2924</x:v>
      </x:c>
      <x:c r="B947" s="34" t="n">
        <x:v>46192.51527777778</x:v>
      </x:c>
      <x:c r="C947" s="15" t="str">
        <x:v>R127.00 reserved for purchase @ Oasis Water Komatipo from Current a/c..512781 using card..2924. Avail R4890. 19Jun 12:22</x:v>
      </x:c>
      <x:c r="D947" s="38" t="n">
        <x:v>0</x:v>
      </x:c>
      <x:c r="E947" s="38" t="n">
        <x:v>127</x:v>
      </x:c>
      <x:c r="F947" s="38" t="n">
        <x:v>0</x:v>
      </x:c>
      <x:c r="G947" s="38" t="n">
        <x:v>4890</x:v>
      </x:c>
      <x:c r="H947" s="15" t="str">
        <x:v>Supplier payments</x:v>
      </x:c>
      <x:c r="I947" s="15" t="str">
        <x:v>Oasis Water Komatipo</x:v>
      </x:c>
      <x:c r="J947" s="15" t="str">
        <x:v>eml_ALL_currentac__512781 (2).zip &gt; eml1currentac__512781.zip / FNB _-) R127.00 reserved for purchase @ Oasis Water Komatipo from Current a_c..512781 using card..2924. 19Jun 12_22.eml</x:v>
      </x:c>
    </x:row>
    <x:row r="948">
      <x:c r="A948" s="15" t="str">
        <x:v>Private Cheq Acc..566332</x:v>
      </x:c>
      <x:c r="B948" s="34" t="n">
        <x:v>46026.413194444445</x:v>
      </x:c>
      <x:c r="C948" s="15" t="str">
        <x:v>R5000.00 t/fer from Private Cheq Acc..566332 to Current a/c..512781 @ Smartapp. Avail R5611. 4Jan 09:55</x:v>
      </x:c>
      <x:c r="D948" s="38" t="n">
        <x:v>0</x:v>
      </x:c>
      <x:c r="E948" s="38" t="n">
        <x:v>0</x:v>
      </x:c>
      <x:c r="F948" s="38" t="n">
        <x:v>5000</x:v>
      </x:c>
      <x:c r="G948" s="38" t="n">
        <x:v>5611</x:v>
      </x:c>
      <x:c r="H948" s="15" t="str">
        <x:v>Inter-account transfer</x:v>
      </x:c>
      <x:c r="I948" s="15" t="str">
        <x:v>Private Cheq Acc..566332</x:v>
      </x:c>
      <x:c r="J948" s="15" t="str">
        <x:v>eml_ALL_currentac__512781 (2).zip &gt; eml8currentac__512781.zip / FNB_-) R5000.00 t_fer from Private Cheq Acc..566332 to Current a_c..512781 @ Smartapp.  4Jan 09_55.eml</x:v>
      </x:c>
    </x:row>
  </x:sheetData>
  <x:pageMargins left="0.7" right="0.7" top="0.75" bottom="0.75" header="0.3" footer="0.3"/>
  <x:tableParts count="1">
    <x:tablePart xmlns:r="http://schemas.openxmlformats.org/officeDocument/2006/relationships" r:id="R9b764cd4debd46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36" hidden="0" customWidth="1"/>
    <x:col min="9" max="9" width="28" hidden="0" customWidth="1"/>
    <x:col min="10" max="10" width="28" hidden="0" customWidth="1"/>
  </x:cols>
  <x:sheetData>
    <x:row r="1">
      <x:c r="A1" s="29" t="str">
        <x:v>Date</x:v>
      </x:c>
      <x:c r="B1" s="29" t="str">
        <x:v>Total inflows</x:v>
      </x:c>
      <x:c r="C1" s="29" t="str">
        <x:v>Total outflows</x:v>
      </x:c>
      <x:c r="D1" s="29" t="str">
        <x:v>Refunds/reversals</x:v>
      </x:c>
      <x:c r="E1" s="29" t="str">
        <x:v>Internal transfers</x:v>
      </x:c>
      <x:c r="F1" s="29" t="str">
        <x:v>Net cashflow</x:v>
      </x:c>
      <x:c r="G1" s="29" t="str">
        <x:v>Number of transactions</x:v>
      </x:c>
      <x:c r="H1" s="29" t="str">
        <x:v>Top income source</x:v>
      </x:c>
      <x:c r="I1" s="29" t="str">
        <x:v>Top payee/merchant</x:v>
      </x:c>
      <x:c r="J1" s="29" t="str">
        <x:v>Main expense category</x:v>
      </x:c>
    </x:row>
    <x:row r="2">
      <x:c r="A2" s="36" t="n">
        <x:v>45919</x:v>
      </x:c>
      <x:c r="B2" s="38" t="n">
        <x:v>0</x:v>
      </x:c>
      <x:c r="C2" s="38" t="n">
        <x:v>622.15</x:v>
      </x:c>
      <x:c r="D2" s="38" t="n">
        <x:v>0</x:v>
      </x:c>
      <x:c r="E2" s="38" t="n">
        <x:v>0</x:v>
      </x:c>
      <x:c r="F2" s="38" t="n">
        <x:v>-622.15</x:v>
      </x:c>
      <x:c r="G2" s="15" t="n">
        <x:v>3</x:v>
      </x:c>
      <x:c r="H2" s="15" t="str"/>
      <x:c r="I2" s="15" t="str">
        <x:v>Shell Rinsa Pty Ltd (500.15)</x:v>
      </x:c>
      <x:c r="J2" s="15" t="str">
        <x:v>Fuel / transport (500.15)</x:v>
      </x:c>
    </x:row>
    <x:row r="3">
      <x:c r="A3" s="36" t="n">
        <x:v>45920</x:v>
      </x:c>
      <x:c r="B3" s="38" t="n">
        <x:v>0</x:v>
      </x:c>
      <x:c r="C3" s="38" t="n">
        <x:v>0</x:v>
      </x:c>
      <x:c r="D3" s="38" t="n">
        <x:v>0</x:v>
      </x:c>
      <x:c r="E3" s="38" t="n">
        <x:v>0</x:v>
      </x:c>
      <x:c r="F3" s="38" t="n">
        <x:v>0</x:v>
      </x:c>
      <x:c r="G3" s="15" t="n">
        <x:v>0</x:v>
      </x:c>
      <x:c r="H3" s="15" t="str"/>
      <x:c r="I3" s="15" t="str"/>
      <x:c r="J3" s="15" t="str"/>
    </x:row>
    <x:row r="4">
      <x:c r="A4" s="36" t="n">
        <x:v>45921</x:v>
      </x:c>
      <x:c r="B4" s="38" t="n">
        <x:v>0</x:v>
      </x:c>
      <x:c r="C4" s="38" t="n">
        <x:v>0</x:v>
      </x:c>
      <x:c r="D4" s="38" t="n">
        <x:v>0</x:v>
      </x:c>
      <x:c r="E4" s="38" t="n">
        <x:v>0</x:v>
      </x:c>
      <x:c r="F4" s="38" t="n">
        <x:v>0</x:v>
      </x:c>
      <x:c r="G4" s="15" t="n">
        <x:v>0</x:v>
      </x:c>
      <x:c r="H4" s="15" t="str"/>
      <x:c r="I4" s="15" t="str"/>
      <x:c r="J4" s="15" t="str"/>
    </x:row>
    <x:row r="5">
      <x:c r="A5" s="36" t="n">
        <x:v>45922</x:v>
      </x:c>
      <x:c r="B5" s="38" t="n">
        <x:v>0</x:v>
      </x:c>
      <x:c r="C5" s="38" t="n">
        <x:v>0</x:v>
      </x:c>
      <x:c r="D5" s="38" t="n">
        <x:v>0</x:v>
      </x:c>
      <x:c r="E5" s="38" t="n">
        <x:v>0</x:v>
      </x:c>
      <x:c r="F5" s="38" t="n">
        <x:v>0</x:v>
      </x:c>
      <x:c r="G5" s="15" t="n">
        <x:v>1</x:v>
      </x:c>
      <x:c r="H5" s="15" t="str"/>
      <x:c r="I5" s="15" t="str"/>
      <x:c r="J5" s="15" t="str"/>
    </x:row>
    <x:row r="6">
      <x:c r="A6" s="36" t="n">
        <x:v>45923</x:v>
      </x:c>
      <x:c r="B6" s="38" t="n">
        <x:v>0</x:v>
      </x:c>
      <x:c r="C6" s="38" t="n">
        <x:v>0</x:v>
      </x:c>
      <x:c r="D6" s="38" t="n">
        <x:v>0</x:v>
      </x:c>
      <x:c r="E6" s="38" t="n">
        <x:v>0</x:v>
      </x:c>
      <x:c r="F6" s="38" t="n">
        <x:v>0</x:v>
      </x:c>
      <x:c r="G6" s="15" t="n">
        <x:v>0</x:v>
      </x:c>
      <x:c r="H6" s="15" t="str"/>
      <x:c r="I6" s="15" t="str"/>
      <x:c r="J6" s="15" t="str"/>
    </x:row>
    <x:row r="7">
      <x:c r="A7" s="36" t="n">
        <x:v>45924</x:v>
      </x:c>
      <x:c r="B7" s="38" t="n">
        <x:v>0</x:v>
      </x:c>
      <x:c r="C7" s="38" t="n">
        <x:v>600</x:v>
      </x:c>
      <x:c r="D7" s="38" t="n">
        <x:v>0</x:v>
      </x:c>
      <x:c r="E7" s="38" t="n">
        <x:v>0</x:v>
      </x:c>
      <x:c r="F7" s="38" t="n">
        <x:v>-600</x:v>
      </x:c>
      <x:c r="G7" s="15" t="n">
        <x:v>1</x:v>
      </x:c>
      <x:c r="H7" s="15" t="str"/>
      <x:c r="I7" s="15" t="str">
        <x:v>Atmh11960000001 (600.00)</x:v>
      </x:c>
      <x:c r="J7" s="15" t="str">
        <x:v>Cash withdrawal (600.00)</x:v>
      </x:c>
    </x:row>
    <x:row r="8">
      <x:c r="A8" s="36" t="n">
        <x:v>45925</x:v>
      </x:c>
      <x:c r="B8" s="38" t="n">
        <x:v>0</x:v>
      </x:c>
      <x:c r="C8" s="38" t="n">
        <x:v>506.43</x:v>
      </x:c>
      <x:c r="D8" s="38" t="n">
        <x:v>0</x:v>
      </x:c>
      <x:c r="E8" s="38" t="n">
        <x:v>0</x:v>
      </x:c>
      <x:c r="F8" s="38" t="n">
        <x:v>-506.43</x:v>
      </x:c>
      <x:c r="G8" s="15" t="n">
        <x:v>1</x:v>
      </x:c>
      <x:c r="H8" s="15" t="str"/>
      <x:c r="I8" s="15" t="str">
        <x:v>Superspar Komatipoor (506.43)</x:v>
      </x:c>
      <x:c r="J8" s="15" t="str">
        <x:v>Supplier payments (506.43)</x:v>
      </x:c>
    </x:row>
    <x:row r="9">
      <x:c r="A9" s="36" t="n">
        <x:v>45926</x:v>
      </x:c>
      <x:c r="B9" s="38" t="n">
        <x:v>0</x:v>
      </x:c>
      <x:c r="C9" s="38" t="n">
        <x:v>0</x:v>
      </x:c>
      <x:c r="D9" s="38" t="n">
        <x:v>0</x:v>
      </x:c>
      <x:c r="E9" s="38" t="n">
        <x:v>0</x:v>
      </x:c>
      <x:c r="F9" s="38" t="n">
        <x:v>0</x:v>
      </x:c>
      <x:c r="G9" s="15" t="n">
        <x:v>0</x:v>
      </x:c>
      <x:c r="H9" s="15" t="str"/>
      <x:c r="I9" s="15" t="str"/>
      <x:c r="J9" s="15" t="str"/>
    </x:row>
    <x:row r="10">
      <x:c r="A10" s="36" t="n">
        <x:v>45927</x:v>
      </x:c>
      <x:c r="B10" s="38" t="n">
        <x:v>0</x:v>
      </x:c>
      <x:c r="C10" s="38" t="n">
        <x:v>0</x:v>
      </x:c>
      <x:c r="D10" s="38" t="n">
        <x:v>0</x:v>
      </x:c>
      <x:c r="E10" s="38" t="n">
        <x:v>0</x:v>
      </x:c>
      <x:c r="F10" s="38" t="n">
        <x:v>0</x:v>
      </x:c>
      <x:c r="G10" s="15" t="n">
        <x:v>0</x:v>
      </x:c>
      <x:c r="H10" s="15" t="str"/>
      <x:c r="I10" s="15" t="str"/>
      <x:c r="J10" s="15" t="str"/>
    </x:row>
    <x:row r="11">
      <x:c r="A11" s="36" t="n">
        <x:v>45928</x:v>
      </x:c>
      <x:c r="B11" s="38" t="n">
        <x:v>0</x:v>
      </x:c>
      <x:c r="C11" s="38" t="n">
        <x:v>0</x:v>
      </x:c>
      <x:c r="D11" s="38" t="n">
        <x:v>0</x:v>
      </x:c>
      <x:c r="E11" s="38" t="n">
        <x:v>0</x:v>
      </x:c>
      <x:c r="F11" s="38" t="n">
        <x:v>0</x:v>
      </x:c>
      <x:c r="G11" s="15" t="n">
        <x:v>0</x:v>
      </x:c>
      <x:c r="H11" s="15" t="str"/>
      <x:c r="I11" s="15" t="str"/>
      <x:c r="J11" s="15" t="str"/>
    </x:row>
    <x:row r="12">
      <x:c r="A12" s="36" t="n">
        <x:v>45929</x:v>
      </x:c>
      <x:c r="B12" s="38" t="n">
        <x:v>0</x:v>
      </x:c>
      <x:c r="C12" s="38" t="n">
        <x:v>0</x:v>
      </x:c>
      <x:c r="D12" s="38" t="n">
        <x:v>0</x:v>
      </x:c>
      <x:c r="E12" s="38" t="n">
        <x:v>0</x:v>
      </x:c>
      <x:c r="F12" s="38" t="n">
        <x:v>0</x:v>
      </x:c>
      <x:c r="G12" s="15" t="n">
        <x:v>0</x:v>
      </x:c>
      <x:c r="H12" s="15" t="str"/>
      <x:c r="I12" s="15" t="str"/>
      <x:c r="J12" s="15" t="str"/>
    </x:row>
    <x:row r="13">
      <x:c r="A13" s="36" t="n">
        <x:v>45930</x:v>
      </x:c>
      <x:c r="B13" s="38" t="n">
        <x:v>0</x:v>
      </x:c>
      <x:c r="C13" s="38" t="n">
        <x:v>0</x:v>
      </x:c>
      <x:c r="D13" s="38" t="n">
        <x:v>0</x:v>
      </x:c>
      <x:c r="E13" s="38" t="n">
        <x:v>5000</x:v>
      </x:c>
      <x:c r="F13" s="38" t="n">
        <x:v>0</x:v>
      </x:c>
      <x:c r="G13" s="15" t="n">
        <x:v>1</x:v>
      </x:c>
      <x:c r="H13" s="15" t="str"/>
      <x:c r="I13" s="15" t="str"/>
      <x:c r="J13" s="15" t="str"/>
    </x:row>
    <x:row r="14">
      <x:c r="A14" s="36" t="n">
        <x:v>45931</x:v>
      </x:c>
      <x:c r="B14" s="38" t="n">
        <x:v>0</x:v>
      </x:c>
      <x:c r="C14" s="38" t="n">
        <x:v>1016.83</x:v>
      </x:c>
      <x:c r="D14" s="38" t="n">
        <x:v>0</x:v>
      </x:c>
      <x:c r="E14" s="38" t="n">
        <x:v>0</x:v>
      </x:c>
      <x:c r="F14" s="38" t="n">
        <x:v>-1016.83</x:v>
      </x:c>
      <x:c r="G14" s="15" t="n">
        <x:v>3</x:v>
      </x:c>
      <x:c r="H14" s="15" t="str"/>
      <x:c r="I14" s="15" t="str">
        <x:v>Engen Komatipoort (400.00)</x:v>
      </x:c>
      <x:c r="J14" s="15" t="str">
        <x:v>Fuel / transport (400.00)</x:v>
      </x:c>
    </x:row>
    <x:row r="15">
      <x:c r="A15" s="36" t="n">
        <x:v>45932</x:v>
      </x:c>
      <x:c r="B15" s="38" t="n">
        <x:v>0</x:v>
      </x:c>
      <x:c r="C15" s="38" t="n">
        <x:v>3005.93</x:v>
      </x:c>
      <x:c r="D15" s="38" t="n">
        <x:v>0</x:v>
      </x:c>
      <x:c r="E15" s="38" t="n">
        <x:v>0</x:v>
      </x:c>
      <x:c r="F15" s="38" t="n">
        <x:v>-3005.93</x:v>
      </x:c>
      <x:c r="G15" s="15" t="n">
        <x:v>4</x:v>
      </x:c>
      <x:c r="H15" s="15" t="str"/>
      <x:c r="I15" s="15" t="str">
        <x:v>Dinner Box 99970 (2,543.95)</x:v>
      </x:c>
      <x:c r="J15" s="15" t="str">
        <x:v>Meals / restaurants / entertainment (2,543.95)</x:v>
      </x:c>
    </x:row>
    <x:row r="16">
      <x:c r="A16" s="36" t="n">
        <x:v>45933</x:v>
      </x:c>
      <x:c r="B16" s="38" t="n">
        <x:v>74134.77</x:v>
      </x:c>
      <x:c r="C16" s="38" t="n">
        <x:v>4259.5</x:v>
      </x:c>
      <x:c r="D16" s="38" t="n">
        <x:v>0</x:v>
      </x:c>
      <x:c r="E16" s="38" t="n">
        <x:v>0</x:v>
      </x:c>
      <x:c r="F16" s="38" t="n">
        <x:v>69875.27</x:v>
      </x:c>
      <x:c r="G16" s="15" t="n">
        <x:v>6</x:v>
      </x:c>
      <x:c r="H16" s="15" t="str">
        <x:v>R025n8vc90 Booking.c (41,435.63)</x:v>
      </x:c>
      <x:c r="I16" s="15" t="str">
        <x:v>Kruger Safari 1657 (2,845.00)</x:v>
      </x:c>
      <x:c r="J16" s="15" t="str">
        <x:v>Supplier payments (4,259.50)</x:v>
      </x:c>
    </x:row>
    <x:row r="17">
      <x:c r="A17" s="36" t="n">
        <x:v>45934</x:v>
      </x:c>
      <x:c r="B17" s="38" t="n">
        <x:v>0</x:v>
      </x:c>
      <x:c r="C17" s="38" t="n">
        <x:v>2914.36</x:v>
      </x:c>
      <x:c r="D17" s="38" t="n">
        <x:v>0</x:v>
      </x:c>
      <x:c r="E17" s="38" t="n">
        <x:v>0</x:v>
      </x:c>
      <x:c r="F17" s="38" t="n">
        <x:v>-2914.36</x:v>
      </x:c>
      <x:c r="G17" s="15" t="n">
        <x:v>6</x:v>
      </x:c>
      <x:c r="H17" s="15" t="str"/>
      <x:c r="I17" s="15" t="str">
        <x:v>Staff Tips For Aug (2,800.00)</x:v>
      </x:c>
      <x:c r="J17" s="15" t="str">
        <x:v>Salary / wages (2,800.00)</x:v>
      </x:c>
    </x:row>
    <x:row r="18">
      <x:c r="A18" s="36" t="n">
        <x:v>45935</x:v>
      </x:c>
      <x:c r="B18" s="38" t="n">
        <x:v>0</x:v>
      </x:c>
      <x:c r="C18" s="38" t="n">
        <x:v>12301.97</x:v>
      </x:c>
      <x:c r="D18" s="38" t="n">
        <x:v>0</x:v>
      </x:c>
      <x:c r="E18" s="38" t="n">
        <x:v>0</x:v>
      </x:c>
      <x:c r="F18" s="38" t="n">
        <x:v>-12301.97</x:v>
      </x:c>
      <x:c r="G18" s="15" t="n">
        <x:v>4</x:v>
      </x:c>
      <x:c r="H18" s="15" t="str"/>
      <x:c r="I18" s="15" t="str">
        <x:v>Nyala Safari 145 (10,080.00)</x:v>
      </x:c>
      <x:c r="J18" s="15" t="str">
        <x:v>Supplier payments (11,901.97)</x:v>
      </x:c>
    </x:row>
    <x:row r="19">
      <x:c r="A19" s="36" t="n">
        <x:v>45936</x:v>
      </x:c>
      <x:c r="B19" s="38" t="n">
        <x:v>0</x:v>
      </x:c>
      <x:c r="C19" s="38" t="n">
        <x:v>124.34</x:v>
      </x:c>
      <x:c r="D19" s="38" t="n">
        <x:v>0</x:v>
      </x:c>
      <x:c r="E19" s="38" t="n">
        <x:v>0</x:v>
      </x:c>
      <x:c r="F19" s="38" t="n">
        <x:v>-124.34</x:v>
      </x:c>
      <x:c r="G19" s="15" t="n">
        <x:v>1</x:v>
      </x:c>
      <x:c r="H19" s="15" t="str"/>
      <x:c r="I19" s="15" t="str">
        <x:v>Savemor Marloth (124.34)</x:v>
      </x:c>
      <x:c r="J19" s="15" t="str">
        <x:v>Supplier payments (124.34)</x:v>
      </x:c>
    </x:row>
    <x:row r="20">
      <x:c r="A20" s="36" t="n">
        <x:v>45937</x:v>
      </x:c>
      <x:c r="B20" s="38" t="n">
        <x:v>0</x:v>
      </x:c>
      <x:c r="C20" s="38" t="n">
        <x:v>0</x:v>
      </x:c>
      <x:c r="D20" s="38" t="n">
        <x:v>0</x:v>
      </x:c>
      <x:c r="E20" s="38" t="n">
        <x:v>0</x:v>
      </x:c>
      <x:c r="F20" s="38" t="n">
        <x:v>0</x:v>
      </x:c>
      <x:c r="G20" s="15" t="n">
        <x:v>0</x:v>
      </x:c>
      <x:c r="H20" s="15" t="str"/>
      <x:c r="I20" s="15" t="str"/>
      <x:c r="J20" s="15" t="str"/>
    </x:row>
    <x:row r="21">
      <x:c r="A21" s="36" t="n">
        <x:v>45938</x:v>
      </x:c>
      <x:c r="B21" s="38" t="n">
        <x:v>0</x:v>
      </x:c>
      <x:c r="C21" s="38" t="n">
        <x:v>9280.24</x:v>
      </x:c>
      <x:c r="D21" s="38" t="n">
        <x:v>0</x:v>
      </x:c>
      <x:c r="E21" s="38" t="n">
        <x:v>0</x:v>
      </x:c>
      <x:c r="F21" s="38" t="n">
        <x:v>-9280.24</x:v>
      </x:c>
      <x:c r="G21" s="15" t="n">
        <x:v>8</x:v>
      </x:c>
      <x:c r="H21" s="15" t="str"/>
      <x:c r="I21" s="15" t="str">
        <x:v>Nkomazi Local Munici (5,670.36)</x:v>
      </x:c>
      <x:c r="J21" s="15" t="str">
        <x:v>Card spend (6,376.36)</x:v>
      </x:c>
    </x:row>
    <x:row r="22">
      <x:c r="A22" s="36" t="n">
        <x:v>45939</x:v>
      </x:c>
      <x:c r="B22" s="38" t="n">
        <x:v>0</x:v>
      </x:c>
      <x:c r="C22" s="38" t="n">
        <x:v>3771.96</x:v>
      </x:c>
      <x:c r="D22" s="38" t="n">
        <x:v>0</x:v>
      </x:c>
      <x:c r="E22" s="38" t="n">
        <x:v>0</x:v>
      </x:c>
      <x:c r="F22" s="38" t="n">
        <x:v>-3771.96</x:v>
      </x:c>
      <x:c r="G22" s="15" t="n">
        <x:v>7</x:v>
      </x:c>
      <x:c r="H22" s="15" t="str"/>
      <x:c r="I22" s="15" t="str">
        <x:v>Superspar Komatipoor (1,096.67)</x:v>
      </x:c>
      <x:c r="J22" s="15" t="str">
        <x:v>Supplier payments (2,225.46)</x:v>
      </x:c>
    </x:row>
    <x:row r="23">
      <x:c r="A23" s="36" t="n">
        <x:v>45940</x:v>
      </x:c>
      <x:c r="B23" s="38" t="n">
        <x:v>27423.36</x:v>
      </x:c>
      <x:c r="C23" s="38" t="n">
        <x:v>4194</x:v>
      </x:c>
      <x:c r="D23" s="38" t="n">
        <x:v>0</x:v>
      </x:c>
      <x:c r="E23" s="38" t="n">
        <x:v>20000</x:v>
      </x:c>
      <x:c r="F23" s="38" t="n">
        <x:v>23229.36</x:v>
      </x:c>
      <x:c r="G23" s="15" t="n">
        <x:v>5</x:v>
      </x:c>
      <x:c r="H23" s="15" t="str">
        <x:v>R025mdszb0 Booking.c (27,423.36)</x:v>
      </x:c>
      <x:c r="I23" s="15" t="str">
        <x:v>Nyala Safari 146 (2,244.00)</x:v>
      </x:c>
      <x:c r="J23" s="15" t="str">
        <x:v>Supplier payments (4,194.00)</x:v>
      </x:c>
    </x:row>
    <x:row r="24">
      <x:c r="A24" s="36" t="n">
        <x:v>45941</x:v>
      </x:c>
      <x:c r="B24" s="38" t="n">
        <x:v>0</x:v>
      </x:c>
      <x:c r="C24" s="38" t="n">
        <x:v>1000</x:v>
      </x:c>
      <x:c r="D24" s="38" t="n">
        <x:v>0</x:v>
      </x:c>
      <x:c r="E24" s="38" t="n">
        <x:v>15000</x:v>
      </x:c>
      <x:c r="F24" s="38" t="n">
        <x:v>-1000</x:v>
      </x:c>
      <x:c r="G24" s="15" t="n">
        <x:v>2</x:v>
      </x:c>
      <x:c r="H24" s="15" t="str"/>
      <x:c r="I24" s="15" t="str">
        <x:v>Electricity 04294887 (1,000.00)</x:v>
      </x:c>
      <x:c r="J24" s="15" t="str">
        <x:v>Telecom / utilities (1,000.00)</x:v>
      </x:c>
    </x:row>
    <x:row r="25">
      <x:c r="A25" s="36" t="n">
        <x:v>45942</x:v>
      </x:c>
      <x:c r="B25" s="38" t="n">
        <x:v>0</x:v>
      </x:c>
      <x:c r="C25" s="38" t="n">
        <x:v>547.36</x:v>
      </x:c>
      <x:c r="D25" s="38" t="n">
        <x:v>536</x:v>
      </x:c>
      <x:c r="E25" s="38" t="n">
        <x:v>0</x:v>
      </x:c>
      <x:c r="F25" s="38" t="n">
        <x:v>-11.36</x:v>
      </x:c>
      <x:c r="G25" s="15" t="n">
        <x:v>4</x:v>
      </x:c>
      <x:c r="H25" s="15" t="str"/>
      <x:c r="I25" s="15" t="str">
        <x:v>Savemor Marloth (547.36)</x:v>
      </x:c>
      <x:c r="J25" s="15" t="str">
        <x:v>Supplier payments (547.36)</x:v>
      </x:c>
    </x:row>
    <x:row r="26">
      <x:c r="A26" s="36" t="n">
        <x:v>45943</x:v>
      </x:c>
      <x:c r="B26" s="38" t="n">
        <x:v>0</x:v>
      </x:c>
      <x:c r="C26" s="38" t="n">
        <x:v>142</x:v>
      </x:c>
      <x:c r="D26" s="38" t="n">
        <x:v>0</x:v>
      </x:c>
      <x:c r="E26" s="38" t="n">
        <x:v>0</x:v>
      </x:c>
      <x:c r="F26" s="38" t="n">
        <x:v>-142</x:v>
      </x:c>
      <x:c r="G26" s="15" t="n">
        <x:v>1</x:v>
      </x:c>
      <x:c r="H26" s="15" t="str"/>
      <x:c r="I26" s="15" t="str">
        <x:v>Ingwe Liquors 146 (142.00)</x:v>
      </x:c>
      <x:c r="J26" s="15" t="str">
        <x:v>Meals / restaurants / entertainment (142.00)</x:v>
      </x:c>
    </x:row>
    <x:row r="27">
      <x:c r="A27" s="36" t="n">
        <x:v>45944</x:v>
      </x:c>
      <x:c r="B27" s="38" t="n">
        <x:v>0</x:v>
      </x:c>
      <x:c r="C27" s="38" t="n">
        <x:v>2311.49</x:v>
      </x:c>
      <x:c r="D27" s="38" t="n">
        <x:v>0</x:v>
      </x:c>
      <x:c r="E27" s="38" t="n">
        <x:v>0</x:v>
      </x:c>
      <x:c r="F27" s="38" t="n">
        <x:v>-2311.49</x:v>
      </x:c>
      <x:c r="G27" s="15" t="n">
        <x:v>3</x:v>
      </x:c>
      <x:c r="H27" s="15" t="str"/>
      <x:c r="I27" s="15" t="str">
        <x:v>Dinner Box 100542 (1,870.75)</x:v>
      </x:c>
      <x:c r="J27" s="15" t="str">
        <x:v>Meals / restaurants / entertainment (1,870.75)</x:v>
      </x:c>
    </x:row>
    <x:row r="28">
      <x:c r="A28" s="36" t="n">
        <x:v>45945</x:v>
      </x:c>
      <x:c r="B28" s="38" t="n">
        <x:v>0</x:v>
      </x:c>
      <x:c r="C28" s="38" t="n">
        <x:v>788.95</x:v>
      </x:c>
      <x:c r="D28" s="38" t="n">
        <x:v>0</x:v>
      </x:c>
      <x:c r="E28" s="38" t="n">
        <x:v>0</x:v>
      </x:c>
      <x:c r="F28" s="38" t="n">
        <x:v>-788.95</x:v>
      </x:c>
      <x:c r="G28" s="15" t="n">
        <x:v>3</x:v>
      </x:c>
      <x:c r="H28" s="15" t="str"/>
      <x:c r="I28" s="15" t="str">
        <x:v>Marlothi Petrol Stat (400.00)</x:v>
      </x:c>
      <x:c r="J28" s="15" t="str">
        <x:v>Fuel / transport (400.00)</x:v>
      </x:c>
    </x:row>
    <x:row r="29">
      <x:c r="A29" s="36" t="n">
        <x:v>45946</x:v>
      </x:c>
      <x:c r="B29" s="38" t="n">
        <x:v>0</x:v>
      </x:c>
      <x:c r="C29" s="38" t="n">
        <x:v>101.37</x:v>
      </x:c>
      <x:c r="D29" s="38" t="n">
        <x:v>0</x:v>
      </x:c>
      <x:c r="E29" s="38" t="n">
        <x:v>0</x:v>
      </x:c>
      <x:c r="F29" s="38" t="n">
        <x:v>-101.37</x:v>
      </x:c>
      <x:c r="G29" s="15" t="n">
        <x:v>1</x:v>
      </x:c>
      <x:c r="H29" s="15" t="str"/>
      <x:c r="I29" s="15" t="str">
        <x:v>Savemor Marloth (101.37)</x:v>
      </x:c>
      <x:c r="J29" s="15" t="str">
        <x:v>Supplier payments (101.37)</x:v>
      </x:c>
    </x:row>
    <x:row r="30">
      <x:c r="A30" s="36" t="n">
        <x:v>45947</x:v>
      </x:c>
      <x:c r="B30" s="38" t="n">
        <x:v>0</x:v>
      </x:c>
      <x:c r="C30" s="38" t="n">
        <x:v>0</x:v>
      </x:c>
      <x:c r="D30" s="38" t="n">
        <x:v>0</x:v>
      </x:c>
      <x:c r="E30" s="38" t="n">
        <x:v>0</x:v>
      </x:c>
      <x:c r="F30" s="38" t="n">
        <x:v>0</x:v>
      </x:c>
      <x:c r="G30" s="15" t="n">
        <x:v>0</x:v>
      </x:c>
      <x:c r="H30" s="15" t="str"/>
      <x:c r="I30" s="15" t="str"/>
      <x:c r="J30" s="15" t="str"/>
    </x:row>
    <x:row r="31">
      <x:c r="A31" s="36" t="n">
        <x:v>45948</x:v>
      </x:c>
      <x:c r="B31" s="38" t="n">
        <x:v>0</x:v>
      </x:c>
      <x:c r="C31" s="38" t="n">
        <x:v>0</x:v>
      </x:c>
      <x:c r="D31" s="38" t="n">
        <x:v>0</x:v>
      </x:c>
      <x:c r="E31" s="38" t="n">
        <x:v>0</x:v>
      </x:c>
      <x:c r="F31" s="38" t="n">
        <x:v>0</x:v>
      </x:c>
      <x:c r="G31" s="15" t="n">
        <x:v>0</x:v>
      </x:c>
      <x:c r="H31" s="15" t="str"/>
      <x:c r="I31" s="15" t="str"/>
      <x:c r="J31" s="15" t="str"/>
    </x:row>
    <x:row r="32">
      <x:c r="A32" s="36" t="n">
        <x:v>45949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15" t="n">
        <x:v>0</x:v>
      </x:c>
      <x:c r="H32" s="15" t="str"/>
      <x:c r="I32" s="15" t="str"/>
      <x:c r="J32" s="15" t="str"/>
    </x:row>
    <x:row r="33">
      <x:c r="A33" s="36" t="n">
        <x:v>45950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15" t="n">
        <x:v>0</x:v>
      </x:c>
      <x:c r="H33" s="15" t="str"/>
      <x:c r="I33" s="15" t="str"/>
      <x:c r="J33" s="15" t="str"/>
    </x:row>
    <x:row r="34">
      <x:c r="A34" s="36" t="n">
        <x:v>45951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15" t="n">
        <x:v>0</x:v>
      </x:c>
      <x:c r="H34" s="15" t="str"/>
      <x:c r="I34" s="15" t="str"/>
      <x:c r="J34" s="15" t="str"/>
    </x:row>
    <x:row r="35">
      <x:c r="A35" s="36" t="n">
        <x:v>45952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15" t="n">
        <x:v>0</x:v>
      </x:c>
      <x:c r="H35" s="15" t="str"/>
      <x:c r="I35" s="15" t="str"/>
      <x:c r="J35" s="15" t="str"/>
    </x:row>
    <x:row r="36">
      <x:c r="A36" s="36" t="n">
        <x:v>45953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15" t="n">
        <x:v>0</x:v>
      </x:c>
      <x:c r="H36" s="15" t="str"/>
      <x:c r="I36" s="15" t="str"/>
      <x:c r="J36" s="15" t="str"/>
    </x:row>
    <x:row r="37">
      <x:c r="A37" s="36" t="n">
        <x:v>45954</x:v>
      </x:c>
      <x:c r="B37" s="38" t="n">
        <x:v>0</x:v>
      </x:c>
      <x:c r="C37" s="38" t="n">
        <x:v>0</x:v>
      </x:c>
      <x:c r="D37" s="38" t="n">
        <x:v>0</x:v>
      </x:c>
      <x:c r="E37" s="38" t="n">
        <x:v>0</x:v>
      </x:c>
      <x:c r="F37" s="38" t="n">
        <x:v>0</x:v>
      </x:c>
      <x:c r="G37" s="15" t="n">
        <x:v>0</x:v>
      </x:c>
      <x:c r="H37" s="15" t="str"/>
      <x:c r="I37" s="15" t="str"/>
      <x:c r="J37" s="15" t="str"/>
    </x:row>
    <x:row r="38">
      <x:c r="A38" s="36" t="n">
        <x:v>45955</x:v>
      </x:c>
      <x:c r="B38" s="38" t="n">
        <x:v>0</x:v>
      </x:c>
      <x:c r="C38" s="38" t="n">
        <x:v>0</x:v>
      </x:c>
      <x:c r="D38" s="38" t="n">
        <x:v>0</x:v>
      </x:c>
      <x:c r="E38" s="38" t="n">
        <x:v>0</x:v>
      </x:c>
      <x:c r="F38" s="38" t="n">
        <x:v>0</x:v>
      </x:c>
      <x:c r="G38" s="15" t="n">
        <x:v>0</x:v>
      </x:c>
      <x:c r="H38" s="15" t="str"/>
      <x:c r="I38" s="15" t="str"/>
      <x:c r="J38" s="15" t="str"/>
    </x:row>
    <x:row r="39">
      <x:c r="A39" s="36" t="n">
        <x:v>45956</x:v>
      </x:c>
      <x:c r="B39" s="38" t="n">
        <x:v>0</x:v>
      </x:c>
      <x:c r="C39" s="38" t="n">
        <x:v>0</x:v>
      </x:c>
      <x:c r="D39" s="38" t="n">
        <x:v>0</x:v>
      </x:c>
      <x:c r="E39" s="38" t="n">
        <x:v>0</x:v>
      </x:c>
      <x:c r="F39" s="38" t="n">
        <x:v>0</x:v>
      </x:c>
      <x:c r="G39" s="15" t="n">
        <x:v>0</x:v>
      </x:c>
      <x:c r="H39" s="15" t="str"/>
      <x:c r="I39" s="15" t="str"/>
      <x:c r="J39" s="15" t="str"/>
    </x:row>
    <x:row r="40">
      <x:c r="A40" s="36" t="n">
        <x:v>45957</x:v>
      </x:c>
      <x:c r="B40" s="38" t="n">
        <x:v>0</x:v>
      </x:c>
      <x:c r="C40" s="38" t="n">
        <x:v>0</x:v>
      </x:c>
      <x:c r="D40" s="38" t="n">
        <x:v>0</x:v>
      </x:c>
      <x:c r="E40" s="38" t="n">
        <x:v>0</x:v>
      </x:c>
      <x:c r="F40" s="38" t="n">
        <x:v>0</x:v>
      </x:c>
      <x:c r="G40" s="15" t="n">
        <x:v>0</x:v>
      </x:c>
      <x:c r="H40" s="15" t="str"/>
      <x:c r="I40" s="15" t="str"/>
      <x:c r="J40" s="15" t="str"/>
    </x:row>
    <x:row r="41">
      <x:c r="A41" s="36" t="n">
        <x:v>45958</x:v>
      </x:c>
      <x:c r="B41" s="38" t="n">
        <x:v>0</x:v>
      </x:c>
      <x:c r="C41" s="38" t="n">
        <x:v>0</x:v>
      </x:c>
      <x:c r="D41" s="38" t="n">
        <x:v>0</x:v>
      </x:c>
      <x:c r="E41" s="38" t="n">
        <x:v>0</x:v>
      </x:c>
      <x:c r="F41" s="38" t="n">
        <x:v>0</x:v>
      </x:c>
      <x:c r="G41" s="15" t="n">
        <x:v>0</x:v>
      </x:c>
      <x:c r="H41" s="15" t="str"/>
      <x:c r="I41" s="15" t="str"/>
      <x:c r="J41" s="15" t="str"/>
    </x:row>
    <x:row r="42">
      <x:c r="A42" s="36" t="n">
        <x:v>45959</x:v>
      </x:c>
      <x:c r="B42" s="38" t="n">
        <x:v>0</x:v>
      </x:c>
      <x:c r="C42" s="38" t="n">
        <x:v>0</x:v>
      </x:c>
      <x:c r="D42" s="38" t="n">
        <x:v>0</x:v>
      </x:c>
      <x:c r="E42" s="38" t="n">
        <x:v>0</x:v>
      </x:c>
      <x:c r="F42" s="38" t="n">
        <x:v>0</x:v>
      </x:c>
      <x:c r="G42" s="15" t="n">
        <x:v>0</x:v>
      </x:c>
      <x:c r="H42" s="15" t="str"/>
      <x:c r="I42" s="15" t="str"/>
      <x:c r="J42" s="15" t="str"/>
    </x:row>
    <x:row r="43">
      <x:c r="A43" s="36" t="n">
        <x:v>45960</x:v>
      </x:c>
      <x:c r="B43" s="38" t="n">
        <x:v>0</x:v>
      </x:c>
      <x:c r="C43" s="38" t="n">
        <x:v>0</x:v>
      </x:c>
      <x:c r="D43" s="38" t="n">
        <x:v>0</x:v>
      </x:c>
      <x:c r="E43" s="38" t="n">
        <x:v>0</x:v>
      </x:c>
      <x:c r="F43" s="38" t="n">
        <x:v>0</x:v>
      </x:c>
      <x:c r="G43" s="15" t="n">
        <x:v>0</x:v>
      </x:c>
      <x:c r="H43" s="15" t="str"/>
      <x:c r="I43" s="15" t="str"/>
      <x:c r="J43" s="15" t="str"/>
    </x:row>
    <x:row r="44">
      <x:c r="A44" s="36" t="n">
        <x:v>45961</x:v>
      </x:c>
      <x:c r="B44" s="38" t="n">
        <x:v>0</x:v>
      </x:c>
      <x:c r="C44" s="38" t="n">
        <x:v>0</x:v>
      </x:c>
      <x:c r="D44" s="38" t="n">
        <x:v>0</x:v>
      </x:c>
      <x:c r="E44" s="38" t="n">
        <x:v>0</x:v>
      </x:c>
      <x:c r="F44" s="38" t="n">
        <x:v>0</x:v>
      </x:c>
      <x:c r="G44" s="15" t="n">
        <x:v>0</x:v>
      </x:c>
      <x:c r="H44" s="15" t="str"/>
      <x:c r="I44" s="15" t="str"/>
      <x:c r="J44" s="15" t="str"/>
    </x:row>
    <x:row r="45">
      <x:c r="A45" s="36" t="n">
        <x:v>45962</x:v>
      </x:c>
      <x:c r="B45" s="38" t="n">
        <x:v>0</x:v>
      </x:c>
      <x:c r="C45" s="38" t="n">
        <x:v>0</x:v>
      </x:c>
      <x:c r="D45" s="38" t="n">
        <x:v>0</x:v>
      </x:c>
      <x:c r="E45" s="38" t="n">
        <x:v>0</x:v>
      </x:c>
      <x:c r="F45" s="38" t="n">
        <x:v>0</x:v>
      </x:c>
      <x:c r="G45" s="15" t="n">
        <x:v>0</x:v>
      </x:c>
      <x:c r="H45" s="15" t="str"/>
      <x:c r="I45" s="15" t="str"/>
      <x:c r="J45" s="15" t="str"/>
    </x:row>
    <x:row r="46">
      <x:c r="A46" s="36" t="n">
        <x:v>45963</x:v>
      </x:c>
      <x:c r="B46" s="38" t="n">
        <x:v>0</x:v>
      </x:c>
      <x:c r="C46" s="38" t="n">
        <x:v>0</x:v>
      </x:c>
      <x:c r="D46" s="38" t="n">
        <x:v>0</x:v>
      </x:c>
      <x:c r="E46" s="38" t="n">
        <x:v>0</x:v>
      </x:c>
      <x:c r="F46" s="38" t="n">
        <x:v>0</x:v>
      </x:c>
      <x:c r="G46" s="15" t="n">
        <x:v>0</x:v>
      </x:c>
      <x:c r="H46" s="15" t="str"/>
      <x:c r="I46" s="15" t="str"/>
      <x:c r="J46" s="15" t="str"/>
    </x:row>
    <x:row r="47">
      <x:c r="A47" s="36" t="n">
        <x:v>45964</x:v>
      </x:c>
      <x:c r="B47" s="38" t="n">
        <x:v>0</x:v>
      </x:c>
      <x:c r="C47" s="38" t="n">
        <x:v>0</x:v>
      </x:c>
      <x:c r="D47" s="38" t="n">
        <x:v>0</x:v>
      </x:c>
      <x:c r="E47" s="38" t="n">
        <x:v>0</x:v>
      </x:c>
      <x:c r="F47" s="38" t="n">
        <x:v>0</x:v>
      </x:c>
      <x:c r="G47" s="15" t="n">
        <x:v>0</x:v>
      </x:c>
      <x:c r="H47" s="15" t="str"/>
      <x:c r="I47" s="15" t="str"/>
      <x:c r="J47" s="15" t="str"/>
    </x:row>
    <x:row r="48">
      <x:c r="A48" s="36" t="n">
        <x:v>45965</x:v>
      </x:c>
      <x:c r="B48" s="38" t="n">
        <x:v>0</x:v>
      </x:c>
      <x:c r="C48" s="38" t="n">
        <x:v>0</x:v>
      </x:c>
      <x:c r="D48" s="38" t="n">
        <x:v>0</x:v>
      </x:c>
      <x:c r="E48" s="38" t="n">
        <x:v>0</x:v>
      </x:c>
      <x:c r="F48" s="38" t="n">
        <x:v>0</x:v>
      </x:c>
      <x:c r="G48" s="15" t="n">
        <x:v>0</x:v>
      </x:c>
      <x:c r="H48" s="15" t="str"/>
      <x:c r="I48" s="15" t="str"/>
      <x:c r="J48" s="15" t="str"/>
    </x:row>
    <x:row r="49">
      <x:c r="A49" s="36" t="n">
        <x:v>45966</x:v>
      </x:c>
      <x:c r="B49" s="38" t="n">
        <x:v>0</x:v>
      </x:c>
      <x:c r="C49" s="38" t="n">
        <x:v>0</x:v>
      </x:c>
      <x:c r="D49" s="38" t="n">
        <x:v>0</x:v>
      </x:c>
      <x:c r="E49" s="38" t="n">
        <x:v>0</x:v>
      </x:c>
      <x:c r="F49" s="38" t="n">
        <x:v>0</x:v>
      </x:c>
      <x:c r="G49" s="15" t="n">
        <x:v>0</x:v>
      </x:c>
      <x:c r="H49" s="15" t="str"/>
      <x:c r="I49" s="15" t="str"/>
      <x:c r="J49" s="15" t="str"/>
    </x:row>
    <x:row r="50">
      <x:c r="A50" s="36" t="n">
        <x:v>45967</x:v>
      </x:c>
      <x:c r="B50" s="38" t="n">
        <x:v>0</x:v>
      </x:c>
      <x:c r="C50" s="38" t="n">
        <x:v>0</x:v>
      </x:c>
      <x:c r="D50" s="38" t="n">
        <x:v>0</x:v>
      </x:c>
      <x:c r="E50" s="38" t="n">
        <x:v>0</x:v>
      </x:c>
      <x:c r="F50" s="38" t="n">
        <x:v>0</x:v>
      </x:c>
      <x:c r="G50" s="15" t="n">
        <x:v>0</x:v>
      </x:c>
      <x:c r="H50" s="15" t="str"/>
      <x:c r="I50" s="15" t="str"/>
      <x:c r="J50" s="15" t="str"/>
    </x:row>
    <x:row r="51">
      <x:c r="A51" s="36" t="n">
        <x:v>45968</x:v>
      </x:c>
      <x:c r="B51" s="38" t="n">
        <x:v>0</x:v>
      </x:c>
      <x:c r="C51" s="38" t="n">
        <x:v>0</x:v>
      </x:c>
      <x:c r="D51" s="38" t="n">
        <x:v>0</x:v>
      </x:c>
      <x:c r="E51" s="38" t="n">
        <x:v>0</x:v>
      </x:c>
      <x:c r="F51" s="38" t="n">
        <x:v>0</x:v>
      </x:c>
      <x:c r="G51" s="15" t="n">
        <x:v>0</x:v>
      </x:c>
      <x:c r="H51" s="15" t="str"/>
      <x:c r="I51" s="15" t="str"/>
      <x:c r="J51" s="15" t="str"/>
    </x:row>
    <x:row r="52">
      <x:c r="A52" s="36" t="n">
        <x:v>45969</x:v>
      </x:c>
      <x:c r="B52" s="38" t="n">
        <x:v>0</x:v>
      </x:c>
      <x:c r="C52" s="38" t="n">
        <x:v>360</x:v>
      </x:c>
      <x:c r="D52" s="38" t="n">
        <x:v>0</x:v>
      </x:c>
      <x:c r="E52" s="38" t="n">
        <x:v>0</x:v>
      </x:c>
      <x:c r="F52" s="38" t="n">
        <x:v>-360</x:v>
      </x:c>
      <x:c r="G52" s="15" t="n">
        <x:v>1</x:v>
      </x:c>
      <x:c r="H52" s="15" t="str"/>
      <x:c r="I52" s="15" t="str">
        <x:v>The Tin Shack (360.00)</x:v>
      </x:c>
      <x:c r="J52" s="15" t="str">
        <x:v>Meals / restaurants / entertainment (360.00)</x:v>
      </x:c>
    </x:row>
    <x:row r="53">
      <x:c r="A53" s="36" t="n">
        <x:v>45970</x:v>
      </x:c>
      <x:c r="B53" s="38" t="n">
        <x:v>0</x:v>
      </x:c>
      <x:c r="C53" s="38" t="n">
        <x:v>763.92</x:v>
      </x:c>
      <x:c r="D53" s="38" t="n">
        <x:v>0</x:v>
      </x:c>
      <x:c r="E53" s="38" t="n">
        <x:v>0</x:v>
      </x:c>
      <x:c r="F53" s="38" t="n">
        <x:v>-763.92</x:v>
      </x:c>
      <x:c r="G53" s="15" t="n">
        <x:v>2</x:v>
      </x:c>
      <x:c r="H53" s="15" t="str"/>
      <x:c r="I53" s="15" t="str">
        <x:v>Cindy Wages (500.00)</x:v>
      </x:c>
      <x:c r="J53" s="15" t="str">
        <x:v>Salary / wages (500.00)</x:v>
      </x:c>
    </x:row>
    <x:row r="54">
      <x:c r="A54" s="36" t="n">
        <x:v>45971</x:v>
      </x:c>
      <x:c r="B54" s="38" t="n">
        <x:v>12511.62</x:v>
      </x:c>
      <x:c r="C54" s="38" t="n">
        <x:v>22804.18</x:v>
      </x:c>
      <x:c r="D54" s="38" t="n">
        <x:v>0</x:v>
      </x:c>
      <x:c r="E54" s="38" t="n">
        <x:v>0</x:v>
      </x:c>
      <x:c r="F54" s="38" t="n">
        <x:v>-10292.56</x:v>
      </x:c>
      <x:c r="G54" s="15" t="n">
        <x:v>7</x:v>
      </x:c>
      <x:c r="H54" s="15" t="str">
        <x:v>Ik Pay 487882 (12,511.62)</x:v>
      </x:c>
      <x:c r="I54" s="15" t="str">
        <x:v>Sanparks Crocodile B (13,332.00)</x:v>
      </x:c>
      <x:c r="J54" s="15" t="str">
        <x:v>Card spend (13,332.00)</x:v>
      </x:c>
    </x:row>
    <x:row r="55">
      <x:c r="A55" s="36" t="n">
        <x:v>45972</x:v>
      </x:c>
      <x:c r="B55" s="38" t="n">
        <x:v>0</x:v>
      </x:c>
      <x:c r="C55" s="38" t="n">
        <x:v>25455.27</x:v>
      </x:c>
      <x:c r="D55" s="38" t="n">
        <x:v>0</x:v>
      </x:c>
      <x:c r="E55" s="38" t="n">
        <x:v>0</x:v>
      </x:c>
      <x:c r="F55" s="38" t="n">
        <x:v>-25455.27</x:v>
      </x:c>
      <x:c r="G55" s="15" t="n">
        <x:v>7</x:v>
      </x:c>
      <x:c r="H55" s="15" t="str"/>
      <x:c r="I55" s="15" t="str">
        <x:v>Royal Bush 3380 50% (21,945.00)</x:v>
      </x:c>
      <x:c r="J55" s="15" t="str">
        <x:v>Supplier payments (23,453.27)</x:v>
      </x:c>
    </x:row>
    <x:row r="56">
      <x:c r="A56" s="36" t="n">
        <x:v>45973</x:v>
      </x:c>
      <x:c r="B56" s="38" t="n">
        <x:v>0</x:v>
      </x:c>
      <x:c r="C56" s="38" t="n">
        <x:v>1543.79</x:v>
      </x:c>
      <x:c r="D56" s="38" t="n">
        <x:v>0</x:v>
      </x:c>
      <x:c r="E56" s="38" t="n">
        <x:v>0</x:v>
      </x:c>
      <x:c r="F56" s="38" t="n">
        <x:v>-1543.79</x:v>
      </x:c>
      <x:c r="G56" s="15" t="n">
        <x:v>2</x:v>
      </x:c>
      <x:c r="H56" s="15" t="str"/>
      <x:c r="I56" s="15" t="str">
        <x:v>Impala Electrical Wh (1,099.79)</x:v>
      </x:c>
      <x:c r="J56" s="15" t="str">
        <x:v>Telecom / utilities (1,099.79)</x:v>
      </x:c>
    </x:row>
    <x:row r="57">
      <x:c r="A57" s="36" t="n">
        <x:v>45974</x:v>
      </x:c>
      <x:c r="B57" s="38" t="n">
        <x:v>2148</x:v>
      </x:c>
      <x:c r="C57" s="38" t="n">
        <x:v>724.02</x:v>
      </x:c>
      <x:c r="D57" s="38" t="n">
        <x:v>0</x:v>
      </x:c>
      <x:c r="E57" s="38" t="n">
        <x:v>0</x:v>
      </x:c>
      <x:c r="F57" s="38" t="n">
        <x:v>1423.98</x:v>
      </x:c>
      <x:c r="G57" s="15" t="n">
        <x:v>3</x:v>
      </x:c>
      <x:c r="H57" s="15" t="str">
        <x:v>Ik Pay 487882 (2,148.00)</x:v>
      </x:c>
      <x:c r="I57" s="15" t="str">
        <x:v>Mr Plumber- Inv 5053 (590.00)</x:v>
      </x:c>
      <x:c r="J57" s="15" t="str">
        <x:v>Supplier payments (724.02)</x:v>
      </x:c>
    </x:row>
    <x:row r="58">
      <x:c r="A58" s="36" t="n">
        <x:v>45975</x:v>
      </x:c>
      <x:c r="B58" s="38" t="n">
        <x:v>18242.98</x:v>
      </x:c>
      <x:c r="C58" s="38" t="n">
        <x:v>35924.22</x:v>
      </x:c>
      <x:c r="D58" s="38" t="n">
        <x:v>0</x:v>
      </x:c>
      <x:c r="E58" s="38" t="n">
        <x:v>0</x:v>
      </x:c>
      <x:c r="F58" s="38" t="n">
        <x:v>-17681.24</x:v>
      </x:c>
      <x:c r="G58" s="15" t="n">
        <x:v>11</x:v>
      </x:c>
      <x:c r="H58" s="15" t="str">
        <x:v>R025kw5cs0 Booking.c (18,242.98)</x:v>
      </x:c>
      <x:c r="I58" s="15" t="str">
        <x:v>Royal 3380 + 3463 (26,185.00)</x:v>
      </x:c>
      <x:c r="J58" s="15" t="str">
        <x:v>Supplier payments (35,111.28)</x:v>
      </x:c>
    </x:row>
    <x:row r="59">
      <x:c r="A59" s="36" t="n">
        <x:v>45976</x:v>
      </x:c>
      <x:c r="B59" s="38" t="n">
        <x:v>0</x:v>
      </x:c>
      <x:c r="C59" s="38" t="n">
        <x:v>0</x:v>
      </x:c>
      <x:c r="D59" s="38" t="n">
        <x:v>0</x:v>
      </x:c>
      <x:c r="E59" s="38" t="n">
        <x:v>0</x:v>
      </x:c>
      <x:c r="F59" s="38" t="n">
        <x:v>0</x:v>
      </x:c>
      <x:c r="G59" s="15" t="n">
        <x:v>0</x:v>
      </x:c>
      <x:c r="H59" s="15" t="str"/>
      <x:c r="I59" s="15" t="str"/>
      <x:c r="J59" s="15" t="str"/>
    </x:row>
    <x:row r="60">
      <x:c r="A60" s="36" t="n">
        <x:v>45977</x:v>
      </x:c>
      <x:c r="B60" s="38" t="n">
        <x:v>0</x:v>
      </x:c>
      <x:c r="C60" s="38" t="n">
        <x:v>218.85</x:v>
      </x:c>
      <x:c r="D60" s="38" t="n">
        <x:v>0</x:v>
      </x:c>
      <x:c r="E60" s="38" t="n">
        <x:v>18000</x:v>
      </x:c>
      <x:c r="F60" s="38" t="n">
        <x:v>-218.85</x:v>
      </x:c>
      <x:c r="G60" s="15" t="n">
        <x:v>2</x:v>
      </x:c>
      <x:c r="H60" s="15" t="str"/>
      <x:c r="I60" s="15" t="str">
        <x:v>Savemor Marloth (218.85)</x:v>
      </x:c>
      <x:c r="J60" s="15" t="str">
        <x:v>Supplier payments (218.85)</x:v>
      </x:c>
    </x:row>
    <x:row r="61">
      <x:c r="A61" s="36" t="n">
        <x:v>45978</x:v>
      </x:c>
      <x:c r="B61" s="38" t="n">
        <x:v>5985.73</x:v>
      </x:c>
      <x:c r="C61" s="38" t="n">
        <x:v>15201.67</x:v>
      </x:c>
      <x:c r="D61" s="38" t="n">
        <x:v>0</x:v>
      </x:c>
      <x:c r="E61" s="38" t="n">
        <x:v>0</x:v>
      </x:c>
      <x:c r="F61" s="38" t="n">
        <x:v>-9215.94</x:v>
      </x:c>
      <x:c r="G61" s="15" t="n">
        <x:v>8</x:v>
      </x:c>
      <x:c r="H61" s="15" t="str">
        <x:v>Ik Pay 487882 (5,985.73)</x:v>
      </x:c>
      <x:c r="I61" s="15" t="str">
        <x:v>Kruger Saf 1662/1663 (11,016.00)</x:v>
      </x:c>
      <x:c r="J61" s="15" t="str">
        <x:v>Supplier payments (14,972.82)</x:v>
      </x:c>
    </x:row>
    <x:row r="62">
      <x:c r="A62" s="36" t="n">
        <x:v>45979</x:v>
      </x:c>
      <x:c r="B62" s="38" t="n">
        <x:v>0</x:v>
      </x:c>
      <x:c r="C62" s="38" t="n">
        <x:v>1330.81</x:v>
      </x:c>
      <x:c r="D62" s="38" t="n">
        <x:v>0</x:v>
      </x:c>
      <x:c r="E62" s="38" t="n">
        <x:v>5000</x:v>
      </x:c>
      <x:c r="F62" s="38" t="n">
        <x:v>-1330.81</x:v>
      </x:c>
      <x:c r="G62" s="15" t="n">
        <x:v>4</x:v>
      </x:c>
      <x:c r="H62" s="15" t="str"/>
      <x:c r="I62" s="15" t="str">
        <x:v>Superspar Komatipoor (846.99)</x:v>
      </x:c>
      <x:c r="J62" s="15" t="str">
        <x:v>Supplier payments (1,084.34)</x:v>
      </x:c>
    </x:row>
    <x:row r="63">
      <x:c r="A63" s="36" t="n">
        <x:v>45980</x:v>
      </x:c>
      <x:c r="B63" s="38" t="n">
        <x:v>0</x:v>
      </x:c>
      <x:c r="C63" s="38" t="n">
        <x:v>2809.97</x:v>
      </x:c>
      <x:c r="D63" s="38" t="n">
        <x:v>0</x:v>
      </x:c>
      <x:c r="E63" s="38" t="n">
        <x:v>0</x:v>
      </x:c>
      <x:c r="F63" s="38" t="n">
        <x:v>-2809.97</x:v>
      </x:c>
      <x:c r="G63" s="15" t="n">
        <x:v>4</x:v>
      </x:c>
      <x:c r="H63" s="15" t="str"/>
      <x:c r="I63" s="15" t="str">
        <x:v>Dinner Box 102430 (1,543.00)</x:v>
      </x:c>
      <x:c r="J63" s="15" t="str">
        <x:v>Meals / restaurants / entertainment (2,237.00)</x:v>
      </x:c>
    </x:row>
    <x:row r="64">
      <x:c r="A64" s="36" t="n">
        <x:v>45981</x:v>
      </x:c>
      <x:c r="B64" s="38" t="n">
        <x:v>12016.88</x:v>
      </x:c>
      <x:c r="C64" s="38" t="n">
        <x:v>11807</x:v>
      </x:c>
      <x:c r="D64" s="38" t="n">
        <x:v>778.98</x:v>
      </x:c>
      <x:c r="E64" s="38" t="n">
        <x:v>0</x:v>
      </x:c>
      <x:c r="F64" s="38" t="n">
        <x:v>988.86</x:v>
      </x:c>
      <x:c r="G64" s="15" t="n">
        <x:v>9</x:v>
      </x:c>
      <x:c r="H64" s="15" t="str">
        <x:v>Ik Pay 487882 (12,016.88)</x:v>
      </x:c>
      <x:c r="I64" s="15" t="str">
        <x:v>Kruger Safari 1666 (8,112.00)</x:v>
      </x:c>
      <x:c r="J64" s="15" t="str">
        <x:v>Supplier payments (11,682.00)</x:v>
      </x:c>
    </x:row>
    <x:row r="65">
      <x:c r="A65" s="36" t="n">
        <x:v>45982</x:v>
      </x:c>
      <x:c r="B65" s="38" t="n">
        <x:v>27704.96</x:v>
      </x:c>
      <x:c r="C65" s="38" t="n">
        <x:v>22748.97</x:v>
      </x:c>
      <x:c r="D65" s="38" t="n">
        <x:v>0</x:v>
      </x:c>
      <x:c r="E65" s="38" t="n">
        <x:v>10000</x:v>
      </x:c>
      <x:c r="F65" s="38" t="n">
        <x:v>4955.99</x:v>
      </x:c>
      <x:c r="G65" s="15" t="n">
        <x:v>12</x:v>
      </x:c>
      <x:c r="H65" s="15" t="str">
        <x:v>R025klftk0 Booking.c (27,704.96)</x:v>
      </x:c>
      <x:c r="I65" s="15" t="str">
        <x:v>Salary Portion Oct (13,000.00)</x:v>
      </x:c>
      <x:c r="J65" s="15" t="str">
        <x:v>Salary / wages (13,000.00)</x:v>
      </x:c>
    </x:row>
    <x:row r="66">
      <x:c r="A66" s="36" t="n">
        <x:v>45983</x:v>
      </x:c>
      <x:c r="B66" s="38" t="n">
        <x:v>0</x:v>
      </x:c>
      <x:c r="C66" s="38" t="n">
        <x:v>493.41</x:v>
      </x:c>
      <x:c r="D66" s="38" t="n">
        <x:v>0</x:v>
      </x:c>
      <x:c r="E66" s="38" t="n">
        <x:v>0</x:v>
      </x:c>
      <x:c r="F66" s="38" t="n">
        <x:v>-493.41</x:v>
      </x:c>
      <x:c r="G66" s="15" t="n">
        <x:v>1</x:v>
      </x:c>
      <x:c r="H66" s="15" t="str"/>
      <x:c r="I66" s="15" t="str">
        <x:v>Tops Komatipoort (493.41)</x:v>
      </x:c>
      <x:c r="J66" s="15" t="str">
        <x:v>Meals / restaurants / entertainment (493.41)</x:v>
      </x:c>
    </x:row>
    <x:row r="67">
      <x:c r="A67" s="36" t="n">
        <x:v>45984</x:v>
      </x:c>
      <x:c r="B67" s="38" t="n">
        <x:v>0</x:v>
      </x:c>
      <x:c r="C67" s="38" t="n">
        <x:v>0</x:v>
      </x:c>
      <x:c r="D67" s="38" t="n">
        <x:v>0</x:v>
      </x:c>
      <x:c r="E67" s="38" t="n">
        <x:v>2000</x:v>
      </x:c>
      <x:c r="F67" s="38" t="n">
        <x:v>0</x:v>
      </x:c>
      <x:c r="G67" s="15" t="n">
        <x:v>1</x:v>
      </x:c>
      <x:c r="H67" s="15" t="str"/>
      <x:c r="I67" s="15" t="str"/>
      <x:c r="J67" s="15" t="str"/>
    </x:row>
    <x:row r="68">
      <x:c r="A68" s="36" t="n">
        <x:v>45985</x:v>
      </x:c>
      <x:c r="B68" s="38" t="n">
        <x:v>6844.17</x:v>
      </x:c>
      <x:c r="C68" s="38" t="n">
        <x:v>393.75</x:v>
      </x:c>
      <x:c r="D68" s="38" t="n">
        <x:v>0</x:v>
      </x:c>
      <x:c r="E68" s="38" t="n">
        <x:v>0</x:v>
      </x:c>
      <x:c r="F68" s="38" t="n">
        <x:v>6450.42</x:v>
      </x:c>
      <x:c r="G68" s="15" t="n">
        <x:v>4</x:v>
      </x:c>
      <x:c r="H68" s="15" t="str">
        <x:v>Dreyer (5,000.00)</x:v>
      </x:c>
      <x:c r="I68" s="15" t="str">
        <x:v>Marlothi Petrol Stat (200.00)</x:v>
      </x:c>
      <x:c r="J68" s="15" t="str">
        <x:v>Fuel / transport (200.00)</x:v>
      </x:c>
    </x:row>
    <x:row r="69">
      <x:c r="A69" s="36" t="n">
        <x:v>45986</x:v>
      </x:c>
      <x:c r="B69" s="38" t="n">
        <x:v>0</x:v>
      </x:c>
      <x:c r="C69" s="38" t="n">
        <x:v>0</x:v>
      </x:c>
      <x:c r="D69" s="38" t="n">
        <x:v>0</x:v>
      </x:c>
      <x:c r="E69" s="38" t="n">
        <x:v>2000</x:v>
      </x:c>
      <x:c r="F69" s="38" t="n">
        <x:v>0</x:v>
      </x:c>
      <x:c r="G69" s="15" t="n">
        <x:v>1</x:v>
      </x:c>
      <x:c r="H69" s="15" t="str"/>
      <x:c r="I69" s="15" t="str"/>
      <x:c r="J69" s="15" t="str"/>
    </x:row>
    <x:row r="70">
      <x:c r="A70" s="36" t="n">
        <x:v>45987</x:v>
      </x:c>
      <x:c r="B70" s="38" t="n">
        <x:v>4186.49</x:v>
      </x:c>
      <x:c r="C70" s="38" t="n">
        <x:v>5056.12</x:v>
      </x:c>
      <x:c r="D70" s="38" t="n">
        <x:v>0</x:v>
      </x:c>
      <x:c r="E70" s="38" t="n">
        <x:v>0</x:v>
      </x:c>
      <x:c r="F70" s="38" t="n">
        <x:v>-869.63</x:v>
      </x:c>
      <x:c r="G70" s="15" t="n">
        <x:v>7</x:v>
      </x:c>
      <x:c r="H70" s="15" t="str">
        <x:v>Ik Pay 487882 (4,186.49)</x:v>
      </x:c>
      <x:c r="I70" s="15" t="str">
        <x:v>Kruger Safari 1668 (2,440.00)</x:v>
      </x:c>
      <x:c r="J70" s="15" t="str">
        <x:v>Supplier payments (2,621.16)</x:v>
      </x:c>
    </x:row>
    <x:row r="71">
      <x:c r="A71" s="36" t="n">
        <x:v>45988</x:v>
      </x:c>
      <x:c r="B71" s="38" t="n">
        <x:v>10359.2</x:v>
      </x:c>
      <x:c r="C71" s="38" t="n">
        <x:v>3104.39</x:v>
      </x:c>
      <x:c r="D71" s="38" t="n">
        <x:v>0</x:v>
      </x:c>
      <x:c r="E71" s="38" t="n">
        <x:v>0</x:v>
      </x:c>
      <x:c r="F71" s="38" t="n">
        <x:v>7254.81</x:v>
      </x:c>
      <x:c r="G71" s="15" t="n">
        <x:v>3</x:v>
      </x:c>
      <x:c r="H71" s="15" t="str">
        <x:v>Ik Pay 487882 (10,359.20)</x:v>
      </x:c>
      <x:c r="I71" s="15" t="str">
        <x:v>Kruger Safari 1669 (2,910.00)</x:v>
      </x:c>
      <x:c r="J71" s="15" t="str">
        <x:v>Supplier payments (3,104.39)</x:v>
      </x:c>
    </x:row>
    <x:row r="72">
      <x:c r="A72" s="36" t="n">
        <x:v>45989</x:v>
      </x:c>
      <x:c r="B72" s="38" t="n">
        <x:v>19163.49</x:v>
      </x:c>
      <x:c r="C72" s="38" t="n">
        <x:v>1848.42</x:v>
      </x:c>
      <x:c r="D72" s="38" t="n">
        <x:v>0</x:v>
      </x:c>
      <x:c r="E72" s="38" t="n">
        <x:v>0</x:v>
      </x:c>
      <x:c r="F72" s="38" t="n">
        <x:v>17315.07</x:v>
      </x:c>
      <x:c r="G72" s="15" t="n">
        <x:v>3</x:v>
      </x:c>
      <x:c r="H72" s="15" t="str">
        <x:v>R025k2rz50 Booking.c (19,163.49)</x:v>
      </x:c>
      <x:c r="I72" s="15" t="str">
        <x:v>Superspar Komatipoor (1,598.42)</x:v>
      </x:c>
      <x:c r="J72" s="15" t="str">
        <x:v>Supplier payments (1,598.42)</x:v>
      </x:c>
    </x:row>
    <x:row r="73">
      <x:c r="A73" s="36" t="n">
        <x:v>45990</x:v>
      </x:c>
      <x:c r="B73" s="38" t="n">
        <x:v>1915.42</x:v>
      </x:c>
      <x:c r="C73" s="38" t="n">
        <x:v>5310.76</x:v>
      </x:c>
      <x:c r="D73" s="38" t="n">
        <x:v>0</x:v>
      </x:c>
      <x:c r="E73" s="38" t="n">
        <x:v>0</x:v>
      </x:c>
      <x:c r="F73" s="38" t="n">
        <x:v>-3395.34</x:v>
      </x:c>
      <x:c r="G73" s="15" t="n">
        <x:v>4</x:v>
      </x:c>
      <x:c r="H73" s="15" t="str">
        <x:v>6111002148 (1,915.42)</x:v>
      </x:c>
      <x:c r="I73" s="15" t="str">
        <x:v>Repayment (5,000.00)</x:v>
      </x:c>
      <x:c r="J73" s="15" t="str">
        <x:v>Supplier payments (5,181.77)</x:v>
      </x:c>
    </x:row>
    <x:row r="74">
      <x:c r="A74" s="36" t="n">
        <x:v>45991</x:v>
      </x:c>
      <x:c r="B74" s="38" t="n">
        <x:v>0</x:v>
      </x:c>
      <x:c r="C74" s="38" t="n">
        <x:v>24780</x:v>
      </x:c>
      <x:c r="D74" s="38" t="n">
        <x:v>0</x:v>
      </x:c>
      <x:c r="E74" s="38" t="n">
        <x:v>0</x:v>
      </x:c>
      <x:c r="F74" s="38" t="n">
        <x:v>-24780</x:v>
      </x:c>
      <x:c r="G74" s="15" t="n">
        <x:v>4</x:v>
      </x:c>
      <x:c r="H74" s="15" t="str"/>
      <x:c r="I74" s="15" t="str">
        <x:v>Jsl - 9/12 Nov (11,280.00)</x:v>
      </x:c>
      <x:c r="J74" s="15" t="str">
        <x:v>Salary / wages (13,500.00)</x:v>
      </x:c>
    </x:row>
    <x:row r="75">
      <x:c r="A75" s="36" t="n">
        <x:v>45992</x:v>
      </x:c>
      <x:c r="B75" s="38" t="n">
        <x:v>0</x:v>
      </x:c>
      <x:c r="C75" s="38" t="n">
        <x:v>0</x:v>
      </x:c>
      <x:c r="D75" s="38" t="n">
        <x:v>0</x:v>
      </x:c>
      <x:c r="E75" s="38" t="n">
        <x:v>0</x:v>
      </x:c>
      <x:c r="F75" s="38" t="n">
        <x:v>0</x:v>
      </x:c>
      <x:c r="G75" s="15" t="n">
        <x:v>0</x:v>
      </x:c>
      <x:c r="H75" s="15" t="str"/>
      <x:c r="I75" s="15" t="str"/>
      <x:c r="J75" s="15" t="str"/>
    </x:row>
    <x:row r="76">
      <x:c r="A76" s="36" t="n">
        <x:v>45993</x:v>
      </x:c>
      <x:c r="B76" s="38" t="n">
        <x:v>0</x:v>
      </x:c>
      <x:c r="C76" s="38" t="n">
        <x:v>0</x:v>
      </x:c>
      <x:c r="D76" s="38" t="n">
        <x:v>0</x:v>
      </x:c>
      <x:c r="E76" s="38" t="n">
        <x:v>0</x:v>
      </x:c>
      <x:c r="F76" s="38" t="n">
        <x:v>0</x:v>
      </x:c>
      <x:c r="G76" s="15" t="n">
        <x:v>0</x:v>
      </x:c>
      <x:c r="H76" s="15" t="str"/>
      <x:c r="I76" s="15" t="str"/>
      <x:c r="J76" s="15" t="str"/>
    </x:row>
    <x:row r="77">
      <x:c r="A77" s="36" t="n">
        <x:v>45994</x:v>
      </x:c>
      <x:c r="B77" s="38" t="n">
        <x:v>0</x:v>
      </x:c>
      <x:c r="C77" s="38" t="n">
        <x:v>0</x:v>
      </x:c>
      <x:c r="D77" s="38" t="n">
        <x:v>0</x:v>
      </x:c>
      <x:c r="E77" s="38" t="n">
        <x:v>0</x:v>
      </x:c>
      <x:c r="F77" s="38" t="n">
        <x:v>0</x:v>
      </x:c>
      <x:c r="G77" s="15" t="n">
        <x:v>0</x:v>
      </x:c>
      <x:c r="H77" s="15" t="str"/>
      <x:c r="I77" s="15" t="str"/>
      <x:c r="J77" s="15" t="str"/>
    </x:row>
    <x:row r="78">
      <x:c r="A78" s="36" t="n">
        <x:v>45995</x:v>
      </x:c>
      <x:c r="B78" s="38" t="n">
        <x:v>0</x:v>
      </x:c>
      <x:c r="C78" s="38" t="n">
        <x:v>0</x:v>
      </x:c>
      <x:c r="D78" s="38" t="n">
        <x:v>0</x:v>
      </x:c>
      <x:c r="E78" s="38" t="n">
        <x:v>0</x:v>
      </x:c>
      <x:c r="F78" s="38" t="n">
        <x:v>0</x:v>
      </x:c>
      <x:c r="G78" s="15" t="n">
        <x:v>0</x:v>
      </x:c>
      <x:c r="H78" s="15" t="str"/>
      <x:c r="I78" s="15" t="str"/>
      <x:c r="J78" s="15" t="str"/>
    </x:row>
    <x:row r="79">
      <x:c r="A79" s="36" t="n">
        <x:v>45996</x:v>
      </x:c>
      <x:c r="B79" s="38" t="n">
        <x:v>0</x:v>
      </x:c>
      <x:c r="C79" s="38" t="n">
        <x:v>0</x:v>
      </x:c>
      <x:c r="D79" s="38" t="n">
        <x:v>0</x:v>
      </x:c>
      <x:c r="E79" s="38" t="n">
        <x:v>0</x:v>
      </x:c>
      <x:c r="F79" s="38" t="n">
        <x:v>0</x:v>
      </x:c>
      <x:c r="G79" s="15" t="n">
        <x:v>0</x:v>
      </x:c>
      <x:c r="H79" s="15" t="str"/>
      <x:c r="I79" s="15" t="str"/>
      <x:c r="J79" s="15" t="str"/>
    </x:row>
    <x:row r="80">
      <x:c r="A80" s="36" t="n">
        <x:v>45997</x:v>
      </x:c>
      <x:c r="B80" s="38" t="n">
        <x:v>0</x:v>
      </x:c>
      <x:c r="C80" s="38" t="n">
        <x:v>0</x:v>
      </x:c>
      <x:c r="D80" s="38" t="n">
        <x:v>0</x:v>
      </x:c>
      <x:c r="E80" s="38" t="n">
        <x:v>0</x:v>
      </x:c>
      <x:c r="F80" s="38" t="n">
        <x:v>0</x:v>
      </x:c>
      <x:c r="G80" s="15" t="n">
        <x:v>0</x:v>
      </x:c>
      <x:c r="H80" s="15" t="str"/>
      <x:c r="I80" s="15" t="str"/>
      <x:c r="J80" s="15" t="str"/>
    </x:row>
    <x:row r="81">
      <x:c r="A81" s="36" t="n">
        <x:v>45998</x:v>
      </x:c>
      <x:c r="B81" s="38" t="n">
        <x:v>0</x:v>
      </x:c>
      <x:c r="C81" s="38" t="n">
        <x:v>0</x:v>
      </x:c>
      <x:c r="D81" s="38" t="n">
        <x:v>0</x:v>
      </x:c>
      <x:c r="E81" s="38" t="n">
        <x:v>0</x:v>
      </x:c>
      <x:c r="F81" s="38" t="n">
        <x:v>0</x:v>
      </x:c>
      <x:c r="G81" s="15" t="n">
        <x:v>0</x:v>
      </x:c>
      <x:c r="H81" s="15" t="str"/>
      <x:c r="I81" s="15" t="str"/>
      <x:c r="J81" s="15" t="str"/>
    </x:row>
    <x:row r="82">
      <x:c r="A82" s="36" t="n">
        <x:v>45999</x:v>
      </x:c>
      <x:c r="B82" s="38" t="n">
        <x:v>0</x:v>
      </x:c>
      <x:c r="C82" s="38" t="n">
        <x:v>0</x:v>
      </x:c>
      <x:c r="D82" s="38" t="n">
        <x:v>0</x:v>
      </x:c>
      <x:c r="E82" s="38" t="n">
        <x:v>0</x:v>
      </x:c>
      <x:c r="F82" s="38" t="n">
        <x:v>0</x:v>
      </x:c>
      <x:c r="G82" s="15" t="n">
        <x:v>0</x:v>
      </x:c>
      <x:c r="H82" s="15" t="str"/>
      <x:c r="I82" s="15" t="str"/>
      <x:c r="J82" s="15" t="str"/>
    </x:row>
    <x:row r="83">
      <x:c r="A83" s="36" t="n">
        <x:v>46000</x:v>
      </x:c>
      <x:c r="B83" s="38" t="n">
        <x:v>0</x:v>
      </x:c>
      <x:c r="C83" s="38" t="n">
        <x:v>0</x:v>
      </x:c>
      <x:c r="D83" s="38" t="n">
        <x:v>0</x:v>
      </x:c>
      <x:c r="E83" s="38" t="n">
        <x:v>0</x:v>
      </x:c>
      <x:c r="F83" s="38" t="n">
        <x:v>0</x:v>
      </x:c>
      <x:c r="G83" s="15" t="n">
        <x:v>0</x:v>
      </x:c>
      <x:c r="H83" s="15" t="str"/>
      <x:c r="I83" s="15" t="str"/>
      <x:c r="J83" s="15" t="str"/>
    </x:row>
    <x:row r="84">
      <x:c r="A84" s="36" t="n">
        <x:v>46001</x:v>
      </x:c>
      <x:c r="B84" s="38" t="n">
        <x:v>0</x:v>
      </x:c>
      <x:c r="C84" s="38" t="n">
        <x:v>0</x:v>
      </x:c>
      <x:c r="D84" s="38" t="n">
        <x:v>0</x:v>
      </x:c>
      <x:c r="E84" s="38" t="n">
        <x:v>0</x:v>
      </x:c>
      <x:c r="F84" s="38" t="n">
        <x:v>0</x:v>
      </x:c>
      <x:c r="G84" s="15" t="n">
        <x:v>0</x:v>
      </x:c>
      <x:c r="H84" s="15" t="str"/>
      <x:c r="I84" s="15" t="str"/>
      <x:c r="J84" s="15" t="str"/>
    </x:row>
    <x:row r="85">
      <x:c r="A85" s="36" t="n">
        <x:v>46002</x:v>
      </x:c>
      <x:c r="B85" s="38" t="n">
        <x:v>0</x:v>
      </x:c>
      <x:c r="C85" s="38" t="n">
        <x:v>0</x:v>
      </x:c>
      <x:c r="D85" s="38" t="n">
        <x:v>0</x:v>
      </x:c>
      <x:c r="E85" s="38" t="n">
        <x:v>0</x:v>
      </x:c>
      <x:c r="F85" s="38" t="n">
        <x:v>0</x:v>
      </x:c>
      <x:c r="G85" s="15" t="n">
        <x:v>0</x:v>
      </x:c>
      <x:c r="H85" s="15" t="str"/>
      <x:c r="I85" s="15" t="str"/>
      <x:c r="J85" s="15" t="str"/>
    </x:row>
    <x:row r="86">
      <x:c r="A86" s="36" t="n">
        <x:v>46003</x:v>
      </x:c>
      <x:c r="B86" s="38" t="n">
        <x:v>0</x:v>
      </x:c>
      <x:c r="C86" s="38" t="n">
        <x:v>0</x:v>
      </x:c>
      <x:c r="D86" s="38" t="n">
        <x:v>0</x:v>
      </x:c>
      <x:c r="E86" s="38" t="n">
        <x:v>0</x:v>
      </x:c>
      <x:c r="F86" s="38" t="n">
        <x:v>0</x:v>
      </x:c>
      <x:c r="G86" s="15" t="n">
        <x:v>0</x:v>
      </x:c>
      <x:c r="H86" s="15" t="str"/>
      <x:c r="I86" s="15" t="str"/>
      <x:c r="J86" s="15" t="str"/>
    </x:row>
    <x:row r="87">
      <x:c r="A87" s="36" t="n">
        <x:v>46004</x:v>
      </x:c>
      <x:c r="B87" s="38" t="n">
        <x:v>0</x:v>
      </x:c>
      <x:c r="C87" s="38" t="n">
        <x:v>0</x:v>
      </x:c>
      <x:c r="D87" s="38" t="n">
        <x:v>0</x:v>
      </x:c>
      <x:c r="E87" s="38" t="n">
        <x:v>0</x:v>
      </x:c>
      <x:c r="F87" s="38" t="n">
        <x:v>0</x:v>
      </x:c>
      <x:c r="G87" s="15" t="n">
        <x:v>0</x:v>
      </x:c>
      <x:c r="H87" s="15" t="str"/>
      <x:c r="I87" s="15" t="str"/>
      <x:c r="J87" s="15" t="str"/>
    </x:row>
    <x:row r="88">
      <x:c r="A88" s="36" t="n">
        <x:v>46005</x:v>
      </x:c>
      <x:c r="B88" s="38" t="n">
        <x:v>0</x:v>
      </x:c>
      <x:c r="C88" s="38" t="n">
        <x:v>0</x:v>
      </x:c>
      <x:c r="D88" s="38" t="n">
        <x:v>0</x:v>
      </x:c>
      <x:c r="E88" s="38" t="n">
        <x:v>0</x:v>
      </x:c>
      <x:c r="F88" s="38" t="n">
        <x:v>0</x:v>
      </x:c>
      <x:c r="G88" s="15" t="n">
        <x:v>0</x:v>
      </x:c>
      <x:c r="H88" s="15" t="str"/>
      <x:c r="I88" s="15" t="str"/>
      <x:c r="J88" s="15" t="str"/>
    </x:row>
    <x:row r="89">
      <x:c r="A89" s="36" t="n">
        <x:v>46006</x:v>
      </x:c>
      <x:c r="B89" s="38" t="n">
        <x:v>0</x:v>
      </x:c>
      <x:c r="C89" s="38" t="n">
        <x:v>0</x:v>
      </x:c>
      <x:c r="D89" s="38" t="n">
        <x:v>0</x:v>
      </x:c>
      <x:c r="E89" s="38" t="n">
        <x:v>0</x:v>
      </x:c>
      <x:c r="F89" s="38" t="n">
        <x:v>0</x:v>
      </x:c>
      <x:c r="G89" s="15" t="n">
        <x:v>0</x:v>
      </x:c>
      <x:c r="H89" s="15" t="str"/>
      <x:c r="I89" s="15" t="str"/>
      <x:c r="J89" s="15" t="str"/>
    </x:row>
    <x:row r="90">
      <x:c r="A90" s="36" t="n">
        <x:v>46007</x:v>
      </x:c>
      <x:c r="B90" s="38" t="n">
        <x:v>0</x:v>
      </x:c>
      <x:c r="C90" s="38" t="n">
        <x:v>0</x:v>
      </x:c>
      <x:c r="D90" s="38" t="n">
        <x:v>0</x:v>
      </x:c>
      <x:c r="E90" s="38" t="n">
        <x:v>0</x:v>
      </x:c>
      <x:c r="F90" s="38" t="n">
        <x:v>0</x:v>
      </x:c>
      <x:c r="G90" s="15" t="n">
        <x:v>0</x:v>
      </x:c>
      <x:c r="H90" s="15" t="str"/>
      <x:c r="I90" s="15" t="str"/>
      <x:c r="J90" s="15" t="str"/>
    </x:row>
    <x:row r="91">
      <x:c r="A91" s="36" t="n">
        <x:v>46008</x:v>
      </x:c>
      <x:c r="B91" s="38" t="n">
        <x:v>0</x:v>
      </x:c>
      <x:c r="C91" s="38" t="n">
        <x:v>0</x:v>
      </x:c>
      <x:c r="D91" s="38" t="n">
        <x:v>0</x:v>
      </x:c>
      <x:c r="E91" s="38" t="n">
        <x:v>0</x:v>
      </x:c>
      <x:c r="F91" s="38" t="n">
        <x:v>0</x:v>
      </x:c>
      <x:c r="G91" s="15" t="n">
        <x:v>0</x:v>
      </x:c>
      <x:c r="H91" s="15" t="str"/>
      <x:c r="I91" s="15" t="str"/>
      <x:c r="J91" s="15" t="str"/>
    </x:row>
    <x:row r="92">
      <x:c r="A92" s="36" t="n">
        <x:v>46009</x:v>
      </x:c>
      <x:c r="B92" s="38" t="n">
        <x:v>0</x:v>
      </x:c>
      <x:c r="C92" s="38" t="n">
        <x:v>0</x:v>
      </x:c>
      <x:c r="D92" s="38" t="n">
        <x:v>0</x:v>
      </x:c>
      <x:c r="E92" s="38" t="n">
        <x:v>0</x:v>
      </x:c>
      <x:c r="F92" s="38" t="n">
        <x:v>0</x:v>
      </x:c>
      <x:c r="G92" s="15" t="n">
        <x:v>0</x:v>
      </x:c>
      <x:c r="H92" s="15" t="str"/>
      <x:c r="I92" s="15" t="str"/>
      <x:c r="J92" s="15" t="str"/>
    </x:row>
    <x:row r="93">
      <x:c r="A93" s="36" t="n">
        <x:v>46010</x:v>
      </x:c>
      <x:c r="B93" s="38" t="n">
        <x:v>0</x:v>
      </x:c>
      <x:c r="C93" s="38" t="n">
        <x:v>0</x:v>
      </x:c>
      <x:c r="D93" s="38" t="n">
        <x:v>0</x:v>
      </x:c>
      <x:c r="E93" s="38" t="n">
        <x:v>0</x:v>
      </x:c>
      <x:c r="F93" s="38" t="n">
        <x:v>0</x:v>
      </x:c>
      <x:c r="G93" s="15" t="n">
        <x:v>0</x:v>
      </x:c>
      <x:c r="H93" s="15" t="str"/>
      <x:c r="I93" s="15" t="str"/>
      <x:c r="J93" s="15" t="str"/>
    </x:row>
    <x:row r="94">
      <x:c r="A94" s="36" t="n">
        <x:v>46011</x:v>
      </x:c>
      <x:c r="B94" s="38" t="n">
        <x:v>0</x:v>
      </x:c>
      <x:c r="C94" s="38" t="n">
        <x:v>0</x:v>
      </x:c>
      <x:c r="D94" s="38" t="n">
        <x:v>0</x:v>
      </x:c>
      <x:c r="E94" s="38" t="n">
        <x:v>0</x:v>
      </x:c>
      <x:c r="F94" s="38" t="n">
        <x:v>0</x:v>
      </x:c>
      <x:c r="G94" s="15" t="n">
        <x:v>0</x:v>
      </x:c>
      <x:c r="H94" s="15" t="str"/>
      <x:c r="I94" s="15" t="str"/>
      <x:c r="J94" s="15" t="str"/>
    </x:row>
    <x:row r="95">
      <x:c r="A95" s="36" t="n">
        <x:v>46012</x:v>
      </x:c>
      <x:c r="B95" s="38" t="n">
        <x:v>0</x:v>
      </x:c>
      <x:c r="C95" s="38" t="n">
        <x:v>0</x:v>
      </x:c>
      <x:c r="D95" s="38" t="n">
        <x:v>0</x:v>
      </x:c>
      <x:c r="E95" s="38" t="n">
        <x:v>0</x:v>
      </x:c>
      <x:c r="F95" s="38" t="n">
        <x:v>0</x:v>
      </x:c>
      <x:c r="G95" s="15" t="n">
        <x:v>0</x:v>
      </x:c>
      <x:c r="H95" s="15" t="str"/>
      <x:c r="I95" s="15" t="str"/>
      <x:c r="J95" s="15" t="str"/>
    </x:row>
    <x:row r="96">
      <x:c r="A96" s="36" t="n">
        <x:v>46013</x:v>
      </x:c>
      <x:c r="B96" s="38" t="n">
        <x:v>0</x:v>
      </x:c>
      <x:c r="C96" s="38" t="n">
        <x:v>0</x:v>
      </x:c>
      <x:c r="D96" s="38" t="n">
        <x:v>0</x:v>
      </x:c>
      <x:c r="E96" s="38" t="n">
        <x:v>0</x:v>
      </x:c>
      <x:c r="F96" s="38" t="n">
        <x:v>0</x:v>
      </x:c>
      <x:c r="G96" s="15" t="n">
        <x:v>0</x:v>
      </x:c>
      <x:c r="H96" s="15" t="str"/>
      <x:c r="I96" s="15" t="str"/>
      <x:c r="J96" s="15" t="str"/>
    </x:row>
    <x:row r="97">
      <x:c r="A97" s="36" t="n">
        <x:v>46014</x:v>
      </x:c>
      <x:c r="B97" s="38" t="n">
        <x:v>0</x:v>
      </x:c>
      <x:c r="C97" s="38" t="n">
        <x:v>0</x:v>
      </x:c>
      <x:c r="D97" s="38" t="n">
        <x:v>0</x:v>
      </x:c>
      <x:c r="E97" s="38" t="n">
        <x:v>0</x:v>
      </x:c>
      <x:c r="F97" s="38" t="n">
        <x:v>0</x:v>
      </x:c>
      <x:c r="G97" s="15" t="n">
        <x:v>0</x:v>
      </x:c>
      <x:c r="H97" s="15" t="str"/>
      <x:c r="I97" s="15" t="str"/>
      <x:c r="J97" s="15" t="str"/>
    </x:row>
    <x:row r="98">
      <x:c r="A98" s="36" t="n">
        <x:v>46015</x:v>
      </x:c>
      <x:c r="B98" s="38" t="n">
        <x:v>0</x:v>
      </x:c>
      <x:c r="C98" s="38" t="n">
        <x:v>0</x:v>
      </x:c>
      <x:c r="D98" s="38" t="n">
        <x:v>0</x:v>
      </x:c>
      <x:c r="E98" s="38" t="n">
        <x:v>0</x:v>
      </x:c>
      <x:c r="F98" s="38" t="n">
        <x:v>0</x:v>
      </x:c>
      <x:c r="G98" s="15" t="n">
        <x:v>0</x:v>
      </x:c>
      <x:c r="H98" s="15" t="str"/>
      <x:c r="I98" s="15" t="str"/>
      <x:c r="J98" s="15" t="str"/>
    </x:row>
    <x:row r="99">
      <x:c r="A99" s="36" t="n">
        <x:v>46016</x:v>
      </x:c>
      <x:c r="B99" s="38" t="n">
        <x:v>0</x:v>
      </x:c>
      <x:c r="C99" s="38" t="n">
        <x:v>0</x:v>
      </x:c>
      <x:c r="D99" s="38" t="n">
        <x:v>0</x:v>
      </x:c>
      <x:c r="E99" s="38" t="n">
        <x:v>0</x:v>
      </x:c>
      <x:c r="F99" s="38" t="n">
        <x:v>0</x:v>
      </x:c>
      <x:c r="G99" s="15" t="n">
        <x:v>0</x:v>
      </x:c>
      <x:c r="H99" s="15" t="str"/>
      <x:c r="I99" s="15" t="str"/>
      <x:c r="J99" s="15" t="str"/>
    </x:row>
    <x:row r="100">
      <x:c r="A100" s="36" t="n">
        <x:v>46017</x:v>
      </x:c>
      <x:c r="B100" s="38" t="n">
        <x:v>0</x:v>
      </x:c>
      <x:c r="C100" s="38" t="n">
        <x:v>3199.26</x:v>
      </x:c>
      <x:c r="D100" s="38" t="n">
        <x:v>0</x:v>
      </x:c>
      <x:c r="E100" s="38" t="n">
        <x:v>0</x:v>
      </x:c>
      <x:c r="F100" s="38" t="n">
        <x:v>-3199.26</x:v>
      </x:c>
      <x:c r="G100" s="15" t="n">
        <x:v>2</x:v>
      </x:c>
      <x:c r="H100" s="15" t="str"/>
      <x:c r="I100" s="15" t="str">
        <x:v>Vacation (3,000.00)</x:v>
      </x:c>
      <x:c r="J100" s="15" t="str">
        <x:v>Supplier payments (3,199.26)</x:v>
      </x:c>
    </x:row>
    <x:row r="101">
      <x:c r="A101" s="36" t="n">
        <x:v>46018</x:v>
      </x:c>
      <x:c r="B101" s="38" t="n">
        <x:v>5340.06</x:v>
      </x:c>
      <x:c r="C101" s="38" t="n">
        <x:v>8160.48</x:v>
      </x:c>
      <x:c r="D101" s="38" t="n">
        <x:v>0</x:v>
      </x:c>
      <x:c r="E101" s="38" t="n">
        <x:v>0</x:v>
      </x:c>
      <x:c r="F101" s="38" t="n">
        <x:v>-2820.42</x:v>
      </x:c>
      <x:c r="G101" s="15" t="n">
        <x:v>7</x:v>
      </x:c>
      <x:c r="H101" s="15" t="str">
        <x:v>Ik Pay 487882 (5,340.06)</x:v>
      </x:c>
      <x:c r="I101" s="15" t="str">
        <x:v>Gd Hoffman Wages (5,000.00)</x:v>
      </x:c>
      <x:c r="J101" s="15" t="str">
        <x:v>Salary / wages (5,000.00)</x:v>
      </x:c>
    </x:row>
    <x:row r="102">
      <x:c r="A102" s="36" t="n">
        <x:v>46019</x:v>
      </x:c>
      <x:c r="B102" s="38" t="n">
        <x:v>0</x:v>
      </x:c>
      <x:c r="C102" s="38" t="n">
        <x:v>2084.07</x:v>
      </x:c>
      <x:c r="D102" s="38" t="n">
        <x:v>0</x:v>
      </x:c>
      <x:c r="E102" s="38" t="n">
        <x:v>0</x:v>
      </x:c>
      <x:c r="F102" s="38" t="n">
        <x:v>-2084.07</x:v>
      </x:c>
      <x:c r="G102" s="15" t="n">
        <x:v>6</x:v>
      </x:c>
      <x:c r="H102" s="15" t="str"/>
      <x:c r="I102" s="15" t="str">
        <x:v>Asbe - Comm (857.18)</x:v>
      </x:c>
      <x:c r="J102" s="15" t="str">
        <x:v>Supplier payments (959.07)</x:v>
      </x:c>
    </x:row>
    <x:row r="103">
      <x:c r="A103" s="36" t="n">
        <x:v>46020</x:v>
      </x:c>
      <x:c r="B103" s="38" t="n">
        <x:v>0</x:v>
      </x:c>
      <x:c r="C103" s="38" t="n">
        <x:v>149.93</x:v>
      </x:c>
      <x:c r="D103" s="38" t="n">
        <x:v>0</x:v>
      </x:c>
      <x:c r="E103" s="38" t="n">
        <x:v>0</x:v>
      </x:c>
      <x:c r="F103" s="38" t="n">
        <x:v>-149.93</x:v>
      </x:c>
      <x:c r="G103" s="15" t="n">
        <x:v>1</x:v>
      </x:c>
      <x:c r="H103" s="15" t="str"/>
      <x:c r="I103" s="15" t="str">
        <x:v>Savemor Marloth (149.93)</x:v>
      </x:c>
      <x:c r="J103" s="15" t="str">
        <x:v>Supplier payments (149.93)</x:v>
      </x:c>
    </x:row>
    <x:row r="104">
      <x:c r="A104" s="36" t="n">
        <x:v>46021</x:v>
      </x:c>
      <x:c r="B104" s="38" t="n">
        <x:v>17245.52</x:v>
      </x:c>
      <x:c r="C104" s="38" t="n">
        <x:v>17011.36</x:v>
      </x:c>
      <x:c r="D104" s="38" t="n">
        <x:v>0</x:v>
      </x:c>
      <x:c r="E104" s="38" t="n">
        <x:v>0</x:v>
      </x:c>
      <x:c r="F104" s="38" t="n">
        <x:v>234.16</x:v>
      </x:c>
      <x:c r="G104" s="15" t="n">
        <x:v>5</x:v>
      </x:c>
      <x:c r="H104" s="15" t="str">
        <x:v>R025hthth0 Booking.c (17,245.52)</x:v>
      </x:c>
      <x:c r="I104" s="15" t="str">
        <x:v>Kruger Safari 1673 (13,095.00)</x:v>
      </x:c>
      <x:c r="J104" s="15" t="str">
        <x:v>Supplier payments (14,556.38)</x:v>
      </x:c>
    </x:row>
    <x:row r="105">
      <x:c r="A105" s="36" t="n">
        <x:v>46022</x:v>
      </x:c>
      <x:c r="B105" s="38" t="n">
        <x:v>1794.86</x:v>
      </x:c>
      <x:c r="C105" s="38" t="n">
        <x:v>4933.93</x:v>
      </x:c>
      <x:c r="D105" s="38" t="n">
        <x:v>0</x:v>
      </x:c>
      <x:c r="E105" s="38" t="n">
        <x:v>0</x:v>
      </x:c>
      <x:c r="F105" s="38" t="n">
        <x:v>-3139.07</x:v>
      </x:c>
      <x:c r="G105" s="15" t="n">
        <x:v>4</x:v>
      </x:c>
      <x:c r="H105" s="15" t="str">
        <x:v>Ik Pay 487882 (1,794.86)</x:v>
      </x:c>
      <x:c r="I105" s="15" t="str">
        <x:v>Phindi Salary Dec (4,250.00)</x:v>
      </x:c>
      <x:c r="J105" s="15" t="str">
        <x:v>Salary / wages (4,250.00)</x:v>
      </x:c>
    </x:row>
    <x:row r="106">
      <x:c r="A106" s="36" t="n">
        <x:v>46023</x:v>
      </x:c>
      <x:c r="B106" s="38" t="n">
        <x:v>0</x:v>
      </x:c>
      <x:c r="C106" s="38" t="n">
        <x:v>0</x:v>
      </x:c>
      <x:c r="D106" s="38" t="n">
        <x:v>0</x:v>
      </x:c>
      <x:c r="E106" s="38" t="n">
        <x:v>0</x:v>
      </x:c>
      <x:c r="F106" s="38" t="n">
        <x:v>0</x:v>
      </x:c>
      <x:c r="G106" s="15" t="n">
        <x:v>0</x:v>
      </x:c>
      <x:c r="H106" s="15" t="str"/>
      <x:c r="I106" s="15" t="str"/>
      <x:c r="J106" s="15" t="str"/>
    </x:row>
    <x:row r="107">
      <x:c r="A107" s="36" t="n">
        <x:v>46024</x:v>
      </x:c>
      <x:c r="B107" s="38" t="n">
        <x:v>1890.19</x:v>
      </x:c>
      <x:c r="C107" s="38" t="n">
        <x:v>746.43</x:v>
      </x:c>
      <x:c r="D107" s="38" t="n">
        <x:v>0</x:v>
      </x:c>
      <x:c r="E107" s="38" t="n">
        <x:v>0</x:v>
      </x:c>
      <x:c r="F107" s="38" t="n">
        <x:v>1143.76</x:v>
      </x:c>
      <x:c r="G107" s="15" t="n">
        <x:v>3</x:v>
      </x:c>
      <x:c r="H107" s="15" t="str">
        <x:v>Ik Pay 487882 (1,890.19)</x:v>
      </x:c>
      <x:c r="I107" s="15" t="str">
        <x:v>Marlothi Petrol Stat (400.00)</x:v>
      </x:c>
      <x:c r="J107" s="15" t="str">
        <x:v>Fuel / transport (400.00)</x:v>
      </x:c>
    </x:row>
    <x:row r="108">
      <x:c r="A108" s="36" t="n">
        <x:v>46025</x:v>
      </x:c>
      <x:c r="B108" s="38" t="n">
        <x:v>1624.82</x:v>
      </x:c>
      <x:c r="C108" s="38" t="n">
        <x:v>8175.49</x:v>
      </x:c>
      <x:c r="D108" s="38" t="n">
        <x:v>0</x:v>
      </x:c>
      <x:c r="E108" s="38" t="n">
        <x:v>0</x:v>
      </x:c>
      <x:c r="F108" s="38" t="n">
        <x:v>-6550.67</x:v>
      </x:c>
      <x:c r="G108" s="15" t="n">
        <x:v>8</x:v>
      </x:c>
      <x:c r="H108" s="15" t="str">
        <x:v>Ik Pay 487882 (1,624.82)</x:v>
      </x:c>
      <x:c r="I108" s="15" t="str">
        <x:v>Staff Nason (5,000.00)</x:v>
      </x:c>
      <x:c r="J108" s="15" t="str">
        <x:v>Salary / wages (5,000.00)</x:v>
      </x:c>
    </x:row>
    <x:row r="109">
      <x:c r="A109" s="36" t="n">
        <x:v>46026</x:v>
      </x:c>
      <x:c r="B109" s="38" t="n">
        <x:v>0</x:v>
      </x:c>
      <x:c r="C109" s="38" t="n">
        <x:v>5628.07</x:v>
      </x:c>
      <x:c r="D109" s="38" t="n">
        <x:v>0</x:v>
      </x:c>
      <x:c r="E109" s="38" t="n">
        <x:v>5000</x:v>
      </x:c>
      <x:c r="F109" s="38" t="n">
        <x:v>-5628.07</x:v>
      </x:c>
      <x:c r="G109" s="15" t="n">
        <x:v>4</x:v>
      </x:c>
      <x:c r="H109" s="15" t="str"/>
      <x:c r="I109" s="15" t="str">
        <x:v>Am Hoffman Wages (5,000.00)</x:v>
      </x:c>
      <x:c r="J109" s="15" t="str">
        <x:v>Salary / wages (5,000.00)</x:v>
      </x:c>
    </x:row>
    <x:row r="110">
      <x:c r="A110" s="36" t="n">
        <x:v>46027</x:v>
      </x:c>
      <x:c r="B110" s="38" t="n">
        <x:v>18851.23</x:v>
      </x:c>
      <x:c r="C110" s="38" t="n">
        <x:v>3075.44</x:v>
      </x:c>
      <x:c r="D110" s="38" t="n">
        <x:v>0</x:v>
      </x:c>
      <x:c r="E110" s="38" t="n">
        <x:v>0</x:v>
      </x:c>
      <x:c r="F110" s="38" t="n">
        <x:v>15775.79</x:v>
      </x:c>
      <x:c r="G110" s="15" t="n">
        <x:v>5</x:v>
      </x:c>
      <x:c r="H110" s="15" t="str">
        <x:v>R026zvfqh0 Booking.c (18,851.23)</x:v>
      </x:c>
      <x:c r="I110" s="15" t="str">
        <x:v>Superspar Komatipoor (1,302.06)</x:v>
      </x:c>
      <x:c r="J110" s="15" t="str">
        <x:v>Supplier payments (2,775.44)</x:v>
      </x:c>
    </x:row>
    <x:row r="111">
      <x:c r="A111" s="36" t="n">
        <x:v>46028</x:v>
      </x:c>
      <x:c r="B111" s="38" t="n">
        <x:v>2803.13</x:v>
      </x:c>
      <x:c r="C111" s="38" t="n">
        <x:v>4010.44</x:v>
      </x:c>
      <x:c r="D111" s="38" t="n">
        <x:v>0</x:v>
      </x:c>
      <x:c r="E111" s="38" t="n">
        <x:v>0</x:v>
      </x:c>
      <x:c r="F111" s="38" t="n">
        <x:v>-1207.31</x:v>
      </x:c>
      <x:c r="G111" s="15" t="n">
        <x:v>7</x:v>
      </x:c>
      <x:c r="H111" s="15" t="str">
        <x:v>Ik Pay 487882 (2,803.13)</x:v>
      </x:c>
      <x:c r="I111" s="15" t="str">
        <x:v>Dreyer Salary (2,500.00)</x:v>
      </x:c>
      <x:c r="J111" s="15" t="str">
        <x:v>Salary / wages (2,500.00)</x:v>
      </x:c>
    </x:row>
    <x:row r="112">
      <x:c r="A112" s="36" t="n">
        <x:v>46029</x:v>
      </x:c>
      <x:c r="B112" s="38" t="n">
        <x:v>0</x:v>
      </x:c>
      <x:c r="C112" s="38" t="n">
        <x:v>1212.35</x:v>
      </x:c>
      <x:c r="D112" s="38" t="n">
        <x:v>0</x:v>
      </x:c>
      <x:c r="E112" s="38" t="n">
        <x:v>0</x:v>
      </x:c>
      <x:c r="F112" s="38" t="n">
        <x:v>-1212.35</x:v>
      </x:c>
      <x:c r="G112" s="15" t="n">
        <x:v>2</x:v>
      </x:c>
      <x:c r="H112" s="15" t="str"/>
      <x:c r="I112" s="15" t="str">
        <x:v>Bon Express 1/07/26 (912.35)</x:v>
      </x:c>
      <x:c r="J112" s="15" t="str">
        <x:v>Supplier payments (912.35)</x:v>
      </x:c>
    </x:row>
    <x:row r="113">
      <x:c r="A113" s="36" t="n">
        <x:v>46030</x:v>
      </x:c>
      <x:c r="B113" s="38" t="n">
        <x:v>15045.67</x:v>
      </x:c>
      <x:c r="C113" s="38" t="n">
        <x:v>16146.33</x:v>
      </x:c>
      <x:c r="D113" s="38" t="n">
        <x:v>0</x:v>
      </x:c>
      <x:c r="E113" s="38" t="n">
        <x:v>0</x:v>
      </x:c>
      <x:c r="F113" s="38" t="n">
        <x:v>-1100.66</x:v>
      </x:c>
      <x:c r="G113" s="15" t="n">
        <x:v>7</x:v>
      </x:c>
      <x:c r="H113" s="15" t="str">
        <x:v>Ik Pay 487882 (15,045.67)</x:v>
      </x:c>
      <x:c r="I113" s="15" t="str">
        <x:v>Salary Nason Dec (7,000.00)</x:v>
      </x:c>
      <x:c r="J113" s="15" t="str">
        <x:v>Supplier payments (8,936.33)</x:v>
      </x:c>
    </x:row>
    <x:row r="114">
      <x:c r="A114" s="36" t="n">
        <x:v>46031</x:v>
      </x:c>
      <x:c r="B114" s="38" t="n">
        <x:v>35135.31</x:v>
      </x:c>
      <x:c r="C114" s="38" t="n">
        <x:v>12910.87</x:v>
      </x:c>
      <x:c r="D114" s="38" t="n">
        <x:v>0</x:v>
      </x:c>
      <x:c r="E114" s="38" t="n">
        <x:v>0</x:v>
      </x:c>
      <x:c r="F114" s="38" t="n">
        <x:v>22224.44</x:v>
      </x:c>
      <x:c r="G114" s="15" t="n">
        <x:v>8</x:v>
      </x:c>
      <x:c r="H114" s="15" t="str">
        <x:v>R026znlj30 Booking.c (33,960.52)</x:v>
      </x:c>
      <x:c r="I114" s="15" t="str">
        <x:v>Royal Bush 3617 (4,740.00)</x:v>
      </x:c>
      <x:c r="J114" s="15" t="str">
        <x:v>Supplier payments (12,910.87)</x:v>
      </x:c>
    </x:row>
    <x:row r="115">
      <x:c r="A115" s="36" t="n">
        <x:v>46032</x:v>
      </x:c>
      <x:c r="B115" s="38" t="n">
        <x:v>0</x:v>
      </x:c>
      <x:c r="C115" s="38" t="n">
        <x:v>5908</x:v>
      </x:c>
      <x:c r="D115" s="38" t="n">
        <x:v>0</x:v>
      </x:c>
      <x:c r="E115" s="38" t="n">
        <x:v>0</x:v>
      </x:c>
      <x:c r="F115" s="38" t="n">
        <x:v>-5908</x:v>
      </x:c>
      <x:c r="G115" s="15" t="n">
        <x:v>2</x:v>
      </x:c>
      <x:c r="H115" s="15" t="str"/>
      <x:c r="I115" s="15" t="str">
        <x:v>Kruger Safari 1676 (5,408.00)</x:v>
      </x:c>
      <x:c r="J115" s="15" t="str">
        <x:v>Supplier payments (5,408.00)</x:v>
      </x:c>
    </x:row>
    <x:row r="116">
      <x:c r="A116" s="36" t="n">
        <x:v>46033</x:v>
      </x:c>
      <x:c r="B116" s="38" t="n">
        <x:v>0</x:v>
      </x:c>
      <x:c r="C116" s="38" t="n">
        <x:v>1984.94</x:v>
      </x:c>
      <x:c r="D116" s="38" t="n">
        <x:v>0</x:v>
      </x:c>
      <x:c r="E116" s="38" t="n">
        <x:v>0</x:v>
      </x:c>
      <x:c r="F116" s="38" t="n">
        <x:v>-1984.94</x:v>
      </x:c>
      <x:c r="G116" s="15" t="n">
        <x:v>4</x:v>
      </x:c>
      <x:c r="H116" s="15" t="str"/>
      <x:c r="I116" s="15" t="str">
        <x:v>Dreyer Salary Portio (1,000.00)</x:v>
      </x:c>
      <x:c r="J116" s="15" t="str">
        <x:v>Salary / wages (1,000.00)</x:v>
      </x:c>
    </x:row>
    <x:row r="117">
      <x:c r="A117" s="36" t="n">
        <x:v>46034</x:v>
      </x:c>
      <x:c r="B117" s="38" t="n">
        <x:v>20850.99</x:v>
      </x:c>
      <x:c r="C117" s="38" t="n">
        <x:v>1869.04</x:v>
      </x:c>
      <x:c r="D117" s="38" t="n">
        <x:v>0</x:v>
      </x:c>
      <x:c r="E117" s="38" t="n">
        <x:v>0</x:v>
      </x:c>
      <x:c r="F117" s="38" t="n">
        <x:v>18981.95</x:v>
      </x:c>
      <x:c r="G117" s="15" t="n">
        <x:v>4</x:v>
      </x:c>
      <x:c r="H117" s="15" t="str">
        <x:v>Ik Pay 487882 (20,850.99)</x:v>
      </x:c>
      <x:c r="I117" s="15" t="str">
        <x:v>Savemor Marloth (1,435.06)</x:v>
      </x:c>
      <x:c r="J117" s="15" t="str">
        <x:v>Supplier payments (1,435.06)</x:v>
      </x:c>
    </x:row>
    <x:row r="118">
      <x:c r="A118" s="36" t="n">
        <x:v>46035</x:v>
      </x:c>
      <x:c r="B118" s="38" t="n">
        <x:v>2699.11</x:v>
      </x:c>
      <x:c r="C118" s="38" t="n">
        <x:v>2817.16</x:v>
      </x:c>
      <x:c r="D118" s="38" t="n">
        <x:v>0</x:v>
      </x:c>
      <x:c r="E118" s="38" t="n">
        <x:v>0</x:v>
      </x:c>
      <x:c r="F118" s="38" t="n">
        <x:v>-118.05</x:v>
      </x:c>
      <x:c r="G118" s="15" t="n">
        <x:v>5</x:v>
      </x:c>
      <x:c r="H118" s="15" t="str">
        <x:v>Ik Pay 487882 (2,699.11)</x:v>
      </x:c>
      <x:c r="I118" s="15" t="str">
        <x:v>Superspar Komatipoor (2,035.86)</x:v>
      </x:c>
      <x:c r="J118" s="15" t="str">
        <x:v>Supplier payments (2,617.16)</x:v>
      </x:c>
    </x:row>
    <x:row r="119">
      <x:c r="A119" s="36" t="n">
        <x:v>46036</x:v>
      </x:c>
      <x:c r="B119" s="38" t="n">
        <x:v>0</x:v>
      </x:c>
      <x:c r="C119" s="38" t="n">
        <x:v>1996.3</x:v>
      </x:c>
      <x:c r="D119" s="38" t="n">
        <x:v>0</x:v>
      </x:c>
      <x:c r="E119" s="38" t="n">
        <x:v>0</x:v>
      </x:c>
      <x:c r="F119" s="38" t="n">
        <x:v>-1996.3</x:v>
      </x:c>
      <x:c r="G119" s="15" t="n">
        <x:v>3</x:v>
      </x:c>
      <x:c r="H119" s="15" t="str"/>
      <x:c r="I119" s="15" t="str">
        <x:v>Dinner Box 105110 (1,326.00)</x:v>
      </x:c>
      <x:c r="J119" s="15" t="str">
        <x:v>Meals / restaurants / entertainment (1,326.00)</x:v>
      </x:c>
    </x:row>
    <x:row r="120">
      <x:c r="A120" s="36" t="n">
        <x:v>46037</x:v>
      </x:c>
      <x:c r="B120" s="38" t="n">
        <x:v>0</x:v>
      </x:c>
      <x:c r="C120" s="38" t="n">
        <x:v>10252.91</x:v>
      </x:c>
      <x:c r="D120" s="38" t="n">
        <x:v>0</x:v>
      </x:c>
      <x:c r="E120" s="38" t="n">
        <x:v>0</x:v>
      </x:c>
      <x:c r="F120" s="38" t="n">
        <x:v>-10252.91</x:v>
      </x:c>
      <x:c r="G120" s="15" t="n">
        <x:v>4</x:v>
      </x:c>
      <x:c r="H120" s="15" t="str"/>
      <x:c r="I120" s="15" t="str">
        <x:v>Kruger Safari 1677 (7,008.00)</x:v>
      </x:c>
      <x:c r="J120" s="15" t="str">
        <x:v>Supplier payments (10,252.91)</x:v>
      </x:c>
    </x:row>
    <x:row r="121">
      <x:c r="A121" s="36" t="n">
        <x:v>46038</x:v>
      </x:c>
      <x:c r="B121" s="38" t="n">
        <x:v>58328.06</x:v>
      </x:c>
      <x:c r="C121" s="38" t="n">
        <x:v>21874.5</x:v>
      </x:c>
      <x:c r="D121" s="38" t="n">
        <x:v>0</x:v>
      </x:c>
      <x:c r="E121" s="38" t="n">
        <x:v>0</x:v>
      </x:c>
      <x:c r="F121" s="38" t="n">
        <x:v>36453.56</x:v>
      </x:c>
      <x:c r="G121" s="15" t="n">
        <x:v>11</x:v>
      </x:c>
      <x:c r="H121" s="15" t="str">
        <x:v>R026zdm6s0 Booking.c (45,321.13)</x:v>
      </x:c>
      <x:c r="I121" s="15" t="str">
        <x:v>Kruger Safari 1678 (7,510.00)</x:v>
      </x:c>
      <x:c r="J121" s="15" t="str">
        <x:v>Salary / wages (9,000.00)</x:v>
      </x:c>
    </x:row>
    <x:row r="122">
      <x:c r="A122" s="36" t="n">
        <x:v>46039</x:v>
      </x:c>
      <x:c r="B122" s="38" t="n">
        <x:v>9773.91</x:v>
      </x:c>
      <x:c r="C122" s="38" t="n">
        <x:v>228.85</x:v>
      </x:c>
      <x:c r="D122" s="38" t="n">
        <x:v>0</x:v>
      </x:c>
      <x:c r="E122" s="38" t="n">
        <x:v>0</x:v>
      </x:c>
      <x:c r="F122" s="38" t="n">
        <x:v>9545.06</x:v>
      </x:c>
      <x:c r="G122" s="15" t="n">
        <x:v>2</x:v>
      </x:c>
      <x:c r="H122" s="15" t="str">
        <x:v>Ik Pay 487882 (9,773.91)</x:v>
      </x:c>
      <x:c r="I122" s="15" t="str">
        <x:v>Paystack *zoho Co (228.85)</x:v>
      </x:c>
      <x:c r="J122" s="15" t="str">
        <x:v>Software / subscriptions (228.85)</x:v>
      </x:c>
    </x:row>
    <x:row r="123">
      <x:c r="A123" s="36" t="n">
        <x:v>46040</x:v>
      </x:c>
      <x:c r="B123" s="38" t="n">
        <x:v>0</x:v>
      </x:c>
      <x:c r="C123" s="38" t="n">
        <x:v>16500</x:v>
      </x:c>
      <x:c r="D123" s="38" t="n">
        <x:v>0</x:v>
      </x:c>
      <x:c r="E123" s="38" t="n">
        <x:v>0</x:v>
      </x:c>
      <x:c r="F123" s="38" t="n">
        <x:v>-16500</x:v>
      </x:c>
      <x:c r="G123" s="15" t="n">
        <x:v>1</x:v>
      </x:c>
      <x:c r="H123" s="15" t="str"/>
      <x:c r="I123" s="15" t="str">
        <x:v>Pj Els (16,500.00)</x:v>
      </x:c>
      <x:c r="J123" s="15" t="str">
        <x:v>Supplier payments (16,500.00)</x:v>
      </x:c>
    </x:row>
    <x:row r="124">
      <x:c r="A124" s="36" t="n">
        <x:v>46041</x:v>
      </x:c>
      <x:c r="B124" s="38" t="n">
        <x:v>0</x:v>
      </x:c>
      <x:c r="C124" s="38" t="n">
        <x:v>2279.45</x:v>
      </x:c>
      <x:c r="D124" s="38" t="n">
        <x:v>0</x:v>
      </x:c>
      <x:c r="E124" s="38" t="n">
        <x:v>0</x:v>
      </x:c>
      <x:c r="F124" s="38" t="n">
        <x:v>-2279.45</x:v>
      </x:c>
      <x:c r="G124" s="15" t="n">
        <x:v>3</x:v>
      </x:c>
      <x:c r="H124" s="15" t="str"/>
      <x:c r="I124" s="15" t="str">
        <x:v>Asbe - Comm Jan (1,344.45)</x:v>
      </x:c>
      <x:c r="J124" s="15" t="str">
        <x:v>Supplier payments (1,344.45)</x:v>
      </x:c>
    </x:row>
    <x:row r="125">
      <x:c r="A125" s="36" t="n">
        <x:v>46042</x:v>
      </x:c>
      <x:c r="B125" s="38" t="n">
        <x:v>0</x:v>
      </x:c>
      <x:c r="C125" s="38" t="n">
        <x:v>1337.19</x:v>
      </x:c>
      <x:c r="D125" s="38" t="n">
        <x:v>0</x:v>
      </x:c>
      <x:c r="E125" s="38" t="n">
        <x:v>0</x:v>
      </x:c>
      <x:c r="F125" s="38" t="n">
        <x:v>-1337.19</x:v>
      </x:c>
      <x:c r="G125" s="15" t="n">
        <x:v>4</x:v>
      </x:c>
      <x:c r="H125" s="15" t="str"/>
      <x:c r="I125" s="15" t="str">
        <x:v>Spur Fern Valley (490.00)</x:v>
      </x:c>
      <x:c r="J125" s="15" t="str">
        <x:v>Card spend (490.00)</x:v>
      </x:c>
    </x:row>
    <x:row r="126">
      <x:c r="A126" s="36" t="n">
        <x:v>46043</x:v>
      </x:c>
      <x:c r="B126" s="38" t="n">
        <x:v>23287.5</x:v>
      </x:c>
      <x:c r="C126" s="38" t="n">
        <x:v>0</x:v>
      </x:c>
      <x:c r="D126" s="38" t="n">
        <x:v>0</x:v>
      </x:c>
      <x:c r="E126" s="38" t="n">
        <x:v>0</x:v>
      </x:c>
      <x:c r="F126" s="38" t="n">
        <x:v>23287.5</x:v>
      </x:c>
      <x:c r="G126" s="15" t="n">
        <x:v>1</x:v>
      </x:c>
      <x:c r="H126" s="15" t="str">
        <x:v>R026z3l840 De Pauw D (23,287.50)</x:v>
      </x:c>
      <x:c r="I126" s="15" t="str"/>
      <x:c r="J126" s="15" t="str"/>
    </x:row>
    <x:row r="127">
      <x:c r="A127" s="36" t="n">
        <x:v>46044</x:v>
      </x:c>
      <x:c r="B127" s="38" t="n">
        <x:v>0</x:v>
      </x:c>
      <x:c r="C127" s="38" t="n">
        <x:v>3119.52</x:v>
      </x:c>
      <x:c r="D127" s="38" t="n">
        <x:v>0</x:v>
      </x:c>
      <x:c r="E127" s="38" t="n">
        <x:v>0</x:v>
      </x:c>
      <x:c r="F127" s="38" t="n">
        <x:v>-3119.52</x:v>
      </x:c>
      <x:c r="G127" s="15" t="n">
        <x:v>8</x:v>
      </x:c>
      <x:c r="H127" s="15" t="str"/>
      <x:c r="I127" s="15" t="str">
        <x:v>Hpy*vodafone Cellula (1,150.00)</x:v>
      </x:c>
      <x:c r="J127" s="15" t="str">
        <x:v>Supplier payments (1,659.62)</x:v>
      </x:c>
    </x:row>
    <x:row r="128">
      <x:c r="A128" s="36" t="n">
        <x:v>46045</x:v>
      </x:c>
      <x:c r="B128" s="38" t="n">
        <x:v>12786.76</x:v>
      </x:c>
      <x:c r="C128" s="38" t="n">
        <x:v>16447.5</x:v>
      </x:c>
      <x:c r="D128" s="38" t="n">
        <x:v>0</x:v>
      </x:c>
      <x:c r="E128" s="38" t="n">
        <x:v>0</x:v>
      </x:c>
      <x:c r="F128" s="38" t="n">
        <x:v>-3660.74</x:v>
      </x:c>
      <x:c r="G128" s="15" t="n">
        <x:v>6</x:v>
      </x:c>
      <x:c r="H128" s="15" t="str">
        <x:v>R026z6vq90 Booking.c (12,786.76)</x:v>
      </x:c>
      <x:c r="I128" s="15" t="str">
        <x:v>Stratton Prop Mng (13,271.53)</x:v>
      </x:c>
      <x:c r="J128" s="15" t="str">
        <x:v>Supplier payments (15,271.53)</x:v>
      </x:c>
    </x:row>
    <x:row r="129">
      <x:c r="A129" s="36" t="n">
        <x:v>46046</x:v>
      </x:c>
      <x:c r="B129" s="38" t="n">
        <x:v>819.47</x:v>
      </x:c>
      <x:c r="C129" s="38" t="n">
        <x:v>6317.83</x:v>
      </x:c>
      <x:c r="D129" s="38" t="n">
        <x:v>0</x:v>
      </x:c>
      <x:c r="E129" s="38" t="n">
        <x:v>0</x:v>
      </x:c>
      <x:c r="F129" s="38" t="n">
        <x:v>-5498.36</x:v>
      </x:c>
      <x:c r="G129" s="15" t="n">
        <x:v>5</x:v>
      </x:c>
      <x:c r="H129" s="15" t="str">
        <x:v>Ik Pay 487882 (819.47)</x:v>
      </x:c>
      <x:c r="I129" s="15" t="str">
        <x:v>Staff Tips For Dec (4,000.00)</x:v>
      </x:c>
      <x:c r="J129" s="15" t="str">
        <x:v>Salary / wages (4,000.00)</x:v>
      </x:c>
    </x:row>
    <x:row r="130">
      <x:c r="A130" s="36" t="n">
        <x:v>46047</x:v>
      </x:c>
      <x:c r="B130" s="38" t="n">
        <x:v>0</x:v>
      </x:c>
      <x:c r="C130" s="38" t="n">
        <x:v>9250</x:v>
      </x:c>
      <x:c r="D130" s="38" t="n">
        <x:v>0</x:v>
      </x:c>
      <x:c r="E130" s="38" t="n">
        <x:v>0</x:v>
      </x:c>
      <x:c r="F130" s="38" t="n">
        <x:v>-9250</x:v>
      </x:c>
      <x:c r="G130" s="15" t="n">
        <x:v>2</x:v>
      </x:c>
      <x:c r="H130" s="15" t="str"/>
      <x:c r="I130" s="15" t="str">
        <x:v>Staff Tips Jan (5,250.00)</x:v>
      </x:c>
      <x:c r="J130" s="15" t="str">
        <x:v>Salary / wages (9,250.00)</x:v>
      </x:c>
    </x:row>
    <x:row r="131">
      <x:c r="A131" s="36" t="n">
        <x:v>46048</x:v>
      </x:c>
      <x:c r="B131" s="38" t="n">
        <x:v>0</x:v>
      </x:c>
      <x:c r="C131" s="38" t="n">
        <x:v>23740.58</x:v>
      </x:c>
      <x:c r="D131" s="38" t="n">
        <x:v>0</x:v>
      </x:c>
      <x:c r="E131" s="38" t="n">
        <x:v>0</x:v>
      </x:c>
      <x:c r="F131" s="38" t="n">
        <x:v>-23740.58</x:v>
      </x:c>
      <x:c r="G131" s="15" t="n">
        <x:v>7</x:v>
      </x:c>
      <x:c r="H131" s="15" t="str"/>
      <x:c r="I131" s="15" t="str">
        <x:v>Repairs + Maintenanc (15,000.00)</x:v>
      </x:c>
      <x:c r="J131" s="15" t="str">
        <x:v>Supplier payments (23,606.58)</x:v>
      </x:c>
    </x:row>
    <x:row r="132">
      <x:c r="A132" s="36" t="n">
        <x:v>46049</x:v>
      </x:c>
      <x:c r="B132" s="38" t="n">
        <x:v>10844.75</x:v>
      </x:c>
      <x:c r="C132" s="38" t="n">
        <x:v>7031.1</x:v>
      </x:c>
      <x:c r="D132" s="38" t="n">
        <x:v>0</x:v>
      </x:c>
      <x:c r="E132" s="38" t="n">
        <x:v>0</x:v>
      </x:c>
      <x:c r="F132" s="38" t="n">
        <x:v>3813.65</x:v>
      </x:c>
      <x:c r="G132" s="15" t="n">
        <x:v>6</x:v>
      </x:c>
      <x:c r="H132" s="15" t="str">
        <x:v>Ik Pay 487882 (5,773.25)</x:v>
      </x:c>
      <x:c r="I132" s="15" t="str">
        <x:v>Kruger Safari 1679 (3,004.00)</x:v>
      </x:c>
      <x:c r="J132" s="15" t="str">
        <x:v>Supplier payments (4,762.90)</x:v>
      </x:c>
    </x:row>
    <x:row r="133">
      <x:c r="A133" s="36" t="n">
        <x:v>46050</x:v>
      </x:c>
      <x:c r="B133" s="38" t="n">
        <x:v>0</x:v>
      </x:c>
      <x:c r="C133" s="38" t="n">
        <x:v>1559.4</x:v>
      </x:c>
      <x:c r="D133" s="38" t="n">
        <x:v>0</x:v>
      </x:c>
      <x:c r="E133" s="38" t="n">
        <x:v>0</x:v>
      </x:c>
      <x:c r="F133" s="38" t="n">
        <x:v>-1559.4</x:v>
      </x:c>
      <x:c r="G133" s="15" t="n">
        <x:v>6</x:v>
      </x:c>
      <x:c r="H133" s="15" t="str"/>
      <x:c r="I133" s="15" t="str">
        <x:v>Savemor Marloth (518.49)</x:v>
      </x:c>
      <x:c r="J133" s="15" t="str">
        <x:v>Supplier payments (1,316.40)</x:v>
      </x:c>
    </x:row>
    <x:row r="134">
      <x:c r="A134" s="36" t="n">
        <x:v>46051</x:v>
      </x:c>
      <x:c r="B134" s="38" t="n">
        <x:v>1312.64</x:v>
      </x:c>
      <x:c r="C134" s="38" t="n">
        <x:v>1659.77</x:v>
      </x:c>
      <x:c r="D134" s="38" t="n">
        <x:v>0</x:v>
      </x:c>
      <x:c r="E134" s="38" t="n">
        <x:v>0</x:v>
      </x:c>
      <x:c r="F134" s="38" t="n">
        <x:v>-347.13</x:v>
      </x:c>
      <x:c r="G134" s="15" t="n">
        <x:v>5</x:v>
      </x:c>
      <x:c r="H134" s="15" t="str">
        <x:v>Ik Pay 487882 (1,312.64)</x:v>
      </x:c>
      <x:c r="I134" s="15" t="str">
        <x:v>Savemor Marloth (650.93)</x:v>
      </x:c>
      <x:c r="J134" s="15" t="str">
        <x:v>Supplier payments (1,159.77)</x:v>
      </x:c>
    </x:row>
    <x:row r="135">
      <x:c r="A135" s="36" t="n">
        <x:v>46052</x:v>
      </x:c>
      <x:c r="B135" s="38" t="n">
        <x:v>20265.12</x:v>
      </x:c>
      <x:c r="C135" s="38" t="n">
        <x:v>9073.77</x:v>
      </x:c>
      <x:c r="D135" s="38" t="n">
        <x:v>0</x:v>
      </x:c>
      <x:c r="E135" s="38" t="n">
        <x:v>0</x:v>
      </x:c>
      <x:c r="F135" s="38" t="n">
        <x:v>11191.35</x:v>
      </x:c>
      <x:c r="G135" s="15" t="n">
        <x:v>6</x:v>
      </x:c>
      <x:c r="H135" s="15" t="str">
        <x:v>R026xr9cp0 Booking.c (11,313.46)</x:v>
      </x:c>
      <x:c r="I135" s="15" t="str">
        <x:v>Kruger Safari 1680 (6,008.00)</x:v>
      </x:c>
      <x:c r="J135" s="15" t="str">
        <x:v>Supplier payments (6,273.77)</x:v>
      </x:c>
    </x:row>
    <x:row r="136">
      <x:c r="A136" s="36" t="n">
        <x:v>46053</x:v>
      </x:c>
      <x:c r="B136" s="38" t="n">
        <x:v>0</x:v>
      </x:c>
      <x:c r="C136" s="38" t="n">
        <x:v>30022.84</x:v>
      </x:c>
      <x:c r="D136" s="38" t="n">
        <x:v>0</x:v>
      </x:c>
      <x:c r="E136" s="38" t="n">
        <x:v>0</x:v>
      </x:c>
      <x:c r="F136" s="38" t="n">
        <x:v>-30022.84</x:v>
      </x:c>
      <x:c r="G136" s="15" t="n">
        <x:v>7</x:v>
      </x:c>
      <x:c r="H136" s="15" t="str"/>
      <x:c r="I136" s="15" t="str">
        <x:v>Wage Jan (15,000.00)</x:v>
      </x:c>
      <x:c r="J136" s="15" t="str">
        <x:v>Salary / wages (27,000.00)</x:v>
      </x:c>
    </x:row>
    <x:row r="137">
      <x:c r="A137" s="36" t="n">
        <x:v>46054</x:v>
      </x:c>
      <x:c r="B137" s="38" t="n">
        <x:v>0</x:v>
      </x:c>
      <x:c r="C137" s="38" t="n">
        <x:v>4252.2</x:v>
      </x:c>
      <x:c r="D137" s="38" t="n">
        <x:v>0</x:v>
      </x:c>
      <x:c r="E137" s="38" t="n">
        <x:v>0</x:v>
      </x:c>
      <x:c r="F137" s="38" t="n">
        <x:v>-4252.2</x:v>
      </x:c>
      <x:c r="G137" s="15" t="n">
        <x:v>5</x:v>
      </x:c>
      <x:c r="H137" s="15" t="str"/>
      <x:c r="I137" s="15" t="str">
        <x:v>Ac De Jager Vleis (1,707.86)</x:v>
      </x:c>
      <x:c r="J137" s="15" t="str">
        <x:v>Supplier payments (3,207.86)</x:v>
      </x:c>
    </x:row>
    <x:row r="138">
      <x:c r="A138" s="36" t="n">
        <x:v>46055</x:v>
      </x:c>
      <x:c r="B138" s="38" t="n">
        <x:v>17774.45</x:v>
      </x:c>
      <x:c r="C138" s="38" t="n">
        <x:v>12285.44</x:v>
      </x:c>
      <x:c r="D138" s="38" t="n">
        <x:v>0</x:v>
      </x:c>
      <x:c r="E138" s="38" t="n">
        <x:v>0</x:v>
      </x:c>
      <x:c r="F138" s="38" t="n">
        <x:v>5489.01</x:v>
      </x:c>
      <x:c r="G138" s="15" t="n">
        <x:v>8</x:v>
      </x:c>
      <x:c r="H138" s="15" t="str">
        <x:v>Ik Pay 487882 (17,517.27)</x:v>
      </x:c>
      <x:c r="I138" s="15" t="str">
        <x:v>Royal Bush 3597 (6,472.00)</x:v>
      </x:c>
      <x:c r="J138" s="15" t="str">
        <x:v>Supplier payments (12,285.44)</x:v>
      </x:c>
    </x:row>
    <x:row r="139">
      <x:c r="A139" s="36" t="n">
        <x:v>46056</x:v>
      </x:c>
      <x:c r="B139" s="38" t="n">
        <x:v>0</x:v>
      </x:c>
      <x:c r="C139" s="38" t="n">
        <x:v>969.97</x:v>
      </x:c>
      <x:c r="D139" s="38" t="n">
        <x:v>0</x:v>
      </x:c>
      <x:c r="E139" s="38" t="n">
        <x:v>0</x:v>
      </x:c>
      <x:c r="F139" s="38" t="n">
        <x:v>-969.97</x:v>
      </x:c>
      <x:c r="G139" s="15" t="n">
        <x:v>3</x:v>
      </x:c>
      <x:c r="H139" s="15" t="str"/>
      <x:c r="I139" s="15" t="str">
        <x:v>Engen Prime Corner C (500.00)</x:v>
      </x:c>
      <x:c r="J139" s="15" t="str">
        <x:v>Fuel / transport (500.00)</x:v>
      </x:c>
    </x:row>
    <x:row r="140">
      <x:c r="A140" s="36" t="n">
        <x:v>46057</x:v>
      </x:c>
      <x:c r="B140" s="38" t="n">
        <x:v>0</x:v>
      </x:c>
      <x:c r="C140" s="38" t="n">
        <x:v>7032.81</x:v>
      </x:c>
      <x:c r="D140" s="38" t="n">
        <x:v>0</x:v>
      </x:c>
      <x:c r="E140" s="38" t="n">
        <x:v>0</x:v>
      </x:c>
      <x:c r="F140" s="38" t="n">
        <x:v>-7032.81</x:v>
      </x:c>
      <x:c r="G140" s="15" t="n">
        <x:v>3</x:v>
      </x:c>
      <x:c r="H140" s="15" t="str"/>
      <x:c r="I140" s="15" t="str">
        <x:v>Kruger Safari 1681 (6,008.00)</x:v>
      </x:c>
      <x:c r="J140" s="15" t="str">
        <x:v>Supplier payments (6,532.81)</x:v>
      </x:c>
    </x:row>
    <x:row r="141">
      <x:c r="A141" s="36" t="n">
        <x:v>46058</x:v>
      </x:c>
      <x:c r="B141" s="38" t="n">
        <x:v>0</x:v>
      </x:c>
      <x:c r="C141" s="38" t="n">
        <x:v>3088.08</x:v>
      </x:c>
      <x:c r="D141" s="38" t="n">
        <x:v>0</x:v>
      </x:c>
      <x:c r="E141" s="38" t="n">
        <x:v>0</x:v>
      </x:c>
      <x:c r="F141" s="38" t="n">
        <x:v>-3088.08</x:v>
      </x:c>
      <x:c r="G141" s="15" t="n">
        <x:v>5</x:v>
      </x:c>
      <x:c r="H141" s="15" t="str"/>
      <x:c r="I141" s="15" t="str">
        <x:v>Superspar Komatipoor (1,791.43)</x:v>
      </x:c>
      <x:c r="J141" s="15" t="str">
        <x:v>Supplier payments (3,088.08)</x:v>
      </x:c>
    </x:row>
    <x:row r="142">
      <x:c r="A142" s="36" t="n">
        <x:v>46059</x:v>
      </x:c>
      <x:c r="B142" s="38" t="n">
        <x:v>12861.68</x:v>
      </x:c>
      <x:c r="C142" s="38" t="n">
        <x:v>9143.44</x:v>
      </x:c>
      <x:c r="D142" s="38" t="n">
        <x:v>0</x:v>
      </x:c>
      <x:c r="E142" s="38" t="n">
        <x:v>0</x:v>
      </x:c>
      <x:c r="F142" s="38" t="n">
        <x:v>3718.24</x:v>
      </x:c>
      <x:c r="G142" s="15" t="n">
        <x:v>7</x:v>
      </x:c>
      <x:c r="H142" s="15" t="str">
        <x:v>R026xf8n60 Booking.c (12,861.68)</x:v>
      </x:c>
      <x:c r="I142" s="15" t="str">
        <x:v>Salary Jan (7,000.00)</x:v>
      </x:c>
      <x:c r="J142" s="15" t="str">
        <x:v>Salary / wages (7,600.00)</x:v>
      </x:c>
    </x:row>
    <x:row r="143">
      <x:c r="A143" s="36" t="n">
        <x:v>46060</x:v>
      </x:c>
      <x:c r="B143" s="38" t="n">
        <x:v>6094.96</x:v>
      </x:c>
      <x:c r="C143" s="38" t="n">
        <x:v>2091.85</x:v>
      </x:c>
      <x:c r="D143" s="38" t="n">
        <x:v>200</x:v>
      </x:c>
      <x:c r="E143" s="38" t="n">
        <x:v>0</x:v>
      </x:c>
      <x:c r="F143" s="38" t="n">
        <x:v>4203.11</x:v>
      </x:c>
      <x:c r="G143" s="15" t="n">
        <x:v>8</x:v>
      </x:c>
      <x:c r="H143" s="15" t="str">
        <x:v>Ik Pay 487882 (6,094.96)</x:v>
      </x:c>
      <x:c r="I143" s="15" t="str">
        <x:v>Electricity 04294887 (500.00)</x:v>
      </x:c>
      <x:c r="J143" s="15" t="str">
        <x:v>Supplier payments (691.85)</x:v>
      </x:c>
    </x:row>
    <x:row r="144">
      <x:c r="A144" s="36" t="n">
        <x:v>46061</x:v>
      </x:c>
      <x:c r="B144" s="38" t="n">
        <x:v>0</x:v>
      </x:c>
      <x:c r="C144" s="38" t="n">
        <x:v>0</x:v>
      </x:c>
      <x:c r="D144" s="38" t="n">
        <x:v>0</x:v>
      </x:c>
      <x:c r="E144" s="38" t="n">
        <x:v>0</x:v>
      </x:c>
      <x:c r="F144" s="38" t="n">
        <x:v>0</x:v>
      </x:c>
      <x:c r="G144" s="15" t="n">
        <x:v>0</x:v>
      </x:c>
      <x:c r="H144" s="15" t="str"/>
      <x:c r="I144" s="15" t="str"/>
      <x:c r="J144" s="15" t="str"/>
    </x:row>
    <x:row r="145">
      <x:c r="A145" s="36" t="n">
        <x:v>46062</x:v>
      </x:c>
      <x:c r="B145" s="38" t="n">
        <x:v>14766.58</x:v>
      </x:c>
      <x:c r="C145" s="38" t="n">
        <x:v>4417.9</x:v>
      </x:c>
      <x:c r="D145" s="38" t="n">
        <x:v>0</x:v>
      </x:c>
      <x:c r="E145" s="38" t="n">
        <x:v>0</x:v>
      </x:c>
      <x:c r="F145" s="38" t="n">
        <x:v>10348.68</x:v>
      </x:c>
      <x:c r="G145" s="15" t="n">
        <x:v>5</x:v>
      </x:c>
      <x:c r="H145" s="15" t="str">
        <x:v>Ik Pay 487882 (14,766.58)</x:v>
      </x:c>
      <x:c r="I145" s="15" t="str">
        <x:v>Royal Bush 3610 (3,036.00)</x:v>
      </x:c>
      <x:c r="J145" s="15" t="str">
        <x:v>Supplier payments (4,037.90)</x:v>
      </x:c>
    </x:row>
    <x:row r="146">
      <x:c r="A146" s="36" t="n">
        <x:v>46063</x:v>
      </x:c>
      <x:c r="B146" s="38" t="n">
        <x:v>2266.11</x:v>
      </x:c>
      <x:c r="C146" s="38" t="n">
        <x:v>3088.72</x:v>
      </x:c>
      <x:c r="D146" s="38" t="n">
        <x:v>0</x:v>
      </x:c>
      <x:c r="E146" s="38" t="n">
        <x:v>0</x:v>
      </x:c>
      <x:c r="F146" s="38" t="n">
        <x:v>-822.61</x:v>
      </x:c>
      <x:c r="G146" s="15" t="n">
        <x:v>5</x:v>
      </x:c>
      <x:c r="H146" s="15" t="str">
        <x:v>Ik Pay 487882 (2,266.11)</x:v>
      </x:c>
      <x:c r="I146" s="15" t="str">
        <x:v>Superspar Komatipoor (1,433.22)</x:v>
      </x:c>
      <x:c r="J146" s="15" t="str">
        <x:v>Supplier payments (3,088.72)</x:v>
      </x:c>
    </x:row>
    <x:row r="147">
      <x:c r="A147" s="36" t="n">
        <x:v>46064</x:v>
      </x:c>
      <x:c r="B147" s="38" t="n">
        <x:v>200</x:v>
      </x:c>
      <x:c r="C147" s="38" t="n">
        <x:v>7977.61</x:v>
      </x:c>
      <x:c r="D147" s="38" t="n">
        <x:v>0</x:v>
      </x:c>
      <x:c r="E147" s="38" t="n">
        <x:v>0</x:v>
      </x:c>
      <x:c r="F147" s="38" t="n">
        <x:v>-7777.61</x:v>
      </x:c>
      <x:c r="G147" s="15" t="n">
        <x:v>10</x:v>
      </x:c>
      <x:c r="H147" s="15" t="str">
        <x:v>Rev Ag18 3884 Olif (200.00)</x:v>
      </x:c>
      <x:c r="I147" s="15" t="str">
        <x:v>Salary Jan (3,000.00)</x:v>
      </x:c>
      <x:c r="J147" s="15" t="str">
        <x:v>Salary / wages (3,000.00)</x:v>
      </x:c>
    </x:row>
    <x:row r="148">
      <x:c r="A148" s="36" t="n">
        <x:v>46065</x:v>
      </x:c>
      <x:c r="B148" s="38" t="n">
        <x:v>39018.55</x:v>
      </x:c>
      <x:c r="C148" s="38" t="n">
        <x:v>8463.11</x:v>
      </x:c>
      <x:c r="D148" s="38" t="n">
        <x:v>0</x:v>
      </x:c>
      <x:c r="E148" s="38" t="n">
        <x:v>0</x:v>
      </x:c>
      <x:c r="F148" s="38" t="n">
        <x:v>30555.44</x:v>
      </x:c>
      <x:c r="G148" s="15" t="n">
        <x:v>10</x:v>
      </x:c>
      <x:c r="H148" s="15" t="str">
        <x:v>R026x4wv90 Booking.c (35,459.34)</x:v>
      </x:c>
      <x:c r="I148" s="15" t="str">
        <x:v>Kruger Safari 1682 (5,708.00)</x:v>
      </x:c>
      <x:c r="J148" s="15" t="str">
        <x:v>Supplier payments (7,738.11)</x:v>
      </x:c>
    </x:row>
    <x:row r="149">
      <x:c r="A149" s="36" t="n">
        <x:v>46066</x:v>
      </x:c>
      <x:c r="B149" s="38" t="n">
        <x:v>0</x:v>
      </x:c>
      <x:c r="C149" s="38" t="n">
        <x:v>15780.08</x:v>
      </x:c>
      <x:c r="D149" s="38" t="n">
        <x:v>0</x:v>
      </x:c>
      <x:c r="E149" s="38" t="n">
        <x:v>0</x:v>
      </x:c>
      <x:c r="F149" s="38" t="n">
        <x:v>-15780.08</x:v>
      </x:c>
      <x:c r="G149" s="15" t="n">
        <x:v>10</x:v>
      </x:c>
      <x:c r="H149" s="15" t="str"/>
      <x:c r="I149" s="15" t="str">
        <x:v>Staff Tips For Aug (5,000.00)</x:v>
      </x:c>
      <x:c r="J149" s="15" t="str">
        <x:v>Salary / wages (8,000.00)</x:v>
      </x:c>
    </x:row>
    <x:row r="150">
      <x:c r="A150" s="36" t="n">
        <x:v>46067</x:v>
      </x:c>
      <x:c r="B150" s="38" t="n">
        <x:v>0</x:v>
      </x:c>
      <x:c r="C150" s="38" t="n">
        <x:v>5620.09</x:v>
      </x:c>
      <x:c r="D150" s="38" t="n">
        <x:v>0</x:v>
      </x:c>
      <x:c r="E150" s="38" t="n">
        <x:v>0</x:v>
      </x:c>
      <x:c r="F150" s="38" t="n">
        <x:v>-5620.09</x:v>
      </x:c>
      <x:c r="G150" s="15" t="n">
        <x:v>3</x:v>
      </x:c>
      <x:c r="H150" s="15" t="str"/>
      <x:c r="I150" s="15" t="str">
        <x:v>Dreyer (3,000.00)</x:v>
      </x:c>
      <x:c r="J150" s="15" t="str">
        <x:v>Supplier payments (3,000.00)</x:v>
      </x:c>
    </x:row>
    <x:row r="151">
      <x:c r="A151" s="36" t="n">
        <x:v>46068</x:v>
      </x:c>
      <x:c r="B151" s="38" t="n">
        <x:v>0</x:v>
      </x:c>
      <x:c r="C151" s="38" t="n">
        <x:v>0</x:v>
      </x:c>
      <x:c r="D151" s="38" t="n">
        <x:v>0</x:v>
      </x:c>
      <x:c r="E151" s="38" t="n">
        <x:v>0</x:v>
      </x:c>
      <x:c r="F151" s="38" t="n">
        <x:v>0</x:v>
      </x:c>
      <x:c r="G151" s="15" t="n">
        <x:v>0</x:v>
      </x:c>
      <x:c r="H151" s="15" t="str"/>
      <x:c r="I151" s="15" t="str"/>
      <x:c r="J151" s="15" t="str"/>
    </x:row>
    <x:row r="152">
      <x:c r="A152" s="36" t="n">
        <x:v>46069</x:v>
      </x:c>
      <x:c r="B152" s="38" t="n">
        <x:v>7869.08</x:v>
      </x:c>
      <x:c r="C152" s="38" t="n">
        <x:v>2446.16</x:v>
      </x:c>
      <x:c r="D152" s="38" t="n">
        <x:v>0</x:v>
      </x:c>
      <x:c r="E152" s="38" t="n">
        <x:v>4000</x:v>
      </x:c>
      <x:c r="F152" s="38" t="n">
        <x:v>5422.92</x:v>
      </x:c>
      <x:c r="G152" s="15" t="n">
        <x:v>4</x:v>
      </x:c>
      <x:c r="H152" s="15" t="str">
        <x:v>Ik Pay 487882 (7,869.08)</x:v>
      </x:c>
      <x:c r="I152" s="15" t="str">
        <x:v>Superspar Komatipoor (1,817.30)</x:v>
      </x:c>
      <x:c r="J152" s="15" t="str">
        <x:v>Supplier payments (2,446.16)</x:v>
      </x:c>
    </x:row>
    <x:row r="153">
      <x:c r="A153" s="36" t="n">
        <x:v>46070</x:v>
      </x:c>
      <x:c r="B153" s="38" t="n">
        <x:v>0</x:v>
      </x:c>
      <x:c r="C153" s="38" t="n">
        <x:v>7537.49</x:v>
      </x:c>
      <x:c r="D153" s="38" t="n">
        <x:v>0</x:v>
      </x:c>
      <x:c r="E153" s="38" t="n">
        <x:v>0</x:v>
      </x:c>
      <x:c r="F153" s="38" t="n">
        <x:v>-7537.49</x:v>
      </x:c>
      <x:c r="G153" s="15" t="n">
        <x:v>6</x:v>
      </x:c>
      <x:c r="H153" s="15" t="str"/>
      <x:c r="I153" s="15" t="str">
        <x:v>Kruger Safari 1683 (4,506.00)</x:v>
      </x:c>
      <x:c r="J153" s="15" t="str">
        <x:v>Supplier payments (7,122.64)</x:v>
      </x:c>
    </x:row>
    <x:row r="154">
      <x:c r="A154" s="36" t="n">
        <x:v>46071</x:v>
      </x:c>
      <x:c r="B154" s="38" t="n">
        <x:v>0</x:v>
      </x:c>
      <x:c r="C154" s="38" t="n">
        <x:v>2469.99</x:v>
      </x:c>
      <x:c r="D154" s="38" t="n">
        <x:v>0</x:v>
      </x:c>
      <x:c r="E154" s="38" t="n">
        <x:v>0</x:v>
      </x:c>
      <x:c r="F154" s="38" t="n">
        <x:v>-2469.99</x:v>
      </x:c>
      <x:c r="G154" s="15" t="n">
        <x:v>3</x:v>
      </x:c>
      <x:c r="H154" s="15" t="str"/>
      <x:c r="I154" s="15" t="str">
        <x:v>Savemor Marloth (1,499.99)</x:v>
      </x:c>
      <x:c r="J154" s="15" t="str">
        <x:v>Supplier payments (1,499.99)</x:v>
      </x:c>
    </x:row>
    <x:row r="155">
      <x:c r="A155" s="36" t="n">
        <x:v>46072</x:v>
      </x:c>
      <x:c r="B155" s="38" t="n">
        <x:v>40007.49</x:v>
      </x:c>
      <x:c r="C155" s="38" t="n">
        <x:v>4373.62</x:v>
      </x:c>
      <x:c r="D155" s="38" t="n">
        <x:v>0</x:v>
      </x:c>
      <x:c r="E155" s="38" t="n">
        <x:v>0</x:v>
      </x:c>
      <x:c r="F155" s="38" t="n">
        <x:v>35633.87</x:v>
      </x:c>
      <x:c r="G155" s="15" t="n">
        <x:v>8</x:v>
      </x:c>
      <x:c r="H155" s="15" t="str">
        <x:v>R026wwtl60 Booking.c (26,868.57)</x:v>
      </x:c>
      <x:c r="I155" s="15" t="str">
        <x:v>Screens X 5 (3,525.00)</x:v>
      </x:c>
      <x:c r="J155" s="15" t="str">
        <x:v>Supplier payments (4,373.62)</x:v>
      </x:c>
    </x:row>
    <x:row r="156">
      <x:c r="A156" s="36" t="n">
        <x:v>46073</x:v>
      </x:c>
      <x:c r="B156" s="38" t="n">
        <x:v>30036.32</x:v>
      </x:c>
      <x:c r="C156" s="38" t="n">
        <x:v>9881.13</x:v>
      </x:c>
      <x:c r="D156" s="38" t="n">
        <x:v>0</x:v>
      </x:c>
      <x:c r="E156" s="38" t="n">
        <x:v>0</x:v>
      </x:c>
      <x:c r="F156" s="38" t="n">
        <x:v>20155.19</x:v>
      </x:c>
      <x:c r="G156" s="15" t="n">
        <x:v>10</x:v>
      </x:c>
      <x:c r="H156" s="15" t="str">
        <x:v>Ik Pay 487882 (18,036.32)</x:v>
      </x:c>
      <x:c r="I156" s="15" t="str">
        <x:v>Kruger Safari 1684 (6,008.00)</x:v>
      </x:c>
      <x:c r="J156" s="15" t="str">
        <x:v>Supplier payments (9,696.13)</x:v>
      </x:c>
    </x:row>
    <x:row r="157">
      <x:c r="A157" s="36" t="n">
        <x:v>46074</x:v>
      </x:c>
      <x:c r="B157" s="38" t="n">
        <x:v>0</x:v>
      </x:c>
      <x:c r="C157" s="38" t="n">
        <x:v>3554.75</x:v>
      </x:c>
      <x:c r="D157" s="38" t="n">
        <x:v>0</x:v>
      </x:c>
      <x:c r="E157" s="38" t="n">
        <x:v>0</x:v>
      </x:c>
      <x:c r="F157" s="38" t="n">
        <x:v>-3554.75</x:v>
      </x:c>
      <x:c r="G157" s="15" t="n">
        <x:v>7</x:v>
      </x:c>
      <x:c r="H157" s="15" t="str"/>
      <x:c r="I157" s="15" t="str">
        <x:v>Savemor Marloth (1,363.36)</x:v>
      </x:c>
      <x:c r="J157" s="15" t="str">
        <x:v>Supplier payments (1,838.75)</x:v>
      </x:c>
    </x:row>
    <x:row r="158">
      <x:c r="A158" s="36" t="n">
        <x:v>46075</x:v>
      </x:c>
      <x:c r="B158" s="38" t="n">
        <x:v>512.33</x:v>
      </x:c>
      <x:c r="C158" s="38" t="n">
        <x:v>1180.97</x:v>
      </x:c>
      <x:c r="D158" s="38" t="n">
        <x:v>0</x:v>
      </x:c>
      <x:c r="E158" s="38" t="n">
        <x:v>0</x:v>
      </x:c>
      <x:c r="F158" s="38" t="n">
        <x:v>-668.64</x:v>
      </x:c>
      <x:c r="G158" s="15" t="n">
        <x:v>4</x:v>
      </x:c>
      <x:c r="H158" s="15" t="str">
        <x:v>#inv-000167 (512.33)</x:v>
      </x:c>
      <x:c r="I158" s="15" t="str">
        <x:v>Savemor Marloth (650.99)</x:v>
      </x:c>
      <x:c r="J158" s="15" t="str">
        <x:v>Supplier payments (650.99)</x:v>
      </x:c>
    </x:row>
    <x:row r="159">
      <x:c r="A159" s="36" t="n">
        <x:v>46076</x:v>
      </x:c>
      <x:c r="B159" s="38" t="n">
        <x:v>0</x:v>
      </x:c>
      <x:c r="C159" s="38" t="n">
        <x:v>5580.27</x:v>
      </x:c>
      <x:c r="D159" s="38" t="n">
        <x:v>0</x:v>
      </x:c>
      <x:c r="E159" s="38" t="n">
        <x:v>0</x:v>
      </x:c>
      <x:c r="F159" s="38" t="n">
        <x:v>-5580.27</x:v>
      </x:c>
      <x:c r="G159" s="15" t="n">
        <x:v>5</x:v>
      </x:c>
      <x:c r="H159" s="15" t="str"/>
      <x:c r="I159" s="15" t="str">
        <x:v>Superspar Malelane (2,441.61)</x:v>
      </x:c>
      <x:c r="J159" s="15" t="str">
        <x:v>Supplier payments (3,873.27)</x:v>
      </x:c>
    </x:row>
    <x:row r="160">
      <x:c r="A160" s="36" t="n">
        <x:v>46077</x:v>
      </x:c>
      <x:c r="B160" s="38" t="n">
        <x:v>0</x:v>
      </x:c>
      <x:c r="C160" s="38" t="n">
        <x:v>8480</x:v>
      </x:c>
      <x:c r="D160" s="38" t="n">
        <x:v>0</x:v>
      </x:c>
      <x:c r="E160" s="38" t="n">
        <x:v>0</x:v>
      </x:c>
      <x:c r="F160" s="38" t="n">
        <x:v>-8480</x:v>
      </x:c>
      <x:c r="G160" s="15" t="n">
        <x:v>1</x:v>
      </x:c>
      <x:c r="H160" s="15" t="str"/>
      <x:c r="I160" s="15" t="str">
        <x:v>Royal Bush 3751 (8,480.00)</x:v>
      </x:c>
      <x:c r="J160" s="15" t="str">
        <x:v>Supplier payments (8,480.00)</x:v>
      </x:c>
    </x:row>
    <x:row r="161">
      <x:c r="A161" s="36" t="n">
        <x:v>46078</x:v>
      </x:c>
      <x:c r="B161" s="38" t="n">
        <x:v>2500</x:v>
      </x:c>
      <x:c r="C161" s="38" t="n">
        <x:v>3450</x:v>
      </x:c>
      <x:c r="D161" s="38" t="n">
        <x:v>0</x:v>
      </x:c>
      <x:c r="E161" s="38" t="n">
        <x:v>29000</x:v>
      </x:c>
      <x:c r="F161" s="38" t="n">
        <x:v>-950</x:v>
      </x:c>
      <x:c r="G161" s="15" t="n">
        <x:v>14</x:v>
      </x:c>
      <x:c r="H161" s="15" t="str">
        <x:v>274689,04294887007 (500.00)</x:v>
      </x:c>
      <x:c r="I161" s="15" t="str">
        <x:v>Electricity 04294887 (2,500.00)</x:v>
      </x:c>
      <x:c r="J161" s="15" t="str">
        <x:v>Telecom / utilities (3,000.00)</x:v>
      </x:c>
    </x:row>
    <x:row r="162">
      <x:c r="A162" s="36" t="n">
        <x:v>46079</x:v>
      </x:c>
      <x:c r="B162" s="38" t="n">
        <x:v>2694.6</x:v>
      </x:c>
      <x:c r="C162" s="38" t="n">
        <x:v>8733.82</x:v>
      </x:c>
      <x:c r="D162" s="38" t="n">
        <x:v>0</x:v>
      </x:c>
      <x:c r="E162" s="38" t="n">
        <x:v>0</x:v>
      </x:c>
      <x:c r="F162" s="38" t="n">
        <x:v>-6039.22</x:v>
      </x:c>
      <x:c r="G162" s="15" t="n">
        <x:v>4</x:v>
      </x:c>
      <x:c r="H162" s="15" t="str">
        <x:v>Ik Pay 487882 (2,172.96)</x:v>
      </x:c>
      <x:c r="I162" s="15" t="str">
        <x:v>Nkomazi Local Munici (8,233.82)</x:v>
      </x:c>
      <x:c r="J162" s="15" t="str">
        <x:v>Card spend (8,233.82)</x:v>
      </x:c>
    </x:row>
    <x:row r="163">
      <x:c r="A163" s="36" t="n">
        <x:v>46080</x:v>
      </x:c>
      <x:c r="B163" s="38" t="n">
        <x:v>42663.43</x:v>
      </x:c>
      <x:c r="C163" s="38" t="n">
        <x:v>39037.48</x:v>
      </x:c>
      <x:c r="D163" s="38" t="n">
        <x:v>0</x:v>
      </x:c>
      <x:c r="E163" s="38" t="n">
        <x:v>0</x:v>
      </x:c>
      <x:c r="F163" s="38" t="n">
        <x:v>3625.95</x:v>
      </x:c>
      <x:c r="G163" s="15" t="n">
        <x:v>9</x:v>
      </x:c>
      <x:c r="H163" s="15" t="str">
        <x:v>R026wj48l0 Booking.c (30,949.25)</x:v>
      </x:c>
      <x:c r="I163" s="15" t="str">
        <x:v>Staff Wage - Feb (14,500.00)</x:v>
      </x:c>
      <x:c r="J163" s="15" t="str">
        <x:v>Salary / wages (29,000.00)</x:v>
      </x:c>
    </x:row>
    <x:row r="164">
      <x:c r="A164" s="36" t="n">
        <x:v>46081</x:v>
      </x:c>
      <x:c r="B164" s="38" t="n">
        <x:v>0</x:v>
      </x:c>
      <x:c r="C164" s="38" t="n">
        <x:v>719.91</x:v>
      </x:c>
      <x:c r="D164" s="38" t="n">
        <x:v>0</x:v>
      </x:c>
      <x:c r="E164" s="38" t="n">
        <x:v>0</x:v>
      </x:c>
      <x:c r="F164" s="38" t="n">
        <x:v>-719.91</x:v>
      </x:c>
      <x:c r="G164" s="15" t="n">
        <x:v>2</x:v>
      </x:c>
      <x:c r="H164" s="15" t="str"/>
      <x:c r="I164" s="15" t="str">
        <x:v>Toppies Hardware 66 (419.91)</x:v>
      </x:c>
      <x:c r="J164" s="15" t="str">
        <x:v>Supplier payments (419.91)</x:v>
      </x:c>
    </x:row>
    <x:row r="165">
      <x:c r="A165" s="36" t="n">
        <x:v>46082</x:v>
      </x:c>
      <x:c r="B165" s="38" t="n">
        <x:v>0</x:v>
      </x:c>
      <x:c r="C165" s="38" t="n">
        <x:v>2152.35</x:v>
      </x:c>
      <x:c r="D165" s="38" t="n">
        <x:v>0</x:v>
      </x:c>
      <x:c r="E165" s="38" t="n">
        <x:v>0</x:v>
      </x:c>
      <x:c r="F165" s="38" t="n">
        <x:v>-2152.35</x:v>
      </x:c>
      <x:c r="G165" s="15" t="n">
        <x:v>3</x:v>
      </x:c>
      <x:c r="H165" s="15" t="str"/>
      <x:c r="I165" s="15" t="str">
        <x:v>Frontier Fuels (1,280.00)</x:v>
      </x:c>
      <x:c r="J165" s="15" t="str">
        <x:v>Fuel / transport (1,280.00)</x:v>
      </x:c>
    </x:row>
    <x:row r="166">
      <x:c r="A166" s="36" t="n">
        <x:v>46083</x:v>
      </x:c>
      <x:c r="B166" s="38" t="n">
        <x:v>0</x:v>
      </x:c>
      <x:c r="C166" s="38" t="n">
        <x:v>4538.99</x:v>
      </x:c>
      <x:c r="D166" s="38" t="n">
        <x:v>0</x:v>
      </x:c>
      <x:c r="E166" s="38" t="n">
        <x:v>0</x:v>
      </x:c>
      <x:c r="F166" s="38" t="n">
        <x:v>-4538.99</x:v>
      </x:c>
      <x:c r="G166" s="15" t="n">
        <x:v>9</x:v>
      </x:c>
      <x:c r="H166" s="15" t="str"/>
      <x:c r="I166" s="15" t="str">
        <x:v>Electricity 04279376 (1,000.00)</x:v>
      </x:c>
      <x:c r="J166" s="15" t="str">
        <x:v>Supplier payments (3,285.04)</x:v>
      </x:c>
    </x:row>
    <x:row r="167">
      <x:c r="A167" s="36" t="n">
        <x:v>46084</x:v>
      </x:c>
      <x:c r="B167" s="38" t="n">
        <x:v>0</x:v>
      </x:c>
      <x:c r="C167" s="38" t="n">
        <x:v>574.4</x:v>
      </x:c>
      <x:c r="D167" s="38" t="n">
        <x:v>0</x:v>
      </x:c>
      <x:c r="E167" s="38" t="n">
        <x:v>0</x:v>
      </x:c>
      <x:c r="F167" s="38" t="n">
        <x:v>-574.4</x:v>
      </x:c>
      <x:c r="G167" s="15" t="n">
        <x:v>1</x:v>
      </x:c>
      <x:c r="H167" s="15" t="str"/>
      <x:c r="I167" s="15" t="str">
        <x:v>Ingwe Supermarket146 (574.40)</x:v>
      </x:c>
      <x:c r="J167" s="15" t="str">
        <x:v>Card spend (574.40)</x:v>
      </x:c>
    </x:row>
    <x:row r="168">
      <x:c r="A168" s="36" t="n">
        <x:v>46085</x:v>
      </x:c>
      <x:c r="B168" s="38" t="n">
        <x:v>0</x:v>
      </x:c>
      <x:c r="C168" s="38" t="n">
        <x:v>2114.82</x:v>
      </x:c>
      <x:c r="D168" s="38" t="n">
        <x:v>0</x:v>
      </x:c>
      <x:c r="E168" s="38" t="n">
        <x:v>0</x:v>
      </x:c>
      <x:c r="F168" s="38" t="n">
        <x:v>-2114.82</x:v>
      </x:c>
      <x:c r="G168" s="15" t="n">
        <x:v>4</x:v>
      </x:c>
      <x:c r="H168" s="15" t="str"/>
      <x:c r="I168" s="15" t="str">
        <x:v>Superspar Komatipoor (1,423.76)</x:v>
      </x:c>
      <x:c r="J168" s="15" t="str">
        <x:v>Supplier payments (1,914.82)</x:v>
      </x:c>
    </x:row>
    <x:row r="169">
      <x:c r="A169" s="36" t="n">
        <x:v>46086</x:v>
      </x:c>
      <x:c r="B169" s="38" t="n">
        <x:v>15593.21</x:v>
      </x:c>
      <x:c r="C169" s="38" t="n">
        <x:v>0</x:v>
      </x:c>
      <x:c r="D169" s="38" t="n">
        <x:v>0</x:v>
      </x:c>
      <x:c r="E169" s="38" t="n">
        <x:v>0</x:v>
      </x:c>
      <x:c r="F169" s="38" t="n">
        <x:v>15593.21</x:v>
      </x:c>
      <x:c r="G169" s="15" t="n">
        <x:v>1</x:v>
      </x:c>
      <x:c r="H169" s="15" t="str">
        <x:v>R026w3r9l0 Booking.c (15,593.21)</x:v>
      </x:c>
      <x:c r="I169" s="15" t="str"/>
      <x:c r="J169" s="15" t="str"/>
    </x:row>
    <x:row r="170">
      <x:c r="A170" s="36" t="n">
        <x:v>46087</x:v>
      </x:c>
      <x:c r="B170" s="38" t="n">
        <x:v>817.06</x:v>
      </x:c>
      <x:c r="C170" s="38" t="n">
        <x:v>5729.5</x:v>
      </x:c>
      <x:c r="D170" s="38" t="n">
        <x:v>0</x:v>
      </x:c>
      <x:c r="E170" s="38" t="n">
        <x:v>5000</x:v>
      </x:c>
      <x:c r="F170" s="38" t="n">
        <x:v>-4912.44</x:v>
      </x:c>
      <x:c r="G170" s="15" t="n">
        <x:v>7</x:v>
      </x:c>
      <x:c r="H170" s="15" t="str">
        <x:v>Ik Pay 487882 (817.06)</x:v>
      </x:c>
      <x:c r="I170" s="15" t="str">
        <x:v>Royal Bush 3764 (4,240.00)</x:v>
      </x:c>
      <x:c r="J170" s="15" t="str">
        <x:v>Supplier payments (5,563.00)</x:v>
      </x:c>
    </x:row>
    <x:row r="171">
      <x:c r="A171" s="36" t="n">
        <x:v>46088</x:v>
      </x:c>
      <x:c r="B171" s="38" t="n">
        <x:v>19042.16</x:v>
      </x:c>
      <x:c r="C171" s="38" t="n">
        <x:v>714.99</x:v>
      </x:c>
      <x:c r="D171" s="38" t="n">
        <x:v>0</x:v>
      </x:c>
      <x:c r="E171" s="38" t="n">
        <x:v>0</x:v>
      </x:c>
      <x:c r="F171" s="38" t="n">
        <x:v>18327.17</x:v>
      </x:c>
      <x:c r="G171" s="15" t="n">
        <x:v>4</x:v>
      </x:c>
      <x:c r="H171" s="15" t="str">
        <x:v>Ag1 Seaside Village (19,042.16)</x:v>
      </x:c>
      <x:c r="I171" s="15" t="str">
        <x:v>Electricity 04294887 (500.00)</x:v>
      </x:c>
      <x:c r="J171" s="15" t="str">
        <x:v>Telecom / utilities (500.00)</x:v>
      </x:c>
    </x:row>
    <x:row r="172">
      <x:c r="A172" s="36" t="n">
        <x:v>46089</x:v>
      </x:c>
      <x:c r="B172" s="38" t="n">
        <x:v>2830.85</x:v>
      </x:c>
      <x:c r="C172" s="38" t="n">
        <x:v>2941.52</x:v>
      </x:c>
      <x:c r="D172" s="38" t="n">
        <x:v>0</x:v>
      </x:c>
      <x:c r="E172" s="38" t="n">
        <x:v>0</x:v>
      </x:c>
      <x:c r="F172" s="38" t="n">
        <x:v>-110.67</x:v>
      </x:c>
      <x:c r="G172" s="15" t="n">
        <x:v>5</x:v>
      </x:c>
      <x:c r="H172" s="15" t="str">
        <x:v>7f040 Airbnb Payment (2,830.85)</x:v>
      </x:c>
      <x:c r="I172" s="15" t="str">
        <x:v>Salary (2,000.00)</x:v>
      </x:c>
      <x:c r="J172" s="15" t="str">
        <x:v>Salary / wages (2,000.00)</x:v>
      </x:c>
    </x:row>
    <x:row r="173">
      <x:c r="A173" s="36" t="n">
        <x:v>46090</x:v>
      </x:c>
      <x:c r="B173" s="38" t="n">
        <x:v>0</x:v>
      </x:c>
      <x:c r="C173" s="38" t="n">
        <x:v>736.91</x:v>
      </x:c>
      <x:c r="D173" s="38" t="n">
        <x:v>0</x:v>
      </x:c>
      <x:c r="E173" s="38" t="n">
        <x:v>0</x:v>
      </x:c>
      <x:c r="F173" s="38" t="n">
        <x:v>-736.91</x:v>
      </x:c>
      <x:c r="G173" s="15" t="n">
        <x:v>3</x:v>
      </x:c>
      <x:c r="H173" s="15" t="str"/>
      <x:c r="I173" s="15" t="str">
        <x:v>Savemor Marloth (342.92)</x:v>
      </x:c>
      <x:c r="J173" s="15" t="str">
        <x:v>Supplier payments (608.90)</x:v>
      </x:c>
    </x:row>
    <x:row r="174">
      <x:c r="A174" s="36" t="n">
        <x:v>46091</x:v>
      </x:c>
      <x:c r="B174" s="38" t="n">
        <x:v>0</x:v>
      </x:c>
      <x:c r="C174" s="38" t="n">
        <x:v>2177.87</x:v>
      </x:c>
      <x:c r="D174" s="38" t="n">
        <x:v>0</x:v>
      </x:c>
      <x:c r="E174" s="38" t="n">
        <x:v>0</x:v>
      </x:c>
      <x:c r="F174" s="38" t="n">
        <x:v>-2177.87</x:v>
      </x:c>
      <x:c r="G174" s="15" t="n">
        <x:v>4</x:v>
      </x:c>
      <x:c r="H174" s="15" t="str"/>
      <x:c r="I174" s="15" t="str">
        <x:v>Buco Komatipoort 116 (1,287.85)</x:v>
      </x:c>
      <x:c r="J174" s="15" t="str">
        <x:v>Supplier payments (2,027.87)</x:v>
      </x:c>
    </x:row>
    <x:row r="175">
      <x:c r="A175" s="36" t="n">
        <x:v>46092</x:v>
      </x:c>
      <x:c r="B175" s="38" t="n">
        <x:v>0</x:v>
      </x:c>
      <x:c r="C175" s="38" t="n">
        <x:v>6008</x:v>
      </x:c>
      <x:c r="D175" s="38" t="n">
        <x:v>0</x:v>
      </x:c>
      <x:c r="E175" s="38" t="n">
        <x:v>0</x:v>
      </x:c>
      <x:c r="F175" s="38" t="n">
        <x:v>-6008</x:v>
      </x:c>
      <x:c r="G175" s="15" t="n">
        <x:v>1</x:v>
      </x:c>
      <x:c r="H175" s="15" t="str"/>
      <x:c r="I175" s="15" t="str">
        <x:v>Kruger Safari 1686 (6,008.00)</x:v>
      </x:c>
      <x:c r="J175" s="15" t="str">
        <x:v>Supplier payments (6,008.00)</x:v>
      </x:c>
    </x:row>
    <x:row r="176">
      <x:c r="A176" s="36" t="n">
        <x:v>46093</x:v>
      </x:c>
      <x:c r="B176" s="38" t="n">
        <x:v>38212.68</x:v>
      </x:c>
      <x:c r="C176" s="38" t="n">
        <x:v>9848.67</x:v>
      </x:c>
      <x:c r="D176" s="38" t="n">
        <x:v>0</x:v>
      </x:c>
      <x:c r="E176" s="38" t="n">
        <x:v>0</x:v>
      </x:c>
      <x:c r="F176" s="38" t="n">
        <x:v>28364.01</x:v>
      </x:c>
      <x:c r="G176" s="15" t="n">
        <x:v>6</x:v>
      </x:c>
      <x:c r="H176" s="15" t="str">
        <x:v>R026vwnk80 Booking.c (29,321.53)</x:v>
      </x:c>
      <x:c r="I176" s="15" t="str">
        <x:v>Kruger Safari 1687 (4,506.00)</x:v>
      </x:c>
      <x:c r="J176" s="15" t="str">
        <x:v>Supplier payments (9,848.67)</x:v>
      </x:c>
    </x:row>
    <x:row r="177">
      <x:c r="A177" s="36" t="n">
        <x:v>46094</x:v>
      </x:c>
      <x:c r="B177" s="38" t="n">
        <x:v>0</x:v>
      </x:c>
      <x:c r="C177" s="38" t="n">
        <x:v>7500</x:v>
      </x:c>
      <x:c r="D177" s="38" t="n">
        <x:v>0</x:v>
      </x:c>
      <x:c r="E177" s="38" t="n">
        <x:v>0</x:v>
      </x:c>
      <x:c r="F177" s="38" t="n">
        <x:v>-7500</x:v>
      </x:c>
      <x:c r="G177" s="15" t="n">
        <x:v>2</x:v>
      </x:c>
      <x:c r="H177" s="15" t="str"/>
      <x:c r="I177" s="15" t="str">
        <x:v>Salary- Feb (5,000.00)</x:v>
      </x:c>
      <x:c r="J177" s="15" t="str">
        <x:v>Salary / wages (7,500.00)</x:v>
      </x:c>
    </x:row>
    <x:row r="178">
      <x:c r="A178" s="36" t="n">
        <x:v>46095</x:v>
      </x:c>
      <x:c r="B178" s="38" t="n">
        <x:v>0</x:v>
      </x:c>
      <x:c r="C178" s="38" t="n">
        <x:v>900.34</x:v>
      </x:c>
      <x:c r="D178" s="38" t="n">
        <x:v>0</x:v>
      </x:c>
      <x:c r="E178" s="38" t="n">
        <x:v>0</x:v>
      </x:c>
      <x:c r="F178" s="38" t="n">
        <x:v>-900.34</x:v>
      </x:c>
      <x:c r="G178" s="15" t="n">
        <x:v>2</x:v>
      </x:c>
      <x:c r="H178" s="15" t="str"/>
      <x:c r="I178" s="15" t="str">
        <x:v>Sqsp* Websit (636.02)</x:v>
      </x:c>
      <x:c r="J178" s="15" t="str">
        <x:v>Software / subscriptions (636.02)</x:v>
      </x:c>
    </x:row>
    <x:row r="179">
      <x:c r="A179" s="36" t="n">
        <x:v>46096</x:v>
      </x:c>
      <x:c r="B179" s="38" t="n">
        <x:v>0</x:v>
      </x:c>
      <x:c r="C179" s="38" t="n">
        <x:v>1381.75</x:v>
      </x:c>
      <x:c r="D179" s="38" t="n">
        <x:v>0</x:v>
      </x:c>
      <x:c r="E179" s="38" t="n">
        <x:v>0</x:v>
      </x:c>
      <x:c r="F179" s="38" t="n">
        <x:v>-1381.75</x:v>
      </x:c>
      <x:c r="G179" s="15" t="n">
        <x:v>4</x:v>
      </x:c>
      <x:c r="H179" s="15" t="str"/>
      <x:c r="I179" s="15" t="str">
        <x:v>Superspar Komatipoor (877.76)</x:v>
      </x:c>
      <x:c r="J179" s="15" t="str">
        <x:v>Supplier payments (1,031.75)</x:v>
      </x:c>
    </x:row>
    <x:row r="180">
      <x:c r="A180" s="36" t="n">
        <x:v>46097</x:v>
      </x:c>
      <x:c r="B180" s="38" t="n">
        <x:v>0</x:v>
      </x:c>
      <x:c r="C180" s="38" t="n">
        <x:v>5485.36</x:v>
      </x:c>
      <x:c r="D180" s="38" t="n">
        <x:v>0</x:v>
      </x:c>
      <x:c r="E180" s="38" t="n">
        <x:v>0</x:v>
      </x:c>
      <x:c r="F180" s="38" t="n">
        <x:v>-5485.36</x:v>
      </x:c>
      <x:c r="G180" s="15" t="n">
        <x:v>3</x:v>
      </x:c>
      <x:c r="H180" s="15" t="str"/>
      <x:c r="I180" s="15" t="str">
        <x:v>City Of Capetown (4,835.36)</x:v>
      </x:c>
      <x:c r="J180" s="15" t="str">
        <x:v>Supplier payments (4,835.36)</x:v>
      </x:c>
    </x:row>
    <x:row r="181">
      <x:c r="A181" s="36" t="n">
        <x:v>46098</x:v>
      </x:c>
      <x:c r="B181" s="38" t="n">
        <x:v>0</x:v>
      </x:c>
      <x:c r="C181" s="38" t="n">
        <x:v>2716.36</x:v>
      </x:c>
      <x:c r="D181" s="38" t="n">
        <x:v>0</x:v>
      </x:c>
      <x:c r="E181" s="38" t="n">
        <x:v>0</x:v>
      </x:c>
      <x:c r="F181" s="38" t="n">
        <x:v>-2716.36</x:v>
      </x:c>
      <x:c r="G181" s="15" t="n">
        <x:v>5</x:v>
      </x:c>
      <x:c r="H181" s="15" t="str"/>
      <x:c r="I181" s="15" t="str">
        <x:v>Dinner Box 108599 (1,801.00)</x:v>
      </x:c>
      <x:c r="J181" s="15" t="str">
        <x:v>Meals / restaurants / entertainment (2,020.97)</x:v>
      </x:c>
    </x:row>
    <x:row r="182">
      <x:c r="A182" s="36" t="n">
        <x:v>46099</x:v>
      </x:c>
      <x:c r="B182" s="38" t="n">
        <x:v>0</x:v>
      </x:c>
      <x:c r="C182" s="38" t="n">
        <x:v>1496</x:v>
      </x:c>
      <x:c r="D182" s="38" t="n">
        <x:v>0</x:v>
      </x:c>
      <x:c r="E182" s="38" t="n">
        <x:v>0</x:v>
      </x:c>
      <x:c r="F182" s="38" t="n">
        <x:v>-1496</x:v>
      </x:c>
      <x:c r="G182" s="15" t="n">
        <x:v>2</x:v>
      </x:c>
      <x:c r="H182" s="15" t="str"/>
      <x:c r="I182" s="15" t="str">
        <x:v>Cf Moto Saf - Inv 2 (1,292.00)</x:v>
      </x:c>
      <x:c r="J182" s="15" t="str">
        <x:v>Supplier payments (1,292.00)</x:v>
      </x:c>
    </x:row>
    <x:row r="183">
      <x:c r="A183" s="36" t="n">
        <x:v>46100</x:v>
      </x:c>
      <x:c r="B183" s="38" t="n">
        <x:v>6823.74</x:v>
      </x:c>
      <x:c r="C183" s="38" t="n">
        <x:v>1069.68</x:v>
      </x:c>
      <x:c r="D183" s="38" t="n">
        <x:v>0</x:v>
      </x:c>
      <x:c r="E183" s="38" t="n">
        <x:v>0</x:v>
      </x:c>
      <x:c r="F183" s="38" t="n">
        <x:v>5754.06</x:v>
      </x:c>
      <x:c r="G183" s="15" t="n">
        <x:v>2</x:v>
      </x:c>
      <x:c r="H183" s="15" t="str">
        <x:v>R026vlwjc0 Booking.c (6,823.74)</x:v>
      </x:c>
      <x:c r="I183" s="15" t="str">
        <x:v>Superspar Komatipoor (1,069.68)</x:v>
      </x:c>
      <x:c r="J183" s="15" t="str">
        <x:v>Supplier payments (1,069.68)</x:v>
      </x:c>
    </x:row>
    <x:row r="184">
      <x:c r="A184" s="36" t="n">
        <x:v>46101</x:v>
      </x:c>
      <x:c r="B184" s="38" t="n">
        <x:v>0</x:v>
      </x:c>
      <x:c r="C184" s="38" t="n">
        <x:v>330.97</x:v>
      </x:c>
      <x:c r="D184" s="38" t="n">
        <x:v>0</x:v>
      </x:c>
      <x:c r="E184" s="38" t="n">
        <x:v>0</x:v>
      </x:c>
      <x:c r="F184" s="38" t="n">
        <x:v>-330.97</x:v>
      </x:c>
      <x:c r="G184" s="15" t="n">
        <x:v>2</x:v>
      </x:c>
      <x:c r="H184" s="15" t="str"/>
      <x:c r="I184" s="15" t="str">
        <x:v>Marlothi Petrol Stat (200.00)</x:v>
      </x:c>
      <x:c r="J184" s="15" t="str">
        <x:v>Fuel / transport (200.00)</x:v>
      </x:c>
    </x:row>
    <x:row r="185">
      <x:c r="A185" s="36" t="n">
        <x:v>46102</x:v>
      </x:c>
      <x:c r="B185" s="38" t="n">
        <x:v>0</x:v>
      </x:c>
      <x:c r="C185" s="38" t="n">
        <x:v>3294.96</x:v>
      </x:c>
      <x:c r="D185" s="38" t="n">
        <x:v>0</x:v>
      </x:c>
      <x:c r="E185" s="38" t="n">
        <x:v>0</x:v>
      </x:c>
      <x:c r="F185" s="38" t="n">
        <x:v>-3294.96</x:v>
      </x:c>
      <x:c r="G185" s="15" t="n">
        <x:v>2</x:v>
      </x:c>
      <x:c r="H185" s="15" t="str"/>
      <x:c r="I185" s="15" t="str">
        <x:v>Kruger Safari 1688 (2,929.00)</x:v>
      </x:c>
      <x:c r="J185" s="15" t="str">
        <x:v>Supplier payments (3,294.96)</x:v>
      </x:c>
    </x:row>
    <x:row r="186">
      <x:c r="A186" s="36" t="n">
        <x:v>46103</x:v>
      </x:c>
      <x:c r="B186" s="38" t="n">
        <x:v>0</x:v>
      </x:c>
      <x:c r="C186" s="38" t="n">
        <x:v>0</x:v>
      </x:c>
      <x:c r="D186" s="38" t="n">
        <x:v>0</x:v>
      </x:c>
      <x:c r="E186" s="38" t="n">
        <x:v>0</x:v>
      </x:c>
      <x:c r="F186" s="38" t="n">
        <x:v>0</x:v>
      </x:c>
      <x:c r="G186" s="15" t="n">
        <x:v>0</x:v>
      </x:c>
      <x:c r="H186" s="15" t="str"/>
      <x:c r="I186" s="15" t="str"/>
      <x:c r="J186" s="15" t="str"/>
    </x:row>
    <x:row r="187">
      <x:c r="A187" s="36" t="n">
        <x:v>46104</x:v>
      </x:c>
      <x:c r="B187" s="38" t="n">
        <x:v>5137.92</x:v>
      </x:c>
      <x:c r="C187" s="38" t="n">
        <x:v>1168.69</x:v>
      </x:c>
      <x:c r="D187" s="38" t="n">
        <x:v>0</x:v>
      </x:c>
      <x:c r="E187" s="38" t="n">
        <x:v>0</x:v>
      </x:c>
      <x:c r="F187" s="38" t="n">
        <x:v>3969.23</x:v>
      </x:c>
      <x:c r="G187" s="15" t="n">
        <x:v>3</x:v>
      </x:c>
      <x:c r="H187" s="15" t="str">
        <x:v>Ik Pay 487882 (5,137.92)</x:v>
      </x:c>
      <x:c r="I187" s="15" t="str">
        <x:v>Superspar Komatipoor (668.69)</x:v>
      </x:c>
      <x:c r="J187" s="15" t="str">
        <x:v>Supplier payments (668.69)</x:v>
      </x:c>
    </x:row>
    <x:row r="188">
      <x:c r="A188" s="36" t="n">
        <x:v>46105</x:v>
      </x:c>
      <x:c r="B188" s="38" t="n">
        <x:v>0</x:v>
      </x:c>
      <x:c r="C188" s="38" t="n">
        <x:v>1303.97</x:v>
      </x:c>
      <x:c r="D188" s="38" t="n">
        <x:v>0</x:v>
      </x:c>
      <x:c r="E188" s="38" t="n">
        <x:v>0</x:v>
      </x:c>
      <x:c r="F188" s="38" t="n">
        <x:v>-1303.97</x:v>
      </x:c>
      <x:c r="G188" s="15" t="n">
        <x:v>3</x:v>
      </x:c>
      <x:c r="H188" s="15" t="str"/>
      <x:c r="I188" s="15" t="str">
        <x:v>Dam Staff (1,000.00)</x:v>
      </x:c>
      <x:c r="J188" s="15" t="str">
        <x:v>Salary / wages (1,000.00)</x:v>
      </x:c>
    </x:row>
    <x:row r="189">
      <x:c r="A189" s="36" t="n">
        <x:v>46106</x:v>
      </x:c>
      <x:c r="B189" s="38" t="n">
        <x:v>0</x:v>
      </x:c>
      <x:c r="C189" s="38" t="n">
        <x:v>4261.41</x:v>
      </x:c>
      <x:c r="D189" s="38" t="n">
        <x:v>0</x:v>
      </x:c>
      <x:c r="E189" s="38" t="n">
        <x:v>0</x:v>
      </x:c>
      <x:c r="F189" s="38" t="n">
        <x:v>-4261.41</x:v>
      </x:c>
      <x:c r="G189" s="15" t="n">
        <x:v>7</x:v>
      </x:c>
      <x:c r="H189" s="15" t="str"/>
      <x:c r="I189" s="15" t="str">
        <x:v>Superspar Komatipoor (1,730.48)</x:v>
      </x:c>
      <x:c r="J189" s="15" t="str">
        <x:v>Supplier payments (4,061.41)</x:v>
      </x:c>
    </x:row>
    <x:row r="190">
      <x:c r="A190" s="36" t="n">
        <x:v>46107</x:v>
      </x:c>
      <x:c r="B190" s="38" t="n">
        <x:v>12958.62</x:v>
      </x:c>
      <x:c r="C190" s="38" t="n">
        <x:v>765.97</x:v>
      </x:c>
      <x:c r="D190" s="38" t="n">
        <x:v>0</x:v>
      </x:c>
      <x:c r="E190" s="38" t="n">
        <x:v>0</x:v>
      </x:c>
      <x:c r="F190" s="38" t="n">
        <x:v>12192.65</x:v>
      </x:c>
      <x:c r="G190" s="15" t="n">
        <x:v>6</x:v>
      </x:c>
      <x:c r="H190" s="15" t="str">
        <x:v>R026v0kzq0 Booking.c (11,517.18)</x:v>
      </x:c>
      <x:c r="I190" s="15" t="str">
        <x:v>Savemor Marloth Liqu (265.96)</x:v>
      </x:c>
      <x:c r="J190" s="15" t="str">
        <x:v>Meals / restaurants / entertainment (265.96)</x:v>
      </x:c>
    </x:row>
    <x:row r="191">
      <x:c r="A191" s="36" t="n">
        <x:v>46108</x:v>
      </x:c>
      <x:c r="B191" s="38" t="n">
        <x:v>0</x:v>
      </x:c>
      <x:c r="C191" s="38" t="n">
        <x:v>1792.37</x:v>
      </x:c>
      <x:c r="D191" s="38" t="n">
        <x:v>0</x:v>
      </x:c>
      <x:c r="E191" s="38" t="n">
        <x:v>0</x:v>
      </x:c>
      <x:c r="F191" s="38" t="n">
        <x:v>-1792.37</x:v>
      </x:c>
      <x:c r="G191" s="15" t="n">
        <x:v>3</x:v>
      </x:c>
      <x:c r="H191" s="15" t="str"/>
      <x:c r="I191" s="15" t="str">
        <x:v>Superspar Komatipoor (1,292.37)</x:v>
      </x:c>
      <x:c r="J191" s="15" t="str">
        <x:v>Supplier payments (1,292.37)</x:v>
      </x:c>
    </x:row>
    <x:row r="192">
      <x:c r="A192" s="36" t="n">
        <x:v>46109</x:v>
      </x:c>
      <x:c r="B192" s="38" t="n">
        <x:v>0</x:v>
      </x:c>
      <x:c r="C192" s="38" t="n">
        <x:v>2740</x:v>
      </x:c>
      <x:c r="D192" s="38" t="n">
        <x:v>0</x:v>
      </x:c>
      <x:c r="E192" s="38" t="n">
        <x:v>0</x:v>
      </x:c>
      <x:c r="F192" s="38" t="n">
        <x:v>-2740</x:v>
      </x:c>
      <x:c r="G192" s="15" t="n">
        <x:v>2</x:v>
      </x:c>
      <x:c r="H192" s="15" t="str"/>
      <x:c r="I192" s="15" t="str">
        <x:v>Sakkie Wages (2,500.00)</x:v>
      </x:c>
      <x:c r="J192" s="15" t="str">
        <x:v>Salary / wages (2,500.00)</x:v>
      </x:c>
    </x:row>
    <x:row r="193">
      <x:c r="A193" s="36" t="n">
        <x:v>46110</x:v>
      </x:c>
      <x:c r="B193" s="38" t="n">
        <x:v>0</x:v>
      </x:c>
      <x:c r="C193" s="38" t="n">
        <x:v>974.38</x:v>
      </x:c>
      <x:c r="D193" s="38" t="n">
        <x:v>0</x:v>
      </x:c>
      <x:c r="E193" s="38" t="n">
        <x:v>0</x:v>
      </x:c>
      <x:c r="F193" s="38" t="n">
        <x:v>-974.38</x:v>
      </x:c>
      <x:c r="G193" s="15" t="n">
        <x:v>2</x:v>
      </x:c>
      <x:c r="H193" s="15" t="str"/>
      <x:c r="I193" s="15" t="str">
        <x:v>Marlothi Petrol Stat (724.38)</x:v>
      </x:c>
      <x:c r="J193" s="15" t="str">
        <x:v>Fuel / transport (724.38)</x:v>
      </x:c>
    </x:row>
    <x:row r="194">
      <x:c r="A194" s="36" t="n">
        <x:v>46111</x:v>
      </x:c>
      <x:c r="B194" s="38" t="n">
        <x:v>33694.21</x:v>
      </x:c>
      <x:c r="C194" s="38" t="n">
        <x:v>1747.69</x:v>
      </x:c>
      <x:c r="D194" s="38" t="n">
        <x:v>0</x:v>
      </x:c>
      <x:c r="E194" s="38" t="n">
        <x:v>0</x:v>
      </x:c>
      <x:c r="F194" s="38" t="n">
        <x:v>31946.52</x:v>
      </x:c>
      <x:c r="G194" s="15" t="n">
        <x:v>5</x:v>
      </x:c>
      <x:c r="H194" s="15" t="str">
        <x:v>Ag1 Seaside Village (23,503.00)</x:v>
      </x:c>
      <x:c r="I194" s="15" t="str">
        <x:v>Lebombo Wash 03/30 (1,500.00)</x:v>
      </x:c>
      <x:c r="J194" s="15" t="str">
        <x:v>Supplier payments (1,747.69)</x:v>
      </x:c>
    </x:row>
    <x:row r="195">
      <x:c r="A195" s="36" t="n">
        <x:v>46112</x:v>
      </x:c>
      <x:c r="B195" s="38" t="n">
        <x:v>9043.16</x:v>
      </x:c>
      <x:c r="C195" s="38" t="n">
        <x:v>13032.88</x:v>
      </x:c>
      <x:c r="D195" s="38" t="n">
        <x:v>0</x:v>
      </x:c>
      <x:c r="E195" s="38" t="n">
        <x:v>25000</x:v>
      </x:c>
      <x:c r="F195" s="38" t="n">
        <x:v>-3989.72</x:v>
      </x:c>
      <x:c r="G195" s="15" t="n">
        <x:v>7</x:v>
      </x:c>
      <x:c r="H195" s="15" t="str">
        <x:v>Ik Pay 487882 (9,043.16)</x:v>
      </x:c>
      <x:c r="I195" s="15" t="str">
        <x:v>Royal Bush 3766 (8,480.00)</x:v>
      </x:c>
      <x:c r="J195" s="15" t="str">
        <x:v>Supplier payments (12,882.88)</x:v>
      </x:c>
    </x:row>
    <x:row r="196">
      <x:c r="A196" s="36" t="n">
        <x:v>46113</x:v>
      </x:c>
      <x:c r="B196" s="38" t="n">
        <x:v>0</x:v>
      </x:c>
      <x:c r="C196" s="38" t="n">
        <x:v>33171.06</x:v>
      </x:c>
      <x:c r="D196" s="38" t="n">
        <x:v>0</x:v>
      </x:c>
      <x:c r="E196" s="38" t="n">
        <x:v>0</x:v>
      </x:c>
      <x:c r="F196" s="38" t="n">
        <x:v>-33171.06</x:v>
      </x:c>
      <x:c r="G196" s="15" t="n">
        <x:v>9</x:v>
      </x:c>
      <x:c r="H196" s="15" t="str"/>
      <x:c r="I196" s="15" t="str">
        <x:v>Staff Salary (27,000.00)</x:v>
      </x:c>
      <x:c r="J196" s="15" t="str">
        <x:v>Salary / wages (27,000.00)</x:v>
      </x:c>
    </x:row>
    <x:row r="197">
      <x:c r="A197" s="36" t="n">
        <x:v>46114</x:v>
      </x:c>
      <x:c r="B197" s="38" t="n">
        <x:v>24034.56</x:v>
      </x:c>
      <x:c r="C197" s="38" t="n">
        <x:v>7309.59</x:v>
      </x:c>
      <x:c r="D197" s="38" t="n">
        <x:v>0</x:v>
      </x:c>
      <x:c r="E197" s="38" t="n">
        <x:v>0</x:v>
      </x:c>
      <x:c r="F197" s="38" t="n">
        <x:v>16724.97</x:v>
      </x:c>
      <x:c r="G197" s="15" t="n">
        <x:v>8</x:v>
      </x:c>
      <x:c r="H197" s="15" t="str">
        <x:v>R026txbl00 Booking.c (24,034.56)</x:v>
      </x:c>
      <x:c r="I197" s="15" t="str">
        <x:v>Staff (4,000.00)</x:v>
      </x:c>
      <x:c r="J197" s="15" t="str">
        <x:v>Salary / wages (4,000.00)</x:v>
      </x:c>
    </x:row>
    <x:row r="198">
      <x:c r="A198" s="36" t="n">
        <x:v>46115</x:v>
      </x:c>
      <x:c r="B198" s="38" t="n">
        <x:v>0</x:v>
      </x:c>
      <x:c r="C198" s="38" t="n">
        <x:v>664.96</x:v>
      </x:c>
      <x:c r="D198" s="38" t="n">
        <x:v>0</x:v>
      </x:c>
      <x:c r="E198" s="38" t="n">
        <x:v>0</x:v>
      </x:c>
      <x:c r="F198" s="38" t="n">
        <x:v>-664.96</x:v>
      </x:c>
      <x:c r="G198" s="15" t="n">
        <x:v>2</x:v>
      </x:c>
      <x:c r="H198" s="15" t="str"/>
      <x:c r="I198" s="15" t="str">
        <x:v>Yoco *k2025744041 (335.00)</x:v>
      </x:c>
      <x:c r="J198" s="15" t="str">
        <x:v>Card spend (335.00)</x:v>
      </x:c>
    </x:row>
    <x:row r="199">
      <x:c r="A199" s="36" t="n">
        <x:v>46116</x:v>
      </x:c>
      <x:c r="B199" s="38" t="n">
        <x:v>226.65</x:v>
      </x:c>
      <x:c r="C199" s="38" t="n">
        <x:v>1718.21</x:v>
      </x:c>
      <x:c r="D199" s="38" t="n">
        <x:v>0</x:v>
      </x:c>
      <x:c r="E199" s="38" t="n">
        <x:v>0</x:v>
      </x:c>
      <x:c r="F199" s="38" t="n">
        <x:v>-1491.56</x:v>
      </x:c>
      <x:c r="G199" s="15" t="n">
        <x:v>4</x:v>
      </x:c>
      <x:c r="H199" s="15" t="str">
        <x:v>Ik Pay 487882 (226.65)</x:v>
      </x:c>
      <x:c r="I199" s="15" t="str">
        <x:v>Woolworths (736.86)</x:v>
      </x:c>
      <x:c r="J199" s="15" t="str">
        <x:v>Supplier payments (1,468.21)</x:v>
      </x:c>
    </x:row>
    <x:row r="200">
      <x:c r="A200" s="36" t="n">
        <x:v>46117</x:v>
      </x:c>
      <x:c r="B200" s="38" t="n">
        <x:v>0</x:v>
      </x:c>
      <x:c r="C200" s="38" t="n">
        <x:v>400</x:v>
      </x:c>
      <x:c r="D200" s="38" t="n">
        <x:v>0</x:v>
      </x:c>
      <x:c r="E200" s="38" t="n">
        <x:v>0</x:v>
      </x:c>
      <x:c r="F200" s="38" t="n">
        <x:v>-400</x:v>
      </x:c>
      <x:c r="G200" s="15" t="n">
        <x:v>1</x:v>
      </x:c>
      <x:c r="H200" s="15" t="str"/>
      <x:c r="I200" s="15" t="str">
        <x:v>Atmh11960000001 (400.00)</x:v>
      </x:c>
      <x:c r="J200" s="15" t="str">
        <x:v>Cash withdrawal (400.00)</x:v>
      </x:c>
    </x:row>
    <x:row r="201">
      <x:c r="A201" s="36" t="n">
        <x:v>46118</x:v>
      </x:c>
      <x:c r="B201" s="38" t="n">
        <x:v>0</x:v>
      </x:c>
      <x:c r="C201" s="38" t="n">
        <x:v>169.96</x:v>
      </x:c>
      <x:c r="D201" s="38" t="n">
        <x:v>0</x:v>
      </x:c>
      <x:c r="E201" s="38" t="n">
        <x:v>0</x:v>
      </x:c>
      <x:c r="F201" s="38" t="n">
        <x:v>-169.96</x:v>
      </x:c>
      <x:c r="G201" s="15" t="n">
        <x:v>1</x:v>
      </x:c>
      <x:c r="H201" s="15" t="str"/>
      <x:c r="I201" s="15" t="str">
        <x:v>Savemor Marloth (169.96)</x:v>
      </x:c>
      <x:c r="J201" s="15" t="str">
        <x:v>Supplier payments (169.96)</x:v>
      </x:c>
    </x:row>
    <x:row r="202">
      <x:c r="A202" s="36" t="n">
        <x:v>46119</x:v>
      </x:c>
      <x:c r="B202" s="38" t="n">
        <x:v>27685.14</x:v>
      </x:c>
      <x:c r="C202" s="38" t="n">
        <x:v>20496.28</x:v>
      </x:c>
      <x:c r="D202" s="38" t="n">
        <x:v>0</x:v>
      </x:c>
      <x:c r="E202" s="38" t="n">
        <x:v>0</x:v>
      </x:c>
      <x:c r="F202" s="38" t="n">
        <x:v>7188.86</x:v>
      </x:c>
      <x:c r="G202" s="15" t="n">
        <x:v>8</x:v>
      </x:c>
      <x:c r="H202" s="15" t="str">
        <x:v>Ik Pay 487882 (27,685.14)</x:v>
      </x:c>
      <x:c r="I202" s="15" t="str">
        <x:v>Kruger Safari 1691 (9,176.00)</x:v>
      </x:c>
      <x:c r="J202" s="15" t="str">
        <x:v>Supplier payments (14,831.39)</x:v>
      </x:c>
    </x:row>
    <x:row r="203">
      <x:c r="A203" s="36" t="n">
        <x:v>46120</x:v>
      </x:c>
      <x:c r="B203" s="38" t="n">
        <x:v>9063.98</x:v>
      </x:c>
      <x:c r="C203" s="38" t="n">
        <x:v>0</x:v>
      </x:c>
      <x:c r="D203" s="38" t="n">
        <x:v>0</x:v>
      </x:c>
      <x:c r="E203" s="38" t="n">
        <x:v>0</x:v>
      </x:c>
      <x:c r="F203" s="38" t="n">
        <x:v>9063.98</x:v>
      </x:c>
      <x:c r="G203" s="15" t="n">
        <x:v>1</x:v>
      </x:c>
      <x:c r="H203" s="15" t="str">
        <x:v>Ik Pay 487882 (9,063.98)</x:v>
      </x:c>
      <x:c r="I203" s="15" t="str"/>
      <x:c r="J203" s="15" t="str"/>
    </x:row>
    <x:row r="204">
      <x:c r="A204" s="36" t="n">
        <x:v>46121</x:v>
      </x:c>
      <x:c r="B204" s="38" t="n">
        <x:v>43822.69</x:v>
      </x:c>
      <x:c r="C204" s="38" t="n">
        <x:v>10290.95</x:v>
      </x:c>
      <x:c r="D204" s="38" t="n">
        <x:v>0</x:v>
      </x:c>
      <x:c r="E204" s="38" t="n">
        <x:v>0</x:v>
      </x:c>
      <x:c r="F204" s="38" t="n">
        <x:v>33531.74</x:v>
      </x:c>
      <x:c r="G204" s="15" t="n">
        <x:v>7</x:v>
      </x:c>
      <x:c r="H204" s="15" t="str">
        <x:v>R026tnsk50 Booking.c (35,316.64)</x:v>
      </x:c>
      <x:c r="I204" s="15" t="str">
        <x:v>African Sky (5,000.00)</x:v>
      </x:c>
      <x:c r="J204" s="15" t="str">
        <x:v>Supplier payments (6,140.95)</x:v>
      </x:c>
    </x:row>
    <x:row r="205">
      <x:c r="A205" s="36" t="n">
        <x:v>46122</x:v>
      </x:c>
      <x:c r="B205" s="38" t="n">
        <x:v>38451.78</x:v>
      </x:c>
      <x:c r="C205" s="38" t="n">
        <x:v>12139</x:v>
      </x:c>
      <x:c r="D205" s="38" t="n">
        <x:v>0</x:v>
      </x:c>
      <x:c r="E205" s="38" t="n">
        <x:v>0</x:v>
      </x:c>
      <x:c r="F205" s="38" t="n">
        <x:v>26312.78</x:v>
      </x:c>
      <x:c r="G205" s="15" t="n">
        <x:v>7</x:v>
      </x:c>
      <x:c r="H205" s="15" t="str">
        <x:v>Ik Pay 487882 (29,586.28)</x:v>
      </x:c>
      <x:c r="I205" s="15" t="str">
        <x:v>Salary (5,000.00)</x:v>
      </x:c>
      <x:c r="J205" s="15" t="str">
        <x:v>Salary / wages (7,500.00)</x:v>
      </x:c>
    </x:row>
    <x:row r="206">
      <x:c r="A206" s="36" t="n">
        <x:v>46123</x:v>
      </x:c>
      <x:c r="B206" s="38" t="n">
        <x:v>0</x:v>
      </x:c>
      <x:c r="C206" s="38" t="n">
        <x:v>1634.74</x:v>
      </x:c>
      <x:c r="D206" s="38" t="n">
        <x:v>0</x:v>
      </x:c>
      <x:c r="E206" s="38" t="n">
        <x:v>0</x:v>
      </x:c>
      <x:c r="F206" s="38" t="n">
        <x:v>-1634.74</x:v>
      </x:c>
      <x:c r="G206" s="15" t="n">
        <x:v>6</x:v>
      </x:c>
      <x:c r="H206" s="15" t="str"/>
      <x:c r="I206" s="15" t="str">
        <x:v>Superspar Komatipoor (534.31)</x:v>
      </x:c>
      <x:c r="J206" s="15" t="str">
        <x:v>Supplier payments (1,219.78)</x:v>
      </x:c>
    </x:row>
    <x:row r="207">
      <x:c r="A207" s="36" t="n">
        <x:v>46124</x:v>
      </x:c>
      <x:c r="B207" s="38" t="n">
        <x:v>0</x:v>
      </x:c>
      <x:c r="C207" s="38" t="n">
        <x:v>949</x:v>
      </x:c>
      <x:c r="D207" s="38" t="n">
        <x:v>0</x:v>
      </x:c>
      <x:c r="E207" s="38" t="n">
        <x:v>0</x:v>
      </x:c>
      <x:c r="F207" s="38" t="n">
        <x:v>-949</x:v>
      </x:c>
      <x:c r="G207" s="15" t="n">
        <x:v>2</x:v>
      </x:c>
      <x:c r="H207" s="15" t="str"/>
      <x:c r="I207" s="15" t="str">
        <x:v>Atmh11960000001 (550.00)</x:v>
      </x:c>
      <x:c r="J207" s="15" t="str">
        <x:v>Cash withdrawal (550.00)</x:v>
      </x:c>
    </x:row>
    <x:row r="208">
      <x:c r="A208" s="36" t="n">
        <x:v>46125</x:v>
      </x:c>
      <x:c r="B208" s="38" t="n">
        <x:v>0</x:v>
      </x:c>
      <x:c r="C208" s="38" t="n">
        <x:v>3424</x:v>
      </x:c>
      <x:c r="D208" s="38" t="n">
        <x:v>0</x:v>
      </x:c>
      <x:c r="E208" s="38" t="n">
        <x:v>0</x:v>
      </x:c>
      <x:c r="F208" s="38" t="n">
        <x:v>-3424</x:v>
      </x:c>
      <x:c r="G208" s="15" t="n">
        <x:v>2</x:v>
      </x:c>
      <x:c r="H208" s="15" t="str"/>
      <x:c r="I208" s="15" t="str">
        <x:v>Kruger Safari 1694 (3,274.00)</x:v>
      </x:c>
      <x:c r="J208" s="15" t="str">
        <x:v>Supplier payments (3,274.00)</x:v>
      </x:c>
    </x:row>
    <x:row r="209">
      <x:c r="A209" s="36" t="n">
        <x:v>46126</x:v>
      </x:c>
      <x:c r="B209" s="38" t="n">
        <x:v>9152.55</x:v>
      </x:c>
      <x:c r="C209" s="38" t="n">
        <x:v>2801.94</x:v>
      </x:c>
      <x:c r="D209" s="38" t="n">
        <x:v>0</x:v>
      </x:c>
      <x:c r="E209" s="38" t="n">
        <x:v>0</x:v>
      </x:c>
      <x:c r="F209" s="38" t="n">
        <x:v>6350.61</x:v>
      </x:c>
      <x:c r="G209" s="15" t="n">
        <x:v>5</x:v>
      </x:c>
      <x:c r="H209" s="15" t="str">
        <x:v>Ik Pay 487882 (9,152.55)</x:v>
      </x:c>
      <x:c r="I209" s="15" t="str">
        <x:v>Superspar Komatipoor (1,416.72)</x:v>
      </x:c>
      <x:c r="J209" s="15" t="str">
        <x:v>Supplier payments (1,669.46)</x:v>
      </x:c>
    </x:row>
    <x:row r="210">
      <x:c r="A210" s="36" t="n">
        <x:v>46127</x:v>
      </x:c>
      <x:c r="B210" s="38" t="n">
        <x:v>600</x:v>
      </x:c>
      <x:c r="C210" s="38" t="n">
        <x:v>2068.57</x:v>
      </x:c>
      <x:c r="D210" s="38" t="n">
        <x:v>0</x:v>
      </x:c>
      <x:c r="E210" s="38" t="n">
        <x:v>0</x:v>
      </x:c>
      <x:c r="F210" s="38" t="n">
        <x:v>-1468.57</x:v>
      </x:c>
      <x:c r="G210" s="15" t="n">
        <x:v>5</x:v>
      </x:c>
      <x:c r="H210" s="15" t="str">
        <x:v>Printing Signboard (600.00)</x:v>
      </x:c>
      <x:c r="I210" s="15" t="str">
        <x:v>Printing Signboard (1,800.00)</x:v>
      </x:c>
      <x:c r="J210" s="15" t="str">
        <x:v>Supplier payments (1,918.57)</x:v>
      </x:c>
    </x:row>
    <x:row r="211">
      <x:c r="A211" s="36" t="n">
        <x:v>46128</x:v>
      </x:c>
      <x:c r="B211" s="38" t="n">
        <x:v>4822.71</x:v>
      </x:c>
      <x:c r="C211" s="38" t="n">
        <x:v>1450</x:v>
      </x:c>
      <x:c r="D211" s="38" t="n">
        <x:v>0</x:v>
      </x:c>
      <x:c r="E211" s="38" t="n">
        <x:v>0</x:v>
      </x:c>
      <x:c r="F211" s="38" t="n">
        <x:v>3372.71</x:v>
      </x:c>
      <x:c r="G211" s="15" t="n">
        <x:v>3</x:v>
      </x:c>
      <x:c r="H211" s="15" t="str">
        <x:v>R026tc0tx0 Booking.c (4,822.71)</x:v>
      </x:c>
      <x:c r="I211" s="15" t="str">
        <x:v>Lebombo Washing Mach (1,250.00)</x:v>
      </x:c>
      <x:c r="J211" s="15" t="str">
        <x:v>Supplier payments (1,250.00)</x:v>
      </x:c>
    </x:row>
    <x:row r="212">
      <x:c r="A212" s="36" t="n">
        <x:v>46129</x:v>
      </x:c>
      <x:c r="B212" s="38" t="n">
        <x:v>0</x:v>
      </x:c>
      <x:c r="C212" s="38" t="n">
        <x:v>6890.19</x:v>
      </x:c>
      <x:c r="D212" s="38" t="n">
        <x:v>0</x:v>
      </x:c>
      <x:c r="E212" s="38" t="n">
        <x:v>0</x:v>
      </x:c>
      <x:c r="F212" s="38" t="n">
        <x:v>-6890.19</x:v>
      </x:c>
      <x:c r="G212" s="15" t="n">
        <x:v>5</x:v>
      </x:c>
      <x:c r="H212" s="15" t="str"/>
      <x:c r="I212" s="15" t="str">
        <x:v>Car (5,000.00)</x:v>
      </x:c>
      <x:c r="J212" s="15" t="str">
        <x:v>Supplier payments (5,000.00)</x:v>
      </x:c>
    </x:row>
    <x:row r="213">
      <x:c r="A213" s="36" t="n">
        <x:v>46130</x:v>
      </x:c>
      <x:c r="B213" s="38" t="n">
        <x:v>6086.11</x:v>
      </x:c>
      <x:c r="C213" s="38" t="n">
        <x:v>1672.9</x:v>
      </x:c>
      <x:c r="D213" s="38" t="n">
        <x:v>0</x:v>
      </x:c>
      <x:c r="E213" s="38" t="n">
        <x:v>0</x:v>
      </x:c>
      <x:c r="F213" s="38" t="n">
        <x:v>4413.21</x:v>
      </x:c>
      <x:c r="G213" s="15" t="n">
        <x:v>3</x:v>
      </x:c>
      <x:c r="H213" s="15" t="str">
        <x:v>Ik Pay 487882 (6,086.11)</x:v>
      </x:c>
      <x:c r="I213" s="15" t="str">
        <x:v>Superspar Komatipoor (1,093.90)</x:v>
      </x:c>
      <x:c r="J213" s="15" t="str">
        <x:v>Supplier payments (1,672.90)</x:v>
      </x:c>
    </x:row>
    <x:row r="214">
      <x:c r="A214" s="36" t="n">
        <x:v>46131</x:v>
      </x:c>
      <x:c r="B214" s="38" t="n">
        <x:v>0</x:v>
      </x:c>
      <x:c r="C214" s="38" t="n">
        <x:v>329.98</x:v>
      </x:c>
      <x:c r="D214" s="38" t="n">
        <x:v>0</x:v>
      </x:c>
      <x:c r="E214" s="38" t="n">
        <x:v>0</x:v>
      </x:c>
      <x:c r="F214" s="38" t="n">
        <x:v>-329.98</x:v>
      </x:c>
      <x:c r="G214" s="15" t="n">
        <x:v>1</x:v>
      </x:c>
      <x:c r="H214" s="15" t="str"/>
      <x:c r="I214" s="15" t="str">
        <x:v>Savemor Marloth (329.98)</x:v>
      </x:c>
      <x:c r="J214" s="15" t="str">
        <x:v>Supplier payments (329.98)</x:v>
      </x:c>
    </x:row>
    <x:row r="215">
      <x:c r="A215" s="36" t="n">
        <x:v>46132</x:v>
      </x:c>
      <x:c r="B215" s="38" t="n">
        <x:v>0</x:v>
      </x:c>
      <x:c r="C215" s="38" t="n">
        <x:v>300</x:v>
      </x:c>
      <x:c r="D215" s="38" t="n">
        <x:v>0</x:v>
      </x:c>
      <x:c r="E215" s="38" t="n">
        <x:v>26500</x:v>
      </x:c>
      <x:c r="F215" s="38" t="n">
        <x:v>-300</x:v>
      </x:c>
      <x:c r="G215" s="15" t="n">
        <x:v>3</x:v>
      </x:c>
      <x:c r="H215" s="15" t="str"/>
      <x:c r="I215" s="15" t="str">
        <x:v>Electricity 14503572 (300.00)</x:v>
      </x:c>
      <x:c r="J215" s="15" t="str">
        <x:v>Telecom / utilities (300.00)</x:v>
      </x:c>
    </x:row>
    <x:row r="216">
      <x:c r="A216" s="36" t="n">
        <x:v>46133</x:v>
      </x:c>
      <x:c r="B216" s="38" t="n">
        <x:v>0</x:v>
      </x:c>
      <x:c r="C216" s="38" t="n">
        <x:v>4614.98</x:v>
      </x:c>
      <x:c r="D216" s="38" t="n">
        <x:v>0</x:v>
      </x:c>
      <x:c r="E216" s="38" t="n">
        <x:v>0</x:v>
      </x:c>
      <x:c r="F216" s="38" t="n">
        <x:v>-4614.98</x:v>
      </x:c>
      <x:c r="G216" s="15" t="n">
        <x:v>4</x:v>
      </x:c>
      <x:c r="H216" s="15" t="str"/>
      <x:c r="I216" s="15" t="str">
        <x:v>Toppies Hardware 66 (2,015.02)</x:v>
      </x:c>
      <x:c r="J216" s="15" t="str">
        <x:v>Supplier payments (4,420.01)</x:v>
      </x:c>
    </x:row>
    <x:row r="217">
      <x:c r="A217" s="36" t="n">
        <x:v>46134</x:v>
      </x:c>
      <x:c r="B217" s="38" t="n">
        <x:v>500</x:v>
      </x:c>
      <x:c r="C217" s="38" t="n">
        <x:v>14005.98</x:v>
      </x:c>
      <x:c r="D217" s="38" t="n">
        <x:v>0</x:v>
      </x:c>
      <x:c r="E217" s="38" t="n">
        <x:v>0</x:v>
      </x:c>
      <x:c r="F217" s="38" t="n">
        <x:v>-13505.98</x:v>
      </x:c>
      <x:c r="G217" s="15" t="n">
        <x:v>8</x:v>
      </x:c>
      <x:c r="H217" s="15" t="str">
        <x:v>108964,04294887007 (500.00)</x:v>
      </x:c>
      <x:c r="I217" s="15" t="str">
        <x:v>Stratton Prop Mng (7,656.01)</x:v>
      </x:c>
      <x:c r="J217" s="15" t="str">
        <x:v>Supplier payments (12,805.98)</x:v>
      </x:c>
    </x:row>
    <x:row r="218">
      <x:c r="A218" s="36" t="n">
        <x:v>46135</x:v>
      </x:c>
      <x:c r="B218" s="38" t="n">
        <x:v>7285.89</x:v>
      </x:c>
      <x:c r="C218" s="38" t="n">
        <x:v>6912.32</x:v>
      </x:c>
      <x:c r="D218" s="38" t="n">
        <x:v>0</x:v>
      </x:c>
      <x:c r="E218" s="38" t="n">
        <x:v>0</x:v>
      </x:c>
      <x:c r="F218" s="38" t="n">
        <x:v>373.57</x:v>
      </x:c>
      <x:c r="G218" s="15" t="n">
        <x:v>7</x:v>
      </x:c>
      <x:c r="H218" s="15" t="str">
        <x:v>R026t8t8r0 Booking.c (7,285.89)</x:v>
      </x:c>
      <x:c r="I218" s="15" t="str">
        <x:v>Car Deposit (5,000.00)</x:v>
      </x:c>
      <x:c r="J218" s="15" t="str">
        <x:v>Supplier payments (6,135.33)</x:v>
      </x:c>
    </x:row>
    <x:row r="219">
      <x:c r="A219" s="36" t="n">
        <x:v>46136</x:v>
      </x:c>
      <x:c r="B219" s="38" t="n">
        <x:v>0</x:v>
      </x:c>
      <x:c r="C219" s="38" t="n">
        <x:v>2769.99</x:v>
      </x:c>
      <x:c r="D219" s="38" t="n">
        <x:v>0</x:v>
      </x:c>
      <x:c r="E219" s="38" t="n">
        <x:v>0</x:v>
      </x:c>
      <x:c r="F219" s="38" t="n">
        <x:v>-2769.99</x:v>
      </x:c>
      <x:c r="G219" s="15" t="n">
        <x:v>2</x:v>
      </x:c>
      <x:c r="H219" s="15" t="str"/>
      <x:c r="I219" s="15" t="str">
        <x:v>Sakkie Wages (2,500.00)</x:v>
      </x:c>
      <x:c r="J219" s="15" t="str">
        <x:v>Salary / wages (2,500.00)</x:v>
      </x:c>
    </x:row>
    <x:row r="220">
      <x:c r="A220" s="36" t="n">
        <x:v>46137</x:v>
      </x:c>
      <x:c r="B220" s="38" t="n">
        <x:v>0</x:v>
      </x:c>
      <x:c r="C220" s="38" t="n">
        <x:v>1567.28</x:v>
      </x:c>
      <x:c r="D220" s="38" t="n">
        <x:v>0</x:v>
      </x:c>
      <x:c r="E220" s="38" t="n">
        <x:v>0</x:v>
      </x:c>
      <x:c r="F220" s="38" t="n">
        <x:v>-1567.28</x:v>
      </x:c>
      <x:c r="G220" s="15" t="n">
        <x:v>5</x:v>
      </x:c>
      <x:c r="H220" s="15" t="str"/>
      <x:c r="I220" s="15" t="str">
        <x:v>Shoprite Komatipoort (523.48)</x:v>
      </x:c>
      <x:c r="J220" s="15" t="str">
        <x:v>Supplier payments (1,057.96)</x:v>
      </x:c>
    </x:row>
    <x:row r="221">
      <x:c r="A221" s="36" t="n">
        <x:v>46138</x:v>
      </x:c>
      <x:c r="B221" s="38" t="n">
        <x:v>0</x:v>
      </x:c>
      <x:c r="C221" s="38" t="n">
        <x:v>616.97</x:v>
      </x:c>
      <x:c r="D221" s="38" t="n">
        <x:v>0</x:v>
      </x:c>
      <x:c r="E221" s="38" t="n">
        <x:v>0</x:v>
      </x:c>
      <x:c r="F221" s="38" t="n">
        <x:v>-616.97</x:v>
      </x:c>
      <x:c r="G221" s="15" t="n">
        <x:v>1</x:v>
      </x:c>
      <x:c r="H221" s="15" t="str"/>
      <x:c r="I221" s="15" t="str">
        <x:v>Savemor Marloth (616.97)</x:v>
      </x:c>
      <x:c r="J221" s="15" t="str">
        <x:v>Supplier payments (616.97)</x:v>
      </x:c>
    </x:row>
    <x:row r="222">
      <x:c r="A222" s="36" t="n">
        <x:v>46139</x:v>
      </x:c>
      <x:c r="B222" s="38" t="n">
        <x:v>24373</x:v>
      </x:c>
      <x:c r="C222" s="38" t="n">
        <x:v>200</x:v>
      </x:c>
      <x:c r="D222" s="38" t="n">
        <x:v>0</x:v>
      </x:c>
      <x:c r="E222" s="38" t="n">
        <x:v>0</x:v>
      </x:c>
      <x:c r="F222" s="38" t="n">
        <x:v>24173</x:v>
      </x:c>
      <x:c r="G222" s="15" t="n">
        <x:v>2</x:v>
      </x:c>
      <x:c r="H222" s="15" t="str">
        <x:v>Ag1 Seaside Village (24,373.00)</x:v>
      </x:c>
      <x:c r="I222" s="15" t="str">
        <x:v>Marlothi Petrol Stat (200.00)</x:v>
      </x:c>
      <x:c r="J222" s="15" t="str">
        <x:v>Fuel / transport (200.00)</x:v>
      </x:c>
    </x:row>
    <x:row r="223">
      <x:c r="A223" s="36" t="n">
        <x:v>46140</x:v>
      </x:c>
      <x:c r="B223" s="38" t="n">
        <x:v>2194.44</x:v>
      </x:c>
      <x:c r="C223" s="38" t="n">
        <x:v>869.81</x:v>
      </x:c>
      <x:c r="D223" s="38" t="n">
        <x:v>0</x:v>
      </x:c>
      <x:c r="E223" s="38" t="n">
        <x:v>0</x:v>
      </x:c>
      <x:c r="F223" s="38" t="n">
        <x:v>1324.63</x:v>
      </x:c>
      <x:c r="G223" s="15" t="n">
        <x:v>4</x:v>
      </x:c>
      <x:c r="H223" s="15" t="str">
        <x:v>Ik Pay 487882 (2,194.44)</x:v>
      </x:c>
      <x:c r="I223" s="15" t="str">
        <x:v>Superspar Komatipoor (567.74)</x:v>
      </x:c>
      <x:c r="J223" s="15" t="str">
        <x:v>Supplier payments (744.81)</x:v>
      </x:c>
    </x:row>
    <x:row r="224">
      <x:c r="A224" s="36" t="n">
        <x:v>46141</x:v>
      </x:c>
      <x:c r="B224" s="38" t="n">
        <x:v>19032.06</x:v>
      </x:c>
      <x:c r="C224" s="38" t="n">
        <x:v>4770.64</x:v>
      </x:c>
      <x:c r="D224" s="38" t="n">
        <x:v>0</x:v>
      </x:c>
      <x:c r="E224" s="38" t="n">
        <x:v>0</x:v>
      </x:c>
      <x:c r="F224" s="38" t="n">
        <x:v>14261.42</x:v>
      </x:c>
      <x:c r="G224" s="15" t="n">
        <x:v>7</x:v>
      </x:c>
      <x:c r="H224" s="15" t="str">
        <x:v>Ik Pay 487882 (19,032.06)</x:v>
      </x:c>
      <x:c r="I224" s="15" t="str">
        <x:v>Kruger Safari 1696 (3,454.60)</x:v>
      </x:c>
      <x:c r="J224" s="15" t="str">
        <x:v>Supplier payments (4,270.64)</x:v>
      </x:c>
    </x:row>
    <x:row r="225">
      <x:c r="A225" s="36" t="n">
        <x:v>46142</x:v>
      </x:c>
      <x:c r="B225" s="38" t="n">
        <x:v>15228.38</x:v>
      </x:c>
      <x:c r="C225" s="38" t="n">
        <x:v>5682.49</x:v>
      </x:c>
      <x:c r="D225" s="38" t="n">
        <x:v>0</x:v>
      </x:c>
      <x:c r="E225" s="38" t="n">
        <x:v>26500</x:v>
      </x:c>
      <x:c r="F225" s="38" t="n">
        <x:v>9545.89</x:v>
      </x:c>
      <x:c r="G225" s="15" t="n">
        <x:v>9</x:v>
      </x:c>
      <x:c r="H225" s="15" t="str">
        <x:v>R026snghm0 Booking.c (15,228.38)</x:v>
      </x:c>
      <x:c r="I225" s="15" t="str">
        <x:v>Dinner Box 110658 (1,541.00)</x:v>
      </x:c>
      <x:c r="J225" s="15" t="str">
        <x:v>Supplier payments (3,219.53)</x:v>
      </x:c>
    </x:row>
    <x:row r="226">
      <x:c r="A226" s="36" t="n">
        <x:v>46143</x:v>
      </x:c>
      <x:c r="B226" s="38" t="n">
        <x:v>0</x:v>
      </x:c>
      <x:c r="C226" s="38" t="n">
        <x:v>25371.77</x:v>
      </x:c>
      <x:c r="D226" s="38" t="n">
        <x:v>0</x:v>
      </x:c>
      <x:c r="E226" s="38" t="n">
        <x:v>0</x:v>
      </x:c>
      <x:c r="F226" s="38" t="n">
        <x:v>-25371.77</x:v>
      </x:c>
      <x:c r="G226" s="15" t="n">
        <x:v>5</x:v>
      </x:c>
      <x:c r="H226" s="15" t="str"/>
      <x:c r="I226" s="15" t="str">
        <x:v>Staff Salary (24,000.00)</x:v>
      </x:c>
      <x:c r="J226" s="15" t="str">
        <x:v>Salary / wages (24,000.00)</x:v>
      </x:c>
    </x:row>
    <x:row r="227">
      <x:c r="A227" s="36" t="n">
        <x:v>46144</x:v>
      </x:c>
      <x:c r="B227" s="38" t="n">
        <x:v>0</x:v>
      </x:c>
      <x:c r="C227" s="38" t="n">
        <x:v>3731.35</x:v>
      </x:c>
      <x:c r="D227" s="38" t="n">
        <x:v>0</x:v>
      </x:c>
      <x:c r="E227" s="38" t="n">
        <x:v>0</x:v>
      </x:c>
      <x:c r="F227" s="38" t="n">
        <x:v>-3731.35</x:v>
      </x:c>
      <x:c r="G227" s="15" t="n">
        <x:v>6</x:v>
      </x:c>
      <x:c r="H227" s="15" t="str"/>
      <x:c r="I227" s="15" t="str">
        <x:v>Ac De Jager Vleis (1,805.86)</x:v>
      </x:c>
      <x:c r="J227" s="15" t="str">
        <x:v>Supplier payments (3,141.36)</x:v>
      </x:c>
    </x:row>
    <x:row r="228">
      <x:c r="A228" s="36" t="n">
        <x:v>46145</x:v>
      </x:c>
      <x:c r="B228" s="38" t="n">
        <x:v>0</x:v>
      </x:c>
      <x:c r="C228" s="38" t="n">
        <x:v>0</x:v>
      </x:c>
      <x:c r="D228" s="38" t="n">
        <x:v>0</x:v>
      </x:c>
      <x:c r="E228" s="38" t="n">
        <x:v>0</x:v>
      </x:c>
      <x:c r="F228" s="38" t="n">
        <x:v>0</x:v>
      </x:c>
      <x:c r="G228" s="15" t="n">
        <x:v>0</x:v>
      </x:c>
      <x:c r="H228" s="15" t="str"/>
      <x:c r="I228" s="15" t="str"/>
      <x:c r="J228" s="15" t="str"/>
    </x:row>
    <x:row r="229">
      <x:c r="A229" s="36" t="n">
        <x:v>46146</x:v>
      </x:c>
      <x:c r="B229" s="38" t="n">
        <x:v>31641.63</x:v>
      </x:c>
      <x:c r="C229" s="38" t="n">
        <x:v>6550</x:v>
      </x:c>
      <x:c r="D229" s="38" t="n">
        <x:v>0</x:v>
      </x:c>
      <x:c r="E229" s="38" t="n">
        <x:v>0</x:v>
      </x:c>
      <x:c r="F229" s="38" t="n">
        <x:v>25091.63</x:v>
      </x:c>
      <x:c r="G229" s="15" t="n">
        <x:v>4</x:v>
      </x:c>
      <x:c r="H229" s="15" t="str">
        <x:v>Ik Pay 487882 (31,641.63)</x:v>
      </x:c>
      <x:c r="I229" s="15" t="str">
        <x:v>Salary (6,000.00)</x:v>
      </x:c>
      <x:c r="J229" s="15" t="str">
        <x:v>Salary / wages (6,000.00)</x:v>
      </x:c>
    </x:row>
    <x:row r="230">
      <x:c r="A230" s="36" t="n">
        <x:v>46147</x:v>
      </x:c>
      <x:c r="B230" s="38" t="n">
        <x:v>0</x:v>
      </x:c>
      <x:c r="C230" s="38" t="n">
        <x:v>22365.71</x:v>
      </x:c>
      <x:c r="D230" s="38" t="n">
        <x:v>0</x:v>
      </x:c>
      <x:c r="E230" s="38" t="n">
        <x:v>0</x:v>
      </x:c>
      <x:c r="F230" s="38" t="n">
        <x:v>-22365.71</x:v>
      </x:c>
      <x:c r="G230" s="15" t="n">
        <x:v>5</x:v>
      </x:c>
      <x:c r="H230" s="15" t="str"/>
      <x:c r="I230" s="15" t="str">
        <x:v>Kruger Safari 1697 (13,128.00)</x:v>
      </x:c>
      <x:c r="J230" s="15" t="str">
        <x:v>Supplier payments (21,608.00)</x:v>
      </x:c>
    </x:row>
    <x:row r="231">
      <x:c r="A231" s="36" t="n">
        <x:v>46148</x:v>
      </x:c>
      <x:c r="B231" s="38" t="n">
        <x:v>0</x:v>
      </x:c>
      <x:c r="C231" s="38" t="n">
        <x:v>239.03</x:v>
      </x:c>
      <x:c r="D231" s="38" t="n">
        <x:v>0</x:v>
      </x:c>
      <x:c r="E231" s="38" t="n">
        <x:v>0</x:v>
      </x:c>
      <x:c r="F231" s="38" t="n">
        <x:v>-239.03</x:v>
      </x:c>
      <x:c r="G231" s="15" t="n">
        <x:v>1</x:v>
      </x:c>
      <x:c r="H231" s="15" t="str"/>
      <x:c r="I231" s="15" t="str">
        <x:v>Savemor Marloth (239.03)</x:v>
      </x:c>
      <x:c r="J231" s="15" t="str">
        <x:v>Supplier payments (239.03)</x:v>
      </x:c>
    </x:row>
    <x:row r="232">
      <x:c r="A232" s="36" t="n">
        <x:v>46149</x:v>
      </x:c>
      <x:c r="B232" s="38" t="n">
        <x:v>17426.63</x:v>
      </x:c>
      <x:c r="C232" s="38" t="n">
        <x:v>5075.04</x:v>
      </x:c>
      <x:c r="D232" s="38" t="n">
        <x:v>0</x:v>
      </x:c>
      <x:c r="E232" s="38" t="n">
        <x:v>0</x:v>
      </x:c>
      <x:c r="F232" s="38" t="n">
        <x:v>12351.59</x:v>
      </x:c>
      <x:c r="G232" s="15" t="n">
        <x:v>7</x:v>
      </x:c>
      <x:c r="H232" s="15" t="str">
        <x:v>R026sb0230 Booking.c (17,426.63)</x:v>
      </x:c>
      <x:c r="I232" s="15" t="str">
        <x:v>Sk Transfer 0194 (2,200.00)</x:v>
      </x:c>
      <x:c r="J232" s="15" t="str">
        <x:v>Supplier payments (4,575.04)</x:v>
      </x:c>
    </x:row>
    <x:row r="233">
      <x:c r="A233" s="36" t="n">
        <x:v>46150</x:v>
      </x:c>
      <x:c r="B233" s="38" t="n">
        <x:v>0</x:v>
      </x:c>
      <x:c r="C233" s="38" t="n">
        <x:v>3450</x:v>
      </x:c>
      <x:c r="D233" s="38" t="n">
        <x:v>0</x:v>
      </x:c>
      <x:c r="E233" s="38" t="n">
        <x:v>0</x:v>
      </x:c>
      <x:c r="F233" s="38" t="n">
        <x:v>-3450</x:v>
      </x:c>
      <x:c r="G233" s="15" t="n">
        <x:v>3</x:v>
      </x:c>
      <x:c r="H233" s="15" t="str"/>
      <x:c r="I233" s="15" t="str">
        <x:v>Sakkie Wages (2,500.00)</x:v>
      </x:c>
      <x:c r="J233" s="15" t="str">
        <x:v>Salary / wages (2,500.00)</x:v>
      </x:c>
    </x:row>
    <x:row r="234">
      <x:c r="A234" s="36" t="n">
        <x:v>46151</x:v>
      </x:c>
      <x:c r="B234" s="38" t="n">
        <x:v>1729.1</x:v>
      </x:c>
      <x:c r="C234" s="38" t="n">
        <x:v>1601.05</x:v>
      </x:c>
      <x:c r="D234" s="38" t="n">
        <x:v>0</x:v>
      </x:c>
      <x:c r="E234" s="38" t="n">
        <x:v>0</x:v>
      </x:c>
      <x:c r="F234" s="38" t="n">
        <x:v>128.05</x:v>
      </x:c>
      <x:c r="G234" s="15" t="n">
        <x:v>2</x:v>
      </x:c>
      <x:c r="H234" s="15" t="str">
        <x:v>Ik Pay 487882 (1,729.10)</x:v>
      </x:c>
      <x:c r="I234" s="15" t="str">
        <x:v>Superspar Komatipoor (1,601.05)</x:v>
      </x:c>
      <x:c r="J234" s="15" t="str">
        <x:v>Supplier payments (1,601.05)</x:v>
      </x:c>
    </x:row>
    <x:row r="235">
      <x:c r="A235" s="36" t="n">
        <x:v>46152</x:v>
      </x:c>
      <x:c r="B235" s="38" t="n">
        <x:v>0</x:v>
      </x:c>
      <x:c r="C235" s="38" t="n">
        <x:v>0</x:v>
      </x:c>
      <x:c r="D235" s="38" t="n">
        <x:v>0</x:v>
      </x:c>
      <x:c r="E235" s="38" t="n">
        <x:v>0</x:v>
      </x:c>
      <x:c r="F235" s="38" t="n">
        <x:v>0</x:v>
      </x:c>
      <x:c r="G235" s="15" t="n">
        <x:v>0</x:v>
      </x:c>
      <x:c r="H235" s="15" t="str"/>
      <x:c r="I235" s="15" t="str"/>
      <x:c r="J235" s="15" t="str"/>
    </x:row>
    <x:row r="236">
      <x:c r="A236" s="36" t="n">
        <x:v>46153</x:v>
      </x:c>
      <x:c r="B236" s="38" t="n">
        <x:v>1500</x:v>
      </x:c>
      <x:c r="C236" s="38" t="n">
        <x:v>7345.4</x:v>
      </x:c>
      <x:c r="D236" s="38" t="n">
        <x:v>0</x:v>
      </x:c>
      <x:c r="E236" s="38" t="n">
        <x:v>3000</x:v>
      </x:c>
      <x:c r="F236" s="38" t="n">
        <x:v>-5845.4</x:v>
      </x:c>
      <x:c r="G236" s="15" t="n">
        <x:v>7</x:v>
      </x:c>
      <x:c r="H236" s="15" t="str">
        <x:v>Send Rev (1,500.00)</x:v>
      </x:c>
      <x:c r="I236" s="15" t="str">
        <x:v>Salary (4,000.00)</x:v>
      </x:c>
      <x:c r="J236" s="15" t="str">
        <x:v>Salary / wages (4,000.00)</x:v>
      </x:c>
    </x:row>
    <x:row r="237">
      <x:c r="A237" s="36" t="n">
        <x:v>46154</x:v>
      </x:c>
      <x:c r="B237" s="38" t="n">
        <x:v>0</x:v>
      </x:c>
      <x:c r="C237" s="38" t="n">
        <x:v>200</x:v>
      </x:c>
      <x:c r="D237" s="38" t="n">
        <x:v>0</x:v>
      </x:c>
      <x:c r="E237" s="38" t="n">
        <x:v>0</x:v>
      </x:c>
      <x:c r="F237" s="38" t="n">
        <x:v>-200</x:v>
      </x:c>
      <x:c r="G237" s="15" t="n">
        <x:v>1</x:v>
      </x:c>
      <x:c r="H237" s="15" t="str"/>
      <x:c r="I237" s="15" t="str">
        <x:v>Smartapp (200.00)</x:v>
      </x:c>
      <x:c r="J237" s="15" t="str">
        <x:v>Supplier payments (200.00)</x:v>
      </x:c>
    </x:row>
    <x:row r="238">
      <x:c r="A238" s="36" t="n">
        <x:v>46155</x:v>
      </x:c>
      <x:c r="B238" s="38" t="n">
        <x:v>0</x:v>
      </x:c>
      <x:c r="C238" s="38" t="n">
        <x:v>5507.45</x:v>
      </x:c>
      <x:c r="D238" s="38" t="n">
        <x:v>0</x:v>
      </x:c>
      <x:c r="E238" s="38" t="n">
        <x:v>21600</x:v>
      </x:c>
      <x:c r="F238" s="38" t="n">
        <x:v>-5507.45</x:v>
      </x:c>
      <x:c r="G238" s="15" t="n">
        <x:v>8</x:v>
      </x:c>
      <x:c r="H238" s="15" t="str"/>
      <x:c r="I238" s="15" t="str">
        <x:v>Sk Transfer 0202 (2,200.00)</x:v>
      </x:c>
      <x:c r="J238" s="15" t="str">
        <x:v>Supplier payments (4,681.00)</x:v>
      </x:c>
    </x:row>
    <x:row r="239">
      <x:c r="A239" s="36" t="n">
        <x:v>46156</x:v>
      </x:c>
      <x:c r="B239" s="38" t="n">
        <x:v>0</x:v>
      </x:c>
      <x:c r="C239" s="38" t="n">
        <x:v>2314.9</x:v>
      </x:c>
      <x:c r="D239" s="38" t="n">
        <x:v>0</x:v>
      </x:c>
      <x:c r="E239" s="38" t="n">
        <x:v>1400</x:v>
      </x:c>
      <x:c r="F239" s="38" t="n">
        <x:v>-2314.9</x:v>
      </x:c>
      <x:c r="G239" s="15" t="n">
        <x:v>5</x:v>
      </x:c>
      <x:c r="H239" s="15" t="str"/>
      <x:c r="I239" s="15" t="str">
        <x:v>Cm Coetzee Wage (1,500.00)</x:v>
      </x:c>
      <x:c r="J239" s="15" t="str">
        <x:v>Salary / wages (1,500.00)</x:v>
      </x:c>
    </x:row>
    <x:row r="240">
      <x:c r="A240" s="36" t="n">
        <x:v>46157</x:v>
      </x:c>
      <x:c r="B240" s="38" t="n">
        <x:v>13502.81</x:v>
      </x:c>
      <x:c r="C240" s="38" t="n">
        <x:v>2150</x:v>
      </x:c>
      <x:c r="D240" s="38" t="n">
        <x:v>0</x:v>
      </x:c>
      <x:c r="E240" s="38" t="n">
        <x:v>0</x:v>
      </x:c>
      <x:c r="F240" s="38" t="n">
        <x:v>11352.81</x:v>
      </x:c>
      <x:c r="G240" s="15" t="n">
        <x:v>3</x:v>
      </x:c>
      <x:c r="H240" s="15" t="str">
        <x:v>R026rzc0k0 Booking.c (13,502.81)</x:v>
      </x:c>
      <x:c r="I240" s="15" t="str">
        <x:v>Salary (2,000.00)</x:v>
      </x:c>
      <x:c r="J240" s="15" t="str">
        <x:v>Salary / wages (2,000.00)</x:v>
      </x:c>
    </x:row>
    <x:row r="241">
      <x:c r="A241" s="36" t="n">
        <x:v>46158</x:v>
      </x:c>
      <x:c r="B241" s="38" t="n">
        <x:v>371</x:v>
      </x:c>
      <x:c r="C241" s="38" t="n">
        <x:v>2234.09</x:v>
      </x:c>
      <x:c r="D241" s="38" t="n">
        <x:v>0</x:v>
      </x:c>
      <x:c r="E241" s="38" t="n">
        <x:v>0</x:v>
      </x:c>
      <x:c r="F241" s="38" t="n">
        <x:v>-1863.09</x:v>
      </x:c>
      <x:c r="G241" s="15" t="n">
        <x:v>4</x:v>
      </x:c>
      <x:c r="H241" s="15" t="str">
        <x:v>Ik Pay 487882 (371.00)</x:v>
      </x:c>
      <x:c r="I241" s="15" t="str">
        <x:v>Superspar Komatipoor (1,084.09)</x:v>
      </x:c>
      <x:c r="J241" s="15" t="str">
        <x:v>Supplier payments (2,084.09)</x:v>
      </x:c>
    </x:row>
    <x:row r="242">
      <x:c r="A242" s="36" t="n">
        <x:v>46159</x:v>
      </x:c>
      <x:c r="B242" s="38" t="n">
        <x:v>0</x:v>
      </x:c>
      <x:c r="C242" s="38" t="n">
        <x:v>1977.85</x:v>
      </x:c>
      <x:c r="D242" s="38" t="n">
        <x:v>0</x:v>
      </x:c>
      <x:c r="E242" s="38" t="n">
        <x:v>0</x:v>
      </x:c>
      <x:c r="F242" s="38" t="n">
        <x:v>-1977.85</x:v>
      </x:c>
      <x:c r="G242" s="15" t="n">
        <x:v>4</x:v>
      </x:c>
      <x:c r="H242" s="15" t="str"/>
      <x:c r="I242" s="15" t="str">
        <x:v>Staff (1,000.00)</x:v>
      </x:c>
      <x:c r="J242" s="15" t="str">
        <x:v>Salary / wages (1,000.00)</x:v>
      </x:c>
    </x:row>
    <x:row r="243">
      <x:c r="A243" s="36" t="n">
        <x:v>46160</x:v>
      </x:c>
      <x:c r="B243" s="38" t="n">
        <x:v>335.25</x:v>
      </x:c>
      <x:c r="C243" s="38" t="n">
        <x:v>6167.17</x:v>
      </x:c>
      <x:c r="D243" s="38" t="n">
        <x:v>0</x:v>
      </x:c>
      <x:c r="E243" s="38" t="n">
        <x:v>0</x:v>
      </x:c>
      <x:c r="F243" s="38" t="n">
        <x:v>-5831.92</x:v>
      </x:c>
      <x:c r="G243" s="15" t="n">
        <x:v>4</x:v>
      </x:c>
      <x:c r="H243" s="15" t="str">
        <x:v>Ik Pay 487882 (335.25)</x:v>
      </x:c>
      <x:c r="I243" s="15" t="str">
        <x:v>Car (5,000.00)</x:v>
      </x:c>
      <x:c r="J243" s="15" t="str">
        <x:v>Supplier payments (6,017.17)</x:v>
      </x:c>
    </x:row>
    <x:row r="244">
      <x:c r="A244" s="36" t="n">
        <x:v>46161</x:v>
      </x:c>
      <x:c r="B244" s="38" t="n">
        <x:v>0</x:v>
      </x:c>
      <x:c r="C244" s="38" t="n">
        <x:v>2255.92</x:v>
      </x:c>
      <x:c r="D244" s="38" t="n">
        <x:v>0</x:v>
      </x:c>
      <x:c r="E244" s="38" t="n">
        <x:v>0</x:v>
      </x:c>
      <x:c r="F244" s="38" t="n">
        <x:v>-2255.92</x:v>
      </x:c>
      <x:c r="G244" s="15" t="n">
        <x:v>5</x:v>
      </x:c>
      <x:c r="H244" s="15" t="str"/>
      <x:c r="I244" s="15" t="str">
        <x:v>Salary (1,000.00)</x:v>
      </x:c>
      <x:c r="J244" s="15" t="str">
        <x:v>Salary / wages (1,000.00)</x:v>
      </x:c>
    </x:row>
    <x:row r="245">
      <x:c r="A245" s="36" t="n">
        <x:v>46162</x:v>
      </x:c>
      <x:c r="B245" s="38" t="n">
        <x:v>3197.67</x:v>
      </x:c>
      <x:c r="C245" s="38" t="n">
        <x:v>6676.33</x:v>
      </x:c>
      <x:c r="D245" s="38" t="n">
        <x:v>0</x:v>
      </x:c>
      <x:c r="E245" s="38" t="n">
        <x:v>0</x:v>
      </x:c>
      <x:c r="F245" s="38" t="n">
        <x:v>-3478.66</x:v>
      </x:c>
      <x:c r="G245" s="15" t="n">
        <x:v>8</x:v>
      </x:c>
      <x:c r="H245" s="15" t="str">
        <x:v>Ik Pay 487882 (3,197.67)</x:v>
      </x:c>
      <x:c r="I245" s="15" t="str">
        <x:v>Claude.ai Subscription+14 (3,958.01)</x:v>
      </x:c>
      <x:c r="J245" s="15" t="str">
        <x:v>Software / subscriptions (3,958.01)</x:v>
      </x:c>
    </x:row>
    <x:row r="246">
      <x:c r="A246" s="36" t="n">
        <x:v>46163</x:v>
      </x:c>
      <x:c r="B246" s="38" t="n">
        <x:v>28594.43</x:v>
      </x:c>
      <x:c r="C246" s="38" t="n">
        <x:v>476.38</x:v>
      </x:c>
      <x:c r="D246" s="38" t="n">
        <x:v>0</x:v>
      </x:c>
      <x:c r="E246" s="38" t="n">
        <x:v>300</x:v>
      </x:c>
      <x:c r="F246" s="38" t="n">
        <x:v>28118.05</x:v>
      </x:c>
      <x:c r="G246" s="15" t="n">
        <x:v>4</x:v>
      </x:c>
      <x:c r="H246" s="15" t="str">
        <x:v>R026rpg4x0 Booking.c (28,594.43)</x:v>
      </x:c>
      <x:c r="I246" s="15" t="str">
        <x:v>Savemor Marloth (276.38)</x:v>
      </x:c>
      <x:c r="J246" s="15" t="str">
        <x:v>Supplier payments (276.38)</x:v>
      </x:c>
    </x:row>
    <x:row r="247">
      <x:c r="A247" s="36" t="n">
        <x:v>46164</x:v>
      </x:c>
      <x:c r="B247" s="38" t="n">
        <x:v>0</x:v>
      </x:c>
      <x:c r="C247" s="38" t="n">
        <x:v>6308.46</x:v>
      </x:c>
      <x:c r="D247" s="38" t="n">
        <x:v>0</x:v>
      </x:c>
      <x:c r="E247" s="38" t="n">
        <x:v>1000</x:v>
      </x:c>
      <x:c r="F247" s="38" t="n">
        <x:v>-6308.46</x:v>
      </x:c>
      <x:c r="G247" s="15" t="n">
        <x:v>8</x:v>
      </x:c>
      <x:c r="H247" s="15" t="str"/>
      <x:c r="I247" s="15" t="str">
        <x:v>Sakkie Wages (2,500.00)</x:v>
      </x:c>
      <x:c r="J247" s="15" t="str">
        <x:v>Salary / wages (2,500.00)</x:v>
      </x:c>
    </x:row>
    <x:row r="248">
      <x:c r="A248" s="36" t="n">
        <x:v>46165</x:v>
      </x:c>
      <x:c r="B248" s="38" t="n">
        <x:v>0</x:v>
      </x:c>
      <x:c r="C248" s="38" t="n">
        <x:v>150</x:v>
      </x:c>
      <x:c r="D248" s="38" t="n">
        <x:v>0</x:v>
      </x:c>
      <x:c r="E248" s="38" t="n">
        <x:v>0</x:v>
      </x:c>
      <x:c r="F248" s="38" t="n">
        <x:v>-150</x:v>
      </x:c>
      <x:c r="G248" s="15" t="n">
        <x:v>1</x:v>
      </x:c>
      <x:c r="H248" s="15" t="str"/>
      <x:c r="I248" s="15" t="str">
        <x:v>Electricity 14503572 (150.00)</x:v>
      </x:c>
      <x:c r="J248" s="15" t="str">
        <x:v>Telecom / utilities (150.00)</x:v>
      </x:c>
    </x:row>
    <x:row r="249">
      <x:c r="A249" s="36" t="n">
        <x:v>46166</x:v>
      </x:c>
      <x:c r="B249" s="38" t="n">
        <x:v>0</x:v>
      </x:c>
      <x:c r="C249" s="38" t="n">
        <x:v>1166.97</x:v>
      </x:c>
      <x:c r="D249" s="38" t="n">
        <x:v>0</x:v>
      </x:c>
      <x:c r="E249" s="38" t="n">
        <x:v>900</x:v>
      </x:c>
      <x:c r="F249" s="38" t="n">
        <x:v>-1166.97</x:v>
      </x:c>
      <x:c r="G249" s="15" t="n">
        <x:v>6</x:v>
      </x:c>
      <x:c r="H249" s="15" t="str"/>
      <x:c r="I249" s="15" t="str">
        <x:v>Giraffe Pub And Gril (750.00)</x:v>
      </x:c>
      <x:c r="J249" s="15" t="str">
        <x:v>Meals / restaurants / entertainment (899.98)</x:v>
      </x:c>
    </x:row>
    <x:row r="250">
      <x:c r="A250" s="36" t="n">
        <x:v>46167</x:v>
      </x:c>
      <x:c r="B250" s="38" t="n">
        <x:v>38411.98</x:v>
      </x:c>
      <x:c r="C250" s="38" t="n">
        <x:v>14926.34</x:v>
      </x:c>
      <x:c r="D250" s="38" t="n">
        <x:v>3454.5</x:v>
      </x:c>
      <x:c r="E250" s="38" t="n">
        <x:v>6100</x:v>
      </x:c>
      <x:c r="F250" s="38" t="n">
        <x:v>26940.14</x:v>
      </x:c>
      <x:c r="G250" s="15" t="n">
        <x:v>11</x:v>
      </x:c>
      <x:c r="H250" s="15" t="str">
        <x:v>6114000315 (38,411.98)</x:v>
      </x:c>
      <x:c r="I250" s="15" t="str">
        <x:v>Kruger Safari 1698 (6,008.00)</x:v>
      </x:c>
      <x:c r="J250" s="15" t="str">
        <x:v>Supplier payments (14,726.34)</x:v>
      </x:c>
    </x:row>
    <x:row r="251">
      <x:c r="A251" s="36" t="n">
        <x:v>46168</x:v>
      </x:c>
      <x:c r="B251" s="38" t="n">
        <x:v>24373</x:v>
      </x:c>
      <x:c r="C251" s="38" t="n">
        <x:v>361.08</x:v>
      </x:c>
      <x:c r="D251" s="38" t="n">
        <x:v>0</x:v>
      </x:c>
      <x:c r="E251" s="38" t="n">
        <x:v>25500</x:v>
      </x:c>
      <x:c r="F251" s="38" t="n">
        <x:v>24011.92</x:v>
      </x:c>
      <x:c r="G251" s="15" t="n">
        <x:v>3</x:v>
      </x:c>
      <x:c r="H251" s="15" t="str">
        <x:v>Ag1 Seaside Village (24,373.00)</x:v>
      </x:c>
      <x:c r="I251" s="15" t="str">
        <x:v>Savemor Marloth (361.08)</x:v>
      </x:c>
      <x:c r="J251" s="15" t="str">
        <x:v>Supplier payments (361.08)</x:v>
      </x:c>
    </x:row>
    <x:row r="252">
      <x:c r="A252" s="36" t="n">
        <x:v>46169</x:v>
      </x:c>
      <x:c r="B252" s="38" t="n">
        <x:v>0</x:v>
      </x:c>
      <x:c r="C252" s="38" t="n">
        <x:v>17618.94</x:v>
      </x:c>
      <x:c r="D252" s="38" t="n">
        <x:v>0</x:v>
      </x:c>
      <x:c r="E252" s="38" t="n">
        <x:v>0</x:v>
      </x:c>
      <x:c r="F252" s="38" t="n">
        <x:v>-17618.94</x:v>
      </x:c>
      <x:c r="G252" s="15" t="n">
        <x:v>5</x:v>
      </x:c>
      <x:c r="H252" s="15" t="str"/>
      <x:c r="I252" s="15" t="str">
        <x:v>Sk Transfer 0213 (8,200.00)</x:v>
      </x:c>
      <x:c r="J252" s="15" t="str">
        <x:v>Supplier payments (16,077.94)</x:v>
      </x:c>
    </x:row>
    <x:row r="253">
      <x:c r="A253" s="36" t="n">
        <x:v>46170</x:v>
      </x:c>
      <x:c r="B253" s="38" t="n">
        <x:v>25212.4</x:v>
      </x:c>
      <x:c r="C253" s="38" t="n">
        <x:v>9392.17</x:v>
      </x:c>
      <x:c r="D253" s="38" t="n">
        <x:v>0</x:v>
      </x:c>
      <x:c r="E253" s="38" t="n">
        <x:v>0</x:v>
      </x:c>
      <x:c r="F253" s="38" t="n">
        <x:v>15820.23</x:v>
      </x:c>
      <x:c r="G253" s="15" t="n">
        <x:v>7</x:v>
      </x:c>
      <x:c r="H253" s="15" t="str">
        <x:v>R026rbwzx0 Booking.c (19,442.24)</x:v>
      </x:c>
      <x:c r="I253" s="15" t="str">
        <x:v>Kruger Saf 1699 50% (6,909.00)</x:v>
      </x:c>
      <x:c r="J253" s="15" t="str">
        <x:v>Supplier payments (8,892.22)</x:v>
      </x:c>
    </x:row>
    <x:row r="254">
      <x:c r="A254" s="36" t="n">
        <x:v>46171</x:v>
      </x:c>
      <x:c r="B254" s="38" t="n">
        <x:v>0</x:v>
      </x:c>
      <x:c r="C254" s="38" t="n">
        <x:v>1225.77</x:v>
      </x:c>
      <x:c r="D254" s="38" t="n">
        <x:v>0</x:v>
      </x:c>
      <x:c r="E254" s="38" t="n">
        <x:v>5000</x:v>
      </x:c>
      <x:c r="F254" s="38" t="n">
        <x:v>-1225.77</x:v>
      </x:c>
      <x:c r="G254" s="15" t="n">
        <x:v>3</x:v>
      </x:c>
      <x:c r="H254" s="15" t="str"/>
      <x:c r="I254" s="15" t="str">
        <x:v>Bon Express 8470 (725.77)</x:v>
      </x:c>
      <x:c r="J254" s="15" t="str">
        <x:v>Supplier payments (725.77)</x:v>
      </x:c>
    </x:row>
    <x:row r="255">
      <x:c r="A255" s="36" t="n">
        <x:v>46172</x:v>
      </x:c>
      <x:c r="B255" s="38" t="n">
        <x:v>0</x:v>
      </x:c>
      <x:c r="C255" s="38" t="n">
        <x:v>26352.18</x:v>
      </x:c>
      <x:c r="D255" s="38" t="n">
        <x:v>0</x:v>
      </x:c>
      <x:c r="E255" s="38" t="n">
        <x:v>0</x:v>
      </x:c>
      <x:c r="F255" s="38" t="n">
        <x:v>-26352.18</x:v>
      </x:c>
      <x:c r="G255" s="15" t="n">
        <x:v>7</x:v>
      </x:c>
      <x:c r="H255" s="15" t="str"/>
      <x:c r="I255" s="15" t="str">
        <x:v>Staff (24,000.00)</x:v>
      </x:c>
      <x:c r="J255" s="15" t="str">
        <x:v>Salary / wages (24,000.00)</x:v>
      </x:c>
    </x:row>
    <x:row r="256">
      <x:c r="A256" s="36" t="n">
        <x:v>46173</x:v>
      </x:c>
      <x:c r="B256" s="38" t="n">
        <x:v>0</x:v>
      </x:c>
      <x:c r="C256" s="38" t="n">
        <x:v>150</x:v>
      </x:c>
      <x:c r="D256" s="38" t="n">
        <x:v>0</x:v>
      </x:c>
      <x:c r="E256" s="38" t="n">
        <x:v>0</x:v>
      </x:c>
      <x:c r="F256" s="38" t="n">
        <x:v>-150</x:v>
      </x:c>
      <x:c r="G256" s="15" t="n">
        <x:v>1</x:v>
      </x:c>
      <x:c r="H256" s="15" t="str"/>
      <x:c r="I256" s="15" t="str">
        <x:v>Electricity 14503572 (150.00)</x:v>
      </x:c>
      <x:c r="J256" s="15" t="str">
        <x:v>Telecom / utilities (150.00)</x:v>
      </x:c>
    </x:row>
    <x:row r="257">
      <x:c r="A257" s="36" t="n">
        <x:v>46174</x:v>
      </x:c>
      <x:c r="B257" s="38" t="n">
        <x:v>0</x:v>
      </x:c>
      <x:c r="C257" s="38" t="n">
        <x:v>7650</x:v>
      </x:c>
      <x:c r="D257" s="38" t="n">
        <x:v>0</x:v>
      </x:c>
      <x:c r="E257" s="38" t="n">
        <x:v>0</x:v>
      </x:c>
      <x:c r="F257" s="38" t="n">
        <x:v>-7650</x:v>
      </x:c>
      <x:c r="G257" s="15" t="n">
        <x:v>2</x:v>
      </x:c>
      <x:c r="H257" s="15" t="str"/>
      <x:c r="I257" s="15" t="str">
        <x:v>Sk Transfer 0209 (7,400.00)</x:v>
      </x:c>
      <x:c r="J257" s="15" t="str">
        <x:v>Supplier payments (7,400.00)</x:v>
      </x:c>
    </x:row>
    <x:row r="258">
      <x:c r="A258" s="36" t="n">
        <x:v>46175</x:v>
      </x:c>
      <x:c r="B258" s="38" t="n">
        <x:v>9225.78</x:v>
      </x:c>
      <x:c r="C258" s="38" t="n">
        <x:v>6587.93</x:v>
      </x:c>
      <x:c r="D258" s="38" t="n">
        <x:v>0</x:v>
      </x:c>
      <x:c r="E258" s="38" t="n">
        <x:v>0</x:v>
      </x:c>
      <x:c r="F258" s="38" t="n">
        <x:v>2637.85</x:v>
      </x:c>
      <x:c r="G258" s="15" t="n">
        <x:v>5</x:v>
      </x:c>
      <x:c r="H258" s="15" t="str">
        <x:v>Ik Pay 487882 (9,225.78)</x:v>
      </x:c>
      <x:c r="I258" s="15" t="str">
        <x:v>Cf Moto Saf - Inv 3 (4,794.00)</x:v>
      </x:c>
      <x:c r="J258" s="15" t="str">
        <x:v>Supplier payments (5,937.93)</x:v>
      </x:c>
    </x:row>
    <x:row r="259">
      <x:c r="A259" s="36" t="n">
        <x:v>46176</x:v>
      </x:c>
      <x:c r="B259" s="38" t="n">
        <x:v>0</x:v>
      </x:c>
      <x:c r="C259" s="38" t="n">
        <x:v>400</x:v>
      </x:c>
      <x:c r="D259" s="38" t="n">
        <x:v>0</x:v>
      </x:c>
      <x:c r="E259" s="38" t="n">
        <x:v>0</x:v>
      </x:c>
      <x:c r="F259" s="38" t="n">
        <x:v>-400</x:v>
      </x:c>
      <x:c r="G259" s="15" t="n">
        <x:v>1</x:v>
      </x:c>
      <x:c r="H259" s="15" t="str"/>
      <x:c r="I259" s="15" t="str">
        <x:v>Staff Tips For Aug (400.00)</x:v>
      </x:c>
      <x:c r="J259" s="15" t="str">
        <x:v>Salary / wages (400.00)</x:v>
      </x:c>
    </x:row>
    <x:row r="260">
      <x:c r="A260" s="36" t="n">
        <x:v>46177</x:v>
      </x:c>
      <x:c r="B260" s="38" t="n">
        <x:v>8567.39</x:v>
      </x:c>
      <x:c r="C260" s="38" t="n">
        <x:v>150</x:v>
      </x:c>
      <x:c r="D260" s="38" t="n">
        <x:v>0</x:v>
      </x:c>
      <x:c r="E260" s="38" t="n">
        <x:v>1000</x:v>
      </x:c>
      <x:c r="F260" s="38" t="n">
        <x:v>8417.39</x:v>
      </x:c>
      <x:c r="G260" s="15" t="n">
        <x:v>3</x:v>
      </x:c>
      <x:c r="H260" s="15" t="str">
        <x:v>R026qzlwv0 Booking.c (8,567.39)</x:v>
      </x:c>
      <x:c r="I260" s="15" t="str">
        <x:v>Electricity 14503572 (150.00)</x:v>
      </x:c>
      <x:c r="J260" s="15" t="str">
        <x:v>Telecom / utilities (150.00)</x:v>
      </x:c>
    </x:row>
    <x:row r="261">
      <x:c r="A261" s="36" t="n">
        <x:v>46178</x:v>
      </x:c>
      <x:c r="B261" s="38" t="n">
        <x:v>0</x:v>
      </x:c>
      <x:c r="C261" s="38" t="n">
        <x:v>7717.68</x:v>
      </x:c>
      <x:c r="D261" s="38" t="n">
        <x:v>0</x:v>
      </x:c>
      <x:c r="E261" s="38" t="n">
        <x:v>1000</x:v>
      </x:c>
      <x:c r="F261" s="38" t="n">
        <x:v>-7717.68</x:v>
      </x:c>
      <x:c r="G261" s="15" t="n">
        <x:v>5</x:v>
      </x:c>
      <x:c r="H261" s="15" t="str"/>
      <x:c r="I261" s="15" t="str">
        <x:v>Kruger Safari 1700 (4,189.00)</x:v>
      </x:c>
      <x:c r="J261" s="15" t="str">
        <x:v>Supplier payments (4,797.68)</x:v>
      </x:c>
    </x:row>
    <x:row r="262">
      <x:c r="A262" s="36" t="n">
        <x:v>46179</x:v>
      </x:c>
      <x:c r="B262" s="38" t="n">
        <x:v>2254.86</x:v>
      </x:c>
      <x:c r="C262" s="38" t="n">
        <x:v>0</x:v>
      </x:c>
      <x:c r="D262" s="38" t="n">
        <x:v>0</x:v>
      </x:c>
      <x:c r="E262" s="38" t="n">
        <x:v>0</x:v>
      </x:c>
      <x:c r="F262" s="38" t="n">
        <x:v>2254.86</x:v>
      </x:c>
      <x:c r="G262" s="15" t="n">
        <x:v>1</x:v>
      </x:c>
      <x:c r="H262" s="15" t="str">
        <x:v>Ik Pay 487882 (2,254.86)</x:v>
      </x:c>
      <x:c r="I262" s="15" t="str"/>
      <x:c r="J262" s="15" t="str"/>
    </x:row>
    <x:row r="263">
      <x:c r="A263" s="36" t="n">
        <x:v>46180</x:v>
      </x:c>
      <x:c r="B263" s="38" t="n">
        <x:v>0</x:v>
      </x:c>
      <x:c r="C263" s="38" t="n">
        <x:v>700</x:v>
      </x:c>
      <x:c r="D263" s="38" t="n">
        <x:v>0</x:v>
      </x:c>
      <x:c r="E263" s="38" t="n">
        <x:v>0</x:v>
      </x:c>
      <x:c r="F263" s="38" t="n">
        <x:v>-700</x:v>
      </x:c>
      <x:c r="G263" s="15" t="n">
        <x:v>2</x:v>
      </x:c>
      <x:c r="H263" s="15" t="str"/>
      <x:c r="I263" s="15" t="str">
        <x:v>Giraffe Pub And Gril (550.00)</x:v>
      </x:c>
      <x:c r="J263" s="15" t="str">
        <x:v>Meals / restaurants / entertainment (550.00)</x:v>
      </x:c>
    </x:row>
    <x:row r="264">
      <x:c r="A264" s="36" t="n">
        <x:v>46181</x:v>
      </x:c>
      <x:c r="B264" s="38" t="n">
        <x:v>4100</x:v>
      </x:c>
      <x:c r="C264" s="38" t="n">
        <x:v>6139.72</x:v>
      </x:c>
      <x:c r="D264" s="38" t="n">
        <x:v>0</x:v>
      </x:c>
      <x:c r="E264" s="38" t="n">
        <x:v>0</x:v>
      </x:c>
      <x:c r="F264" s="38" t="n">
        <x:v>-2039.72</x:v>
      </x:c>
      <x:c r="G264" s="15" t="n">
        <x:v>5</x:v>
      </x:c>
      <x:c r="H264" s="15" t="str">
        <x:v>Gd (4,100.00)</x:v>
      </x:c>
      <x:c r="I264" s="15" t="str">
        <x:v>Kruger Saf 1700 50% (5,056.40)</x:v>
      </x:c>
      <x:c r="J264" s="15" t="str">
        <x:v>Supplier payments (5,743.92)</x:v>
      </x:c>
    </x:row>
    <x:row r="265">
      <x:c r="A265" s="36" t="n">
        <x:v>46182</x:v>
      </x:c>
      <x:c r="B265" s="38" t="n">
        <x:v>300</x:v>
      </x:c>
      <x:c r="C265" s="38" t="n">
        <x:v>824.69</x:v>
      </x:c>
      <x:c r="D265" s="38" t="n">
        <x:v>0</x:v>
      </x:c>
      <x:c r="E265" s="38" t="n">
        <x:v>0</x:v>
      </x:c>
      <x:c r="F265" s="38" t="n">
        <x:v>-524.69</x:v>
      </x:c>
      <x:c r="G265" s="15" t="n">
        <x:v>7</x:v>
      </x:c>
      <x:c r="H265" s="15" t="str">
        <x:v>524405,04294887007 (150.00)</x:v>
      </x:c>
      <x:c r="I265" s="15" t="str">
        <x:v>Electricity 04294887 (300.00)</x:v>
      </x:c>
      <x:c r="J265" s="15" t="str">
        <x:v>Telecom / utilities (450.00)</x:v>
      </x:c>
    </x:row>
    <x:row r="266">
      <x:c r="A266" s="36" t="n">
        <x:v>46183</x:v>
      </x:c>
      <x:c r="B266" s="38" t="n">
        <x:v>0</x:v>
      </x:c>
      <x:c r="C266" s="38" t="n">
        <x:v>1169.35</x:v>
      </x:c>
      <x:c r="D266" s="38" t="n">
        <x:v>0</x:v>
      </x:c>
      <x:c r="E266" s="38" t="n">
        <x:v>0</x:v>
      </x:c>
      <x:c r="F266" s="38" t="n">
        <x:v>-1169.35</x:v>
      </x:c>
      <x:c r="G266" s="15" t="n">
        <x:v>4</x:v>
      </x:c>
      <x:c r="H266" s="15" t="str"/>
      <x:c r="I266" s="15" t="str">
        <x:v>Checkers Bronkhorsts (593.35)</x:v>
      </x:c>
      <x:c r="J266" s="15" t="str">
        <x:v>Supplier payments (593.35)</x:v>
      </x:c>
    </x:row>
    <x:row r="267">
      <x:c r="A267" s="36" t="n">
        <x:v>46184</x:v>
      </x:c>
      <x:c r="B267" s="38" t="n">
        <x:v>12770.79</x:v>
      </x:c>
      <x:c r="C267" s="38" t="n">
        <x:v>0</x:v>
      </x:c>
      <x:c r="D267" s="38" t="n">
        <x:v>0</x:v>
      </x:c>
      <x:c r="E267" s="38" t="n">
        <x:v>1700</x:v>
      </x:c>
      <x:c r="F267" s="38" t="n">
        <x:v>12770.79</x:v>
      </x:c>
      <x:c r="G267" s="15" t="n">
        <x:v>5</x:v>
      </x:c>
      <x:c r="H267" s="15" t="str">
        <x:v>R026qn5f90 Booking.c (12,141.73)</x:v>
      </x:c>
      <x:c r="I267" s="15" t="str"/>
      <x:c r="J267" s="15" t="str"/>
    </x:row>
    <x:row r="268">
      <x:c r="A268" s="36" t="n">
        <x:v>46185</x:v>
      </x:c>
      <x:c r="B268" s="38" t="n">
        <x:v>0</x:v>
      </x:c>
      <x:c r="C268" s="38" t="n">
        <x:v>6056.4</x:v>
      </x:c>
      <x:c r="D268" s="38" t="n">
        <x:v>0</x:v>
      </x:c>
      <x:c r="E268" s="38" t="n">
        <x:v>120</x:v>
      </x:c>
      <x:c r="F268" s="38" t="n">
        <x:v>-6056.4</x:v>
      </x:c>
      <x:c r="G268" s="15" t="n">
        <x:v>3</x:v>
      </x:c>
      <x:c r="H268" s="15" t="str"/>
      <x:c r="I268" s="15" t="str">
        <x:v>Kruger Saf 1700 50% (5,056.40)</x:v>
      </x:c>
      <x:c r="J268" s="15" t="str">
        <x:v>Supplier payments (5,056.40)</x:v>
      </x:c>
    </x:row>
    <x:row r="269">
      <x:c r="A269" s="36" t="n">
        <x:v>46186</x:v>
      </x:c>
      <x:c r="B269" s="38" t="n">
        <x:v>0</x:v>
      </x:c>
      <x:c r="C269" s="38" t="n">
        <x:v>150</x:v>
      </x:c>
      <x:c r="D269" s="38" t="n">
        <x:v>0</x:v>
      </x:c>
      <x:c r="E269" s="38" t="n">
        <x:v>0</x:v>
      </x:c>
      <x:c r="F269" s="38" t="n">
        <x:v>-150</x:v>
      </x:c>
      <x:c r="G269" s="15" t="n">
        <x:v>1</x:v>
      </x:c>
      <x:c r="H269" s="15" t="str"/>
      <x:c r="I269" s="15" t="str">
        <x:v>Electricity 14503572 (150.00)</x:v>
      </x:c>
      <x:c r="J269" s="15" t="str">
        <x:v>Telecom / utilities (150.00)</x:v>
      </x:c>
    </x:row>
    <x:row r="270">
      <x:c r="A270" s="36" t="n">
        <x:v>46187</x:v>
      </x:c>
      <x:c r="B270" s="38" t="n">
        <x:v>0</x:v>
      </x:c>
      <x:c r="C270" s="38" t="n">
        <x:v>1812.78</x:v>
      </x:c>
      <x:c r="D270" s="38" t="n">
        <x:v>0</x:v>
      </x:c>
      <x:c r="E270" s="38" t="n">
        <x:v>460</x:v>
      </x:c>
      <x:c r="F270" s="38" t="n">
        <x:v>-1812.78</x:v>
      </x:c>
      <x:c r="G270" s="15" t="n">
        <x:v>4</x:v>
      </x:c>
      <x:c r="H270" s="15" t="str"/>
      <x:c r="I270" s="15" t="str">
        <x:v>Pnp Fam Bronkhorstsp (793.26)</x:v>
      </x:c>
      <x:c r="J270" s="15" t="str">
        <x:v>Card spend (793.26)</x:v>
      </x:c>
    </x:row>
    <x:row r="271">
      <x:c r="A271" s="36" t="n">
        <x:v>46188</x:v>
      </x:c>
      <x:c r="B271" s="38" t="n">
        <x:v>22887.88</x:v>
      </x:c>
      <x:c r="C271" s="38" t="n">
        <x:v>1354.47</x:v>
      </x:c>
      <x:c r="D271" s="38" t="n">
        <x:v>0</x:v>
      </x:c>
      <x:c r="E271" s="38" t="n">
        <x:v>12000</x:v>
      </x:c>
      <x:c r="F271" s="38" t="n">
        <x:v>21533.41</x:v>
      </x:c>
      <x:c r="G271" s="15" t="n">
        <x:v>7</x:v>
      </x:c>
      <x:c r="H271" s="15" t="str">
        <x:v>Ik Pay 487882 (22,887.88)</x:v>
      </x:c>
      <x:c r="I271" s="15" t="str">
        <x:v>Electricity 04294887 (500.00)</x:v>
      </x:c>
      <x:c r="J271" s="15" t="str">
        <x:v>Telecom / utilities (650.00)</x:v>
      </x:c>
    </x:row>
    <x:row r="272">
      <x:c r="A272" s="36" t="n">
        <x:v>46189</x:v>
      </x:c>
      <x:c r="B272" s="38" t="n">
        <x:v>0</x:v>
      </x:c>
      <x:c r="C272" s="38" t="n">
        <x:v>2500</x:v>
      </x:c>
      <x:c r="D272" s="38" t="n">
        <x:v>0</x:v>
      </x:c>
      <x:c r="E272" s="38" t="n">
        <x:v>0</x:v>
      </x:c>
      <x:c r="F272" s="38" t="n">
        <x:v>-2500</x:v>
      </x:c>
      <x:c r="G272" s="15" t="n">
        <x:v>3</x:v>
      </x:c>
      <x:c r="H272" s="15" t="str"/>
      <x:c r="I272" s="15" t="str">
        <x:v>Repay (2,000.00)</x:v>
      </x:c>
      <x:c r="J272" s="15" t="str">
        <x:v>Supplier payments (2,000.00)</x:v>
      </x:c>
    </x:row>
    <x:row r="273">
      <x:c r="A273" s="36" t="n">
        <x:v>46190</x:v>
      </x:c>
      <x:c r="B273" s="38" t="n">
        <x:v>0</x:v>
      </x:c>
      <x:c r="C273" s="38" t="n">
        <x:v>5527.85</x:v>
      </x:c>
      <x:c r="D273" s="38" t="n">
        <x:v>0</x:v>
      </x:c>
      <x:c r="E273" s="38" t="n">
        <x:v>0</x:v>
      </x:c>
      <x:c r="F273" s="38" t="n">
        <x:v>-5527.85</x:v>
      </x:c>
      <x:c r="G273" s="15" t="n">
        <x:v>4</x:v>
      </x:c>
      <x:c r="H273" s="15" t="str"/>
      <x:c r="I273" s="15" t="str">
        <x:v>Car (5,000.00)</x:v>
      </x:c>
      <x:c r="J273" s="15" t="str">
        <x:v>Supplier payments (5,000.00)</x:v>
      </x:c>
    </x:row>
    <x:row r="274">
      <x:c r="A274" s="36" t="n">
        <x:v>46191</x:v>
      </x:c>
      <x:c r="B274" s="38" t="n">
        <x:v>6363.32</x:v>
      </x:c>
      <x:c r="C274" s="38" t="n">
        <x:v>1457.58</x:v>
      </x:c>
      <x:c r="D274" s="38" t="n">
        <x:v>0</x:v>
      </x:c>
      <x:c r="E274" s="38" t="n">
        <x:v>0</x:v>
      </x:c>
      <x:c r="F274" s="38" t="n">
        <x:v>4905.74</x:v>
      </x:c>
      <x:c r="G274" s="15" t="n">
        <x:v>3</x:v>
      </x:c>
      <x:c r="H274" s="15" t="str">
        <x:v>R026qc6v20 Booking.c (6,363.32)</x:v>
      </x:c>
      <x:c r="I274" s="15" t="str">
        <x:v>Superspar Komatipoor (813.73)</x:v>
      </x:c>
      <x:c r="J274" s="15" t="str">
        <x:v>Supplier payments (1,457.58)</x:v>
      </x:c>
    </x:row>
    <x:row r="275">
      <x:c r="A275" s="36" t="n">
        <x:v>46192</x:v>
      </x:c>
      <x:c r="B275" s="38" t="n">
        <x:v>1641.66</x:v>
      </x:c>
      <x:c r="C275" s="38" t="n">
        <x:v>9375.5</x:v>
      </x:c>
      <x:c r="D275" s="38" t="n">
        <x:v>0</x:v>
      </x:c>
      <x:c r="E275" s="38" t="n">
        <x:v>0</x:v>
      </x:c>
      <x:c r="F275" s="38" t="n">
        <x:v>-7733.84</x:v>
      </x:c>
      <x:c r="G275" s="15" t="n">
        <x:v>7</x:v>
      </x:c>
      <x:c r="H275" s="15" t="str">
        <x:v>Ik Pay 487882 (1,641.66)</x:v>
      </x:c>
      <x:c r="I275" s="15" t="str">
        <x:v>Royal Bush 3846 (2,990.00)</x:v>
      </x:c>
      <x:c r="J275" s="15" t="str">
        <x:v>Supplier payments (6,875.50)</x:v>
      </x:c>
    </x:row>
  </x:sheetData>
  <x:conditionalFormatting sqref="F2:F275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474b8d31dd4f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  <x:col min="9" max="9" width="36" hidden="0" customWidth="1"/>
    <x:col min="10" max="10" width="28" hidden="0" customWidth="1"/>
    <x:col min="11" max="11" width="36" hidden="0" customWidth="1"/>
  </x:cols>
  <x:sheetData>
    <x:row r="1">
      <x:c r="A1" s="29" t="str">
        <x:v>Week start date</x:v>
      </x:c>
      <x:c r="B1" s="29" t="str">
        <x:v>Week end date</x:v>
      </x:c>
      <x:c r="C1" s="29" t="str">
        <x:v>Total inflows</x:v>
      </x:c>
      <x:c r="D1" s="29" t="str">
        <x:v>Total outflows</x:v>
      </x:c>
      <x:c r="E1" s="29" t="str">
        <x:v>Refunds/reversals</x:v>
      </x:c>
      <x:c r="F1" s="29" t="str">
        <x:v>Internal transfers</x:v>
      </x:c>
      <x:c r="G1" s="29" t="str">
        <x:v>Net cashflow</x:v>
      </x:c>
      <x:c r="H1" s="29" t="str">
        <x:v>Number of transactions</x:v>
      </x:c>
      <x:c r="I1" s="29" t="str">
        <x:v>Top income sources</x:v>
      </x:c>
      <x:c r="J1" s="29" t="str">
        <x:v>Top payees/merchants</x:v>
      </x:c>
      <x:c r="K1" s="29" t="str">
        <x:v>Top categories</x:v>
      </x:c>
    </x:row>
    <x:row r="2">
      <x:c r="A2" s="36" t="n">
        <x:v>45915</x:v>
      </x:c>
      <x:c r="B2" s="36" t="n">
        <x:v>45921</x:v>
      </x:c>
      <x:c r="C2" s="38" t="n">
        <x:v>0</x:v>
      </x:c>
      <x:c r="D2" s="38" t="n">
        <x:v>622.15</x:v>
      </x:c>
      <x:c r="E2" s="38" t="n">
        <x:v>0</x:v>
      </x:c>
      <x:c r="F2" s="38" t="n">
        <x:v>0</x:v>
      </x:c>
      <x:c r="G2" s="38" t="n">
        <x:v>-622.15</x:v>
      </x:c>
      <x:c r="H2" s="15" t="n">
        <x:v>3</x:v>
      </x:c>
      <x:c r="I2" s="15" t="str"/>
      <x:c r="J2" s="15" t="str">
        <x:v>Shell Rinsa Pty Ltd (500.15); Machado Tap N Go (122.00)</x:v>
      </x:c>
      <x:c r="K2" s="15" t="str">
        <x:v>Fuel / transport (500.15); Card spend (122.00)</x:v>
      </x:c>
    </x:row>
    <x:row r="3">
      <x:c r="A3" s="36" t="n">
        <x:v>45922</x:v>
      </x:c>
      <x:c r="B3" s="36" t="n">
        <x:v>45928</x:v>
      </x:c>
      <x:c r="C3" s="38" t="n">
        <x:v>0</x:v>
      </x:c>
      <x:c r="D3" s="38" t="n">
        <x:v>1106.43</x:v>
      </x:c>
      <x:c r="E3" s="38" t="n">
        <x:v>0</x:v>
      </x:c>
      <x:c r="F3" s="38" t="n">
        <x:v>0</x:v>
      </x:c>
      <x:c r="G3" s="38" t="n">
        <x:v>-1106.43</x:v>
      </x:c>
      <x:c r="H3" s="15" t="n">
        <x:v>3</x:v>
      </x:c>
      <x:c r="I3" s="15" t="str"/>
      <x:c r="J3" s="15" t="str">
        <x:v>Atmh11960000001 (600.00); Superspar Komatipoor (506.43)</x:v>
      </x:c>
      <x:c r="K3" s="15" t="str">
        <x:v>Cash withdrawal (600.00); Supplier payments (506.43)</x:v>
      </x:c>
    </x:row>
    <x:row r="4">
      <x:c r="A4" s="36" t="n">
        <x:v>45929</x:v>
      </x:c>
      <x:c r="B4" s="36" t="n">
        <x:v>45935</x:v>
      </x:c>
      <x:c r="C4" s="38" t="n">
        <x:v>74134.77</x:v>
      </x:c>
      <x:c r="D4" s="38" t="n">
        <x:v>23498.59</x:v>
      </x:c>
      <x:c r="E4" s="38" t="n">
        <x:v>0</x:v>
      </x:c>
      <x:c r="F4" s="38" t="n">
        <x:v>5000</x:v>
      </x:c>
      <x:c r="G4" s="38" t="n">
        <x:v>50636.18</x:v>
      </x:c>
      <x:c r="H4" s="15" t="n">
        <x:v>24</x:v>
      </x:c>
      <x:c r="I4" s="15" t="str">
        <x:v>R025n8vc90 Booking.c (41,435.63); R025mp0hp0 Booking.c (32,699.14)</x:v>
      </x:c>
      <x:c r="J4" s="15" t="str">
        <x:v>Nyala Safari 145 (10,080.00); Kruger Safari 1657 (2,845.00); Staff Tips For Aug (2,800.00)</x:v>
      </x:c>
      <x:c r="K4" s="15" t="str">
        <x:v>Supplier payments (17,122.68); Meals / restaurants / entertainment (3,175.91); Salary / wages (2,800.00)</x:v>
      </x:c>
    </x:row>
    <x:row r="5">
      <x:c r="A5" s="36" t="n">
        <x:v>45936</x:v>
      </x:c>
      <x:c r="B5" s="36" t="n">
        <x:v>45942</x:v>
      </x:c>
      <x:c r="C5" s="38" t="n">
        <x:v>27423.36</x:v>
      </x:c>
      <x:c r="D5" s="38" t="n">
        <x:v>18917.9</x:v>
      </x:c>
      <x:c r="E5" s="38" t="n">
        <x:v>536</x:v>
      </x:c>
      <x:c r="F5" s="38" t="n">
        <x:v>35000</x:v>
      </x:c>
      <x:c r="G5" s="38" t="n">
        <x:v>9041.46</x:v>
      </x:c>
      <x:c r="H5" s="15" t="n">
        <x:v>27</x:v>
      </x:c>
      <x:c r="I5" s="15" t="str">
        <x:v>R025mdszb0 Booking.c (27,423.36)</x:v>
      </x:c>
      <x:c r="J5" s="15" t="str">
        <x:v>Nkomazi Local Munici (5,670.36); Kruger Safari 1658 (2,776.00); Nyala Safari 146 (2,244.00)</x:v>
      </x:c>
      <x:c r="K5" s="15" t="str">
        <x:v>Supplier payments (9,995.04); Card spend (6,491.36); Telecom / utilities (1,000.00)</x:v>
      </x:c>
    </x:row>
    <x:row r="6">
      <x:c r="A6" s="36" t="n">
        <x:v>45943</x:v>
      </x:c>
      <x:c r="B6" s="36" t="n">
        <x:v>45949</x:v>
      </x:c>
      <x:c r="C6" s="38" t="n">
        <x:v>0</x:v>
      </x:c>
      <x:c r="D6" s="38" t="n">
        <x:v>3343.81</x:v>
      </x:c>
      <x:c r="E6" s="38" t="n">
        <x:v>0</x:v>
      </x:c>
      <x:c r="F6" s="38" t="n">
        <x:v>0</x:v>
      </x:c>
      <x:c r="G6" s="38" t="n">
        <x:v>-3343.81</x:v>
      </x:c>
      <x:c r="H6" s="15" t="n">
        <x:v>8</x:v>
      </x:c>
      <x:c r="I6" s="15" t="str"/>
      <x:c r="J6" s="15" t="str">
        <x:v>Dinner Box 100542 (1,870.75); Marlothi Petrol Stat (400.00); Savemor Marloth (382.32)</x:v>
      </x:c>
      <x:c r="K6" s="15" t="str">
        <x:v>Meals / restaurants / entertainment (2,012.75); Supplier payments (931.06); Fuel / transport (400.00)</x:v>
      </x:c>
    </x:row>
    <x:row r="7">
      <x:c r="A7" s="36" t="n">
        <x:v>45950</x:v>
      </x:c>
      <x:c r="B7" s="36" t="n">
        <x:v>45956</x:v>
      </x:c>
      <x:c r="C7" s="38" t="n">
        <x:v>0</x:v>
      </x:c>
      <x:c r="D7" s="38" t="n">
        <x:v>0</x:v>
      </x:c>
      <x:c r="E7" s="38" t="n">
        <x:v>0</x:v>
      </x:c>
      <x:c r="F7" s="38" t="n">
        <x:v>0</x:v>
      </x:c>
      <x:c r="G7" s="38" t="n">
        <x:v>0</x:v>
      </x:c>
      <x:c r="H7" s="15" t="n">
        <x:v>0</x:v>
      </x:c>
      <x:c r="I7" s="15" t="str"/>
      <x:c r="J7" s="15" t="str"/>
      <x:c r="K7" s="15" t="str"/>
    </x:row>
    <x:row r="8">
      <x:c r="A8" s="36" t="n">
        <x:v>45957</x:v>
      </x:c>
      <x:c r="B8" s="36" t="n">
        <x:v>45963</x:v>
      </x:c>
      <x:c r="C8" s="38" t="n">
        <x:v>0</x:v>
      </x:c>
      <x:c r="D8" s="38" t="n">
        <x:v>0</x:v>
      </x:c>
      <x:c r="E8" s="38" t="n">
        <x:v>0</x:v>
      </x:c>
      <x:c r="F8" s="38" t="n">
        <x:v>0</x:v>
      </x:c>
      <x:c r="G8" s="38" t="n">
        <x:v>0</x:v>
      </x:c>
      <x:c r="H8" s="15" t="n">
        <x:v>0</x:v>
      </x:c>
      <x:c r="I8" s="15" t="str"/>
      <x:c r="J8" s="15" t="str"/>
      <x:c r="K8" s="15" t="str"/>
    </x:row>
    <x:row r="9">
      <x:c r="A9" s="36" t="n">
        <x:v>45964</x:v>
      </x:c>
      <x:c r="B9" s="36" t="n">
        <x:v>45970</x:v>
      </x:c>
      <x:c r="C9" s="38" t="n">
        <x:v>0</x:v>
      </x:c>
      <x:c r="D9" s="38" t="n">
        <x:v>1123.92</x:v>
      </x:c>
      <x:c r="E9" s="38" t="n">
        <x:v>0</x:v>
      </x:c>
      <x:c r="F9" s="38" t="n">
        <x:v>0</x:v>
      </x:c>
      <x:c r="G9" s="38" t="n">
        <x:v>-1123.92</x:v>
      </x:c>
      <x:c r="H9" s="15" t="n">
        <x:v>3</x:v>
      </x:c>
      <x:c r="I9" s="15" t="str"/>
      <x:c r="J9" s="15" t="str">
        <x:v>Cindy Wages (500.00); The Tin Shack (360.00); Savemor Marloth (263.92)</x:v>
      </x:c>
      <x:c r="K9" s="15" t="str">
        <x:v>Salary / wages (500.00); Meals / restaurants / entertainment (360.00); Supplier payments (263.92)</x:v>
      </x:c>
    </x:row>
    <x:row r="10">
      <x:c r="A10" s="36" t="n">
        <x:v>45971</x:v>
      </x:c>
      <x:c r="B10" s="36" t="n">
        <x:v>45977</x:v>
      </x:c>
      <x:c r="C10" s="38" t="n">
        <x:v>32902.6</x:v>
      </x:c>
      <x:c r="D10" s="38" t="n">
        <x:v>86670.33</x:v>
      </x:c>
      <x:c r="E10" s="38" t="n">
        <x:v>0</x:v>
      </x:c>
      <x:c r="F10" s="38" t="n">
        <x:v>18000</x:v>
      </x:c>
      <x:c r="G10" s="38" t="n">
        <x:v>-53767.73</x:v>
      </x:c>
      <x:c r="H10" s="15" t="n">
        <x:v>32</x:v>
      </x:c>
      <x:c r="I10" s="15" t="str">
        <x:v>R025kw5cs0 Booking.c (18,242.98); Ik Pay 487882 (14,659.62)</x:v>
      </x:c>
      <x:c r="J10" s="15" t="str">
        <x:v>Royal 3380 + 3463 (26,185.00); Royal Bush 3380 50% (21,945.00); Sanparks Crocodile B (13,332.00)</x:v>
      </x:c>
      <x:c r="K10" s="15" t="str">
        <x:v>Supplier payments (68,979.60); Card spend (13,775.00); Meals / restaurants / entertainment (1,646.00)</x:v>
      </x:c>
    </x:row>
    <x:row r="11">
      <x:c r="A11" s="36" t="n">
        <x:v>45978</x:v>
      </x:c>
      <x:c r="B11" s="36" t="n">
        <x:v>45984</x:v>
      </x:c>
      <x:c r="C11" s="38" t="n">
        <x:v>45707.57</x:v>
      </x:c>
      <x:c r="D11" s="38" t="n">
        <x:v>54391.83</x:v>
      </x:c>
      <x:c r="E11" s="38" t="n">
        <x:v>778.98</x:v>
      </x:c>
      <x:c r="F11" s="38" t="n">
        <x:v>17000</x:v>
      </x:c>
      <x:c r="G11" s="38" t="n">
        <x:v>-7905.28</x:v>
      </x:c>
      <x:c r="H11" s="15" t="n">
        <x:v>39</x:v>
      </x:c>
      <x:c r="I11" s="15" t="str">
        <x:v>R025klftk0 Booking.c (27,704.96); Ik Pay 487882 (18,002.61)</x:v>
      </x:c>
      <x:c r="J11" s="15" t="str">
        <x:v>Salary Portion Oct (13,000.00); Kruger Saf 1662/1663 (11,016.00); Kruger Safari 1666 (8,112.00)</x:v>
      </x:c>
      <x:c r="K11" s="15" t="str">
        <x:v>Supplier payments (37,137.25); Salary / wages (13,000.00); Meals / restaurants / entertainment (2,976.88)</x:v>
      </x:c>
    </x:row>
    <x:row r="12">
      <x:c r="A12" s="36" t="n">
        <x:v>45985</x:v>
      </x:c>
      <x:c r="B12" s="36" t="n">
        <x:v>45991</x:v>
      </x:c>
      <x:c r="C12" s="38" t="n">
        <x:v>42468.77</x:v>
      </x:c>
      <x:c r="D12" s="38" t="n">
        <x:v>40493.44</x:v>
      </x:c>
      <x:c r="E12" s="38" t="n">
        <x:v>0</x:v>
      </x:c>
      <x:c r="F12" s="38" t="n">
        <x:v>2000</x:v>
      </x:c>
      <x:c r="G12" s="38" t="n">
        <x:v>1975.33</x:v>
      </x:c>
      <x:c r="H12" s="15" t="n">
        <x:v>26</x:v>
      </x:c>
      <x:c r="I12" s="15" t="str">
        <x:v>R025k2rz50 Booking.c (19,163.49); Ik Pay 487882 (16,389.86); Dreyer (5,000.00)</x:v>
      </x:c>
      <x:c r="J12" s="15" t="str">
        <x:v>Jsl - 9/12 Nov (11,280.00); Repayment (5,000.00); Staff Tips For Sept (5,000.00)</x:v>
      </x:c>
      <x:c r="K12" s="15" t="str">
        <x:v>Supplier payments (23,979.49); Salary / wages (13,500.00); Meals / restaurants / entertainment (1,992.95)</x:v>
      </x:c>
    </x:row>
    <x:row r="13">
      <x:c r="A13" s="36" t="n">
        <x:v>45992</x:v>
      </x:c>
      <x:c r="B13" s="36" t="n">
        <x:v>45998</x:v>
      </x:c>
      <x:c r="C13" s="38" t="n">
        <x:v>0</x:v>
      </x:c>
      <x:c r="D13" s="38" t="n">
        <x:v>0</x:v>
      </x:c>
      <x:c r="E13" s="38" t="n">
        <x:v>0</x:v>
      </x:c>
      <x:c r="F13" s="38" t="n">
        <x:v>0</x:v>
      </x:c>
      <x:c r="G13" s="38" t="n">
        <x:v>0</x:v>
      </x:c>
      <x:c r="H13" s="15" t="n">
        <x:v>0</x:v>
      </x:c>
      <x:c r="I13" s="15" t="str"/>
      <x:c r="J13" s="15" t="str"/>
      <x:c r="K13" s="15" t="str"/>
    </x:row>
    <x:row r="14">
      <x:c r="A14" s="36" t="n">
        <x:v>45999</x:v>
      </x:c>
      <x:c r="B14" s="36" t="n">
        <x:v>46005</x:v>
      </x:c>
      <x:c r="C14" s="38" t="n">
        <x:v>0</x:v>
      </x:c>
      <x:c r="D14" s="38" t="n">
        <x:v>0</x:v>
      </x:c>
      <x:c r="E14" s="38" t="n">
        <x:v>0</x:v>
      </x:c>
      <x:c r="F14" s="38" t="n">
        <x:v>0</x:v>
      </x:c>
      <x:c r="G14" s="38" t="n">
        <x:v>0</x:v>
      </x:c>
      <x:c r="H14" s="15" t="n">
        <x:v>0</x:v>
      </x:c>
      <x:c r="I14" s="15" t="str"/>
      <x:c r="J14" s="15" t="str"/>
      <x:c r="K14" s="15" t="str"/>
    </x:row>
    <x:row r="15">
      <x:c r="A15" s="36" t="n">
        <x:v>46006</x:v>
      </x:c>
      <x:c r="B15" s="36" t="n">
        <x:v>46012</x:v>
      </x:c>
      <x:c r="C15" s="38" t="n">
        <x:v>0</x:v>
      </x:c>
      <x:c r="D15" s="38" t="n">
        <x:v>0</x:v>
      </x:c>
      <x:c r="E15" s="38" t="n">
        <x:v>0</x:v>
      </x:c>
      <x:c r="F15" s="38" t="n">
        <x:v>0</x:v>
      </x:c>
      <x:c r="G15" s="38" t="n">
        <x:v>0</x:v>
      </x:c>
      <x:c r="H15" s="15" t="n">
        <x:v>0</x:v>
      </x:c>
      <x:c r="I15" s="15" t="str"/>
      <x:c r="J15" s="15" t="str"/>
      <x:c r="K15" s="15" t="str"/>
    </x:row>
    <x:row r="16">
      <x:c r="A16" s="36" t="n">
        <x:v>46013</x:v>
      </x:c>
      <x:c r="B16" s="36" t="n">
        <x:v>46019</x:v>
      </x:c>
      <x:c r="C16" s="38" t="n">
        <x:v>5340.06</x:v>
      </x:c>
      <x:c r="D16" s="38" t="n">
        <x:v>13443.81</x:v>
      </x:c>
      <x:c r="E16" s="38" t="n">
        <x:v>0</x:v>
      </x:c>
      <x:c r="F16" s="38" t="n">
        <x:v>0</x:v>
      </x:c>
      <x:c r="G16" s="38" t="n">
        <x:v>-8103.75</x:v>
      </x:c>
      <x:c r="H16" s="15" t="n">
        <x:v>15</x:v>
      </x:c>
      <x:c r="I16" s="15" t="str">
        <x:v>Ik Pay 487882 (5,340.06)</x:v>
      </x:c>
      <x:c r="J16" s="15" t="str">
        <x:v>Gd Hoffman Wages (5,000.00); Vacation (3,000.00); Waterkloof Gas 10266 (1,273.00)</x:v>
      </x:c>
      <x:c r="K16" s="15" t="str">
        <x:v>Supplier payments (6,994.41); Salary / wages (5,750.00); Card spend (324.40)</x:v>
      </x:c>
    </x:row>
    <x:row r="17">
      <x:c r="A17" s="36" t="n">
        <x:v>46020</x:v>
      </x:c>
      <x:c r="B17" s="36" t="n">
        <x:v>46026</x:v>
      </x:c>
      <x:c r="C17" s="38" t="n">
        <x:v>22555.39</x:v>
      </x:c>
      <x:c r="D17" s="38" t="n">
        <x:v>36645.21</x:v>
      </x:c>
      <x:c r="E17" s="38" t="n">
        <x:v>0</x:v>
      </x:c>
      <x:c r="F17" s="38" t="n">
        <x:v>5000</x:v>
      </x:c>
      <x:c r="G17" s="38" t="n">
        <x:v>-14089.82</x:v>
      </x:c>
      <x:c r="H17" s="15" t="n">
        <x:v>25</x:v>
      </x:c>
      <x:c r="I17" s="15" t="str">
        <x:v>R025hthth0 Booking.c (17,245.52); Ik Pay 487882 (5,309.87)</x:v>
      </x:c>
      <x:c r="J17" s="15" t="str">
        <x:v>Kruger Safari 1673 (13,095.00); Am Hoffman Wages (5,000.00); Staff Nason (5,000.00)</x:v>
      </x:c>
      <x:c r="K17" s="15" t="str">
        <x:v>Supplier payments (18,712.25); Salary / wages (14,250.00); Card spend (2,300.00)</x:v>
      </x:c>
    </x:row>
    <x:row r="18">
      <x:c r="A18" s="36" t="n">
        <x:v>46027</x:v>
      </x:c>
      <x:c r="B18" s="36" t="n">
        <x:v>46033</x:v>
      </x:c>
      <x:c r="C18" s="38" t="n">
        <x:v>71835.34</x:v>
      </x:c>
      <x:c r="D18" s="38" t="n">
        <x:v>45248.37</x:v>
      </x:c>
      <x:c r="E18" s="38" t="n">
        <x:v>0</x:v>
      </x:c>
      <x:c r="F18" s="38" t="n">
        <x:v>0</x:v>
      </x:c>
      <x:c r="G18" s="38" t="n">
        <x:v>26586.97</x:v>
      </x:c>
      <x:c r="H18" s="15" t="n">
        <x:v>35</x:v>
      </x:c>
      <x:c r="I18" s="15" t="str">
        <x:v>R026znlj30 Booking.c (33,960.52); Ik Pay 487882 (19,023.59); R026zvfqh0 Booking.c (18,851.23)</x:v>
      </x:c>
      <x:c r="J18" s="15" t="str">
        <x:v>Salary Nason Dec (7,000.00); Kruger Safari 1676 (5,408.00); Royal Bush 3617 (4,740.00)</x:v>
      </x:c>
      <x:c r="K18" s="15" t="str">
        <x:v>Supplier payments (32,031.89); Salary / wages (10,500.00); Fuel / transport (1,000.00)</x:v>
      </x:c>
    </x:row>
    <x:row r="19">
      <x:c r="A19" s="36" t="n">
        <x:v>46034</x:v>
      </x:c>
      <x:c r="B19" s="36" t="n">
        <x:v>46040</x:v>
      </x:c>
      <x:c r="C19" s="38" t="n">
        <x:v>91652.07</x:v>
      </x:c>
      <x:c r="D19" s="38" t="n">
        <x:v>55538.76</x:v>
      </x:c>
      <x:c r="E19" s="38" t="n">
        <x:v>0</x:v>
      </x:c>
      <x:c r="F19" s="38" t="n">
        <x:v>0</x:v>
      </x:c>
      <x:c r="G19" s="38" t="n">
        <x:v>36113.31</x:v>
      </x:c>
      <x:c r="H19" s="15" t="n">
        <x:v>30</x:v>
      </x:c>
      <x:c r="I19" s="15" t="str">
        <x:v>R026zdm6s0 Booking.c (45,321.13); Ik Pay 487882 (33,324.01); R026zd2np0 Booking.c (13,006.93)</x:v>
      </x:c>
      <x:c r="J19" s="15" t="str">
        <x:v>Pj Els (16,500.00); Kruger Safari 1678 (7,510.00); Kruger Safari 1677 (7,008.00)</x:v>
      </x:c>
      <x:c r="K19" s="15" t="str">
        <x:v>Supplier payments (39,980.62); Salary / wages (9,000.00); Rent / property (3,550.00)</x:v>
      </x:c>
    </x:row>
    <x:row r="20">
      <x:c r="A20" s="36" t="n">
        <x:v>46041</x:v>
      </x:c>
      <x:c r="B20" s="36" t="n">
        <x:v>46047</x:v>
      </x:c>
      <x:c r="C20" s="38" t="n">
        <x:v>36893.73</x:v>
      </x:c>
      <x:c r="D20" s="38" t="n">
        <x:v>38751.49</x:v>
      </x:c>
      <x:c r="E20" s="38" t="n">
        <x:v>0</x:v>
      </x:c>
      <x:c r="F20" s="38" t="n">
        <x:v>0</x:v>
      </x:c>
      <x:c r="G20" s="38" t="n">
        <x:v>-1857.76</x:v>
      </x:c>
      <x:c r="H20" s="15" t="n">
        <x:v>29</x:v>
      </x:c>
      <x:c r="I20" s="15" t="str">
        <x:v>R026z3l840 De Pauw D (23,287.50); R026z6vq90 Booking.c (12,786.76); Ik Pay 487882 (819.47)</x:v>
      </x:c>
      <x:c r="J20" s="15" t="str">
        <x:v>Stratton Prop Mng (13,271.53); Staff Tips Jan (5,250.00); Staff Tips (4,000.00)</x:v>
      </x:c>
      <x:c r="K20" s="15" t="str">
        <x:v>Supplier payments (21,030.63); Salary / wages (13,250.00); Card spend (2,075.00)</x:v>
      </x:c>
    </x:row>
    <x:row r="21">
      <x:c r="A21" s="36" t="n">
        <x:v>46048</x:v>
      </x:c>
      <x:c r="B21" s="36" t="n">
        <x:v>46054</x:v>
      </x:c>
      <x:c r="C21" s="38" t="n">
        <x:v>32422.51</x:v>
      </x:c>
      <x:c r="D21" s="38" t="n">
        <x:v>77339.66</x:v>
      </x:c>
      <x:c r="E21" s="38" t="n">
        <x:v>0</x:v>
      </x:c>
      <x:c r="F21" s="38" t="n">
        <x:v>0</x:v>
      </x:c>
      <x:c r="G21" s="38" t="n">
        <x:v>-44917.15</x:v>
      </x:c>
      <x:c r="H21" s="15" t="n">
        <x:v>42</x:v>
      </x:c>
      <x:c r="I21" s="15" t="str">
        <x:v>Ik Pay 487882 (16,037.55); R026xr9cp0 Booking.c (11,313.46); Capitec I Strydom (5,071.50)</x:v>
      </x:c>
      <x:c r="J21" s="15" t="str">
        <x:v>Repairs + Maintenanc (15,000.00); Wage Jan (15,000.00); Wage - Jan 2026 (12,000.00)</x:v>
      </x:c>
      <x:c r="K21" s="15" t="str">
        <x:v>Supplier payments (42,850.12); Salary / wages (29,500.00); Meals / restaurants / entertainment (2,636.20)</x:v>
      </x:c>
    </x:row>
    <x:row r="22">
      <x:c r="A22" s="36" t="n">
        <x:v>46055</x:v>
      </x:c>
      <x:c r="B22" s="36" t="n">
        <x:v>46061</x:v>
      </x:c>
      <x:c r="C22" s="38" t="n">
        <x:v>36731.09</x:v>
      </x:c>
      <x:c r="D22" s="38" t="n">
        <x:v>34611.59</x:v>
      </x:c>
      <x:c r="E22" s="38" t="n">
        <x:v>200</x:v>
      </x:c>
      <x:c r="F22" s="38" t="n">
        <x:v>0</x:v>
      </x:c>
      <x:c r="G22" s="38" t="n">
        <x:v>2319.5</x:v>
      </x:c>
      <x:c r="H22" s="15" t="n">
        <x:v>34</x:v>
      </x:c>
      <x:c r="I22" s="15" t="str">
        <x:v>Ik Pay 487882 (23,612.23); R026xf8n60 Booking.c (12,861.68); Warner (257.18)</x:v>
      </x:c>
      <x:c r="J22" s="15" t="str">
        <x:v>Salary Jan (7,000.00); Royal Bush 3597 (6,472.00); Kruger Safari 1681 (6,008.00)</x:v>
      </x:c>
      <x:c r="K22" s="15" t="str">
        <x:v>Supplier payments (23,568.14); Salary / wages (7,600.00); Fuel / transport (1,573.50)</x:v>
      </x:c>
    </x:row>
    <x:row r="23">
      <x:c r="A23" s="36" t="n">
        <x:v>46062</x:v>
      </x:c>
      <x:c r="B23" s="36" t="n">
        <x:v>46068</x:v>
      </x:c>
      <x:c r="C23" s="38" t="n">
        <x:v>56251.24</x:v>
      </x:c>
      <x:c r="D23" s="38" t="n">
        <x:v>45347.51</x:v>
      </x:c>
      <x:c r="E23" s="38" t="n">
        <x:v>0</x:v>
      </x:c>
      <x:c r="F23" s="38" t="n">
        <x:v>0</x:v>
      </x:c>
      <x:c r="G23" s="38" t="n">
        <x:v>10903.73</x:v>
      </x:c>
      <x:c r="H23" s="15" t="n">
        <x:v>43</x:v>
      </x:c>
      <x:c r="I23" s="15" t="str">
        <x:v>R026x4wv90 Booking.c (35,459.34); Ik Pay 487882 (20,591.90); Rev Ag18 3884 Olif (200.00)</x:v>
      </x:c>
      <x:c r="J23" s="15" t="str">
        <x:v>Kruger Safari 1682 (5,708.00); Staff Tips For Aug (5,000.00); Superspar Komatipoor (4,680.27)</x:v>
      </x:c>
      <x:c r="K23" s="15" t="str">
        <x:v>Supplier payments (25,876.46); Salary / wages (13,000.00); Meals / restaurants / entertainment (2,470.96)</x:v>
      </x:c>
    </x:row>
    <x:row r="24">
      <x:c r="A24" s="36" t="n">
        <x:v>46069</x:v>
      </x:c>
      <x:c r="B24" s="36" t="n">
        <x:v>46075</x:v>
      </x:c>
      <x:c r="C24" s="38" t="n">
        <x:v>78425.22</x:v>
      </x:c>
      <x:c r="D24" s="38" t="n">
        <x:v>31444.11</x:v>
      </x:c>
      <x:c r="E24" s="38" t="n">
        <x:v>0</x:v>
      </x:c>
      <x:c r="F24" s="38" t="n">
        <x:v>4000</x:v>
      </x:c>
      <x:c r="G24" s="38" t="n">
        <x:v>46981.11</x:v>
      </x:c>
      <x:c r="H24" s="15" t="n">
        <x:v>42</x:v>
      </x:c>
      <x:c r="I24" s="15" t="str">
        <x:v>Ik Pay 487882 (39,044.32); R026wwtl60 Booking.c (26,868.57); Candace Osbourn (12,000.00)</x:v>
      </x:c>
      <x:c r="J24" s="15" t="str">
        <x:v>Kruger Safari 1684 (6,008.00); Kruger Safari 1683 (4,506.00); Savemor Marloth (3,985.81)</x:v>
      </x:c>
      <x:c r="K24" s="15" t="str">
        <x:v>Supplier payments (27,628.28); Fuel / transport (1,400.00); Meals / restaurants / entertainment (866.98)</x:v>
      </x:c>
    </x:row>
    <x:row r="25">
      <x:c r="A25" s="36" t="n">
        <x:v>46076</x:v>
      </x:c>
      <x:c r="B25" s="36" t="n">
        <x:v>46082</x:v>
      </x:c>
      <x:c r="C25" s="38" t="n">
        <x:v>47858.03</x:v>
      </x:c>
      <x:c r="D25" s="38" t="n">
        <x:v>68153.83</x:v>
      </x:c>
      <x:c r="E25" s="38" t="n">
        <x:v>0</x:v>
      </x:c>
      <x:c r="F25" s="38" t="n">
        <x:v>29000</x:v>
      </x:c>
      <x:c r="G25" s="38" t="n">
        <x:v>-20295.8</x:v>
      </x:c>
      <x:c r="H25" s="15" t="n">
        <x:v>38</x:v>
      </x:c>
      <x:c r="I25" s="15" t="str">
        <x:v>R026wj48l0 Booking.c (30,949.25); Ik Pay 487882 (13,887.14); Inv# - 000170 (521.64)</x:v>
      </x:c>
      <x:c r="J25" s="15" t="str">
        <x:v>Staff Wage - Feb (14,500.00); Staff Salary (12,000.00); Royal Bush 3751 (8,480.00)</x:v>
      </x:c>
      <x:c r="K25" s="15" t="str">
        <x:v>Salary / wages (29,000.00); Supplier payments (23,673.01); Card spend (8,693.82)</x:v>
      </x:c>
    </x:row>
    <x:row r="26">
      <x:c r="A26" s="36" t="n">
        <x:v>46083</x:v>
      </x:c>
      <x:c r="B26" s="36" t="n">
        <x:v>46089</x:v>
      </x:c>
      <x:c r="C26" s="38" t="n">
        <x:v>38283.28</x:v>
      </x:c>
      <x:c r="D26" s="38" t="n">
        <x:v>16614.22</x:v>
      </x:c>
      <x:c r="E26" s="38" t="n">
        <x:v>0</x:v>
      </x:c>
      <x:c r="F26" s="38" t="n">
        <x:v>5000</x:v>
      </x:c>
      <x:c r="G26" s="38" t="n">
        <x:v>21669.06</x:v>
      </x:c>
      <x:c r="H26" s="15" t="n">
        <x:v>31</x:v>
      </x:c>
      <x:c r="I26" s="15" t="str">
        <x:v>Ag1 Seaside Village (19,042.16); R026w3r9l0 Booking.c (15,593.21); 7f040 Airbnb Payment (2,830.85)</x:v>
      </x:c>
      <x:c r="J26" s="15" t="str">
        <x:v>Royal Bush 3764 (4,240.00); Salary (2,000.00); Superspar Komatipoor (1,752.48)</x:v>
      </x:c>
      <x:c r="K26" s="15" t="str">
        <x:v>Supplier payments (11,304.38); Salary / wages (2,000.00); Telecom / utilities (1,700.00)</x:v>
      </x:c>
    </x:row>
    <x:row r="27">
      <x:c r="A27" s="36" t="n">
        <x:v>46090</x:v>
      </x:c>
      <x:c r="B27" s="36" t="n">
        <x:v>46096</x:v>
      </x:c>
      <x:c r="C27" s="38" t="n">
        <x:v>38212.68</x:v>
      </x:c>
      <x:c r="D27" s="38" t="n">
        <x:v>28553.54</x:v>
      </x:c>
      <x:c r="E27" s="38" t="n">
        <x:v>0</x:v>
      </x:c>
      <x:c r="F27" s="38" t="n">
        <x:v>0</x:v>
      </x:c>
      <x:c r="G27" s="38" t="n">
        <x:v>9659.14</x:v>
      </x:c>
      <x:c r="H27" s="15" t="n">
        <x:v>22</x:v>
      </x:c>
      <x:c r="I27" s="15" t="str">
        <x:v>R026vwnk80 Booking.c (29,321.53); Ik Pay 487882 (7,391.15); Reeva (1,500.00)</x:v>
      </x:c>
      <x:c r="J27" s="15" t="str">
        <x:v>Kruger Safari 1686 (6,008.00); Salary- Feb (5,000.00); Kruger Safari 1687 (4,506.00)</x:v>
      </x:c>
      <x:c r="K27" s="15" t="str">
        <x:v>Supplier payments (19,525.19); Salary / wages (7,500.00); Software / subscriptions (636.02)</x:v>
      </x:c>
    </x:row>
    <x:row r="28">
      <x:c r="A28" s="36" t="n">
        <x:v>46097</x:v>
      </x:c>
      <x:c r="B28" s="36" t="n">
        <x:v>46103</x:v>
      </x:c>
      <x:c r="C28" s="38" t="n">
        <x:v>6823.74</x:v>
      </x:c>
      <x:c r="D28" s="38" t="n">
        <x:v>14393.33</x:v>
      </x:c>
      <x:c r="E28" s="38" t="n">
        <x:v>0</x:v>
      </x:c>
      <x:c r="F28" s="38" t="n">
        <x:v>0</x:v>
      </x:c>
      <x:c r="G28" s="38" t="n">
        <x:v>-7569.59</x:v>
      </x:c>
      <x:c r="H28" s="15" t="n">
        <x:v>16</x:v>
      </x:c>
      <x:c r="I28" s="15" t="str">
        <x:v>R026vlwjc0 Booking.c (6,823.74)</x:v>
      </x:c>
      <x:c r="J28" s="15" t="str">
        <x:v>City Of Capetown (4,835.36); Kruger Safari 1688 (2,929.00); Dinner Box 108599 (1,801.00)</x:v>
      </x:c>
      <x:c r="K28" s="15" t="str">
        <x:v>Supplier payments (11,089.51); Meals / restaurants / entertainment (2,224.97); Telecom / utilities (650.00)</x:v>
      </x:c>
    </x:row>
    <x:row r="29">
      <x:c r="A29" s="36" t="n">
        <x:v>46104</x:v>
      </x:c>
      <x:c r="B29" s="36" t="n">
        <x:v>46110</x:v>
      </x:c>
      <x:c r="C29" s="38" t="n">
        <x:v>18096.54</x:v>
      </x:c>
      <x:c r="D29" s="38" t="n">
        <x:v>13006.79</x:v>
      </x:c>
      <x:c r="E29" s="38" t="n">
        <x:v>0</x:v>
      </x:c>
      <x:c r="F29" s="38" t="n">
        <x:v>0</x:v>
      </x:c>
      <x:c r="G29" s="38" t="n">
        <x:v>5089.75</x:v>
      </x:c>
      <x:c r="H29" s="15" t="n">
        <x:v>26</x:v>
      </x:c>
      <x:c r="I29" s="15" t="str">
        <x:v>R026v0kzq0 Booking.c (11,517.18); Ik Pay 487882 (6,579.36)</x:v>
      </x:c>
      <x:c r="J29" s="15" t="str">
        <x:v>Superspar Komatipoor (3,691.54); Sakkie Wages (2,500.00); Waterkloof Gas 11080 (1,565.00)</x:v>
      </x:c>
      <x:c r="K29" s="15" t="str">
        <x:v>Supplier payments (6,376.45); Salary / wages (3,500.00); Telecom / utilities (1,300.00)</x:v>
      </x:c>
    </x:row>
    <x:row r="30">
      <x:c r="A30" s="36" t="n">
        <x:v>46111</x:v>
      </x:c>
      <x:c r="B30" s="36" t="n">
        <x:v>46117</x:v>
      </x:c>
      <x:c r="C30" s="38" t="n">
        <x:v>66998.58</x:v>
      </x:c>
      <x:c r="D30" s="38" t="n">
        <x:v>58044.39</x:v>
      </x:c>
      <x:c r="E30" s="38" t="n">
        <x:v>0</x:v>
      </x:c>
      <x:c r="F30" s="38" t="n">
        <x:v>25000</x:v>
      </x:c>
      <x:c r="G30" s="38" t="n">
        <x:v>8954.19</x:v>
      </x:c>
      <x:c r="H30" s="15" t="n">
        <x:v>36</x:v>
      </x:c>
      <x:c r="I30" s="15" t="str">
        <x:v>R026txbl00 Booking.c (24,034.56); Ag1 Seaside Village (23,503.00); Ik Pay 487882 (19,461.02)</x:v>
      </x:c>
      <x:c r="J30" s="15" t="str">
        <x:v>Staff Salary (27,000.00); Royal Bush 3766 (8,480.00); Staff (4,000.00)</x:v>
      </x:c>
      <x:c r="K30" s="15" t="str">
        <x:v>Salary / wages (31,250.00); Supplier payments (23,427.39); Meals / restaurants / entertainment (1,982.00)</x:v>
      </x:c>
    </x:row>
    <x:row r="31">
      <x:c r="A31" s="36" t="n">
        <x:v>46118</x:v>
      </x:c>
      <x:c r="B31" s="36" t="n">
        <x:v>46124</x:v>
      </x:c>
      <x:c r="C31" s="38" t="n">
        <x:v>119023.59</x:v>
      </x:c>
      <x:c r="D31" s="38" t="n">
        <x:v>45679.93</x:v>
      </x:c>
      <x:c r="E31" s="38" t="n">
        <x:v>0</x:v>
      </x:c>
      <x:c r="F31" s="38" t="n">
        <x:v>0</x:v>
      </x:c>
      <x:c r="G31" s="38" t="n">
        <x:v>73343.66</x:v>
      </x:c>
      <x:c r="H31" s="15" t="n">
        <x:v>32</x:v>
      </x:c>
      <x:c r="I31" s="15" t="str">
        <x:v>Ik Pay 487882 (74,841.45); R026tnsk50 Booking.c (35,316.64); R026tlz5b0 Johan Spr (8,865.50)</x:v>
      </x:c>
      <x:c r="J31" s="15" t="str">
        <x:v>Kruger Safari 1691 (9,176.00); Staff (9,000.00); African Sky (5,000.00)</x:v>
      </x:c>
      <x:c r="K31" s="15" t="str">
        <x:v>Supplier payments (26,791.08); Salary / wages (16,500.00); Telecom / utilities (650.00)</x:v>
      </x:c>
    </x:row>
    <x:row r="32">
      <x:c r="A32" s="36" t="n">
        <x:v>46125</x:v>
      </x:c>
      <x:c r="B32" s="36" t="n">
        <x:v>46131</x:v>
      </x:c>
      <x:c r="C32" s="38" t="n">
        <x:v>20661.37</x:v>
      </x:c>
      <x:c r="D32" s="38" t="n">
        <x:v>18637.58</x:v>
      </x:c>
      <x:c r="E32" s="38" t="n">
        <x:v>0</x:v>
      </x:c>
      <x:c r="F32" s="38" t="n">
        <x:v>0</x:v>
      </x:c>
      <x:c r="G32" s="38" t="n">
        <x:v>2023.79</x:v>
      </x:c>
      <x:c r="H32" s="15" t="n">
        <x:v>24</x:v>
      </x:c>
      <x:c r="I32" s="15" t="str">
        <x:v>Ik Pay 487882 (15,238.66); R026tc0tx0 Booking.c (4,822.71); Printing Signboard (600.00)</x:v>
      </x:c>
      <x:c r="J32" s="15" t="str">
        <x:v>Car (5,000.00); Kruger Safari 1694 (3,274.00); Superspar Komatipoor (2,510.62)</x:v>
      </x:c>
      <x:c r="K32" s="15" t="str">
        <x:v>Supplier payments (15,114.91); Software / subscriptions (2,372.67); Telecom / utilities (950.00)</x:v>
      </x:c>
    </x:row>
    <x:row r="33">
      <x:c r="A33" s="36" t="n">
        <x:v>46132</x:v>
      </x:c>
      <x:c r="B33" s="36" t="n">
        <x:v>46138</x:v>
      </x:c>
      <x:c r="C33" s="38" t="n">
        <x:v>7785.89</x:v>
      </x:c>
      <x:c r="D33" s="38" t="n">
        <x:v>30787.52</x:v>
      </x:c>
      <x:c r="E33" s="38" t="n">
        <x:v>0</x:v>
      </x:c>
      <x:c r="F33" s="38" t="n">
        <x:v>26500</x:v>
      </x:c>
      <x:c r="G33" s="38" t="n">
        <x:v>-23001.63</x:v>
      </x:c>
      <x:c r="H33" s="15" t="n">
        <x:v>30</x:v>
      </x:c>
      <x:c r="I33" s="15" t="str">
        <x:v>R026t8t8r0 Booking.c (7,285.89); 108964,04294887007 (500.00)</x:v>
      </x:c>
      <x:c r="J33" s="15" t="str">
        <x:v>Stratton Prop Mng (7,656.01); Car Deposit (5,000.00); Kruger Safari 1695 (3,966.60)</x:v>
      </x:c>
      <x:c r="K33" s="15" t="str">
        <x:v>Supplier payments (25,306.24); Salary / wages (2,500.00); Telecom / utilities (1,300.00)</x:v>
      </x:c>
    </x:row>
    <x:row r="34">
      <x:c r="A34" s="36" t="n">
        <x:v>46139</x:v>
      </x:c>
      <x:c r="B34" s="36" t="n">
        <x:v>46145</x:v>
      </x:c>
      <x:c r="C34" s="38" t="n">
        <x:v>60827.88</x:v>
      </x:c>
      <x:c r="D34" s="38" t="n">
        <x:v>40626.06</x:v>
      </x:c>
      <x:c r="E34" s="38" t="n">
        <x:v>0</x:v>
      </x:c>
      <x:c r="F34" s="38" t="n">
        <x:v>26500</x:v>
      </x:c>
      <x:c r="G34" s="38" t="n">
        <x:v>20201.82</x:v>
      </x:c>
      <x:c r="H34" s="15" t="n">
        <x:v>33</x:v>
      </x:c>
      <x:c r="I34" s="15" t="str">
        <x:v>Ag1 Seaside Village (24,373.00); Ik Pay 487882 (21,226.50); R026snghm0 Booking.c (15,228.38)</x:v>
      </x:c>
      <x:c r="J34" s="15" t="str">
        <x:v>Staff Salary (24,000.00); Kruger Safari 1696 (3,454.60); Ac De Jager Vleis (1,805.86)</x:v>
      </x:c>
      <x:c r="K34" s="15" t="str">
        <x:v>Salary / wages (24,000.00); Supplier payments (12,748.11); Meals / restaurants / entertainment (2,532.95)</x:v>
      </x:c>
    </x:row>
    <x:row r="35">
      <x:c r="A35" s="36" t="n">
        <x:v>46146</x:v>
      </x:c>
      <x:c r="B35" s="36" t="n">
        <x:v>46152</x:v>
      </x:c>
      <x:c r="C35" s="38" t="n">
        <x:v>50797.36</x:v>
      </x:c>
      <x:c r="D35" s="38" t="n">
        <x:v>39280.83</x:v>
      </x:c>
      <x:c r="E35" s="38" t="n">
        <x:v>0</x:v>
      </x:c>
      <x:c r="F35" s="38" t="n">
        <x:v>0</x:v>
      </x:c>
      <x:c r="G35" s="38" t="n">
        <x:v>11516.53</x:v>
      </x:c>
      <x:c r="H35" s="15" t="n">
        <x:v>22</x:v>
      </x:c>
      <x:c r="I35" s="15" t="str">
        <x:v>Ik Pay 487882 (33,370.73); R026sb0230 Booking.c (17,426.63)</x:v>
      </x:c>
      <x:c r="J35" s="15" t="str">
        <x:v>Kruger Safari 1697 (13,128.00); Royal Bush 3945 (8,480.00); Salary (6,000.00)</x:v>
      </x:c>
      <x:c r="K35" s="15" t="str">
        <x:v>Supplier payments (28,823.12); Salary / wages (8,500.00); Telecom / utilities (950.00)</x:v>
      </x:c>
    </x:row>
    <x:row r="36">
      <x:c r="A36" s="36" t="n">
        <x:v>46153</x:v>
      </x:c>
      <x:c r="B36" s="36" t="n">
        <x:v>46159</x:v>
      </x:c>
      <x:c r="C36" s="38" t="n">
        <x:v>15373.81</x:v>
      </x:c>
      <x:c r="D36" s="38" t="n">
        <x:v>21729.69</x:v>
      </x:c>
      <x:c r="E36" s="38" t="n">
        <x:v>0</x:v>
      </x:c>
      <x:c r="F36" s="38" t="n">
        <x:v>26000</x:v>
      </x:c>
      <x:c r="G36" s="38" t="n">
        <x:v>-6355.88</x:v>
      </x:c>
      <x:c r="H36" s="15" t="n">
        <x:v>32</x:v>
      </x:c>
      <x:c r="I36" s="15" t="str">
        <x:v>R026rzc0k0 Booking.c (13,502.81); Send Rev (1,500.00); Ik Pay 487882 (371.00)</x:v>
      </x:c>
      <x:c r="J36" s="15" t="str">
        <x:v>Salary (6,000.00); Send Donald Bus (3,000.00); Sk Transfer 0202 (2,200.00)</x:v>
      </x:c>
      <x:c r="K36" s="15" t="str">
        <x:v>Supplier payments (10,491.24); Salary / wages (8,500.00); Software / subscriptions (1,012.00)</x:v>
      </x:c>
    </x:row>
    <x:row r="37">
      <x:c r="A37" s="36" t="n">
        <x:v>46160</x:v>
      </x:c>
      <x:c r="B37" s="36" t="n">
        <x:v>46166</x:v>
      </x:c>
      <x:c r="C37" s="38" t="n">
        <x:v>32127.35</x:v>
      </x:c>
      <x:c r="D37" s="38" t="n">
        <x:v>23201.23</x:v>
      </x:c>
      <x:c r="E37" s="38" t="n">
        <x:v>0</x:v>
      </x:c>
      <x:c r="F37" s="38" t="n">
        <x:v>2200</x:v>
      </x:c>
      <x:c r="G37" s="38" t="n">
        <x:v>8926.12</x:v>
      </x:c>
      <x:c r="H37" s="15" t="n">
        <x:v>36</x:v>
      </x:c>
      <x:c r="I37" s="15" t="str">
        <x:v>R026rpg4x0 Booking.c (28,594.43); Ik Pay 487882 (3,532.92)</x:v>
      </x:c>
      <x:c r="J37" s="15" t="str">
        <x:v>Car (5,000.00); Claude.ai Subscription+14 (3,958.01); Sakkie Wages (2,500.00)</x:v>
      </x:c>
      <x:c r="K37" s="15" t="str">
        <x:v>Supplier payments (10,133.28); Salary / wages (4,500.00); Software / subscriptions (3,958.01)</x:v>
      </x:c>
    </x:row>
    <x:row r="38">
      <x:c r="A38" s="36" t="n">
        <x:v>46167</x:v>
      </x:c>
      <x:c r="B38" s="36" t="n">
        <x:v>46173</x:v>
      </x:c>
      <x:c r="C38" s="38" t="n">
        <x:v>87997.38</x:v>
      </x:c>
      <x:c r="D38" s="38" t="n">
        <x:v>70026.48</x:v>
      </x:c>
      <x:c r="E38" s="38" t="n">
        <x:v>3454.5</x:v>
      </x:c>
      <x:c r="F38" s="38" t="n">
        <x:v>36600</x:v>
      </x:c>
      <x:c r="G38" s="38" t="n">
        <x:v>21425.4</x:v>
      </x:c>
      <x:c r="H38" s="15" t="n">
        <x:v>37</x:v>
      </x:c>
      <x:c r="I38" s="15" t="str">
        <x:v>6114000315 (38,411.98); Ag1 Seaside Village (24,373.00); R026rbwzx0 Booking.c (19,442.24)</x:v>
      </x:c>
      <x:c r="J38" s="15" t="str">
        <x:v>Staff (24,000.00); Sk Transfer 0213 (8,200.00); Royal Bush 3965 (7,276.00)</x:v>
      </x:c>
      <x:c r="K38" s="15" t="str">
        <x:v>Supplier payments (41,884.33); Salary / wages (24,000.00); Meals / restaurants / entertainment (1,890.95)</x:v>
      </x:c>
    </x:row>
    <x:row r="39">
      <x:c r="A39" s="36" t="n">
        <x:v>46174</x:v>
      </x:c>
      <x:c r="B39" s="36" t="n">
        <x:v>46180</x:v>
      </x:c>
      <x:c r="C39" s="38" t="n">
        <x:v>20048.03</x:v>
      </x:c>
      <x:c r="D39" s="38" t="n">
        <x:v>23205.61</x:v>
      </x:c>
      <x:c r="E39" s="38" t="n">
        <x:v>0</x:v>
      </x:c>
      <x:c r="F39" s="38" t="n">
        <x:v>2000</x:v>
      </x:c>
      <x:c r="G39" s="38" t="n">
        <x:v>-3157.58</x:v>
      </x:c>
      <x:c r="H39" s="15" t="n">
        <x:v>19</x:v>
      </x:c>
      <x:c r="I39" s="15" t="str">
        <x:v>Ik Pay 487882 (11,480.64); R026qzlwv0 Booking.c (8,567.39)</x:v>
      </x:c>
      <x:c r="J39" s="15" t="str">
        <x:v>Sk Transfer 0209 (7,400.00); Cf Moto Saf - Inv 3 (4,794.00); Kruger Safari 1700 (4,189.00)</x:v>
      </x:c>
      <x:c r="K39" s="15" t="str">
        <x:v>Supplier payments (18,135.61); Salary / wages (2,900.00); Card spend (920.00)</x:v>
      </x:c>
    </x:row>
    <x:row r="40">
      <x:c r="A40" s="36" t="n">
        <x:v>46181</x:v>
      </x:c>
      <x:c r="B40" s="36" t="n">
        <x:v>46187</x:v>
      </x:c>
      <x:c r="C40" s="38" t="n">
        <x:v>17170.79</x:v>
      </x:c>
      <x:c r="D40" s="38" t="n">
        <x:v>16152.94</x:v>
      </x:c>
      <x:c r="E40" s="38" t="n">
        <x:v>0</x:v>
      </x:c>
      <x:c r="F40" s="38" t="n">
        <x:v>2280</x:v>
      </x:c>
      <x:c r="G40" s="38" t="n">
        <x:v>1017.85</x:v>
      </x:c>
      <x:c r="H40" s="15" t="n">
        <x:v>29</x:v>
      </x:c>
      <x:c r="I40" s="15" t="str">
        <x:v>R026qn5f90 Booking.c (12,141.73); Gd (4,100.00); Ik Pay 487882 (629.06)</x:v>
      </x:c>
      <x:c r="J40" s="15" t="str">
        <x:v>Kruger Saf 1700 50% (10,112.80); Staff (1,000.00); Pnp Fam Bronkhorstsp (793.26)</x:v>
      </x:c>
      <x:c r="K40" s="15" t="str">
        <x:v>Supplier payments (11,768.36); Card spend (1,219.26); Salary / wages (1,000.00)</x:v>
      </x:c>
    </x:row>
    <x:row r="41">
      <x:c r="A41" s="36" t="n">
        <x:v>46188</x:v>
      </x:c>
      <x:c r="B41" s="36" t="n">
        <x:v>46194</x:v>
      </x:c>
      <x:c r="C41" s="38" t="n">
        <x:v>30892.86</x:v>
      </x:c>
      <x:c r="D41" s="38" t="n">
        <x:v>20215.4</x:v>
      </x:c>
      <x:c r="E41" s="38" t="n">
        <x:v>0</x:v>
      </x:c>
      <x:c r="F41" s="38" t="n">
        <x:v>12000</x:v>
      </x:c>
      <x:c r="G41" s="38" t="n">
        <x:v>10677.46</x:v>
      </x:c>
      <x:c r="H41" s="15" t="n">
        <x:v>24</x:v>
      </x:c>
      <x:c r="I41" s="15" t="str">
        <x:v>Ik Pay 487882 (24,529.54); R026qc6v20 Booking.c (6,363.32)</x:v>
      </x:c>
      <x:c r="J41" s="15" t="str">
        <x:v>Car (5,000.00); Royal Bush 3846 (2,990.00); Bushwise Inv 0122 (2,975.00)</x:v>
      </x:c>
      <x:c r="K41" s="15" t="str">
        <x:v>Supplier payments (15,711.40); Salary / wages (2,750.00); Telecom / utilities (800.00)</x:v>
      </x:c>
    </x:row>
  </x:sheetData>
  <x:pageMargins left="0.7" right="0.7" top="0.75" bottom="0.75" header="0.3" footer="0.3"/>
  <x:tableParts count="1">
    <x:tablePart xmlns:r="http://schemas.openxmlformats.org/officeDocument/2006/relationships" r:id="R72f87b73eb2e4d5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36" hidden="0" customWidth="1"/>
    <x:col min="9" max="9" width="28" hidden="0" customWidth="1"/>
    <x:col min="10" max="10" width="36" hidden="0" customWidth="1"/>
  </x:cols>
  <x:sheetData>
    <x:row r="1">
      <x:c r="A1" s="29" t="str">
        <x:v>Month</x:v>
      </x:c>
      <x:c r="B1" s="29" t="str">
        <x:v>Total inflows</x:v>
      </x:c>
      <x:c r="C1" s="29" t="str">
        <x:v>Total outflows</x:v>
      </x:c>
      <x:c r="D1" s="29" t="str">
        <x:v>Refunds/reversals</x:v>
      </x:c>
      <x:c r="E1" s="29" t="str">
        <x:v>Internal transfers</x:v>
      </x:c>
      <x:c r="F1" s="29" t="str">
        <x:v>Net cashflow</x:v>
      </x:c>
      <x:c r="G1" s="29" t="str">
        <x:v>Number of transactions</x:v>
      </x:c>
      <x:c r="H1" s="29" t="str">
        <x:v>Top income sources</x:v>
      </x:c>
      <x:c r="I1" s="29" t="str">
        <x:v>Top payees/merchants</x:v>
      </x:c>
      <x:c r="J1" s="29" t="str">
        <x:v>Top categories</x:v>
      </x:c>
    </x:row>
    <x:row r="2">
      <x:c r="A2" s="15" t="str">
        <x:v>2025-09</x:v>
      </x:c>
      <x:c r="B2" s="38" t="n">
        <x:v>0</x:v>
      </x:c>
      <x:c r="C2" s="38" t="n">
        <x:v>1728.58</x:v>
      </x:c>
      <x:c r="D2" s="38" t="n">
        <x:v>0</x:v>
      </x:c>
      <x:c r="E2" s="38" t="n">
        <x:v>5000</x:v>
      </x:c>
      <x:c r="F2" s="38" t="n">
        <x:v>-1728.58</x:v>
      </x:c>
      <x:c r="G2" s="15" t="n">
        <x:v>7</x:v>
      </x:c>
      <x:c r="H2" s="15" t="str"/>
      <x:c r="I2" s="15" t="str">
        <x:v>Atmh11960000001 (600.00); Superspar Komatipoor (506.43); Shell Rinsa Pty Ltd (500.15)</x:v>
      </x:c>
      <x:c r="J2" s="15" t="str">
        <x:v>Cash withdrawal (600.00); Supplier payments (506.43); Fuel / transport (500.15)</x:v>
      </x:c>
    </x:row>
    <x:row r="3">
      <x:c r="A3" s="15" t="str">
        <x:v>2025-10</x:v>
      </x:c>
      <x:c r="B3" s="38" t="n">
        <x:v>101558.13</x:v>
      </x:c>
      <x:c r="C3" s="38" t="n">
        <x:v>45760.3</x:v>
      </x:c>
      <x:c r="D3" s="38" t="n">
        <x:v>536</x:v>
      </x:c>
      <x:c r="E3" s="38" t="n">
        <x:v>35000</x:v>
      </x:c>
      <x:c r="F3" s="38" t="n">
        <x:v>56333.83</x:v>
      </x:c>
      <x:c r="G3" s="15" t="n">
        <x:v>58</x:v>
      </x:c>
      <x:c r="H3" s="15" t="str">
        <x:v>R025n8vc90 Booking.c (41,435.63); R025mp0hp0 Booking.c (32,699.14); R025mdszb0 Booking.c (27,423.36)</x:v>
      </x:c>
      <x:c r="I3" s="15" t="str">
        <x:v>Nyala Safari 145 (10,080.00); Nkomazi Local Munici (5,670.36); Savemor Marloth (3,152.33)</x:v>
      </x:c>
      <x:c r="J3" s="15" t="str">
        <x:v>Supplier payments (28,048.78); Card spend (6,491.36); Meals / restaurants / entertainment (6,170.16)</x:v>
      </x:c>
    </x:row>
    <x:row r="4">
      <x:c r="A4" s="15" t="str">
        <x:v>2025-11</x:v>
      </x:c>
      <x:c r="B4" s="38" t="n">
        <x:v>121078.94</x:v>
      </x:c>
      <x:c r="C4" s="38" t="n">
        <x:v>182679.52</x:v>
      </x:c>
      <x:c r="D4" s="38" t="n">
        <x:v>778.98</x:v>
      </x:c>
      <x:c r="E4" s="38" t="n">
        <x:v>37000</x:v>
      </x:c>
      <x:c r="F4" s="38" t="n">
        <x:v>-60821.6</x:v>
      </x:c>
      <x:c r="G4" s="15" t="n">
        <x:v>100</x:v>
      </x:c>
      <x:c r="H4" s="15" t="str">
        <x:v>Ik Pay 487882 (49,052.09); R025klftk0 Booking.c (27,704.96); R025k2rz50 Booking.c (19,163.49)</x:v>
      </x:c>
      <x:c r="I4" s="15" t="str">
        <x:v>Royal 3380 + 3463 (26,185.00); Royal Bush 3380 50% (21,945.00); Sanparks Crocodile B (13,332.00)</x:v>
      </x:c>
      <x:c r="J4" s="15" t="str">
        <x:v>Supplier payments (130,360.26); Salary / wages (27,000.00); Card spend (14,221.00)</x:v>
      </x:c>
    </x:row>
    <x:row r="5">
      <x:c r="A5" s="15" t="str">
        <x:v>2025-12</x:v>
      </x:c>
      <x:c r="B5" s="38" t="n">
        <x:v>24380.44</x:v>
      </x:c>
      <x:c r="C5" s="38" t="n">
        <x:v>35539.03</x:v>
      </x:c>
      <x:c r="D5" s="38" t="n">
        <x:v>0</x:v>
      </x:c>
      <x:c r="E5" s="38" t="n">
        <x:v>0</x:v>
      </x:c>
      <x:c r="F5" s="38" t="n">
        <x:v>-11158.59</x:v>
      </x:c>
      <x:c r="G5" s="15" t="n">
        <x:v>25</x:v>
      </x:c>
      <x:c r="H5" s="15" t="str">
        <x:v>R025hthth0 Booking.c (17,245.52); Ik Pay 487882 (7,134.92)</x:v>
      </x:c>
      <x:c r="I5" s="15" t="str">
        <x:v>Kruger Safari 1673 (13,095.00); Gd Hoffman Wages (5,000.00); Phindi Salary Dec (4,250.00)</x:v>
      </x:c>
      <x:c r="J5" s="15" t="str">
        <x:v>Supplier payments (22,148.67); Salary / wages (10,000.00); Card spend (2,624.40)</x:v>
      </x:c>
    </x:row>
    <x:row r="6">
      <x:c r="A6" s="15" t="str">
        <x:v>2026-01</x:v>
      </x:c>
      <x:c r="B6" s="38" t="n">
        <x:v>236318.66</x:v>
      </x:c>
      <x:c r="C6" s="38" t="n">
        <x:v>227176.07</x:v>
      </x:c>
      <x:c r="D6" s="38" t="n">
        <x:v>0</x:v>
      </x:c>
      <x:c r="E6" s="38" t="n">
        <x:v>5000</x:v>
      </x:c>
      <x:c r="F6" s="38" t="n">
        <x:v>9142.59</x:v>
      </x:c>
      <x:c r="G6" s="15" t="n">
        <x:v>146</x:v>
      </x:c>
      <x:c r="H6" s="15" t="str">
        <x:v>Ik Pay 487882 (72,719.63); R026zdm6s0 Booking.c (45,321.13); R026znlj30 Booking.c (33,960.52)</x:v>
      </x:c>
      <x:c r="I6" s="15" t="str">
        <x:v>Pj Els (16,500.00); Superspar Komatipoor (15,043.54); Repairs + Maintenanc (15,000.00)</x:v>
      </x:c>
      <x:c r="J6" s="15" t="str">
        <x:v>Supplier payments (136,243.39); Salary / wages (72,250.00); Meals / restaurants / entertainment (4,205.60)</x:v>
      </x:c>
    </x:row>
    <x:row r="7">
      <x:c r="A7" s="15" t="str">
        <x:v>2026-02</x:v>
      </x:c>
      <x:c r="B7" s="38" t="n">
        <x:v>219265.58</x:v>
      </x:c>
      <x:c r="C7" s="38" t="n">
        <x:v>181656.89</x:v>
      </x:c>
      <x:c r="D7" s="38" t="n">
        <x:v>200</x:v>
      </x:c>
      <x:c r="E7" s="38" t="n">
        <x:v>33000</x:v>
      </x:c>
      <x:c r="F7" s="38" t="n">
        <x:v>37808.69</x:v>
      </x:c>
      <x:c r="G7" s="15" t="n">
        <x:v>159</x:v>
      </x:c>
      <x:c r="H7" s="15" t="str">
        <x:v>Ik Pay 487882 (97,135.59); R026x4wv90 Booking.c (35,459.34); R026wj48l0 Booking.c (30,949.25)</x:v>
      </x:c>
      <x:c r="I7" s="15" t="str">
        <x:v>Staff Wage - Feb (14,500.00); Staff Salary (12,000.00); Salary Jan (10,000.00)</x:v>
      </x:c>
      <x:c r="J7" s="15" t="str">
        <x:v>Supplier payments (103,081.40); Salary / wages (49,950.00); Card spend (10,243.82)</x:v>
      </x:c>
    </x:row>
    <x:row r="8">
      <x:c r="A8" s="15" t="str">
        <x:v>2026-03</x:v>
      </x:c>
      <x:c r="B8" s="38" t="n">
        <x:v>144153.61</x:v>
      </x:c>
      <x:c r="C8" s="38" t="n">
        <x:v>89500.8</x:v>
      </x:c>
      <x:c r="D8" s="38" t="n">
        <x:v>0</x:v>
      </x:c>
      <x:c r="E8" s="38" t="n">
        <x:v>30000</x:v>
      </x:c>
      <x:c r="F8" s="38" t="n">
        <x:v>54652.81</x:v>
      </x:c>
      <x:c r="G8" s="15" t="n">
        <x:v>110</x:v>
      </x:c>
      <x:c r="H8" s="15" t="str">
        <x:v>Ag1 Seaside Village (42,545.16); Ik Pay 487882 (34,021.94); R026vwnk80 Booking.c (29,321.53)</x:v>
      </x:c>
      <x:c r="I8" s="15" t="str">
        <x:v>Superspar Komatipoor (10,459.50); Royal Bush 3766 (8,480.00); Kruger Safari 1686 (6,008.00)</x:v>
      </x:c>
      <x:c r="J8" s="15" t="str">
        <x:v>Supplier payments (63,798.45); Salary / wages (13,000.00); Telecom / utilities (4,100.00)</x:v>
      </x:c>
    </x:row>
    <x:row r="9">
      <x:c r="A9" s="15" t="str">
        <x:v>2026-04</x:v>
      </x:c>
      <x:c r="B9" s="38" t="n">
        <x:v>232559.94</x:v>
      </x:c>
      <x:c r="C9" s="38" t="n">
        <x:v>149891.79</x:v>
      </x:c>
      <x:c r="D9" s="38" t="n">
        <x:v>0</x:v>
      </x:c>
      <x:c r="E9" s="38" t="n">
        <x:v>53000</x:v>
      </x:c>
      <x:c r="F9" s="38" t="n">
        <x:v>82668.15</x:v>
      </x:c>
      <x:c r="G9" s="15" t="n">
        <x:v>132</x:v>
      </x:c>
      <x:c r="H9" s="15" t="str">
        <x:v>Ik Pay 487882 (111,533.26); R026tnsk50 Booking.c (35,316.64); Ag1 Seaside Village (24,373.00)</x:v>
      </x:c>
      <x:c r="I9" s="15" t="str">
        <x:v>Staff Salary (27,000.00); Staff (13,000.00); Kruger Safari 1691 (9,176.00)</x:v>
      </x:c>
      <x:c r="J9" s="15" t="str">
        <x:v>Supplier payments (84,244.03); Salary / wages (50,250.00); Meals / restaurants / entertainment (5,883.34)</x:v>
      </x:c>
    </x:row>
    <x:row r="10">
      <x:c r="A10" s="15" t="str">
        <x:v>2026-05</x:v>
      </x:c>
      <x:c r="B10" s="38" t="n">
        <x:v>186295.9</x:v>
      </x:c>
      <x:c r="C10" s="38" t="n">
        <x:v>183341.35</x:v>
      </x:c>
      <x:c r="D10" s="38" t="n">
        <x:v>3454.5</x:v>
      </x:c>
      <x:c r="E10" s="38" t="n">
        <x:v>64800</x:v>
      </x:c>
      <x:c r="F10" s="38" t="n">
        <x:v>6409.05</x:v>
      </x:c>
      <x:c r="G10" s="15" t="n">
        <x:v>138</x:v>
      </x:c>
      <x:c r="H10" s="15" t="str">
        <x:v>Ik Pay 487882 (43,044.81); 6114000315 (38,411.98); R026rpg4x0 Booking.c (28,594.43)</x:v>
      </x:c>
      <x:c r="I10" s="15" t="str">
        <x:v>Staff (25,000.00); Staff Salary (24,000.00); Kruger Safari 1697 (13,128.00)</x:v>
      </x:c>
      <x:c r="J10" s="15" t="str">
        <x:v>Supplier payments (95,845.10); Salary / wages (69,500.00); Software / subscriptions (4,970.01)</x:v>
      </x:c>
    </x:row>
    <x:row r="11">
      <x:c r="A11" s="15" t="str">
        <x:v>2026-06</x:v>
      </x:c>
      <x:c r="B11" s="38" t="n">
        <x:v>68111.68</x:v>
      </x:c>
      <x:c r="C11" s="38" t="n">
        <x:v>59573.95</x:v>
      </x:c>
      <x:c r="D11" s="38" t="n">
        <x:v>0</x:v>
      </x:c>
      <x:c r="E11" s="38" t="n">
        <x:v>16280</x:v>
      </x:c>
      <x:c r="F11" s="38" t="n">
        <x:v>8537.73</x:v>
      </x:c>
      <x:c r="G11" s="15" t="n">
        <x:v>72</x:v>
      </x:c>
      <x:c r="H11" s="15" t="str">
        <x:v>Ik Pay 487882 (36,639.24); R026qn5f90 Booking.c (12,141.73); R026qzlwv0 Booking.c (8,567.39)</x:v>
      </x:c>
      <x:c r="I11" s="15" t="str">
        <x:v>Kruger Saf 1700 50% (10,112.80); Sk Transfer 0209 (7,400.00); Sakkie Wages (5,250.00)</x:v>
      </x:c>
      <x:c r="J11" s="15" t="str">
        <x:v>Supplier payments (45,615.37); Salary / wages (6,650.00); Card spend (2,265.26)</x:v>
      </x:c>
    </x:row>
  </x:sheetData>
  <x:conditionalFormatting sqref="F2:F11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403d62c49d4c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36" hidden="0" customWidth="1"/>
    <x:col min="9" max="9" width="16" hidden="0" customWidth="1"/>
    <x:col min="10" max="10" width="36" hidden="0" customWidth="1"/>
  </x:cols>
  <x:sheetData>
    <x:row r="1">
      <x:c r="A1" s="29" t="str">
        <x:v>Date</x:v>
      </x:c>
      <x:c r="B1" s="29" t="str">
        <x:v>Payer / source</x:v>
      </x:c>
      <x:c r="C1" s="29" t="str">
        <x:v>Description</x:v>
      </x:c>
      <x:c r="D1" s="29" t="str">
        <x:v>Amount</x:v>
      </x:c>
      <x:c r="E1" s="29" t="str">
        <x:v>Currency</x:v>
      </x:c>
      <x:c r="F1" s="29" t="str">
        <x:v>Account</x:v>
      </x:c>
      <x:c r="G1" s="29" t="str">
        <x:v>Category</x:v>
      </x:c>
      <x:c r="H1" s="29" t="str">
        <x:v>Transaction type</x:v>
      </x:c>
      <x:c r="I1" s="29" t="str">
        <x:v>Confidence</x:v>
      </x:c>
      <x:c r="J1" s="29" t="str">
        <x:v>Source file</x:v>
      </x:c>
    </x:row>
    <x:row r="2">
      <x:c r="A2" s="34" t="n">
        <x:v>45933.42638888889</x:v>
      </x:c>
      <x:c r="B2" s="15" t="str">
        <x:v>R025n8vc90 Booking.c</x:v>
      </x:c>
      <x:c r="C2" s="15" t="str">
        <x:v>R41435.63 paid to Current a/c..512781 @ Retail Forex. Ref.R025n8vc90 Booking.c. 3Oct 10:14</x:v>
      </x:c>
      <x:c r="D2" s="38" t="n">
        <x:v>41435.63</x:v>
      </x:c>
      <x:c r="E2" s="15" t="str">
        <x:v>ZAR</x:v>
      </x:c>
      <x:c r="F2" s="15" t="str">
        <x:v>Current a/c..512781</x:v>
      </x:c>
      <x:c r="G2" s="15" t="str">
        <x:v>Sales / customer receipts</x:v>
      </x:c>
      <x:c r="H2" s="15" t="str">
        <x:v>EFT receipt</x:v>
      </x:c>
      <x:c r="I2" s="15" t="str">
        <x:v>High</x:v>
      </x:c>
      <x:c r="J2" s="15" t="str">
        <x:v>eml_ALL_currentac__512781 (2).zip &gt; eml12currentac__512781.zip / FNB _-) R41435.63 paid to Current a_c..512781 @ Retail Forex. Ref.R025n8vc90 Booking.c.  3Oct 10_14.eml</x:v>
      </x:c>
    </x:row>
    <x:row r="3">
      <x:c r="A3" s="34" t="n">
        <x:v>45933.498611111114</x:v>
      </x:c>
      <x:c r="B3" s="15" t="str">
        <x:v>R025mp0hp0 Booking.c</x:v>
      </x:c>
      <x:c r="C3" s="15" t="str">
        <x:v>R32699.14 paid to Current a/c..512781 @ Retail Forex. Ref.R025mp0hp0 Booking.c. 3Oct 11:58</x:v>
      </x:c>
      <x:c r="D3" s="38" t="n">
        <x:v>32699.14</x:v>
      </x:c>
      <x:c r="E3" s="15" t="str">
        <x:v>ZAR</x:v>
      </x:c>
      <x:c r="F3" s="15" t="str">
        <x:v>Current a/c..512781</x:v>
      </x:c>
      <x:c r="G3" s="15" t="str">
        <x:v>Sales / customer receipts</x:v>
      </x:c>
      <x:c r="H3" s="15" t="str">
        <x:v>EFT receipt</x:v>
      </x:c>
      <x:c r="I3" s="15" t="str">
        <x:v>High</x:v>
      </x:c>
      <x:c r="J3" s="15" t="str">
        <x:v>eml_ALL_currentac__512781 (2).zip &gt; eml12currentac__512781.zip / FNB _-) R32699.14 paid to Current a_c..512781 @ Retail Forex. Ref.R025mp0hp0 Booking.c.  3Oct 11_58.eml</x:v>
      </x:c>
    </x:row>
    <x:row r="4">
      <x:c r="A4" s="34" t="n">
        <x:v>45940.36666666667</x:v>
      </x:c>
      <x:c r="B4" s="15" t="str">
        <x:v>R025mdszb0 Booking.c</x:v>
      </x:c>
      <x:c r="C4" s="15" t="str">
        <x:v>R27423.36 paid to Current a/c..512781 @ Retail Forex. Ref.R025mdszb0 Booking.c. 10Oct 08:48</x:v>
      </x:c>
      <x:c r="D4" s="38" t="n">
        <x:v>27423.36</x:v>
      </x:c>
      <x:c r="E4" s="15" t="str">
        <x:v>ZAR</x:v>
      </x:c>
      <x:c r="F4" s="15" t="str">
        <x:v>Current a/c..512781</x:v>
      </x:c>
      <x:c r="G4" s="15" t="str">
        <x:v>Sales / customer receipts</x:v>
      </x:c>
      <x:c r="H4" s="15" t="str">
        <x:v>EFT receipt</x:v>
      </x:c>
      <x:c r="I4" s="15" t="str">
        <x:v>High</x:v>
      </x:c>
      <x:c r="J4" s="15" t="str">
        <x:v>eml_ALL_currentac__512781 (2).zip &gt; eml12currentac__512781.zip / FNB _-) R27423.36 paid to Current a_c..512781 @ Retail Forex. Ref.R025mdszb0 Booking.c. 10Oct 08_48.eml</x:v>
      </x:c>
    </x:row>
    <x:row r="5">
      <x:c r="A5" s="34" t="n">
        <x:v>45942</x:v>
      </x:c>
      <x:c r="B5" s="15" t="str">
        <x:v>Cr Vc Temu</x:v>
      </x:c>
      <x:c r="C5" s="15" t="str">
        <x:v>REVERSAL of R150.00 for goods purchased from Current a/c..512781. Ref.Cr Vc Temu. 12Oct 00:00</x:v>
      </x:c>
      <x:c r="D5" s="38" t="n">
        <x:v>150</x:v>
      </x:c>
      <x:c r="E5" s="15" t="str">
        <x:v>ZAR</x:v>
      </x:c>
      <x:c r="F5" s="15" t="str">
        <x:v>Current a/c..512781</x:v>
      </x:c>
      <x:c r="G5" s="15" t="str">
        <x:v>Refunds / reversals</x:v>
      </x:c>
      <x:c r="H5" s="15" t="str">
        <x:v>Reversal</x:v>
      </x:c>
      <x:c r="I5" s="15" t="str">
        <x:v>High</x:v>
      </x:c>
      <x:c r="J5" s="15" t="str">
        <x:v>eml_ALL_currentac__512781 (2).zip &gt; eml12currentac__512781.zip / FNB _-) REVERSAL of R150.00 for goods purchased from Current a_c..512781. Ref.Cr Vc Temu. 12Oct 00_00.eml</x:v>
      </x:c>
    </x:row>
    <x:row r="6">
      <x:c r="A6" s="34" t="n">
        <x:v>45942</x:v>
      </x:c>
      <x:c r="B6" s="15" t="str">
        <x:v>Cr Vc Temu</x:v>
      </x:c>
      <x:c r="C6" s="15" t="str">
        <x:v>REVERSAL of R152.00 for goods purchased from Current a/c..512781. Ref.Cr Vc Temu. 12Oct 00:00</x:v>
      </x:c>
      <x:c r="D6" s="38" t="n">
        <x:v>152</x:v>
      </x:c>
      <x:c r="E6" s="15" t="str">
        <x:v>ZAR</x:v>
      </x:c>
      <x:c r="F6" s="15" t="str">
        <x:v>Current a/c..512781</x:v>
      </x:c>
      <x:c r="G6" s="15" t="str">
        <x:v>Refunds / reversals</x:v>
      </x:c>
      <x:c r="H6" s="15" t="str">
        <x:v>Reversal</x:v>
      </x:c>
      <x:c r="I6" s="15" t="str">
        <x:v>High</x:v>
      </x:c>
      <x:c r="J6" s="15" t="str">
        <x:v>eml_ALL_currentac__512781 (2).zip &gt; eml12currentac__512781.zip / FNB _-) REVERSAL of R152.00 for goods purchased from Current a_c..512781. Ref.Cr Vc Temu. 12Oct 00_00.eml</x:v>
      </x:c>
    </x:row>
    <x:row r="7">
      <x:c r="A7" s="34" t="n">
        <x:v>45942</x:v>
      </x:c>
      <x:c r="B7" s="15" t="str">
        <x:v>Cr Vc Temu</x:v>
      </x:c>
      <x:c r="C7" s="15" t="str">
        <x:v>REVERSAL of R234.00 for goods purchased from Current a/c..512781. Ref.Cr Vc Temu. 12Oct 00:00</x:v>
      </x:c>
      <x:c r="D7" s="38" t="n">
        <x:v>234</x:v>
      </x:c>
      <x:c r="E7" s="15" t="str">
        <x:v>ZAR</x:v>
      </x:c>
      <x:c r="F7" s="15" t="str">
        <x:v>Current a/c..512781</x:v>
      </x:c>
      <x:c r="G7" s="15" t="str">
        <x:v>Refunds / reversals</x:v>
      </x:c>
      <x:c r="H7" s="15" t="str">
        <x:v>Reversal</x:v>
      </x:c>
      <x:c r="I7" s="15" t="str">
        <x:v>High</x:v>
      </x:c>
      <x:c r="J7" s="15" t="str">
        <x:v>eml_ALL_currentac__512781 (2).zip &gt; eml12currentac__512781.zip / FNB _-) REVERSAL of R234.00 for goods purchased from Current a_c..512781. Ref.Cr Vc Temu. 12Oct 00_00.eml</x:v>
      </x:c>
    </x:row>
    <x:row r="8">
      <x:c r="A8" s="34" t="n">
        <x:v>45971.57152777778</x:v>
      </x:c>
      <x:c r="B8" s="15" t="str">
        <x:v>Ik Pay 487882</x:v>
      </x:c>
      <x:c r="C8" s="15" t="str">
        <x:v>R12511.62 paid to Current a/c..512781 @ Payshap. Ref.Ik Pay 487882. 10Nov 13:43</x:v>
      </x:c>
      <x:c r="D8" s="38" t="n">
        <x:v>12511.62</x:v>
      </x:c>
      <x:c r="E8" s="15" t="str">
        <x:v>ZAR</x:v>
      </x:c>
      <x:c r="F8" s="15" t="str">
        <x:v>Current a/c..512781</x:v>
      </x:c>
      <x:c r="G8" s="15" t="str">
        <x:v>Sales / customer receipts</x:v>
      </x:c>
      <x:c r="H8" s="15" t="str">
        <x:v>EFT receipt</x:v>
      </x:c>
      <x:c r="I8" s="15" t="str">
        <x:v>High</x:v>
      </x:c>
      <x:c r="J8" s="15" t="str">
        <x:v>eml_ALL_currentac__512781 (2).zip &gt; eml10currentac__512781.zip / FNB _-) R12511.62 paid to Current a_c..512781 @ Payshap. Ref.Ik Pay 487882. 10Nov 13_43.eml</x:v>
      </x:c>
    </x:row>
    <x:row r="9">
      <x:c r="A9" s="34" t="n">
        <x:v>45974.57013888889</x:v>
      </x:c>
      <x:c r="B9" s="15" t="str">
        <x:v>Ik Pay 487882</x:v>
      </x:c>
      <x:c r="C9" s="15" t="str">
        <x:v>R2148.00 paid to Current a/c..512781 @ Payshap. Ref.Ik Pay 487882. 13Nov 13:41</x:v>
      </x:c>
      <x:c r="D9" s="38" t="n">
        <x:v>2148</x:v>
      </x:c>
      <x:c r="E9" s="15" t="str">
        <x:v>ZAR</x:v>
      </x:c>
      <x:c r="F9" s="15" t="str">
        <x:v>Current a/c..512781</x:v>
      </x:c>
      <x:c r="G9" s="15" t="str">
        <x:v>Sales / customer receipts</x:v>
      </x:c>
      <x:c r="H9" s="15" t="str">
        <x:v>EFT receipt</x:v>
      </x:c>
      <x:c r="I9" s="15" t="str">
        <x:v>High</x:v>
      </x:c>
      <x:c r="J9" s="15" t="str">
        <x:v>eml_ALL_currentac__512781 (2).zip &gt; eml10currentac__512781.zip / FNB _-) R2148.00 paid to Current a_c..512781 @ Payshap. Ref.Ik Pay 487882. 13Nov 13_41.eml</x:v>
      </x:c>
    </x:row>
    <x:row r="10">
      <x:c r="A10" s="34" t="n">
        <x:v>45975.44583333333</x:v>
      </x:c>
      <x:c r="B10" s="15" t="str">
        <x:v>R025kw5cs0 Booking.c</x:v>
      </x:c>
      <x:c r="C10" s="15" t="str">
        <x:v>R18242.98 paid to Current a/c..512781 @ Retail Forex. Ref.R025kw5cs0 Booking.c. 14Nov 10:42</x:v>
      </x:c>
      <x:c r="D10" s="38" t="n">
        <x:v>18242.98</x:v>
      </x:c>
      <x:c r="E10" s="15" t="str">
        <x:v>ZAR</x:v>
      </x:c>
      <x:c r="F10" s="15" t="str">
        <x:v>Current a/c..512781</x:v>
      </x:c>
      <x:c r="G10" s="15" t="str">
        <x:v>Sales / customer receipts</x:v>
      </x:c>
      <x:c r="H10" s="15" t="str">
        <x:v>EFT receipt</x:v>
      </x:c>
      <x:c r="I10" s="15" t="str">
        <x:v>High</x:v>
      </x:c>
      <x:c r="J10" s="15" t="str">
        <x:v>eml_ALL_currentac__512781 (2).zip &gt; eml10currentac__512781.zip / FNB _-) R18242.98 paid to Current a_c..512781 @ Retail Forex. Ref.R025kw5cs0 Booking.c. 14Nov 10_42.eml</x:v>
      </x:c>
    </x:row>
    <x:row r="11">
      <x:c r="A11" s="34" t="n">
        <x:v>45978.57152777778</x:v>
      </x:c>
      <x:c r="B11" s="15" t="str">
        <x:v>Ik Pay 487882</x:v>
      </x:c>
      <x:c r="C11" s="15" t="str">
        <x:v>R5985.73 paid to Current a/c..512781 @ Payshap. Ref.Ik Pay 487882. 17Nov 13:43</x:v>
      </x:c>
      <x:c r="D11" s="38" t="n">
        <x:v>5985.73</x:v>
      </x:c>
      <x:c r="E11" s="15" t="str">
        <x:v>ZAR</x:v>
      </x:c>
      <x:c r="F11" s="15" t="str">
        <x:v>Current a/c..512781</x:v>
      </x:c>
      <x:c r="G11" s="15" t="str">
        <x:v>Sales / customer receipts</x:v>
      </x:c>
      <x:c r="H11" s="15" t="str">
        <x:v>EFT receipt</x:v>
      </x:c>
      <x:c r="I11" s="15" t="str">
        <x:v>High</x:v>
      </x:c>
      <x:c r="J11" s="15" t="str">
        <x:v>eml_ALL_currentac__512781 (2).zip &gt; eml10currentac__512781.zip / FNB _-) R5985.73 paid to Current a_c..512781 @ Payshap. Ref.Ik Pay 487882. 17Nov 13_43.eml</x:v>
      </x:c>
    </x:row>
    <x:row r="12">
      <x:c r="A12" s="34" t="n">
        <x:v>45981.50277777778</x:v>
      </x:c>
      <x:c r="B12" s="15" t="str">
        <x:v>Card purchase reversal</x:v>
      </x:c>
      <x:c r="C12" s="15" t="str">
        <x:v>REVERSAL of R778.98 for goods purchased from Current a/c..512781 using card..2924. 20Nov 12:04</x:v>
      </x:c>
      <x:c r="D12" s="38" t="n">
        <x:v>778.98</x:v>
      </x:c>
      <x:c r="E12" s="15" t="str">
        <x:v>ZAR</x:v>
      </x:c>
      <x:c r="F12" s="15" t="str">
        <x:v>Current a/c..512781</x:v>
      </x:c>
      <x:c r="G12" s="15" t="str">
        <x:v>Refunds / reversals</x:v>
      </x:c>
      <x:c r="H12" s="15" t="str">
        <x:v>Reversal</x:v>
      </x:c>
      <x:c r="I12" s="15" t="str">
        <x:v>High</x:v>
      </x:c>
      <x:c r="J12" s="15" t="str">
        <x:v>eml_ALL_currentac__512781 (2).zip &gt; eml10currentac__512781.zip / FNB _-) REVERSAL of R778.98 for goods purchased from Current a_c..512781 using card..2924. 20Nov 12_04.eml</x:v>
      </x:c>
    </x:row>
    <x:row r="13">
      <x:c r="A13" s="34" t="n">
        <x:v>45981.57013888889</x:v>
      </x:c>
      <x:c r="B13" s="15" t="str">
        <x:v>Ik Pay 487882</x:v>
      </x:c>
      <x:c r="C13" s="15" t="str">
        <x:v>R12016.88 paid to Current a/c..512781 @ Payshap. Ref.Ik Pay 487882. 20Nov 13:41</x:v>
      </x:c>
      <x:c r="D13" s="38" t="n">
        <x:v>12016.88</x:v>
      </x:c>
      <x:c r="E13" s="15" t="str">
        <x:v>ZAR</x:v>
      </x:c>
      <x:c r="F13" s="15" t="str">
        <x:v>Current a/c..512781</x:v>
      </x:c>
      <x:c r="G13" s="15" t="str">
        <x:v>Sales / customer receipts</x:v>
      </x:c>
      <x:c r="H13" s="15" t="str">
        <x:v>EFT receipt</x:v>
      </x:c>
      <x:c r="I13" s="15" t="str">
        <x:v>High</x:v>
      </x:c>
      <x:c r="J13" s="15" t="str">
        <x:v>eml_ALL_currentac__512781 (2).zip &gt; eml10currentac__512781.zip / FNB _-) R12016.88 paid to Current a_c..512781 @ Payshap. Ref.Ik Pay 487882. 20Nov 13_41.eml</x:v>
      </x:c>
    </x:row>
    <x:row r="14">
      <x:c r="A14" s="34" t="n">
        <x:v>45982.59930555556</x:v>
      </x:c>
      <x:c r="B14" s="15" t="str">
        <x:v>R025klftk0 Booking.c</x:v>
      </x:c>
      <x:c r="C14" s="15" t="str">
        <x:v>R27704.96 paid to Current a/c..512781 @ Retail Forex. Ref.R025klftk0 Booking.c. 21Nov 14:23</x:v>
      </x:c>
      <x:c r="D14" s="38" t="n">
        <x:v>27704.96</x:v>
      </x:c>
      <x:c r="E14" s="15" t="str">
        <x:v>ZAR</x:v>
      </x:c>
      <x:c r="F14" s="15" t="str">
        <x:v>Current a/c..512781</x:v>
      </x:c>
      <x:c r="G14" s="15" t="str">
        <x:v>Sales / customer receipts</x:v>
      </x:c>
      <x:c r="H14" s="15" t="str">
        <x:v>EFT receipt</x:v>
      </x:c>
      <x:c r="I14" s="15" t="str">
        <x:v>High</x:v>
      </x:c>
      <x:c r="J14" s="15" t="str">
        <x:v>eml_ALL_currentac__512781 (2).zip &gt; eml10currentac__512781.zip / FNB _-) R27704.96 paid to Current a_c..512781 @ Retail Forex. Ref.R025klftk0 Booking.c. 21Nov 14_23.eml</x:v>
      </x:c>
    </x:row>
    <x:row r="15">
      <x:c r="A15" s="34" t="n">
        <x:v>45985.44930555556</x:v>
      </x:c>
      <x:c r="B15" s="15" t="str">
        <x:v>Dreyer</x:v>
      </x:c>
      <x:c r="C15" s="15" t="str">
        <x:v>R5000.00 paid to Current a/c..512781 @ Smartapp. Ref.Dreyer. 24Nov 10:47</x:v>
      </x:c>
      <x:c r="D15" s="38" t="n">
        <x:v>5000</x:v>
      </x:c>
      <x:c r="E15" s="15" t="str">
        <x:v>ZAR</x:v>
      </x:c>
      <x:c r="F15" s="15" t="str">
        <x:v>Current a/c..512781</x:v>
      </x:c>
      <x:c r="G15" s="15" t="str">
        <x:v>Sales / customer receipts</x:v>
      </x:c>
      <x:c r="H15" s="15" t="str">
        <x:v>EFT receipt</x:v>
      </x:c>
      <x:c r="I15" s="15" t="str">
        <x:v>High</x:v>
      </x:c>
      <x:c r="J15" s="15" t="str">
        <x:v>eml_ALL_currentac__512781 (2).zip &gt; eml10currentac__512781.zip / FNB _-) R5000.00 paid to Current a_c..512781 @ Smartapp. Ref.Dreyer. 24Nov 10_47.eml</x:v>
      </x:c>
    </x:row>
    <x:row r="16">
      <x:c r="A16" s="34" t="n">
        <x:v>45985.58125</x:v>
      </x:c>
      <x:c r="B16" s="15" t="str">
        <x:v>Ik Pay 487882</x:v>
      </x:c>
      <x:c r="C16" s="15" t="str">
        <x:v>R1844.17 paid to Current a/c..512781 @ Payshap. Ref.Ik Pay 487882. 24Nov 13:57</x:v>
      </x:c>
      <x:c r="D16" s="38" t="n">
        <x:v>1844.17</x:v>
      </x:c>
      <x:c r="E16" s="15" t="str">
        <x:v>ZAR</x:v>
      </x:c>
      <x:c r="F16" s="15" t="str">
        <x:v>Current a/c..512781</x:v>
      </x:c>
      <x:c r="G16" s="15" t="str">
        <x:v>Sales / customer receipts</x:v>
      </x:c>
      <x:c r="H16" s="15" t="str">
        <x:v>EFT receipt</x:v>
      </x:c>
      <x:c r="I16" s="15" t="str">
        <x:v>High</x:v>
      </x:c>
      <x:c r="J16" s="15" t="str">
        <x:v>eml_ALL_currentac__512781 (2).zip &gt; eml10currentac__512781.zip / FNB _-) R1844.17 paid to Current a_c..512781 @ Payshap. Ref.Ik Pay 487882. 24Nov 13_57.eml</x:v>
      </x:c>
    </x:row>
    <x:row r="17">
      <x:c r="A17" s="34" t="n">
        <x:v>45987.57986111111</x:v>
      </x:c>
      <x:c r="B17" s="15" t="str">
        <x:v>Ik Pay 487882</x:v>
      </x:c>
      <x:c r="C17" s="15" t="str">
        <x:v>R4186.49 paid to Current a/c..512781 @ Payshap. Ref.Ik Pay 487882. 26Nov 13:55</x:v>
      </x:c>
      <x:c r="D17" s="38" t="n">
        <x:v>4186.49</x:v>
      </x:c>
      <x:c r="E17" s="15" t="str">
        <x:v>ZAR</x:v>
      </x:c>
      <x:c r="F17" s="15" t="str">
        <x:v>Current a/c..512781</x:v>
      </x:c>
      <x:c r="G17" s="15" t="str">
        <x:v>Sales / customer receipts</x:v>
      </x:c>
      <x:c r="H17" s="15" t="str">
        <x:v>EFT receipt</x:v>
      </x:c>
      <x:c r="I17" s="15" t="str">
        <x:v>High</x:v>
      </x:c>
      <x:c r="J17" s="15" t="str">
        <x:v>eml_ALL_currentac__512781 (2).zip &gt; eml10currentac__512781.zip / FNB _-) R4186.49 paid to Current a_c..512781 @ Payshap. Ref.Ik Pay 487882. 26Nov 13_55.eml</x:v>
      </x:c>
    </x:row>
    <x:row r="18">
      <x:c r="A18" s="34" t="n">
        <x:v>45988.58125</x:v>
      </x:c>
      <x:c r="B18" s="15" t="str">
        <x:v>Ik Pay 487882</x:v>
      </x:c>
      <x:c r="C18" s="15" t="str">
        <x:v>R10359.20 paid to Current a/c..512781 @ Payshap. Ref.Ik Pay 487882. 27Nov 13:57</x:v>
      </x:c>
      <x:c r="D18" s="38" t="n">
        <x:v>10359.2</x:v>
      </x:c>
      <x:c r="E18" s="15" t="str">
        <x:v>ZAR</x:v>
      </x:c>
      <x:c r="F18" s="15" t="str">
        <x:v>Current a/c..512781</x:v>
      </x:c>
      <x:c r="G18" s="15" t="str">
        <x:v>Sales / customer receipts</x:v>
      </x:c>
      <x:c r="H18" s="15" t="str">
        <x:v>EFT receipt</x:v>
      </x:c>
      <x:c r="I18" s="15" t="str">
        <x:v>High</x:v>
      </x:c>
      <x:c r="J18" s="15" t="str">
        <x:v>eml_ALL_currentac__512781 (2).zip &gt; eml10currentac__512781.zip / FNB _-) R10359.20 paid to Current a_c..512781 @ Payshap. Ref.Ik Pay 487882. 27Nov 13_57.eml</x:v>
      </x:c>
    </x:row>
    <x:row r="19">
      <x:c r="A19" s="34" t="n">
        <x:v>45989.59444444445</x:v>
      </x:c>
      <x:c r="B19" s="15" t="str">
        <x:v>R025k2rz50 Booking.c</x:v>
      </x:c>
      <x:c r="C19" s="15" t="str">
        <x:v>R19163.49 paid to Current a/c..512781 @ Retail Forex. Ref.R025k2rz50 Booking.c. 28Nov 14:16</x:v>
      </x:c>
      <x:c r="D19" s="38" t="n">
        <x:v>19163.49</x:v>
      </x:c>
      <x:c r="E19" s="15" t="str">
        <x:v>ZAR</x:v>
      </x:c>
      <x:c r="F19" s="15" t="str">
        <x:v>Current a/c..512781</x:v>
      </x:c>
      <x:c r="G19" s="15" t="str">
        <x:v>Sales / customer receipts</x:v>
      </x:c>
      <x:c r="H19" s="15" t="str">
        <x:v>EFT receipt</x:v>
      </x:c>
      <x:c r="I19" s="15" t="str">
        <x:v>High</x:v>
      </x:c>
      <x:c r="J19" s="15" t="str">
        <x:v>eml_ALL_currentac__512781 (2).zip &gt; eml10currentac__512781.zip / FNB _-) R19163.49 paid to Current a_c..512781 @ Retail Forex. Ref.R025k2rz50 Booking.c. 28Nov 14_16.eml</x:v>
      </x:c>
    </x:row>
    <x:row r="20">
      <x:c r="A20" s="34" t="n">
        <x:v>45990.46944444445</x:v>
      </x:c>
      <x:c r="B20" s="15" t="str">
        <x:v>6111002148</x:v>
      </x:c>
      <x:c r="C20" s="15" t="str">
        <x:v>R1915.42 paid to Current a/c..512781 @ Real Time Cl. Ref.6111002148. 29Nov 11:16</x:v>
      </x:c>
      <x:c r="D20" s="38" t="n">
        <x:v>1915.42</x:v>
      </x:c>
      <x:c r="E20" s="15" t="str">
        <x:v>ZAR</x:v>
      </x:c>
      <x:c r="F20" s="15" t="str">
        <x:v>Current a/c..512781</x:v>
      </x:c>
      <x:c r="G20" s="15" t="str">
        <x:v>Sales / customer receipts</x:v>
      </x:c>
      <x:c r="H20" s="15" t="str">
        <x:v>EFT receipt</x:v>
      </x:c>
      <x:c r="I20" s="15" t="str">
        <x:v>High</x:v>
      </x:c>
      <x:c r="J20" s="15" t="str">
        <x:v>eml_ALL_currentac__512781 (2).zip &gt; eml10currentac__512781.zip / FNB _-) R1915.42 paid to Current a_c..512781 @ Real Time Cl. Ref.6111002148. 29Nov 11_16.eml</x:v>
      </x:c>
    </x:row>
    <x:row r="21">
      <x:c r="A21" s="34" t="n">
        <x:v>46018.438888888886</x:v>
      </x:c>
      <x:c r="B21" s="15" t="str">
        <x:v>Ik Pay 487882</x:v>
      </x:c>
      <x:c r="C21" s="15" t="str">
        <x:v>R5340.06 paid to Current a/c..512781 @ Payshap. Ref.Ik Pay 487882. 27Dec 10:32</x:v>
      </x:c>
      <x:c r="D21" s="38" t="n">
        <x:v>5340.06</x:v>
      </x:c>
      <x:c r="E21" s="15" t="str">
        <x:v>ZAR</x:v>
      </x:c>
      <x:c r="F21" s="15" t="str">
        <x:v>Current a/c..512781</x:v>
      </x:c>
      <x:c r="G21" s="15" t="str">
        <x:v>Sales / customer receipts</x:v>
      </x:c>
      <x:c r="H21" s="15" t="str">
        <x:v>EFT receipt</x:v>
      </x:c>
      <x:c r="I21" s="15" t="str">
        <x:v>High</x:v>
      </x:c>
      <x:c r="J21" s="15" t="str">
        <x:v>eml_ALL_currentac__512781 (2).zip &gt; eml8currentac__512781.zip / FNB _-) R5340.06 paid to Current a_c..512781 @ Payshap. Ref.Ik Pay 487882. 27Dec 10_32.eml</x:v>
      </x:c>
    </x:row>
    <x:row r="22">
      <x:c r="A22" s="34" t="n">
        <x:v>46021.44236111111</x:v>
      </x:c>
      <x:c r="B22" s="15" t="str">
        <x:v>R025hthth0 Booking.c</x:v>
      </x:c>
      <x:c r="C22" s="15" t="str">
        <x:v>R17245.52 paid to Current a/c..512781 @ Retail Forex. Ref.R025hthth0 Booking.c. 30Dec 10:37</x:v>
      </x:c>
      <x:c r="D22" s="38" t="n">
        <x:v>17245.52</x:v>
      </x:c>
      <x:c r="E22" s="15" t="str">
        <x:v>ZAR</x:v>
      </x:c>
      <x:c r="F22" s="15" t="str">
        <x:v>Current a/c..512781</x:v>
      </x:c>
      <x:c r="G22" s="15" t="str">
        <x:v>Sales / customer receipts</x:v>
      </x:c>
      <x:c r="H22" s="15" t="str">
        <x:v>EFT receipt</x:v>
      </x:c>
      <x:c r="I22" s="15" t="str">
        <x:v>High</x:v>
      </x:c>
      <x:c r="J22" s="15" t="str">
        <x:v>eml_ALL_currentac__512781 (2).zip &gt; eml8currentac__512781.zip / FNB _-) R17245.52 paid to Current a_c..512781 @ Retail Forex. Ref.R025hthth0 Booking.c. 30Dec 10_37.eml</x:v>
      </x:c>
    </x:row>
    <x:row r="23">
      <x:c r="A23" s="34" t="n">
        <x:v>46022.57847222222</x:v>
      </x:c>
      <x:c r="B23" s="15" t="str">
        <x:v>Ik Pay 487882</x:v>
      </x:c>
      <x:c r="C23" s="15" t="str">
        <x:v>R1794.86 paid to Current a/c..512781 @ Payshap. Ref.Ik Pay 487882. 31Dec 13:53</x:v>
      </x:c>
      <x:c r="D23" s="38" t="n">
        <x:v>1794.86</x:v>
      </x:c>
      <x:c r="E23" s="15" t="str">
        <x:v>ZAR</x:v>
      </x:c>
      <x:c r="F23" s="15" t="str">
        <x:v>Current a/c..512781</x:v>
      </x:c>
      <x:c r="G23" s="15" t="str">
        <x:v>Sales / customer receipts</x:v>
      </x:c>
      <x:c r="H23" s="15" t="str">
        <x:v>EFT receipt</x:v>
      </x:c>
      <x:c r="I23" s="15" t="str">
        <x:v>High</x:v>
      </x:c>
      <x:c r="J23" s="15" t="str">
        <x:v>eml_ALL_currentac__512781 (2).zip &gt; eml8currentac__512781.zip / FNB _-) R1794.86 paid to Current a_c..512781 @ Payshap. Ref.Ik Pay 487882. 31Dec 13_53.eml</x:v>
      </x:c>
    </x:row>
    <x:row r="24">
      <x:c r="A24" s="34" t="n">
        <x:v>46024.57916666667</x:v>
      </x:c>
      <x:c r="B24" s="15" t="str">
        <x:v>Ik Pay 487882</x:v>
      </x:c>
      <x:c r="C24" s="15" t="str">
        <x:v>R1890.19 paid to Current a/c..512781 @ Payshap. Ref.Ik Pay 487882. 2Jan 13:54</x:v>
      </x:c>
      <x:c r="D24" s="38" t="n">
        <x:v>1890.19</x:v>
      </x:c>
      <x:c r="E24" s="15" t="str">
        <x:v>ZAR</x:v>
      </x:c>
      <x:c r="F24" s="15" t="str">
        <x:v>Current a/c..512781</x:v>
      </x:c>
      <x:c r="G24" s="15" t="str">
        <x:v>Sales / customer receipts</x:v>
      </x:c>
      <x:c r="H24" s="15" t="str">
        <x:v>EFT receipt</x:v>
      </x:c>
      <x:c r="I24" s="15" t="str">
        <x:v>High</x:v>
      </x:c>
      <x:c r="J24" s="15" t="str">
        <x:v>eml_ALL_currentac__512781 (2).zip &gt; eml8currentac__512781.zip / FNB _-) R1890.19 paid to Current a_c..512781 @ Payshap. Ref.Ik Pay 487882.  2Jan 13_54.eml</x:v>
      </x:c>
    </x:row>
    <x:row r="25">
      <x:c r="A25" s="34" t="n">
        <x:v>46025.44027777778</x:v>
      </x:c>
      <x:c r="B25" s="15" t="str">
        <x:v>Ik Pay 487882</x:v>
      </x:c>
      <x:c r="C25" s="15" t="str">
        <x:v>R1624.82 paid to Current a/c..512781 @ Payshap. Ref.Ik Pay 487882. 3Jan 10:34</x:v>
      </x:c>
      <x:c r="D25" s="38" t="n">
        <x:v>1624.82</x:v>
      </x:c>
      <x:c r="E25" s="15" t="str">
        <x:v>ZAR</x:v>
      </x:c>
      <x:c r="F25" s="15" t="str">
        <x:v>Current a/c..512781</x:v>
      </x:c>
      <x:c r="G25" s="15" t="str">
        <x:v>Sales / customer receipts</x:v>
      </x:c>
      <x:c r="H25" s="15" t="str">
        <x:v>EFT receipt</x:v>
      </x:c>
      <x:c r="I25" s="15" t="str">
        <x:v>High</x:v>
      </x:c>
      <x:c r="J25" s="15" t="str">
        <x:v>eml_ALL_currentac__512781 (2).zip &gt; eml8currentac__512781.zip / FNB _-) R1624.82 paid to Current a_c..512781 @ Payshap. Ref.Ik Pay 487882.  3Jan 10_34.eml</x:v>
      </x:c>
    </x:row>
    <x:row r="26">
      <x:c r="A26" s="34" t="n">
        <x:v>46027.518055555556</x:v>
      </x:c>
      <x:c r="B26" s="15" t="str">
        <x:v>R026zvfqh0 Booking.c</x:v>
      </x:c>
      <x:c r="C26" s="15" t="str">
        <x:v>R18851.23 paid to Current a/c..512781 @ Retail Forex. Ref.R026zvfqh0 Booking.c. 5Jan 12:26</x:v>
      </x:c>
      <x:c r="D26" s="38" t="n">
        <x:v>18851.23</x:v>
      </x:c>
      <x:c r="E26" s="15" t="str">
        <x:v>ZAR</x:v>
      </x:c>
      <x:c r="F26" s="15" t="str">
        <x:v>Current a/c..512781</x:v>
      </x:c>
      <x:c r="G26" s="15" t="str">
        <x:v>Sales / customer receipts</x:v>
      </x:c>
      <x:c r="H26" s="15" t="str">
        <x:v>EFT receipt</x:v>
      </x:c>
      <x:c r="I26" s="15" t="str">
        <x:v>High</x:v>
      </x:c>
      <x:c r="J26" s="15" t="str">
        <x:v>eml_ALL_currentac__512781 (2).zip &gt; eml8currentac__512781.zip / FNB _-) R18851.23 paid to Current a_c..512781 @ Retail Forex. Ref.R026zvfqh0 Booking.c.  5Jan 12_26.eml</x:v>
      </x:c>
    </x:row>
    <x:row r="27">
      <x:c r="A27" s="34" t="n">
        <x:v>46028.57708333333</x:v>
      </x:c>
      <x:c r="B27" s="15" t="str">
        <x:v>Ik Pay 487882</x:v>
      </x:c>
      <x:c r="C27" s="15" t="str">
        <x:v>R2803.13 paid to Current a/c..512781 @ Payshap. Ref.Ik Pay 487882. 6Jan 13:51</x:v>
      </x:c>
      <x:c r="D27" s="38" t="n">
        <x:v>2803.13</x:v>
      </x:c>
      <x:c r="E27" s="15" t="str">
        <x:v>ZAR</x:v>
      </x:c>
      <x:c r="F27" s="15" t="str">
        <x:v>Current a/c..512781</x:v>
      </x:c>
      <x:c r="G27" s="15" t="str">
        <x:v>Sales / customer receipts</x:v>
      </x:c>
      <x:c r="H27" s="15" t="str">
        <x:v>EFT receipt</x:v>
      </x:c>
      <x:c r="I27" s="15" t="str">
        <x:v>High</x:v>
      </x:c>
      <x:c r="J27" s="15" t="str">
        <x:v>eml_ALL_currentac__512781 (2).zip &gt; eml8currentac__512781.zip / FNB _-) R2803.13 paid to Current a_c..512781 @ Payshap. Ref.Ik Pay 487882.  6Jan 13_51.eml</x:v>
      </x:c>
    </x:row>
    <x:row r="28">
      <x:c r="A28" s="34" t="n">
        <x:v>46030.57708333333</x:v>
      </x:c>
      <x:c r="B28" s="15" t="str">
        <x:v>Ik Pay 487882</x:v>
      </x:c>
      <x:c r="C28" s="15" t="str">
        <x:v>R15045.67 paid to Current a/c..512781 @ Payshap. Ref.Ik Pay 487882. 8Jan 13:51</x:v>
      </x:c>
      <x:c r="D28" s="38" t="n">
        <x:v>15045.67</x:v>
      </x:c>
      <x:c r="E28" s="15" t="str">
        <x:v>ZAR</x:v>
      </x:c>
      <x:c r="F28" s="15" t="str">
        <x:v>Current a/c..512781</x:v>
      </x:c>
      <x:c r="G28" s="15" t="str">
        <x:v>Sales / customer receipts</x:v>
      </x:c>
      <x:c r="H28" s="15" t="str">
        <x:v>EFT receipt</x:v>
      </x:c>
      <x:c r="I28" s="15" t="str">
        <x:v>High</x:v>
      </x:c>
      <x:c r="J28" s="15" t="str">
        <x:v>eml_ALL_currentac__512781 (2).zip &gt; eml8currentac__512781.zip / FNB _-) R15045.67 paid to Current a_c..512781 @ Payshap. Ref.Ik Pay 487882.  8Jan 13_51.eml</x:v>
      </x:c>
    </x:row>
    <x:row r="29">
      <x:c r="A29" s="34" t="n">
        <x:v>46031.46111111111</x:v>
      </x:c>
      <x:c r="B29" s="15" t="str">
        <x:v>R026znlj30 Booking.c</x:v>
      </x:c>
      <x:c r="C29" s="15" t="str">
        <x:v>R33960.52 paid to Current a/c..512781 @ Retail Forex. Ref.R026znlj30 Booking.c. 9Jan 11:04</x:v>
      </x:c>
      <x:c r="D29" s="38" t="n">
        <x:v>33960.52</x:v>
      </x:c>
      <x:c r="E29" s="15" t="str">
        <x:v>ZAR</x:v>
      </x:c>
      <x:c r="F29" s="15" t="str">
        <x:v>Current a/c..512781</x:v>
      </x:c>
      <x:c r="G29" s="15" t="str">
        <x:v>Sales / customer receipts</x:v>
      </x:c>
      <x:c r="H29" s="15" t="str">
        <x:v>EFT receipt</x:v>
      </x:c>
      <x:c r="I29" s="15" t="str">
        <x:v>High</x:v>
      </x:c>
      <x:c r="J29" s="15" t="str">
        <x:v>eml_ALL_currentac__512781 (2).zip &gt; eml8currentac__512781.zip / FNB _-) R33960.52 paid to Current a_c..512781 @ Retail Forex. Ref.R026znlj30 Booking.c.  9Jan 11_04.eml</x:v>
      </x:c>
    </x:row>
    <x:row r="30">
      <x:c r="A30" s="34" t="n">
        <x:v>46031.572916666664</x:v>
      </x:c>
      <x:c r="B30" s="15" t="str">
        <x:v>Ik Pay 487882</x:v>
      </x:c>
      <x:c r="C30" s="15" t="str">
        <x:v>R1174.79 paid to Current a/c..512781 @ Payshap. Ref.Ik Pay 487882. 9Jan 13:45</x:v>
      </x:c>
      <x:c r="D30" s="38" t="n">
        <x:v>1174.79</x:v>
      </x:c>
      <x:c r="E30" s="15" t="str">
        <x:v>ZAR</x:v>
      </x:c>
      <x:c r="F30" s="15" t="str">
        <x:v>Current a/c..512781</x:v>
      </x:c>
      <x:c r="G30" s="15" t="str">
        <x:v>Sales / customer receipts</x:v>
      </x:c>
      <x:c r="H30" s="15" t="str">
        <x:v>EFT receipt</x:v>
      </x:c>
      <x:c r="I30" s="15" t="str">
        <x:v>High</x:v>
      </x:c>
      <x:c r="J30" s="15" t="str">
        <x:v>eml_ALL_currentac__512781 (2).zip &gt; eml8currentac__512781.zip / FNB _-) R1174.79 paid to Current a_c..512781 @ Payshap. Ref.Ik Pay 487882.  9Jan 13_45.eml</x:v>
      </x:c>
    </x:row>
    <x:row r="31">
      <x:c r="A31" s="34" t="n">
        <x:v>46034.57638888889</x:v>
      </x:c>
      <x:c r="B31" s="15" t="str">
        <x:v>Ik Pay 487882</x:v>
      </x:c>
      <x:c r="C31" s="15" t="str">
        <x:v>R20850.99 paid to Current a/c..512781 @ Payshap. Ref.Ik Pay 487882. 12Jan 13:50</x:v>
      </x:c>
      <x:c r="D31" s="38" t="n">
        <x:v>20850.99</x:v>
      </x:c>
      <x:c r="E31" s="15" t="str">
        <x:v>ZAR</x:v>
      </x:c>
      <x:c r="F31" s="15" t="str">
        <x:v>Current a/c..512781</x:v>
      </x:c>
      <x:c r="G31" s="15" t="str">
        <x:v>Sales / customer receipts</x:v>
      </x:c>
      <x:c r="H31" s="15" t="str">
        <x:v>EFT receipt</x:v>
      </x:c>
      <x:c r="I31" s="15" t="str">
        <x:v>High</x:v>
      </x:c>
      <x:c r="J31" s="15" t="str">
        <x:v>eml_ALL_currentac__512781 (2).zip &gt; eml8currentac__512781.zip / FNB _-) R20850.99 paid to Current a_c..512781 @ Payshap. Ref.Ik Pay 487882. 12Jan 13_50.eml</x:v>
      </x:c>
    </x:row>
    <x:row r="32">
      <x:c r="A32" s="34" t="n">
        <x:v>46035.57638888889</x:v>
      </x:c>
      <x:c r="B32" s="15" t="str">
        <x:v>Ik Pay 487882</x:v>
      </x:c>
      <x:c r="C32" s="15" t="str">
        <x:v>R2699.11 paid to Current a/c..512781 @ Payshap. Ref.Ik Pay 487882. 13Jan 13:50</x:v>
      </x:c>
      <x:c r="D32" s="38" t="n">
        <x:v>2699.11</x:v>
      </x:c>
      <x:c r="E32" s="15" t="str">
        <x:v>ZAR</x:v>
      </x:c>
      <x:c r="F32" s="15" t="str">
        <x:v>Current a/c..512781</x:v>
      </x:c>
      <x:c r="G32" s="15" t="str">
        <x:v>Sales / customer receipts</x:v>
      </x:c>
      <x:c r="H32" s="15" t="str">
        <x:v>EFT receipt</x:v>
      </x:c>
      <x:c r="I32" s="15" t="str">
        <x:v>High</x:v>
      </x:c>
      <x:c r="J32" s="15" t="str">
        <x:v>eml_ALL_currentac__512781 (2).zip &gt; eml8currentac__512781.zip / FNB _-) R2699.11 paid to Current a_c..512781 @ Payshap. Ref.Ik Pay 487882. 13Jan 13_50.eml</x:v>
      </x:c>
    </x:row>
    <x:row r="33">
      <x:c r="A33" s="34" t="n">
        <x:v>46038.368055555555</x:v>
      </x:c>
      <x:c r="B33" s="15" t="str">
        <x:v>R026zdm6s0 Booking.c</x:v>
      </x:c>
      <x:c r="C33" s="15" t="str">
        <x:v>R45321.13 paid to Current a/c..512781 @ Retail Forex. Ref.R026zdm6s0 Booking.c. 16Jan 08:50</x:v>
      </x:c>
      <x:c r="D33" s="38" t="n">
        <x:v>45321.13</x:v>
      </x:c>
      <x:c r="E33" s="15" t="str">
        <x:v>ZAR</x:v>
      </x:c>
      <x:c r="F33" s="15" t="str">
        <x:v>Current a/c..512781</x:v>
      </x:c>
      <x:c r="G33" s="15" t="str">
        <x:v>Sales / customer receipts</x:v>
      </x:c>
      <x:c r="H33" s="15" t="str">
        <x:v>EFT receipt</x:v>
      </x:c>
      <x:c r="I33" s="15" t="str">
        <x:v>High</x:v>
      </x:c>
      <x:c r="J33" s="15" t="str">
        <x:v>eml_ALL_currentac__512781 (2).zip &gt; eml8currentac__512781.zip / FNB _-) R45321.13 paid to Current a_c..512781 @ Retail Forex. Ref.R026zdm6s0 Booking.c. 16Jan 08_50.eml</x:v>
      </x:c>
    </x:row>
    <x:row r="34">
      <x:c r="A34" s="34" t="n">
        <x:v>46038.42013888889</x:v>
      </x:c>
      <x:c r="B34" s="15" t="str">
        <x:v>R026zd2np0 Booking.c</x:v>
      </x:c>
      <x:c r="C34" s="15" t="str">
        <x:v>R13006.93 paid to Current a/c..512781 @ Retail Forex. Ref.R026zd2np0 Booking.c. 16Jan 10:05</x:v>
      </x:c>
      <x:c r="D34" s="38" t="n">
        <x:v>13006.93</x:v>
      </x:c>
      <x:c r="E34" s="15" t="str">
        <x:v>ZAR</x:v>
      </x:c>
      <x:c r="F34" s="15" t="str">
        <x:v>Current a/c..512781</x:v>
      </x:c>
      <x:c r="G34" s="15" t="str">
        <x:v>Sales / customer receipts</x:v>
      </x:c>
      <x:c r="H34" s="15" t="str">
        <x:v>EFT receipt</x:v>
      </x:c>
      <x:c r="I34" s="15" t="str">
        <x:v>High</x:v>
      </x:c>
      <x:c r="J34" s="15" t="str">
        <x:v>eml_ALL_currentac__512781 (2).zip &gt; eml8currentac__512781.zip / FNB _-) R13006.93 paid to Current a_c..512781 @ Retail Forex. Ref.R026zd2np0 Booking.c. 16Jan 10_05.eml</x:v>
      </x:c>
    </x:row>
    <x:row r="35">
      <x:c r="A35" s="34" t="n">
        <x:v>46039.447916666664</x:v>
      </x:c>
      <x:c r="B35" s="15" t="str">
        <x:v>Ik Pay 487882</x:v>
      </x:c>
      <x:c r="C35" s="15" t="str">
        <x:v>R9773.91 paid to Current a/c..512781 @ Payshap. Ref.Ik Pay 487882. 17Jan 10:45</x:v>
      </x:c>
      <x:c r="D35" s="38" t="n">
        <x:v>9773.91</x:v>
      </x:c>
      <x:c r="E35" s="15" t="str">
        <x:v>ZAR</x:v>
      </x:c>
      <x:c r="F35" s="15" t="str">
        <x:v>Current a/c..512781</x:v>
      </x:c>
      <x:c r="G35" s="15" t="str">
        <x:v>Sales / customer receipts</x:v>
      </x:c>
      <x:c r="H35" s="15" t="str">
        <x:v>EFT receipt</x:v>
      </x:c>
      <x:c r="I35" s="15" t="str">
        <x:v>High</x:v>
      </x:c>
      <x:c r="J35" s="15" t="str">
        <x:v>eml_ALL_currentac__512781 (2).zip &gt; eml7currentac__512781.zip / FNB _-) R9773.91 paid to Current a_c..512781 @ Payshap. Ref.Ik Pay 487882. 17Jan 10_45.eml</x:v>
      </x:c>
    </x:row>
    <x:row r="36">
      <x:c r="A36" s="34" t="n">
        <x:v>46043.56805555556</x:v>
      </x:c>
      <x:c r="B36" s="15" t="str">
        <x:v>R026z3l840 De Pauw D</x:v>
      </x:c>
      <x:c r="C36" s="15" t="str">
        <x:v>R23287.50 paid to Current a/c..512781 @ Retail Forex. Ref.R026z3l840 De Pauw D. 21Jan 13:38</x:v>
      </x:c>
      <x:c r="D36" s="38" t="n">
        <x:v>23287.5</x:v>
      </x:c>
      <x:c r="E36" s="15" t="str">
        <x:v>ZAR</x:v>
      </x:c>
      <x:c r="F36" s="15" t="str">
        <x:v>Current a/c..512781</x:v>
      </x:c>
      <x:c r="G36" s="15" t="str">
        <x:v>Sales / customer receipts</x:v>
      </x:c>
      <x:c r="H36" s="15" t="str">
        <x:v>EFT receipt</x:v>
      </x:c>
      <x:c r="I36" s="15" t="str">
        <x:v>High</x:v>
      </x:c>
      <x:c r="J36" s="15" t="str">
        <x:v>eml_ALL_currentac__512781 (2).zip &gt; eml7currentac__512781.zip / FNB _-) R23287.50 paid to Current a_c..512781 @ Retail Forex. Ref.R026z3l840 De Pauw D. 21Jan 13_38.eml</x:v>
      </x:c>
    </x:row>
    <x:row r="37">
      <x:c r="A37" s="34" t="n">
        <x:v>46045.410416666666</x:v>
      </x:c>
      <x:c r="B37" s="15" t="str">
        <x:v>R026z6vq90 Booking.c</x:v>
      </x:c>
      <x:c r="C37" s="15" t="str">
        <x:v>R12786.76 paid to Current a/c..512781 @ Retail Forex. Ref.R026z6vq90 Booking.c. 23Jan 09:51</x:v>
      </x:c>
      <x:c r="D37" s="38" t="n">
        <x:v>12786.76</x:v>
      </x:c>
      <x:c r="E37" s="15" t="str">
        <x:v>ZAR</x:v>
      </x:c>
      <x:c r="F37" s="15" t="str">
        <x:v>Current a/c..512781</x:v>
      </x:c>
      <x:c r="G37" s="15" t="str">
        <x:v>Sales / customer receipts</x:v>
      </x:c>
      <x:c r="H37" s="15" t="str">
        <x:v>EFT receipt</x:v>
      </x:c>
      <x:c r="I37" s="15" t="str">
        <x:v>High</x:v>
      </x:c>
      <x:c r="J37" s="15" t="str">
        <x:v>eml_ALL_currentac__512781 (2).zip &gt; eml7currentac__512781.zip / FNB _-) R12786.76 paid to Current a_c..512781 @ Retail Forex. Ref.R026z6vq90 Booking.c. 23Jan 09_51.eml</x:v>
      </x:c>
    </x:row>
    <x:row r="38">
      <x:c r="A38" s="34" t="n">
        <x:v>46046.44375</x:v>
      </x:c>
      <x:c r="B38" s="15" t="str">
        <x:v>Ik Pay 487882</x:v>
      </x:c>
      <x:c r="C38" s="15" t="str">
        <x:v>R819.47 paid to Current a/c..512781 @ Payshap. Ref.Ik Pay 487882. 24Jan 10:39</x:v>
      </x:c>
      <x:c r="D38" s="38" t="n">
        <x:v>819.47</x:v>
      </x:c>
      <x:c r="E38" s="15" t="str">
        <x:v>ZAR</x:v>
      </x:c>
      <x:c r="F38" s="15" t="str">
        <x:v>Current a/c..512781</x:v>
      </x:c>
      <x:c r="G38" s="15" t="str">
        <x:v>Sales / customer receipts</x:v>
      </x:c>
      <x:c r="H38" s="15" t="str">
        <x:v>EFT receipt</x:v>
      </x:c>
      <x:c r="I38" s="15" t="str">
        <x:v>High</x:v>
      </x:c>
      <x:c r="J38" s="15" t="str">
        <x:v>eml_ALL_currentac__512781 (2).zip &gt; eml7currentac__512781.zip / FNB _-) R819.47 paid to Current a_c..512781 @ Payshap. Ref.Ik Pay 487882. 24Jan 10_39.eml</x:v>
      </x:c>
    </x:row>
    <x:row r="39">
      <x:c r="A39" s="34" t="n">
        <x:v>46049</x:v>
      </x:c>
      <x:c r="B39" s="15" t="str">
        <x:v>Capitec I Strydom</x:v>
      </x:c>
      <x:c r="C39" s="15" t="str">
        <x:v>R5071.50 paid to Current a/c..512781 @ Eft. Ref.Capitec I Strydom. 27Jan 00:00</x:v>
      </x:c>
      <x:c r="D39" s="38" t="n">
        <x:v>5071.5</x:v>
      </x:c>
      <x:c r="E39" s="15" t="str">
        <x:v>ZAR</x:v>
      </x:c>
      <x:c r="F39" s="15" t="str">
        <x:v>Current a/c..512781</x:v>
      </x:c>
      <x:c r="G39" s="15" t="str">
        <x:v>Sales / customer receipts</x:v>
      </x:c>
      <x:c r="H39" s="15" t="str">
        <x:v>EFT receipt</x:v>
      </x:c>
      <x:c r="I39" s="15" t="str">
        <x:v>High</x:v>
      </x:c>
      <x:c r="J39" s="15" t="str">
        <x:v>eml_ALL_currentac__512781 (2).zip &gt; eml7currentac__512781.zip / FNB _-) R5071.50 paid to Current a_c..512781 @ Eft. Ref.Capitec I Strydom. 27Jan 00_00.eml</x:v>
      </x:c>
    </x:row>
    <x:row r="40">
      <x:c r="A40" s="34" t="n">
        <x:v>46049.58125</x:v>
      </x:c>
      <x:c r="B40" s="15" t="str">
        <x:v>Ik Pay 487882</x:v>
      </x:c>
      <x:c r="C40" s="15" t="str">
        <x:v>R5773.25 paid to Current a/c..512781 @ Payshap. Ref.Ik Pay 487882. 27Jan 13:57</x:v>
      </x:c>
      <x:c r="D40" s="38" t="n">
        <x:v>5773.25</x:v>
      </x:c>
      <x:c r="E40" s="15" t="str">
        <x:v>ZAR</x:v>
      </x:c>
      <x:c r="F40" s="15" t="str">
        <x:v>Current a/c..512781</x:v>
      </x:c>
      <x:c r="G40" s="15" t="str">
        <x:v>Sales / customer receipts</x:v>
      </x:c>
      <x:c r="H40" s="15" t="str">
        <x:v>EFT receipt</x:v>
      </x:c>
      <x:c r="I40" s="15" t="str">
        <x:v>High</x:v>
      </x:c>
      <x:c r="J40" s="15" t="str">
        <x:v>eml_ALL_currentac__512781 (2).zip &gt; eml7currentac__512781.zip / FNB _-) R5773.25 paid to Current a_c..512781 @ Payshap. Ref.Ik Pay 487882. 27Jan 13_57.eml</x:v>
      </x:c>
    </x:row>
    <x:row r="41">
      <x:c r="A41" s="34" t="n">
        <x:v>46051.57916666667</x:v>
      </x:c>
      <x:c r="B41" s="15" t="str">
        <x:v>Ik Pay 487882</x:v>
      </x:c>
      <x:c r="C41" s="15" t="str">
        <x:v>R1312.64 paid to Current a/c..512781 @ Payshap. Ref.Ik Pay 487882. 29Jan 13:54</x:v>
      </x:c>
      <x:c r="D41" s="38" t="n">
        <x:v>1312.64</x:v>
      </x:c>
      <x:c r="E41" s="15" t="str">
        <x:v>ZAR</x:v>
      </x:c>
      <x:c r="F41" s="15" t="str">
        <x:v>Current a/c..512781</x:v>
      </x:c>
      <x:c r="G41" s="15" t="str">
        <x:v>Sales / customer receipts</x:v>
      </x:c>
      <x:c r="H41" s="15" t="str">
        <x:v>EFT receipt</x:v>
      </x:c>
      <x:c r="I41" s="15" t="str">
        <x:v>High</x:v>
      </x:c>
      <x:c r="J41" s="15" t="str">
        <x:v>eml_ALL_currentac__512781 (2).zip &gt; eml7currentac__512781.zip / FNB _-) R1312.64 paid to Current a_c..512781 @ Payshap. Ref.Ik Pay 487882. 29Jan 13_54.eml</x:v>
      </x:c>
    </x:row>
    <x:row r="42">
      <x:c r="A42" s="34" t="n">
        <x:v>46052.42222222222</x:v>
      </x:c>
      <x:c r="B42" s="15" t="str">
        <x:v>R026xr9cp0 Booking.c</x:v>
      </x:c>
      <x:c r="C42" s="15" t="str">
        <x:v>R11313.46 paid to Current a/c..512781 @ Retail Forex. Ref.R026xr9cp0 Booking.c. 30Jan 10:08</x:v>
      </x:c>
      <x:c r="D42" s="38" t="n">
        <x:v>11313.46</x:v>
      </x:c>
      <x:c r="E42" s="15" t="str">
        <x:v>ZAR</x:v>
      </x:c>
      <x:c r="F42" s="15" t="str">
        <x:v>Current a/c..512781</x:v>
      </x:c>
      <x:c r="G42" s="15" t="str">
        <x:v>Sales / customer receipts</x:v>
      </x:c>
      <x:c r="H42" s="15" t="str">
        <x:v>EFT receipt</x:v>
      </x:c>
      <x:c r="I42" s="15" t="str">
        <x:v>High</x:v>
      </x:c>
      <x:c r="J42" s="15" t="str">
        <x:v>eml_ALL_currentac__512781 (2).zip &gt; eml7currentac__512781.zip / FNB _-) R11313.46 paid to Current a_c..512781 @ Retail Forex. Ref.R026xr9cp0 Booking.c. 30Jan 10_08.eml</x:v>
      </x:c>
    </x:row>
    <x:row r="43">
      <x:c r="A43" s="34" t="n">
        <x:v>46052.580555555556</x:v>
      </x:c>
      <x:c r="B43" s="15" t="str">
        <x:v>Ik Pay 487882</x:v>
      </x:c>
      <x:c r="C43" s="15" t="str">
        <x:v>R8951.66 paid to Current a/c..512781 @ Payshap. Ref.Ik Pay 487882. 30Jan 13:56</x:v>
      </x:c>
      <x:c r="D43" s="38" t="n">
        <x:v>8951.66</x:v>
      </x:c>
      <x:c r="E43" s="15" t="str">
        <x:v>ZAR</x:v>
      </x:c>
      <x:c r="F43" s="15" t="str">
        <x:v>Current a/c..512781</x:v>
      </x:c>
      <x:c r="G43" s="15" t="str">
        <x:v>Sales / customer receipts</x:v>
      </x:c>
      <x:c r="H43" s="15" t="str">
        <x:v>EFT receipt</x:v>
      </x:c>
      <x:c r="I43" s="15" t="str">
        <x:v>High</x:v>
      </x:c>
      <x:c r="J43" s="15" t="str">
        <x:v>eml_ALL_currentac__512781 (2).zip &gt; eml7currentac__512781.zip / FNB _-) R8951.66 paid to Current a_c..512781 @ Payshap. Ref.Ik Pay 487882. 30Jan 13_56.eml</x:v>
      </x:c>
    </x:row>
    <x:row r="44">
      <x:c r="A44" s="34" t="n">
        <x:v>46055.580555555556</x:v>
      </x:c>
      <x:c r="B44" s="15" t="str">
        <x:v>Ik Pay 487882</x:v>
      </x:c>
      <x:c r="C44" s="15" t="str">
        <x:v>R17517.27 paid to Current a/c..512781 @ Payshap. Ref.Ik Pay 487882. 2Feb 13:56</x:v>
      </x:c>
      <x:c r="D44" s="38" t="n">
        <x:v>17517.27</x:v>
      </x:c>
      <x:c r="E44" s="15" t="str">
        <x:v>ZAR</x:v>
      </x:c>
      <x:c r="F44" s="15" t="str">
        <x:v>Current a/c..512781</x:v>
      </x:c>
      <x:c r="G44" s="15" t="str">
        <x:v>Sales / customer receipts</x:v>
      </x:c>
      <x:c r="H44" s="15" t="str">
        <x:v>EFT receipt</x:v>
      </x:c>
      <x:c r="I44" s="15" t="str">
        <x:v>High</x:v>
      </x:c>
      <x:c r="J44" s="15" t="str">
        <x:v>eml_ALL_currentac__512781 (2).zip &gt; eml7currentac__512781.zip / FNB _-) R17517.27 paid to Current a_c..512781 @ Payshap. Ref.Ik Pay 487882.  2Feb 13_56.eml</x:v>
      </x:c>
    </x:row>
    <x:row r="45">
      <x:c r="A45" s="34" t="n">
        <x:v>46055.626388888886</x:v>
      </x:c>
      <x:c r="B45" s="15" t="str">
        <x:v>Warner</x:v>
      </x:c>
      <x:c r="C45" s="15" t="str">
        <x:v>R257.18 paid to Current a/c..512781 @ Payshap. Ref.Warner. 2Feb 15:02</x:v>
      </x:c>
      <x:c r="D45" s="38" t="n">
        <x:v>257.18</x:v>
      </x:c>
      <x:c r="E45" s="15" t="str">
        <x:v>ZAR</x:v>
      </x:c>
      <x:c r="F45" s="15" t="str">
        <x:v>Current a/c..512781</x:v>
      </x:c>
      <x:c r="G45" s="15" t="str">
        <x:v>Sales / customer receipts</x:v>
      </x:c>
      <x:c r="H45" s="15" t="str">
        <x:v>EFT receipt</x:v>
      </x:c>
      <x:c r="I45" s="15" t="str">
        <x:v>High</x:v>
      </x:c>
      <x:c r="J45" s="15" t="str">
        <x:v>eml_ALL_currentac__512781 (2).zip &gt; eml7currentac__512781.zip / FNB _-) R257.18 paid to Current a_c..512781 @ Payshap. Ref.Warner.  2Feb 15_02.eml</x:v>
      </x:c>
    </x:row>
    <x:row r="46">
      <x:c r="A46" s="34" t="n">
        <x:v>46059.42361111111</x:v>
      </x:c>
      <x:c r="B46" s="15" t="str">
        <x:v>R026xf8n60 Booking.c</x:v>
      </x:c>
      <x:c r="C46" s="15" t="str">
        <x:v>R12861.68 paid to Current a/c..512781 @ Retail Forex. Ref.R026xf8n60 Booking.c. 6Feb 10:10</x:v>
      </x:c>
      <x:c r="D46" s="38" t="n">
        <x:v>12861.68</x:v>
      </x:c>
      <x:c r="E46" s="15" t="str">
        <x:v>ZAR</x:v>
      </x:c>
      <x:c r="F46" s="15" t="str">
        <x:v>Current a/c..512781</x:v>
      </x:c>
      <x:c r="G46" s="15" t="str">
        <x:v>Sales / customer receipts</x:v>
      </x:c>
      <x:c r="H46" s="15" t="str">
        <x:v>EFT receipt</x:v>
      </x:c>
      <x:c r="I46" s="15" t="str">
        <x:v>High</x:v>
      </x:c>
      <x:c r="J46" s="15" t="str">
        <x:v>eml_ALL_currentac__512781 (2).zip &gt; eml6currentac__512781.zip / FNB _-) R12861.68 paid to Current a_c..512781 @ Retail Forex. Ref.R026xf8n60 Booking.c.  6Feb 10_10.eml</x:v>
      </x:c>
    </x:row>
    <x:row r="47">
      <x:c r="A47" s="34" t="n">
        <x:v>46060.44861111111</x:v>
      </x:c>
      <x:c r="B47" s="15" t="str">
        <x:v>Ik Pay 487882</x:v>
      </x:c>
      <x:c r="C47" s="15" t="str">
        <x:v>R6094.96 paid to Current a/c..512781 @ Payshap. Ref.Ik Pay 487882. 7Feb 10:46</x:v>
      </x:c>
      <x:c r="D47" s="38" t="n">
        <x:v>6094.96</x:v>
      </x:c>
      <x:c r="E47" s="15" t="str">
        <x:v>ZAR</x:v>
      </x:c>
      <x:c r="F47" s="15" t="str">
        <x:v>Current a/c..512781</x:v>
      </x:c>
      <x:c r="G47" s="15" t="str">
        <x:v>Sales / customer receipts</x:v>
      </x:c>
      <x:c r="H47" s="15" t="str">
        <x:v>EFT receipt</x:v>
      </x:c>
      <x:c r="I47" s="15" t="str">
        <x:v>High</x:v>
      </x:c>
      <x:c r="J47" s="15" t="str">
        <x:v>eml_ALL_currentac__512781 (2).zip &gt; eml6currentac__512781.zip / FNB _-) R6094.96 paid to Current a_c..512781 @ Payshap. Ref.Ik Pay 487882.  7Feb 10_46.eml</x:v>
      </x:c>
    </x:row>
    <x:row r="48">
      <x:c r="A48" s="34" t="n">
        <x:v>46060.53472222222</x:v>
      </x:c>
      <x:c r="B48" s="15" t="str">
        <x:v>Cash withdrawal reversal</x:v>
      </x:c>
      <x:c r="C48" s="15" t="str">
        <x:v>REVERSAL of R200.00 withdrawn from Current a/c..512781. 7Feb 12:50</x:v>
      </x:c>
      <x:c r="D48" s="38" t="n">
        <x:v>200</x:v>
      </x:c>
      <x:c r="E48" s="15" t="str">
        <x:v>ZAR</x:v>
      </x:c>
      <x:c r="F48" s="15" t="str">
        <x:v>Current a/c..512781</x:v>
      </x:c>
      <x:c r="G48" s="15" t="str">
        <x:v>Refunds / reversals</x:v>
      </x:c>
      <x:c r="H48" s="15" t="str">
        <x:v>Reversal</x:v>
      </x:c>
      <x:c r="I48" s="15" t="str">
        <x:v>High</x:v>
      </x:c>
      <x:c r="J48" s="15" t="str">
        <x:v>eml_ALL_currentac__512781 (2).zip &gt; eml6currentac__512781.zip / FNB _-) REVERSAL of R200.00 withdrawn from Current a_c..512781.  7Feb 12_50.eml</x:v>
      </x:c>
    </x:row>
    <x:row r="49">
      <x:c r="A49" s="34" t="n">
        <x:v>46062.57152777778</x:v>
      </x:c>
      <x:c r="B49" s="15" t="str">
        <x:v>Ik Pay 487882</x:v>
      </x:c>
      <x:c r="C49" s="15" t="str">
        <x:v>R14766.58 paid to Current a/c..512781 @ Payshap. Ref.Ik Pay 487882. 9Feb 13:43</x:v>
      </x:c>
      <x:c r="D49" s="38" t="n">
        <x:v>14766.58</x:v>
      </x:c>
      <x:c r="E49" s="15" t="str">
        <x:v>ZAR</x:v>
      </x:c>
      <x:c r="F49" s="15" t="str">
        <x:v>Current a/c..512781</x:v>
      </x:c>
      <x:c r="G49" s="15" t="str">
        <x:v>Sales / customer receipts</x:v>
      </x:c>
      <x:c r="H49" s="15" t="str">
        <x:v>EFT receipt</x:v>
      </x:c>
      <x:c r="I49" s="15" t="str">
        <x:v>High</x:v>
      </x:c>
      <x:c r="J49" s="15" t="str">
        <x:v>eml_ALL_currentac__512781 (2).zip &gt; eml6currentac__512781.zip / FNB _-) R14766.58 paid to Current a_c..512781 @ Payshap. Ref.Ik Pay 487882.  9Feb 13_43.eml</x:v>
      </x:c>
    </x:row>
    <x:row r="50">
      <x:c r="A50" s="34" t="n">
        <x:v>46063.57777777778</x:v>
      </x:c>
      <x:c r="B50" s="15" t="str">
        <x:v>Ik Pay 487882</x:v>
      </x:c>
      <x:c r="C50" s="15" t="str">
        <x:v>R2266.11 paid to Current a/c..512781 @ Payshap. Ref.Ik Pay 487882. 10Feb 13:52</x:v>
      </x:c>
      <x:c r="D50" s="38" t="n">
        <x:v>2266.11</x:v>
      </x:c>
      <x:c r="E50" s="15" t="str">
        <x:v>ZAR</x:v>
      </x:c>
      <x:c r="F50" s="15" t="str">
        <x:v>Current a/c..512781</x:v>
      </x:c>
      <x:c r="G50" s="15" t="str">
        <x:v>Sales / customer receipts</x:v>
      </x:c>
      <x:c r="H50" s="15" t="str">
        <x:v>EFT receipt</x:v>
      </x:c>
      <x:c r="I50" s="15" t="str">
        <x:v>High</x:v>
      </x:c>
      <x:c r="J50" s="15" t="str">
        <x:v>eml_ALL_currentac__512781 (2).zip &gt; eml6currentac__512781.zip / FNB _-) R2266.11 paid to Current a_c..512781 @ Payshap. Ref.Ik Pay 487882. 10Feb 13_52.eml</x:v>
      </x:c>
    </x:row>
    <x:row r="51">
      <x:c r="A51" s="34" t="n">
        <x:v>46064</x:v>
      </x:c>
      <x:c r="B51" s="15" t="str">
        <x:v>Rev Ag18 3884 Olif</x:v>
      </x:c>
      <x:c r="C51" s="15" t="str">
        <x:v>R200.00 paid to Current a/c..512781 @ Eft. Ref.Rev Ag18 3884 Olif. 11Feb 00:00</x:v>
      </x:c>
      <x:c r="D51" s="38" t="n">
        <x:v>200</x:v>
      </x:c>
      <x:c r="E51" s="15" t="str">
        <x:v>ZAR</x:v>
      </x:c>
      <x:c r="F51" s="15" t="str">
        <x:v>Current a/c..512781</x:v>
      </x:c>
      <x:c r="G51" s="15" t="str">
        <x:v>Sales / customer receipts</x:v>
      </x:c>
      <x:c r="H51" s="15" t="str">
        <x:v>EFT receipt</x:v>
      </x:c>
      <x:c r="I51" s="15" t="str">
        <x:v>High</x:v>
      </x:c>
      <x:c r="J51" s="15" t="str">
        <x:v>eml_ALL_currentac__512781 (2).zip &gt; eml6currentac__512781.zip / FNB _-) R200.00 paid to Current a_c..512781 @ Eft. Ref.Rev Ag18 3884 Olif. 11Feb 00_00.eml</x:v>
      </x:c>
    </x:row>
    <x:row r="52">
      <x:c r="A52" s="34" t="n">
        <x:v>46065.353472222225</x:v>
      </x:c>
      <x:c r="B52" s="15" t="str">
        <x:v>R026x4wv90 Booking.c</x:v>
      </x:c>
      <x:c r="C52" s="15" t="str">
        <x:v>R35459.34 paid to Current a/c..512781 @ Retail Forex. Ref.R026x4wv90 Booking.c. 12Feb 08:29</x:v>
      </x:c>
      <x:c r="D52" s="38" t="n">
        <x:v>35459.34</x:v>
      </x:c>
      <x:c r="E52" s="15" t="str">
        <x:v>ZAR</x:v>
      </x:c>
      <x:c r="F52" s="15" t="str">
        <x:v>Current a/c..512781</x:v>
      </x:c>
      <x:c r="G52" s="15" t="str">
        <x:v>Sales / customer receipts</x:v>
      </x:c>
      <x:c r="H52" s="15" t="str">
        <x:v>EFT receipt</x:v>
      </x:c>
      <x:c r="I52" s="15" t="str">
        <x:v>High</x:v>
      </x:c>
      <x:c r="J52" s="15" t="str">
        <x:v>eml_ALL_currentac__512781 (2).zip &gt; eml6currentac__512781.zip / FNB _-) R35459.34 paid to Current a_c..512781 @ Retail Forex. Ref.R026x4wv90 Booking.c. 12Feb 08_29.eml</x:v>
      </x:c>
    </x:row>
    <x:row r="53">
      <x:c r="A53" s="34" t="n">
        <x:v>46065.58611111111</x:v>
      </x:c>
      <x:c r="B53" s="15" t="str">
        <x:v>Ik Pay 487882</x:v>
      </x:c>
      <x:c r="C53" s="15" t="str">
        <x:v>R3559.21 paid to Current a/c..512781 @ Payshap. Ref.Ik Pay 487882. 12Feb 14:04</x:v>
      </x:c>
      <x:c r="D53" s="38" t="n">
        <x:v>3559.21</x:v>
      </x:c>
      <x:c r="E53" s="15" t="str">
        <x:v>ZAR</x:v>
      </x:c>
      <x:c r="F53" s="15" t="str">
        <x:v>Current a/c..512781</x:v>
      </x:c>
      <x:c r="G53" s="15" t="str">
        <x:v>Sales / customer receipts</x:v>
      </x:c>
      <x:c r="H53" s="15" t="str">
        <x:v>EFT receipt</x:v>
      </x:c>
      <x:c r="I53" s="15" t="str">
        <x:v>High</x:v>
      </x:c>
      <x:c r="J53" s="15" t="str">
        <x:v>eml_ALL_currentac__512781 (2).zip &gt; eml6currentac__512781.zip / FNB _-) R3559.21 paid to Current a_c..512781 @ Payshap. Ref.Ik Pay 487882. 12Feb 14_04.eml</x:v>
      </x:c>
    </x:row>
    <x:row r="54">
      <x:c r="A54" s="34" t="n">
        <x:v>46069.57430555556</x:v>
      </x:c>
      <x:c r="B54" s="15" t="str">
        <x:v>Ik Pay 487882</x:v>
      </x:c>
      <x:c r="C54" s="15" t="str">
        <x:v>R7869.08 paid to Current a/c..512781 @ Payshap. Ref.Ik Pay 487882. 16Feb 13:47</x:v>
      </x:c>
      <x:c r="D54" s="38" t="n">
        <x:v>7869.08</x:v>
      </x:c>
      <x:c r="E54" s="15" t="str">
        <x:v>ZAR</x:v>
      </x:c>
      <x:c r="F54" s="15" t="str">
        <x:v>Current a/c..512781</x:v>
      </x:c>
      <x:c r="G54" s="15" t="str">
        <x:v>Sales / customer receipts</x:v>
      </x:c>
      <x:c r="H54" s="15" t="str">
        <x:v>EFT receipt</x:v>
      </x:c>
      <x:c r="I54" s="15" t="str">
        <x:v>High</x:v>
      </x:c>
      <x:c r="J54" s="15" t="str">
        <x:v>eml_ALL_currentac__512781 (2).zip &gt; eml6currentac__512781.zip / FNB _-) R7869.08 paid to Current a_c..512781 @ Payshap. Ref.Ik Pay 487882. 16Feb 13_47.eml</x:v>
      </x:c>
    </x:row>
    <x:row r="55">
      <x:c r="A55" s="34" t="n">
        <x:v>46072.35</x:v>
      </x:c>
      <x:c r="B55" s="15" t="str">
        <x:v>R026wwtl60 Booking.c</x:v>
      </x:c>
      <x:c r="C55" s="15" t="str">
        <x:v>R26868.57 paid to Current a/c..512781 @ Retail Forex. Ref.R026wwtl60 Booking.c. 19Feb 08:24</x:v>
      </x:c>
      <x:c r="D55" s="38" t="n">
        <x:v>26868.57</x:v>
      </x:c>
      <x:c r="E55" s="15" t="str">
        <x:v>ZAR</x:v>
      </x:c>
      <x:c r="F55" s="15" t="str">
        <x:v>Current a/c..512781</x:v>
      </x:c>
      <x:c r="G55" s="15" t="str">
        <x:v>Sales / customer receipts</x:v>
      </x:c>
      <x:c r="H55" s="15" t="str">
        <x:v>EFT receipt</x:v>
      </x:c>
      <x:c r="I55" s="15" t="str">
        <x:v>High</x:v>
      </x:c>
      <x:c r="J55" s="15" t="str">
        <x:v>eml_ALL_currentac__512781 (2).zip &gt; eml6currentac__512781.zip / FNB _-) R26868.57 paid to Current a_c..512781 @ Retail Forex. Ref.R026wwtl60 Booking.c. 19Feb 08_24.eml</x:v>
      </x:c>
    </x:row>
    <x:row r="56">
      <x:c r="A56" s="34" t="n">
        <x:v>46072.57638888889</x:v>
      </x:c>
      <x:c r="B56" s="15" t="str">
        <x:v>Ik Pay 487882</x:v>
      </x:c>
      <x:c r="C56" s="15" t="str">
        <x:v>R13138.92 paid to Current a/c..512781 @ Payshap. Ref.Ik Pay 487882. 19Feb 13:50</x:v>
      </x:c>
      <x:c r="D56" s="38" t="n">
        <x:v>13138.92</x:v>
      </x:c>
      <x:c r="E56" s="15" t="str">
        <x:v>ZAR</x:v>
      </x:c>
      <x:c r="F56" s="15" t="str">
        <x:v>Current a/c..512781</x:v>
      </x:c>
      <x:c r="G56" s="15" t="str">
        <x:v>Sales / customer receipts</x:v>
      </x:c>
      <x:c r="H56" s="15" t="str">
        <x:v>EFT receipt</x:v>
      </x:c>
      <x:c r="I56" s="15" t="str">
        <x:v>High</x:v>
      </x:c>
      <x:c r="J56" s="15" t="str">
        <x:v>eml_ALL_currentac__512781 (2).zip &gt; eml6currentac__512781.zip / FNB _-) R13138.92 paid to Current a_c..512781 @ Payshap. Ref.Ik Pay 487882. 19Feb 13_50.eml</x:v>
      </x:c>
    </x:row>
    <x:row r="57">
      <x:c r="A57" s="34" t="n">
        <x:v>46073.39166666667</x:v>
      </x:c>
      <x:c r="B57" s="15" t="str">
        <x:v>Candace Osbourn</x:v>
      </x:c>
      <x:c r="C57" s="15" t="str">
        <x:v>R12000.00 paid to Current a/c..512781 @ Smartapp. Ref.Candace Osbourn. 20Feb 09:24</x:v>
      </x:c>
      <x:c r="D57" s="38" t="n">
        <x:v>12000</x:v>
      </x:c>
      <x:c r="E57" s="15" t="str">
        <x:v>ZAR</x:v>
      </x:c>
      <x:c r="F57" s="15" t="str">
        <x:v>Current a/c..512781</x:v>
      </x:c>
      <x:c r="G57" s="15" t="str">
        <x:v>Sales / customer receipts</x:v>
      </x:c>
      <x:c r="H57" s="15" t="str">
        <x:v>EFT receipt</x:v>
      </x:c>
      <x:c r="I57" s="15" t="str">
        <x:v>High</x:v>
      </x:c>
      <x:c r="J57" s="15" t="str">
        <x:v>eml_ALL_currentac__512781 (2).zip &gt; eml6currentac__512781.zip / FNB _-) R12000.00 paid to Current a_c..512781 @ Smartapp. Ref.Candace Osbourn. 20Feb 09_24.eml</x:v>
      </x:c>
    </x:row>
    <x:row r="58">
      <x:c r="A58" s="34" t="n">
        <x:v>46073.572222222225</x:v>
      </x:c>
      <x:c r="B58" s="15" t="str">
        <x:v>Ik Pay 487882</x:v>
      </x:c>
      <x:c r="C58" s="15" t="str">
        <x:v>R18036.32 paid to Current a/c..512781 @ Payshap. Ref.Ik Pay 487882. 20Feb 13:44</x:v>
      </x:c>
      <x:c r="D58" s="38" t="n">
        <x:v>18036.32</x:v>
      </x:c>
      <x:c r="E58" s="15" t="str">
        <x:v>ZAR</x:v>
      </x:c>
      <x:c r="F58" s="15" t="str">
        <x:v>Current a/c..512781</x:v>
      </x:c>
      <x:c r="G58" s="15" t="str">
        <x:v>Sales / customer receipts</x:v>
      </x:c>
      <x:c r="H58" s="15" t="str">
        <x:v>EFT receipt</x:v>
      </x:c>
      <x:c r="I58" s="15" t="str">
        <x:v>High</x:v>
      </x:c>
      <x:c r="J58" s="15" t="str">
        <x:v>eml_ALL_currentac__512781 (2).zip &gt; eml6currentac__512781.zip / FNB _-) R18036.32 paid to Current a_c..512781 @ Payshap. Ref.Ik Pay 487882. 20Feb 13_44.eml</x:v>
      </x:c>
    </x:row>
    <x:row r="59">
      <x:c r="A59" s="34" t="n">
        <x:v>46075.39097222222</x:v>
      </x:c>
      <x:c r="B59" s="15" t="str">
        <x:v>#inv-000167</x:v>
      </x:c>
      <x:c r="C59" s="15" t="str">
        <x:v>R512.33 paid to Current a/c..512781 @ Payshap. Ref.#inv-000167. 22Feb 09:23</x:v>
      </x:c>
      <x:c r="D59" s="38" t="n">
        <x:v>512.33</x:v>
      </x:c>
      <x:c r="E59" s="15" t="str">
        <x:v>ZAR</x:v>
      </x:c>
      <x:c r="F59" s="15" t="str">
        <x:v>Current a/c..512781</x:v>
      </x:c>
      <x:c r="G59" s="15" t="str">
        <x:v>Sales / customer receipts</x:v>
      </x:c>
      <x:c r="H59" s="15" t="str">
        <x:v>EFT receipt</x:v>
      </x:c>
      <x:c r="I59" s="15" t="str">
        <x:v>High</x:v>
      </x:c>
      <x:c r="J59" s="15" t="str">
        <x:v>eml_ALL_currentac__512781 (2).zip &gt; eml6currentac__512781.zip / FNB _-) R512.33 paid to Current a_c..512781 @ Payshap. Ref.#inv-000167. 22Feb 09_23.eml</x:v>
      </x:c>
    </x:row>
    <x:row r="60">
      <x:c r="A60" s="34" t="n">
        <x:v>46078.489583333336</x:v>
      </x:c>
      <x:c r="B60" s="15" t="str">
        <x:v>274689,04294887007</x:v>
      </x:c>
      <x:c r="C60" s="15" t="str">
        <x:v>R500.00 paid to Current a/c..512781 @ Smartapp. Ref.274689,04294887007. 25Feb 11:45</x:v>
      </x:c>
      <x:c r="D60" s="38" t="n">
        <x:v>500</x:v>
      </x:c>
      <x:c r="E60" s="15" t="str">
        <x:v>ZAR</x:v>
      </x:c>
      <x:c r="F60" s="15" t="str">
        <x:v>Current a/c..512781</x:v>
      </x:c>
      <x:c r="G60" s="15" t="str">
        <x:v>Sales / customer receipts</x:v>
      </x:c>
      <x:c r="H60" s="15" t="str">
        <x:v>EFT receipt</x:v>
      </x:c>
      <x:c r="I60" s="15" t="str">
        <x:v>High</x:v>
      </x:c>
      <x:c r="J60" s="15" t="str">
        <x:v>eml_ALL_currentac__512781 (2).zip &gt; eml5currentac__512781.zip / FNB _-) R500.00 paid to Current a_c..512781 @ Smartapp. Ref.274689,04294887007. 25Feb 11_45.eml</x:v>
      </x:c>
    </x:row>
    <x:row r="61">
      <x:c r="A61" s="34" t="n">
        <x:v>46078.49097222222</x:v>
      </x:c>
      <x:c r="B61" s="15" t="str">
        <x:v>274942,04294887007</x:v>
      </x:c>
      <x:c r="C61" s="15" t="str">
        <x:v>R500.00 paid to Current a/c..512781 @ Smartapp. Ref.274942,04294887007. 25Feb 11:47</x:v>
      </x:c>
      <x:c r="D61" s="38" t="n">
        <x:v>500</x:v>
      </x:c>
      <x:c r="E61" s="15" t="str">
        <x:v>ZAR</x:v>
      </x:c>
      <x:c r="F61" s="15" t="str">
        <x:v>Current a/c..512781</x:v>
      </x:c>
      <x:c r="G61" s="15" t="str">
        <x:v>Sales / customer receipts</x:v>
      </x:c>
      <x:c r="H61" s="15" t="str">
        <x:v>EFT receipt</x:v>
      </x:c>
      <x:c r="I61" s="15" t="str">
        <x:v>High</x:v>
      </x:c>
      <x:c r="J61" s="15" t="str">
        <x:v>eml_ALL_currentac__512781 (2).zip &gt; eml5currentac__512781.zip / FNB _-) R500.00 paid to Current a_c..512781 @ Smartapp. Ref.274942,04294887007. 25Feb 11_47.eml</x:v>
      </x:c>
    </x:row>
    <x:row r="62">
      <x:c r="A62" s="34" t="n">
        <x:v>46078.52222222222</x:v>
      </x:c>
      <x:c r="B62" s="15" t="str">
        <x:v>281057,04294887007</x:v>
      </x:c>
      <x:c r="C62" s="15" t="str">
        <x:v>R500.00 paid to Current a/c..512781 @ Smartapp. Ref.281057,04294887007. 25Feb 12:32</x:v>
      </x:c>
      <x:c r="D62" s="38" t="n">
        <x:v>500</x:v>
      </x:c>
      <x:c r="E62" s="15" t="str">
        <x:v>ZAR</x:v>
      </x:c>
      <x:c r="F62" s="15" t="str">
        <x:v>Current a/c..512781</x:v>
      </x:c>
      <x:c r="G62" s="15" t="str">
        <x:v>Sales / customer receipts</x:v>
      </x:c>
      <x:c r="H62" s="15" t="str">
        <x:v>EFT receipt</x:v>
      </x:c>
      <x:c r="I62" s="15" t="str">
        <x:v>High</x:v>
      </x:c>
      <x:c r="J62" s="15" t="str">
        <x:v>eml_ALL_currentac__512781 (2).zip &gt; eml5currentac__512781.zip / FNB _-) R500.00 paid to Current a_c..512781 @ Smartapp. Ref.281057,04294887007. 25Feb 12_32.eml</x:v>
      </x:c>
    </x:row>
    <x:row r="63">
      <x:c r="A63" s="34" t="n">
        <x:v>46078.552083333336</x:v>
      </x:c>
      <x:c r="B63" s="15" t="str">
        <x:v>286562,04294887007</x:v>
      </x:c>
      <x:c r="C63" s="15" t="str">
        <x:v>R500.00 paid to Current a/c..512781 @ Smartapp. Ref.286562,04294887007. 25Feb 13:15</x:v>
      </x:c>
      <x:c r="D63" s="38" t="n">
        <x:v>500</x:v>
      </x:c>
      <x:c r="E63" s="15" t="str">
        <x:v>ZAR</x:v>
      </x:c>
      <x:c r="F63" s="15" t="str">
        <x:v>Current a/c..512781</x:v>
      </x:c>
      <x:c r="G63" s="15" t="str">
        <x:v>Sales / customer receipts</x:v>
      </x:c>
      <x:c r="H63" s="15" t="str">
        <x:v>EFT receipt</x:v>
      </x:c>
      <x:c r="I63" s="15" t="str">
        <x:v>High</x:v>
      </x:c>
      <x:c r="J63" s="15" t="str">
        <x:v>eml_ALL_currentac__512781 (2).zip &gt; eml5currentac__512781.zip / FNB _-) R500.00 paid to Current a_c..512781 @ Smartapp. Ref.286562,04294887007. 25Feb 13_15.eml</x:v>
      </x:c>
    </x:row>
    <x:row r="64">
      <x:c r="A64" s="34" t="n">
        <x:v>46078.75625</x:v>
      </x:c>
      <x:c r="B64" s="15" t="str">
        <x:v>338139,04294887007</x:v>
      </x:c>
      <x:c r="C64" s="15" t="str">
        <x:v>R500.00 paid to Current a/c..512781 @ Smartapp. Ref.338139,04294887007. 25Feb 18:09</x:v>
      </x:c>
      <x:c r="D64" s="38" t="n">
        <x:v>500</x:v>
      </x:c>
      <x:c r="E64" s="15" t="str">
        <x:v>ZAR</x:v>
      </x:c>
      <x:c r="F64" s="15" t="str">
        <x:v>Current a/c..512781</x:v>
      </x:c>
      <x:c r="G64" s="15" t="str">
        <x:v>Sales / customer receipts</x:v>
      </x:c>
      <x:c r="H64" s="15" t="str">
        <x:v>EFT receipt</x:v>
      </x:c>
      <x:c r="I64" s="15" t="str">
        <x:v>High</x:v>
      </x:c>
      <x:c r="J64" s="15" t="str">
        <x:v>eml_ALL_currentac__512781 (2).zip &gt; eml5currentac__512781.zip / FNB _-) R500.00 paid to Current a_c..512781 @ Smartapp. Ref.338139,04294887007. 25Feb 18_09.eml</x:v>
      </x:c>
    </x:row>
    <x:row r="65">
      <x:c r="A65" s="34" t="n">
        <x:v>46079.342361111114</x:v>
      </x:c>
      <x:c r="B65" s="15" t="str">
        <x:v>Inv# - 000170</x:v>
      </x:c>
      <x:c r="C65" s="15" t="str">
        <x:v>R521.64 paid to Current a/c..512781 @ Payshap. Ref.Inv# - 000170. 26Feb 08:13</x:v>
      </x:c>
      <x:c r="D65" s="38" t="n">
        <x:v>521.64</x:v>
      </x:c>
      <x:c r="E65" s="15" t="str">
        <x:v>ZAR</x:v>
      </x:c>
      <x:c r="F65" s="15" t="str">
        <x:v>Current a/c..512781</x:v>
      </x:c>
      <x:c r="G65" s="15" t="str">
        <x:v>Sales / customer receipts</x:v>
      </x:c>
      <x:c r="H65" s="15" t="str">
        <x:v>EFT receipt</x:v>
      </x:c>
      <x:c r="I65" s="15" t="str">
        <x:v>High</x:v>
      </x:c>
      <x:c r="J65" s="15" t="str">
        <x:v>eml_ALL_currentac__512781 (2).zip &gt; eml5currentac__512781.zip / FNB _-) R521.64 paid to Current a_c..512781 @ Payshap. Ref.Inv# - 000170. 26Feb 08_13.eml</x:v>
      </x:c>
    </x:row>
    <x:row r="66">
      <x:c r="A66" s="34" t="n">
        <x:v>46079.57361111111</x:v>
      </x:c>
      <x:c r="B66" s="15" t="str">
        <x:v>Ik Pay 487882</x:v>
      </x:c>
      <x:c r="C66" s="15" t="str">
        <x:v>R2172.96 paid to Current a/c..512781 @ Payshap. Ref.Ik Pay 487882. 26Feb 13:46</x:v>
      </x:c>
      <x:c r="D66" s="38" t="n">
        <x:v>2172.96</x:v>
      </x:c>
      <x:c r="E66" s="15" t="str">
        <x:v>ZAR</x:v>
      </x:c>
      <x:c r="F66" s="15" t="str">
        <x:v>Current a/c..512781</x:v>
      </x:c>
      <x:c r="G66" s="15" t="str">
        <x:v>Sales / customer receipts</x:v>
      </x:c>
      <x:c r="H66" s="15" t="str">
        <x:v>EFT receipt</x:v>
      </x:c>
      <x:c r="I66" s="15" t="str">
        <x:v>High</x:v>
      </x:c>
      <x:c r="J66" s="15" t="str">
        <x:v>eml_ALL_currentac__512781 (2).zip &gt; eml5currentac__512781.zip / FNB _-) R2172.96 paid to Current a_c..512781 @ Payshap. Ref.Ik Pay 487882. 26Feb 13_46.eml</x:v>
      </x:c>
    </x:row>
    <x:row r="67">
      <x:c r="A67" s="34" t="n">
        <x:v>46080.41805555556</x:v>
      </x:c>
      <x:c r="B67" s="15" t="str">
        <x:v>R026wj48l0 Booking.c</x:v>
      </x:c>
      <x:c r="C67" s="15" t="str">
        <x:v>R30949.25 paid to Current a/c..512781 @ Retail Forex. Ref.R026wj48l0 Booking.c. 27Feb 10:02</x:v>
      </x:c>
      <x:c r="D67" s="38" t="n">
        <x:v>30949.25</x:v>
      </x:c>
      <x:c r="E67" s="15" t="str">
        <x:v>ZAR</x:v>
      </x:c>
      <x:c r="F67" s="15" t="str">
        <x:v>Current a/c..512781</x:v>
      </x:c>
      <x:c r="G67" s="15" t="str">
        <x:v>Sales / customer receipts</x:v>
      </x:c>
      <x:c r="H67" s="15" t="str">
        <x:v>EFT receipt</x:v>
      </x:c>
      <x:c r="I67" s="15" t="str">
        <x:v>High</x:v>
      </x:c>
      <x:c r="J67" s="15" t="str">
        <x:v>eml_ALL_currentac__512781 (2).zip &gt; eml5currentac__512781.zip / FNB _-) R30949.25 paid to Current a_c..512781 @ Retail Forex. Ref.R026wj48l0 Booking.c. 27Feb 10_02.eml</x:v>
      </x:c>
    </x:row>
    <x:row r="68">
      <x:c r="A68" s="34" t="n">
        <x:v>46080.57847222222</x:v>
      </x:c>
      <x:c r="B68" s="15" t="str">
        <x:v>Ik Pay 487882</x:v>
      </x:c>
      <x:c r="C68" s="15" t="str">
        <x:v>R11714.18 paid to Current a/c..512781 @ Payshap. Ref.Ik Pay 487882. 27Feb 13:53</x:v>
      </x:c>
      <x:c r="D68" s="38" t="n">
        <x:v>11714.18</x:v>
      </x:c>
      <x:c r="E68" s="15" t="str">
        <x:v>ZAR</x:v>
      </x:c>
      <x:c r="F68" s="15" t="str">
        <x:v>Current a/c..512781</x:v>
      </x:c>
      <x:c r="G68" s="15" t="str">
        <x:v>Sales / customer receipts</x:v>
      </x:c>
      <x:c r="H68" s="15" t="str">
        <x:v>EFT receipt</x:v>
      </x:c>
      <x:c r="I68" s="15" t="str">
        <x:v>High</x:v>
      </x:c>
      <x:c r="J68" s="15" t="str">
        <x:v>eml_ALL_currentac__512781 (2).zip &gt; eml5currentac__512781.zip / FNB _-) R11714.18 paid to Current a_c..512781 @ Payshap. Ref.Ik Pay 487882. 27Feb 13_53.eml</x:v>
      </x:c>
    </x:row>
    <x:row r="69">
      <x:c r="A69" s="34" t="n">
        <x:v>46086.35763888889</x:v>
      </x:c>
      <x:c r="B69" s="15" t="str">
        <x:v>R026w3r9l0 Booking.c</x:v>
      </x:c>
      <x:c r="C69" s="15" t="str">
        <x:v>R15593.21 paid to Current a/c..512781 @ Retail Forex. Ref.R026w3r9l0 Booking.c. 5Mar 08:35</x:v>
      </x:c>
      <x:c r="D69" s="38" t="n">
        <x:v>15593.21</x:v>
      </x:c>
      <x:c r="E69" s="15" t="str">
        <x:v>ZAR</x:v>
      </x:c>
      <x:c r="F69" s="15" t="str">
        <x:v>Current a/c..512781</x:v>
      </x:c>
      <x:c r="G69" s="15" t="str">
        <x:v>Sales / customer receipts</x:v>
      </x:c>
      <x:c r="H69" s="15" t="str">
        <x:v>EFT receipt</x:v>
      </x:c>
      <x:c r="I69" s="15" t="str">
        <x:v>High</x:v>
      </x:c>
      <x:c r="J69" s="15" t="str">
        <x:v>eml_ALL_currentac__512781 (2).zip &gt; eml5currentac__512781.zip / FNB _-) R15593.21 paid to Current a_c..512781 @ Retail Forex. Ref.R026w3r9l0 Booking.c.  5Mar 08_35.eml</x:v>
      </x:c>
    </x:row>
    <x:row r="70">
      <x:c r="A70" s="34" t="n">
        <x:v>46087.57708333333</x:v>
      </x:c>
      <x:c r="B70" s="15" t="str">
        <x:v>Ik Pay 487882</x:v>
      </x:c>
      <x:c r="C70" s="15" t="str">
        <x:v>R817.06 paid to Current a/c..512781 @ Payshap. Ref.Ik Pay 487882. 6Mar 13:51</x:v>
      </x:c>
      <x:c r="D70" s="38" t="n">
        <x:v>817.06</x:v>
      </x:c>
      <x:c r="E70" s="15" t="str">
        <x:v>ZAR</x:v>
      </x:c>
      <x:c r="F70" s="15" t="str">
        <x:v>Current a/c..512781</x:v>
      </x:c>
      <x:c r="G70" s="15" t="str">
        <x:v>Sales / customer receipts</x:v>
      </x:c>
      <x:c r="H70" s="15" t="str">
        <x:v>EFT receipt</x:v>
      </x:c>
      <x:c r="I70" s="15" t="str">
        <x:v>High</x:v>
      </x:c>
      <x:c r="J70" s="15" t="str">
        <x:v>eml_ALL_currentac__512781 (2).zip &gt; eml5currentac__512781.zip / FNB _-) R817.06 paid to Current a_c..512781 @ Payshap. Ref.Ik Pay 487882.  6Mar 13_51.eml</x:v>
      </x:c>
    </x:row>
    <x:row r="71">
      <x:c r="A71" s="34" t="n">
        <x:v>46088.40555555555</x:v>
      </x:c>
      <x:c r="B71" s="15" t="str">
        <x:v>Ag1 Seaside Village</x:v>
      </x:c>
      <x:c r="C71" s="15" t="str">
        <x:v>R765.00 paid to Current a/c..512781 @ Online Banking. Ref.Ag1 Seaside Village. 7Mar 09:44</x:v>
      </x:c>
      <x:c r="D71" s="38" t="n">
        <x:v>765</x:v>
      </x:c>
      <x:c r="E71" s="15" t="str">
        <x:v>ZAR</x:v>
      </x:c>
      <x:c r="F71" s="15" t="str">
        <x:v>Current a/c..512781</x:v>
      </x:c>
      <x:c r="G71" s="15" t="str">
        <x:v>Sales / customer receipts</x:v>
      </x:c>
      <x:c r="H71" s="15" t="str">
        <x:v>EFT receipt</x:v>
      </x:c>
      <x:c r="I71" s="15" t="str">
        <x:v>High</x:v>
      </x:c>
      <x:c r="J71" s="15" t="str">
        <x:v>eml_ALL_currentac__512781 (2).zip &gt; eml5currentac__512781.zip / FNB _-) R765.00 paid to Current a_c..512781 @ Online Banking. Ref.Ag1 Seaside Village.  7Mar 09_44.eml</x:v>
      </x:c>
    </x:row>
    <x:row r="72">
      <x:c r="A72" s="34" t="n">
        <x:v>46088.40694444445</x:v>
      </x:c>
      <x:c r="B72" s="15" t="str">
        <x:v>Ag1 Seaside Village</x:v>
      </x:c>
      <x:c r="C72" s="15" t="str">
        <x:v>R18277.16 paid to Current a/c..512781 @ Online Banking. Ref.Ag1 Seaside Village. 7Mar 09:46</x:v>
      </x:c>
      <x:c r="D72" s="38" t="n">
        <x:v>18277.16</x:v>
      </x:c>
      <x:c r="E72" s="15" t="str">
        <x:v>ZAR</x:v>
      </x:c>
      <x:c r="F72" s="15" t="str">
        <x:v>Current a/c..512781</x:v>
      </x:c>
      <x:c r="G72" s="15" t="str">
        <x:v>Sales / customer receipts</x:v>
      </x:c>
      <x:c r="H72" s="15" t="str">
        <x:v>EFT receipt</x:v>
      </x:c>
      <x:c r="I72" s="15" t="str">
        <x:v>High</x:v>
      </x:c>
      <x:c r="J72" s="15" t="str">
        <x:v>eml_ALL_currentac__512781 (2).zip &gt; eml5currentac__512781.zip / FNB _-) R18277.16 paid to Current a_c..512781 @ Online Banking. Ref.Ag1 Seaside Village.  7Mar 09_46.eml</x:v>
      </x:c>
    </x:row>
    <x:row r="73">
      <x:c r="A73" s="34" t="n">
        <x:v>46089.57083333333</x:v>
      </x:c>
      <x:c r="B73" s="15" t="str">
        <x:v>7f040 Airbnb Payment</x:v>
      </x:c>
      <x:c r="C73" s="15" t="str">
        <x:v>R2830.85 paid to Current a/c..512781 @ Payshap. Ref.7f040 Airbnb Payment. 8Mar 13:42</x:v>
      </x:c>
      <x:c r="D73" s="38" t="n">
        <x:v>2830.85</x:v>
      </x:c>
      <x:c r="E73" s="15" t="str">
        <x:v>ZAR</x:v>
      </x:c>
      <x:c r="F73" s="15" t="str">
        <x:v>Current a/c..512781</x:v>
      </x:c>
      <x:c r="G73" s="15" t="str">
        <x:v>Sales / customer receipts</x:v>
      </x:c>
      <x:c r="H73" s="15" t="str">
        <x:v>EFT receipt</x:v>
      </x:c>
      <x:c r="I73" s="15" t="str">
        <x:v>High</x:v>
      </x:c>
      <x:c r="J73" s="15" t="str">
        <x:v>eml_ALL_currentac__512781 (2).zip &gt; eml5currentac__512781.zip / FNB _-) R2830.85 paid to Current a_c..512781 @ Payshap. Ref.7f040 Airbnb Payment.  8Mar 13_42.eml</x:v>
      </x:c>
    </x:row>
    <x:row r="74">
      <x:c r="A74" s="34" t="n">
        <x:v>46093.34722222222</x:v>
      </x:c>
      <x:c r="B74" s="15" t="str">
        <x:v>R026vwnk80 Booking.c</x:v>
      </x:c>
      <x:c r="C74" s="15" t="str">
        <x:v>R29321.53 paid to Current a/c..512781 @ Retail Forex. Ref.R026vwnk80 Booking.c. 12Mar 08:20</x:v>
      </x:c>
      <x:c r="D74" s="38" t="n">
        <x:v>29321.53</x:v>
      </x:c>
      <x:c r="E74" s="15" t="str">
        <x:v>ZAR</x:v>
      </x:c>
      <x:c r="F74" s="15" t="str">
        <x:v>Current a/c..512781</x:v>
      </x:c>
      <x:c r="G74" s="15" t="str">
        <x:v>Sales / customer receipts</x:v>
      </x:c>
      <x:c r="H74" s="15" t="str">
        <x:v>EFT receipt</x:v>
      </x:c>
      <x:c r="I74" s="15" t="str">
        <x:v>High</x:v>
      </x:c>
      <x:c r="J74" s="15" t="str">
        <x:v>eml_ALL_currentac__512781 (2).zip &gt; eml5currentac__512781.zip / FNB _-) R29321.53 paid to Current a_c..512781 @ Retail Forex. Ref.R026vwnk80 Booking.c. 12Mar 08_20.eml</x:v>
      </x:c>
    </x:row>
    <x:row r="75">
      <x:c r="A75" s="34" t="n">
        <x:v>46093.572222222225</x:v>
      </x:c>
      <x:c r="B75" s="15" t="str">
        <x:v>Reeva</x:v>
      </x:c>
      <x:c r="C75" s="15" t="str">
        <x:v>R1500.00 paid to Current a/c..512781 @ Smartapp. Ref.Reeva. 12Mar 13:44</x:v>
      </x:c>
      <x:c r="D75" s="38" t="n">
        <x:v>1500</x:v>
      </x:c>
      <x:c r="E75" s="15" t="str">
        <x:v>ZAR</x:v>
      </x:c>
      <x:c r="F75" s="15" t="str">
        <x:v>Current a/c..512781</x:v>
      </x:c>
      <x:c r="G75" s="15" t="str">
        <x:v>Sales / customer receipts</x:v>
      </x:c>
      <x:c r="H75" s="15" t="str">
        <x:v>EFT receipt</x:v>
      </x:c>
      <x:c r="I75" s="15" t="str">
        <x:v>High</x:v>
      </x:c>
      <x:c r="J75" s="15" t="str">
        <x:v>eml_ALL_currentac__512781 (2).zip &gt; eml5currentac__512781.zip / FNB _-) R1500.00 paid to Current a_c..512781 @ Smartapp. Ref.Reeva. 12Mar 13_44.eml</x:v>
      </x:c>
    </x:row>
    <x:row r="76">
      <x:c r="A76" s="34" t="n">
        <x:v>46093.575694444444</x:v>
      </x:c>
      <x:c r="B76" s="15" t="str">
        <x:v>Ik Pay 487882</x:v>
      </x:c>
      <x:c r="C76" s="15" t="str">
        <x:v>R7391.15 paid to Current a/c..512781 @ Payshap. Ref.Ik Pay 487882. 12Mar 13:49</x:v>
      </x:c>
      <x:c r="D76" s="38" t="n">
        <x:v>7391.15</x:v>
      </x:c>
      <x:c r="E76" s="15" t="str">
        <x:v>ZAR</x:v>
      </x:c>
      <x:c r="F76" s="15" t="str">
        <x:v>Current a/c..512781</x:v>
      </x:c>
      <x:c r="G76" s="15" t="str">
        <x:v>Sales / customer receipts</x:v>
      </x:c>
      <x:c r="H76" s="15" t="str">
        <x:v>EFT receipt</x:v>
      </x:c>
      <x:c r="I76" s="15" t="str">
        <x:v>High</x:v>
      </x:c>
      <x:c r="J76" s="15" t="str">
        <x:v>eml_ALL_currentac__512781 (2).zip &gt; eml5currentac__512781.zip / FNB _-) R7391.15 paid to Current a_c..512781 @ Payshap. Ref.Ik Pay 487882. 12Mar 13_49.eml</x:v>
      </x:c>
    </x:row>
    <x:row r="77">
      <x:c r="A77" s="34" t="n">
        <x:v>46100.34722222222</x:v>
      </x:c>
      <x:c r="B77" s="15" t="str">
        <x:v>R026vlwjc0 Booking.c</x:v>
      </x:c>
      <x:c r="C77" s="15" t="str">
        <x:v>R6823.74 paid to Current a/c..512781 @ Retail Forex. Ref.R026vlwjc0 Booking.c. 19Mar 08:20</x:v>
      </x:c>
      <x:c r="D77" s="38" t="n">
        <x:v>6823.74</x:v>
      </x:c>
      <x:c r="E77" s="15" t="str">
        <x:v>ZAR</x:v>
      </x:c>
      <x:c r="F77" s="15" t="str">
        <x:v>Current a/c..512781</x:v>
      </x:c>
      <x:c r="G77" s="15" t="str">
        <x:v>Sales / customer receipts</x:v>
      </x:c>
      <x:c r="H77" s="15" t="str">
        <x:v>EFT receipt</x:v>
      </x:c>
      <x:c r="I77" s="15" t="str">
        <x:v>High</x:v>
      </x:c>
      <x:c r="J77" s="15" t="str">
        <x:v>eml_ALL_currentac__512781 (2).zip &gt; eml4currentac__512781.zip / FNB _-) R6823.74 paid to Current a_c..512781 @ Retail Forex. Ref.R026vlwjc0 Booking.c. 19Mar 08_20.eml</x:v>
      </x:c>
    </x:row>
    <x:row r="78">
      <x:c r="A78" s="34" t="n">
        <x:v>46104.580555555556</x:v>
      </x:c>
      <x:c r="B78" s="15" t="str">
        <x:v>Ik Pay 487882</x:v>
      </x:c>
      <x:c r="C78" s="15" t="str">
        <x:v>R5137.92 paid to Current a/c..512781 @ Payshap. Ref.Ik Pay 487882. 23Mar 13:56</x:v>
      </x:c>
      <x:c r="D78" s="38" t="n">
        <x:v>5137.92</x:v>
      </x:c>
      <x:c r="E78" s="15" t="str">
        <x:v>ZAR</x:v>
      </x:c>
      <x:c r="F78" s="15" t="str">
        <x:v>Current a/c..512781</x:v>
      </x:c>
      <x:c r="G78" s="15" t="str">
        <x:v>Sales / customer receipts</x:v>
      </x:c>
      <x:c r="H78" s="15" t="str">
        <x:v>EFT receipt</x:v>
      </x:c>
      <x:c r="I78" s="15" t="str">
        <x:v>High</x:v>
      </x:c>
      <x:c r="J78" s="15" t="str">
        <x:v>eml_ALL_currentac__512781 (2).zip &gt; eml4currentac__512781.zip / FNB _-) R5137.92 paid to Current a_c..512781 @ Payshap. Ref.Ik Pay 487882. 23Mar 13_56.eml</x:v>
      </x:c>
    </x:row>
    <x:row r="79">
      <x:c r="A79" s="34" t="n">
        <x:v>46107.33888888889</x:v>
      </x:c>
      <x:c r="B79" s="15" t="str">
        <x:v>R026v0kzq0 Booking.c</x:v>
      </x:c>
      <x:c r="C79" s="15" t="str">
        <x:v>R11517.18 paid to Current a/c..512781 @ Retail Forex. Ref.R026v0kzq0 Booking.c. 26Mar 08:08</x:v>
      </x:c>
      <x:c r="D79" s="38" t="n">
        <x:v>11517.18</x:v>
      </x:c>
      <x:c r="E79" s="15" t="str">
        <x:v>ZAR</x:v>
      </x:c>
      <x:c r="F79" s="15" t="str">
        <x:v>Current a/c..512781</x:v>
      </x:c>
      <x:c r="G79" s="15" t="str">
        <x:v>Sales / customer receipts</x:v>
      </x:c>
      <x:c r="H79" s="15" t="str">
        <x:v>EFT receipt</x:v>
      </x:c>
      <x:c r="I79" s="15" t="str">
        <x:v>High</x:v>
      </x:c>
      <x:c r="J79" s="15" t="str">
        <x:v>eml_ALL_currentac__512781 (2).zip &gt; eml4currentac__512781.zip / FNB _-) R11517.18 paid to Current a_c..512781 @ Retail Forex. Ref.R026v0kzq0 Booking.c. 26Mar 08_08.eml</x:v>
      </x:c>
    </x:row>
    <x:row r="80">
      <x:c r="A80" s="34" t="n">
        <x:v>46107.57777777778</x:v>
      </x:c>
      <x:c r="B80" s="15" t="str">
        <x:v>Ik Pay 487882</x:v>
      </x:c>
      <x:c r="C80" s="15" t="str">
        <x:v>R1441.44 paid to Current a/c..512781 @ Payshap. Ref.Ik Pay 487882. 26Mar 13:52</x:v>
      </x:c>
      <x:c r="D80" s="38" t="n">
        <x:v>1441.44</x:v>
      </x:c>
      <x:c r="E80" s="15" t="str">
        <x:v>ZAR</x:v>
      </x:c>
      <x:c r="F80" s="15" t="str">
        <x:v>Current a/c..512781</x:v>
      </x:c>
      <x:c r="G80" s="15" t="str">
        <x:v>Sales / customer receipts</x:v>
      </x:c>
      <x:c r="H80" s="15" t="str">
        <x:v>EFT receipt</x:v>
      </x:c>
      <x:c r="I80" s="15" t="str">
        <x:v>High</x:v>
      </x:c>
      <x:c r="J80" s="15" t="str">
        <x:v>eml_ALL_currentac__512781 (2).zip &gt; eml4currentac__512781.zip / FNB _-) R1441.44 paid to Current a_c..512781 @ Payshap. Ref.Ik Pay 487882. 26Mar 13_52.eml</x:v>
      </x:c>
    </x:row>
    <x:row r="81">
      <x:c r="A81" s="34" t="n">
        <x:v>46111.51458333333</x:v>
      </x:c>
      <x:c r="B81" s="15" t="str">
        <x:v>Ag1 Seaside Village</x:v>
      </x:c>
      <x:c r="C81" s="15" t="str">
        <x:v>R23503.00 paid to Current a/c..512781 @ Online Banking. Ref.Ag1 Seaside Village. 30Mar 12:21</x:v>
      </x:c>
      <x:c r="D81" s="38" t="n">
        <x:v>23503</x:v>
      </x:c>
      <x:c r="E81" s="15" t="str">
        <x:v>ZAR</x:v>
      </x:c>
      <x:c r="F81" s="15" t="str">
        <x:v>Current a/c..512781</x:v>
      </x:c>
      <x:c r="G81" s="15" t="str">
        <x:v>Sales / customer receipts</x:v>
      </x:c>
      <x:c r="H81" s="15" t="str">
        <x:v>EFT receipt</x:v>
      </x:c>
      <x:c r="I81" s="15" t="str">
        <x:v>High</x:v>
      </x:c>
      <x:c r="J81" s="15" t="str">
        <x:v>eml_ALL_currentac__512781 (2).zip &gt; eml4currentac__512781.zip / FNB _-) R23503.00 paid to Current a_c..512781 @ Online Banking. Ref.Ag1 Seaside Village. 30Mar 12_21.eml</x:v>
      </x:c>
    </x:row>
    <x:row r="82">
      <x:c r="A82" s="34" t="n">
        <x:v>46111.57777777778</x:v>
      </x:c>
      <x:c r="B82" s="15" t="str">
        <x:v>Ik Pay 487882</x:v>
      </x:c>
      <x:c r="C82" s="15" t="str">
        <x:v>R10191.21 paid to Current a/c..512781 @ Payshap. Ref.Ik Pay 487882. 30Mar 13:52</x:v>
      </x:c>
      <x:c r="D82" s="38" t="n">
        <x:v>10191.21</x:v>
      </x:c>
      <x:c r="E82" s="15" t="str">
        <x:v>ZAR</x:v>
      </x:c>
      <x:c r="F82" s="15" t="str">
        <x:v>Current a/c..512781</x:v>
      </x:c>
      <x:c r="G82" s="15" t="str">
        <x:v>Sales / customer receipts</x:v>
      </x:c>
      <x:c r="H82" s="15" t="str">
        <x:v>EFT receipt</x:v>
      </x:c>
      <x:c r="I82" s="15" t="str">
        <x:v>High</x:v>
      </x:c>
      <x:c r="J82" s="15" t="str">
        <x:v>eml_ALL_currentac__512781 (2).zip &gt; eml4currentac__512781.zip / FNB _-) R10191.21 paid to Current a_c..512781 @ Payshap. Ref.Ik Pay 487882. 30Mar 13_52.eml</x:v>
      </x:c>
    </x:row>
    <x:row r="83">
      <x:c r="A83" s="34" t="n">
        <x:v>46112.57708333333</x:v>
      </x:c>
      <x:c r="B83" s="15" t="str">
        <x:v>Ik Pay 487882</x:v>
      </x:c>
      <x:c r="C83" s="15" t="str">
        <x:v>R9043.16 paid to Current a/c..512781 @ Payshap. Ref.Ik Pay 487882. 31Mar 13:51</x:v>
      </x:c>
      <x:c r="D83" s="38" t="n">
        <x:v>9043.16</x:v>
      </x:c>
      <x:c r="E83" s="15" t="str">
        <x:v>ZAR</x:v>
      </x:c>
      <x:c r="F83" s="15" t="str">
        <x:v>Current a/c..512781</x:v>
      </x:c>
      <x:c r="G83" s="15" t="str">
        <x:v>Sales / customer receipts</x:v>
      </x:c>
      <x:c r="H83" s="15" t="str">
        <x:v>EFT receipt</x:v>
      </x:c>
      <x:c r="I83" s="15" t="str">
        <x:v>High</x:v>
      </x:c>
      <x:c r="J83" s="15" t="str">
        <x:v>eml_ALL_currentac__512781 (2).zip &gt; eml4currentac__512781.zip / FNB _-) R9043.16 paid to Current a_c..512781 @ Payshap. Ref.Ik Pay 487882. 31Mar 13_51.eml</x:v>
      </x:c>
    </x:row>
    <x:row r="84">
      <x:c r="A84" s="34" t="n">
        <x:v>46114.38055555556</x:v>
      </x:c>
      <x:c r="B84" s="15" t="str">
        <x:v>R026txbl00 Booking.c</x:v>
      </x:c>
      <x:c r="C84" s="15" t="str">
        <x:v>R24034.56 paid to Current a/c..512781 @ Retail Forex. Ref.R026txbl00 Booking.c. 2Apr 09:08</x:v>
      </x:c>
      <x:c r="D84" s="38" t="n">
        <x:v>24034.56</x:v>
      </x:c>
      <x:c r="E84" s="15" t="str">
        <x:v>ZAR</x:v>
      </x:c>
      <x:c r="F84" s="15" t="str">
        <x:v>Current a/c..512781</x:v>
      </x:c>
      <x:c r="G84" s="15" t="str">
        <x:v>Sales / customer receipts</x:v>
      </x:c>
      <x:c r="H84" s="15" t="str">
        <x:v>EFT receipt</x:v>
      </x:c>
      <x:c r="I84" s="15" t="str">
        <x:v>High</x:v>
      </x:c>
      <x:c r="J84" s="15" t="str">
        <x:v>eml_ALL_currentac__512781 (2).zip &gt; eml4currentac__512781.zip / FNB _-) R24034.56 paid to Current a_c..512781 @ Retail Forex. Ref.R026txbl00 Booking.c.  2Apr 09_08.eml</x:v>
      </x:c>
    </x:row>
    <x:row r="85">
      <x:c r="A85" s="34" t="n">
        <x:v>46116.45</x:v>
      </x:c>
      <x:c r="B85" s="15" t="str">
        <x:v>Ik Pay 487882</x:v>
      </x:c>
      <x:c r="C85" s="15" t="str">
        <x:v>R226.65 paid to Current a/c..512781 @ Payshap. Ref.Ik Pay 487882. 4Apr 10:48</x:v>
      </x:c>
      <x:c r="D85" s="38" t="n">
        <x:v>226.65</x:v>
      </x:c>
      <x:c r="E85" s="15" t="str">
        <x:v>ZAR</x:v>
      </x:c>
      <x:c r="F85" s="15" t="str">
        <x:v>Current a/c..512781</x:v>
      </x:c>
      <x:c r="G85" s="15" t="str">
        <x:v>Sales / customer receipts</x:v>
      </x:c>
      <x:c r="H85" s="15" t="str">
        <x:v>EFT receipt</x:v>
      </x:c>
      <x:c r="I85" s="15" t="str">
        <x:v>High</x:v>
      </x:c>
      <x:c r="J85" s="15" t="str">
        <x:v>eml_ALL_currentac__512781 (2).zip &gt; eml4currentac__512781.zip / FNB _-) R226.65 paid to Current a_c..512781 @ Payshap. Ref.Ik Pay 487882.  4Apr 10_48.eml</x:v>
      </x:c>
    </x:row>
    <x:row r="86">
      <x:c r="A86" s="34" t="n">
        <x:v>46119.57708333333</x:v>
      </x:c>
      <x:c r="B86" s="15" t="str">
        <x:v>Ik Pay 487882</x:v>
      </x:c>
      <x:c r="C86" s="15" t="str">
        <x:v>R27685.14 paid to Current a/c..512781 @ Payshap. Ref.Ik Pay 487882. 7Apr 13:51</x:v>
      </x:c>
      <x:c r="D86" s="38" t="n">
        <x:v>27685.14</x:v>
      </x:c>
      <x:c r="E86" s="15" t="str">
        <x:v>ZAR</x:v>
      </x:c>
      <x:c r="F86" s="15" t="str">
        <x:v>Current a/c..512781</x:v>
      </x:c>
      <x:c r="G86" s="15" t="str">
        <x:v>Sales / customer receipts</x:v>
      </x:c>
      <x:c r="H86" s="15" t="str">
        <x:v>EFT receipt</x:v>
      </x:c>
      <x:c r="I86" s="15" t="str">
        <x:v>High</x:v>
      </x:c>
      <x:c r="J86" s="15" t="str">
        <x:v>eml_ALL_currentac__512781 (2).zip &gt; eml4currentac__512781.zip / FNB _-) R27685.14 paid to Current a_c..512781 @ Payshap. Ref.Ik Pay 487882.  7Apr 13_51.eml</x:v>
      </x:c>
    </x:row>
    <x:row r="87">
      <x:c r="A87" s="34" t="n">
        <x:v>46120.57638888889</x:v>
      </x:c>
      <x:c r="B87" s="15" t="str">
        <x:v>Ik Pay 487882</x:v>
      </x:c>
      <x:c r="C87" s="15" t="str">
        <x:v>R9063.98 paid to Current a/c..512781 @ Payshap. Ref.Ik Pay 487882. 8Apr 13:50</x:v>
      </x:c>
      <x:c r="D87" s="38" t="n">
        <x:v>9063.98</x:v>
      </x:c>
      <x:c r="E87" s="15" t="str">
        <x:v>ZAR</x:v>
      </x:c>
      <x:c r="F87" s="15" t="str">
        <x:v>Current a/c..512781</x:v>
      </x:c>
      <x:c r="G87" s="15" t="str">
        <x:v>Sales / customer receipts</x:v>
      </x:c>
      <x:c r="H87" s="15" t="str">
        <x:v>EFT receipt</x:v>
      </x:c>
      <x:c r="I87" s="15" t="str">
        <x:v>High</x:v>
      </x:c>
      <x:c r="J87" s="15" t="str">
        <x:v>eml_ALL_currentac__512781 (2).zip &gt; eml4currentac__512781.zip / FNB _-) R9063.98 paid to Current a_c..512781 @ Payshap. Ref.Ik Pay 487882.  8Apr 13_50.eml</x:v>
      </x:c>
    </x:row>
    <x:row r="88">
      <x:c r="A88" s="34" t="n">
        <x:v>46121.34722222222</x:v>
      </x:c>
      <x:c r="B88" s="15" t="str">
        <x:v>R026tnsk50 Booking.c</x:v>
      </x:c>
      <x:c r="C88" s="15" t="str">
        <x:v>R35316.64 paid to Current a/c..512781 @ Retail Forex. Ref.R026tnsk50 Booking.c. 9Apr 08:20</x:v>
      </x:c>
      <x:c r="D88" s="38" t="n">
        <x:v>35316.64</x:v>
      </x:c>
      <x:c r="E88" s="15" t="str">
        <x:v>ZAR</x:v>
      </x:c>
      <x:c r="F88" s="15" t="str">
        <x:v>Current a/c..512781</x:v>
      </x:c>
      <x:c r="G88" s="15" t="str">
        <x:v>Sales / customer receipts</x:v>
      </x:c>
      <x:c r="H88" s="15" t="str">
        <x:v>EFT receipt</x:v>
      </x:c>
      <x:c r="I88" s="15" t="str">
        <x:v>High</x:v>
      </x:c>
      <x:c r="J88" s="15" t="str">
        <x:v>eml_ALL_currentac__512781 (2).zip &gt; eml4currentac__512781.zip / FNB _-) R35316.64 paid to Current a_c..512781 @ Retail Forex. Ref.R026tnsk50 Booking.c.  9Apr 08_20.eml</x:v>
      </x:c>
    </x:row>
    <x:row r="89">
      <x:c r="A89" s="34" t="n">
        <x:v>46121.57638888889</x:v>
      </x:c>
      <x:c r="B89" s="15" t="str">
        <x:v>Ik Pay 487882</x:v>
      </x:c>
      <x:c r="C89" s="15" t="str">
        <x:v>R8506.05 paid to Current a/c..512781 @ Payshap. Ref.Ik Pay 487882. 9Apr 13:50</x:v>
      </x:c>
      <x:c r="D89" s="38" t="n">
        <x:v>8506.05</x:v>
      </x:c>
      <x:c r="E89" s="15" t="str">
        <x:v>ZAR</x:v>
      </x:c>
      <x:c r="F89" s="15" t="str">
        <x:v>Current a/c..512781</x:v>
      </x:c>
      <x:c r="G89" s="15" t="str">
        <x:v>Sales / customer receipts</x:v>
      </x:c>
      <x:c r="H89" s="15" t="str">
        <x:v>EFT receipt</x:v>
      </x:c>
      <x:c r="I89" s="15" t="str">
        <x:v>High</x:v>
      </x:c>
      <x:c r="J89" s="15" t="str">
        <x:v>eml_ALL_currentac__512781 (2).zip &gt; eml4currentac__512781.zip / FNB _-) R8506.05 paid to Current a_c..512781 @ Payshap. Ref.Ik Pay 487882.  9Apr 13_50.eml</x:v>
      </x:c>
    </x:row>
    <x:row r="90">
      <x:c r="A90" s="34" t="n">
        <x:v>46122.39166666667</x:v>
      </x:c>
      <x:c r="B90" s="15" t="str">
        <x:v>R026tlz5b0 Johan Spr</x:v>
      </x:c>
      <x:c r="C90" s="15" t="str">
        <x:v>R8865.50 paid to Current a/c..512781 @ Retail Forex. Ref.R026tlz5b0 Johan Spr. 10Apr 09:24</x:v>
      </x:c>
      <x:c r="D90" s="38" t="n">
        <x:v>8865.5</x:v>
      </x:c>
      <x:c r="E90" s="15" t="str">
        <x:v>ZAR</x:v>
      </x:c>
      <x:c r="F90" s="15" t="str">
        <x:v>Current a/c..512781</x:v>
      </x:c>
      <x:c r="G90" s="15" t="str">
        <x:v>Sales / customer receipts</x:v>
      </x:c>
      <x:c r="H90" s="15" t="str">
        <x:v>EFT receipt</x:v>
      </x:c>
      <x:c r="I90" s="15" t="str">
        <x:v>High</x:v>
      </x:c>
      <x:c r="J90" s="15" t="str">
        <x:v>eml_ALL_currentac__512781 (2).zip &gt; eml4currentac__512781.zip / FNB _-) R8865.50 paid to Current a_c..512781 @ Retail Forex. Ref.R026tlz5b0 Johan Spr. 10Apr 09_24.eml</x:v>
      </x:c>
    </x:row>
    <x:row r="91">
      <x:c r="A91" s="34" t="n">
        <x:v>46122.57638888889</x:v>
      </x:c>
      <x:c r="B91" s="15" t="str">
        <x:v>Ik Pay 487882</x:v>
      </x:c>
      <x:c r="C91" s="15" t="str">
        <x:v>R29586.28 paid to Current a/c..512781 @ Payshap. Ref.Ik Pay 487882. 10Apr 13:50</x:v>
      </x:c>
      <x:c r="D91" s="38" t="n">
        <x:v>29586.28</x:v>
      </x:c>
      <x:c r="E91" s="15" t="str">
        <x:v>ZAR</x:v>
      </x:c>
      <x:c r="F91" s="15" t="str">
        <x:v>Current a/c..512781</x:v>
      </x:c>
      <x:c r="G91" s="15" t="str">
        <x:v>Sales / customer receipts</x:v>
      </x:c>
      <x:c r="H91" s="15" t="str">
        <x:v>EFT receipt</x:v>
      </x:c>
      <x:c r="I91" s="15" t="str">
        <x:v>High</x:v>
      </x:c>
      <x:c r="J91" s="15" t="str">
        <x:v>eml_ALL_currentac__512781 (2).zip &gt; eml4currentac__512781.zip / FNB _-) R29586.28 paid to Current a_c..512781 @ Payshap. Ref.Ik Pay 487882. 10Apr 13_50.eml</x:v>
      </x:c>
    </x:row>
    <x:row r="92">
      <x:c r="A92" s="34" t="n">
        <x:v>46126.575694444444</x:v>
      </x:c>
      <x:c r="B92" s="15" t="str">
        <x:v>Ik Pay 487882</x:v>
      </x:c>
      <x:c r="C92" s="15" t="str">
        <x:v>R9152.55 paid to Current a/c..512781 @ Payshap. Ref.Ik Pay 487882. 14Apr 13:49</x:v>
      </x:c>
      <x:c r="D92" s="38" t="n">
        <x:v>9152.55</x:v>
      </x:c>
      <x:c r="E92" s="15" t="str">
        <x:v>ZAR</x:v>
      </x:c>
      <x:c r="F92" s="15" t="str">
        <x:v>Current a/c..512781</x:v>
      </x:c>
      <x:c r="G92" s="15" t="str">
        <x:v>Sales / customer receipts</x:v>
      </x:c>
      <x:c r="H92" s="15" t="str">
        <x:v>EFT receipt</x:v>
      </x:c>
      <x:c r="I92" s="15" t="str">
        <x:v>High</x:v>
      </x:c>
      <x:c r="J92" s="15" t="str">
        <x:v>eml_ALL_currentac__512781 (2).zip &gt; eml3currentac__512781.zip / FNB _-) R9152.55 paid to Current a_c..512781 @ Payshap. Ref.Ik Pay 487882. 14Apr 13_49.eml</x:v>
      </x:c>
    </x:row>
    <x:row r="93">
      <x:c r="A93" s="34" t="n">
        <x:v>46127.42222222222</x:v>
      </x:c>
      <x:c r="B93" s="15" t="str">
        <x:v>Printing Signboard</x:v>
      </x:c>
      <x:c r="C93" s="15" t="str">
        <x:v>R600.00 paid to Current a/c..512781 @ Smartapp. Ref.Printing Signboard. 15Apr 10:08</x:v>
      </x:c>
      <x:c r="D93" s="38" t="n">
        <x:v>600</x:v>
      </x:c>
      <x:c r="E93" s="15" t="str">
        <x:v>ZAR</x:v>
      </x:c>
      <x:c r="F93" s="15" t="str">
        <x:v>Current a/c..512781</x:v>
      </x:c>
      <x:c r="G93" s="15" t="str">
        <x:v>Sales / customer receipts</x:v>
      </x:c>
      <x:c r="H93" s="15" t="str">
        <x:v>EFT receipt</x:v>
      </x:c>
      <x:c r="I93" s="15" t="str">
        <x:v>High</x:v>
      </x:c>
      <x:c r="J93" s="15" t="str">
        <x:v>eml_ALL_currentac__512781 (2).zip &gt; eml3currentac__512781.zip / FNB _-) R600.00 paid to Current a_c..512781 @ Smartapp. Ref.Printing Signboard. 15Apr 10_08.eml</x:v>
      </x:c>
    </x:row>
    <x:row r="94">
      <x:c r="A94" s="34" t="n">
        <x:v>46128.35486111111</x:v>
      </x:c>
      <x:c r="B94" s="15" t="str">
        <x:v>R026tc0tx0 Booking.c</x:v>
      </x:c>
      <x:c r="C94" s="15" t="str">
        <x:v>R4822.71 paid to Current a/c..512781 @ Retail Forex. Ref.R026tc0tx0 Booking.c. 16Apr 08:31</x:v>
      </x:c>
      <x:c r="D94" s="38" t="n">
        <x:v>4822.71</x:v>
      </x:c>
      <x:c r="E94" s="15" t="str">
        <x:v>ZAR</x:v>
      </x:c>
      <x:c r="F94" s="15" t="str">
        <x:v>Current a/c..512781</x:v>
      </x:c>
      <x:c r="G94" s="15" t="str">
        <x:v>Sales / customer receipts</x:v>
      </x:c>
      <x:c r="H94" s="15" t="str">
        <x:v>EFT receipt</x:v>
      </x:c>
      <x:c r="I94" s="15" t="str">
        <x:v>High</x:v>
      </x:c>
      <x:c r="J94" s="15" t="str">
        <x:v>eml_ALL_currentac__512781 (2).zip &gt; eml3currentac__512781.zip / FNB _-) R4822.71 paid to Current a_c..512781 @ Retail Forex. Ref.R026tc0tx0 Booking.c. 16Apr 08_31.eml</x:v>
      </x:c>
    </x:row>
    <x:row r="95">
      <x:c r="A95" s="34" t="n">
        <x:v>46130.44027777778</x:v>
      </x:c>
      <x:c r="B95" s="15" t="str">
        <x:v>Ik Pay 487882</x:v>
      </x:c>
      <x:c r="C95" s="15" t="str">
        <x:v>R6086.11 paid to Current a/c..512781 @ Payshap. Ref.Ik Pay 487882. 18Apr 10:34</x:v>
      </x:c>
      <x:c r="D95" s="38" t="n">
        <x:v>6086.11</x:v>
      </x:c>
      <x:c r="E95" s="15" t="str">
        <x:v>ZAR</x:v>
      </x:c>
      <x:c r="F95" s="15" t="str">
        <x:v>Current a/c..512781</x:v>
      </x:c>
      <x:c r="G95" s="15" t="str">
        <x:v>Sales / customer receipts</x:v>
      </x:c>
      <x:c r="H95" s="15" t="str">
        <x:v>EFT receipt</x:v>
      </x:c>
      <x:c r="I95" s="15" t="str">
        <x:v>High</x:v>
      </x:c>
      <x:c r="J95" s="15" t="str">
        <x:v>eml_ALL_currentac__512781 (2).zip &gt; eml3currentac__512781.zip / FNB _-) R6086.11 paid to Current a_c..512781 @ Payshap. Ref.Ik Pay 487882. 18Apr 10_34.eml</x:v>
      </x:c>
    </x:row>
    <x:row r="96">
      <x:c r="A96" s="34" t="n">
        <x:v>46134.729166666664</x:v>
      </x:c>
      <x:c r="B96" s="15" t="str">
        <x:v>108964,04294887007</x:v>
      </x:c>
      <x:c r="C96" s="15" t="str">
        <x:v>R500.00 paid to Current a/c..512781 @ Smartapp. Ref.108964,04294887007. 22Apr 17:30</x:v>
      </x:c>
      <x:c r="D96" s="38" t="n">
        <x:v>500</x:v>
      </x:c>
      <x:c r="E96" s="15" t="str">
        <x:v>ZAR</x:v>
      </x:c>
      <x:c r="F96" s="15" t="str">
        <x:v>Current a/c..512781</x:v>
      </x:c>
      <x:c r="G96" s="15" t="str">
        <x:v>Sales / customer receipts</x:v>
      </x:c>
      <x:c r="H96" s="15" t="str">
        <x:v>EFT receipt</x:v>
      </x:c>
      <x:c r="I96" s="15" t="str">
        <x:v>High</x:v>
      </x:c>
      <x:c r="J96" s="15" t="str">
        <x:v>eml_ALL_currentac__512781 (2).zip &gt; eml3currentac__512781.zip / FNB _-) R500.00 paid to Current a_c..512781 @ Smartapp. Ref.108964,04294887007. 22Apr 17_30.eml</x:v>
      </x:c>
    </x:row>
    <x:row r="97">
      <x:c r="A97" s="34" t="n">
        <x:v>46135.370833333334</x:v>
      </x:c>
      <x:c r="B97" s="15" t="str">
        <x:v>R026t8t8r0 Booking.c</x:v>
      </x:c>
      <x:c r="C97" s="15" t="str">
        <x:v>R7285.89 paid to Current a/c..512781 @ Retail Forex. Ref.R026t8t8r0 Booking.c. 23Apr 08:54</x:v>
      </x:c>
      <x:c r="D97" s="38" t="n">
        <x:v>7285.89</x:v>
      </x:c>
      <x:c r="E97" s="15" t="str">
        <x:v>ZAR</x:v>
      </x:c>
      <x:c r="F97" s="15" t="str">
        <x:v>Current a/c..512781</x:v>
      </x:c>
      <x:c r="G97" s="15" t="str">
        <x:v>Sales / customer receipts</x:v>
      </x:c>
      <x:c r="H97" s="15" t="str">
        <x:v>EFT receipt</x:v>
      </x:c>
      <x:c r="I97" s="15" t="str">
        <x:v>High</x:v>
      </x:c>
      <x:c r="J97" s="15" t="str">
        <x:v>eml_ALL_currentac__512781 (2).zip &gt; eml3currentac__512781.zip / FNB _-) R7285.89 paid to Current a_c..512781 @ Retail Forex. Ref.R026t8t8r0 Booking.c. 23Apr 08_54.eml</x:v>
      </x:c>
    </x:row>
    <x:row r="98">
      <x:c r="A98" s="34" t="n">
        <x:v>46139.42569444444</x:v>
      </x:c>
      <x:c r="B98" s="15" t="str">
        <x:v>Ag1 Seaside Village</x:v>
      </x:c>
      <x:c r="C98" s="15" t="str">
        <x:v>R24373.00 paid to Current a/c..512781 @ Online Banking. Ref.Ag1 Seaside Village. 27Apr 10:13</x:v>
      </x:c>
      <x:c r="D98" s="38" t="n">
        <x:v>24373</x:v>
      </x:c>
      <x:c r="E98" s="15" t="str">
        <x:v>ZAR</x:v>
      </x:c>
      <x:c r="F98" s="15" t="str">
        <x:v>Current a/c..512781</x:v>
      </x:c>
      <x:c r="G98" s="15" t="str">
        <x:v>Sales / customer receipts</x:v>
      </x:c>
      <x:c r="H98" s="15" t="str">
        <x:v>EFT receipt</x:v>
      </x:c>
      <x:c r="I98" s="15" t="str">
        <x:v>High</x:v>
      </x:c>
      <x:c r="J98" s="15" t="str">
        <x:v>eml_ALL_currentac__512781 (2).zip &gt; eml3currentac__512781.zip / FNB _-) R24373.00 paid to Current a_c..512781 @ Online Banking. Ref.Ag1 Seaside Village. 27Apr 10_13.eml</x:v>
      </x:c>
    </x:row>
    <x:row r="99">
      <x:c r="A99" s="34" t="n">
        <x:v>46140.58263888889</x:v>
      </x:c>
      <x:c r="B99" s="15" t="str">
        <x:v>Ik Pay 487882</x:v>
      </x:c>
      <x:c r="C99" s="15" t="str">
        <x:v>R2194.44 paid to Current a/c..512781 @ Payshap. Ref.Ik Pay 487882. 28Apr 13:59</x:v>
      </x:c>
      <x:c r="D99" s="38" t="n">
        <x:v>2194.44</x:v>
      </x:c>
      <x:c r="E99" s="15" t="str">
        <x:v>ZAR</x:v>
      </x:c>
      <x:c r="F99" s="15" t="str">
        <x:v>Current a/c..512781</x:v>
      </x:c>
      <x:c r="G99" s="15" t="str">
        <x:v>Sales / customer receipts</x:v>
      </x:c>
      <x:c r="H99" s="15" t="str">
        <x:v>EFT receipt</x:v>
      </x:c>
      <x:c r="I99" s="15" t="str">
        <x:v>High</x:v>
      </x:c>
      <x:c r="J99" s="15" t="str">
        <x:v>eml_ALL_currentac__512781 (2).zip &gt; eml3currentac__512781.zip / FNB _-) R2194.44 paid to Current a_c..512781 @ Payshap. Ref.Ik Pay 487882. 28Apr 13_59.eml</x:v>
      </x:c>
    </x:row>
    <x:row r="100">
      <x:c r="A100" s="34" t="n">
        <x:v>46141.575694444444</x:v>
      </x:c>
      <x:c r="B100" s="15" t="str">
        <x:v>Ik Pay 487882</x:v>
      </x:c>
      <x:c r="C100" s="15" t="str">
        <x:v>R19032.06 paid to Current a/c..512781 @ Payshap. Ref.Ik Pay 487882. 29Apr 13:49</x:v>
      </x:c>
      <x:c r="D100" s="38" t="n">
        <x:v>19032.06</x:v>
      </x:c>
      <x:c r="E100" s="15" t="str">
        <x:v>ZAR</x:v>
      </x:c>
      <x:c r="F100" s="15" t="str">
        <x:v>Current a/c..512781</x:v>
      </x:c>
      <x:c r="G100" s="15" t="str">
        <x:v>Sales / customer receipts</x:v>
      </x:c>
      <x:c r="H100" s="15" t="str">
        <x:v>EFT receipt</x:v>
      </x:c>
      <x:c r="I100" s="15" t="str">
        <x:v>High</x:v>
      </x:c>
      <x:c r="J100" s="15" t="str">
        <x:v>eml_ALL_currentac__512781 (2).zip &gt; eml3currentac__512781.zip / FNB _-) R19032.06 paid to Current a_c..512781 @ Payshap. Ref.Ik Pay 487882. 29Apr 13_49.eml</x:v>
      </x:c>
    </x:row>
    <x:row r="101">
      <x:c r="A101" s="34" t="n">
        <x:v>46142.39027777778</x:v>
      </x:c>
      <x:c r="B101" s="15" t="str">
        <x:v>R026snghm0 Booking.c</x:v>
      </x:c>
      <x:c r="C101" s="15" t="str">
        <x:v>R15228.38 paid to Current a/c..512781 @ Retail Forex. Ref.R026snghm0 Booking.c. 30Apr 09:22</x:v>
      </x:c>
      <x:c r="D101" s="38" t="n">
        <x:v>15228.38</x:v>
      </x:c>
      <x:c r="E101" s="15" t="str">
        <x:v>ZAR</x:v>
      </x:c>
      <x:c r="F101" s="15" t="str">
        <x:v>Current a/c..512781</x:v>
      </x:c>
      <x:c r="G101" s="15" t="str">
        <x:v>Sales / customer receipts</x:v>
      </x:c>
      <x:c r="H101" s="15" t="str">
        <x:v>EFT receipt</x:v>
      </x:c>
      <x:c r="I101" s="15" t="str">
        <x:v>High</x:v>
      </x:c>
      <x:c r="J101" s="15" t="str">
        <x:v>eml_ALL_currentac__512781 (2).zip &gt; eml3currentac__512781.zip / FNB _-) R15228.38 paid to Current a_c..512781 @ Retail Forex. Ref.R026snghm0 Booking.c. 30Apr 09_22.eml</x:v>
      </x:c>
    </x:row>
    <x:row r="102">
      <x:c r="A102" s="34" t="n">
        <x:v>46146.575694444444</x:v>
      </x:c>
      <x:c r="B102" s="15" t="str">
        <x:v>Ik Pay 487882</x:v>
      </x:c>
      <x:c r="C102" s="15" t="str">
        <x:v>R31641.63 paid to Current a/c..512781 @ Payshap. Ref.Ik Pay 487882. 4May 13:49</x:v>
      </x:c>
      <x:c r="D102" s="38" t="n">
        <x:v>31641.63</x:v>
      </x:c>
      <x:c r="E102" s="15" t="str">
        <x:v>ZAR</x:v>
      </x:c>
      <x:c r="F102" s="15" t="str">
        <x:v>Current a/c..512781</x:v>
      </x:c>
      <x:c r="G102" s="15" t="str">
        <x:v>Sales / customer receipts</x:v>
      </x:c>
      <x:c r="H102" s="15" t="str">
        <x:v>EFT receipt</x:v>
      </x:c>
      <x:c r="I102" s="15" t="str">
        <x:v>High</x:v>
      </x:c>
      <x:c r="J102" s="15" t="str">
        <x:v>eml_ALL_currentac__512781 (2).zip &gt; eml3currentac__512781.zip / FNB _-) R31641.63 paid to Current a_c..512781 @ Payshap. Ref.Ik Pay 487882.  4May 13_49.eml</x:v>
      </x:c>
    </x:row>
    <x:row r="103">
      <x:c r="A103" s="34" t="n">
        <x:v>46149.35</x:v>
      </x:c>
      <x:c r="B103" s="15" t="str">
        <x:v>R026sb0230 Booking.c</x:v>
      </x:c>
      <x:c r="C103" s="15" t="str">
        <x:v>R17426.63 paid to Current a/c..512781 @ Retail Forex. Ref.R026sb0230 Booking.c. 7May 08:24</x:v>
      </x:c>
      <x:c r="D103" s="38" t="n">
        <x:v>17426.63</x:v>
      </x:c>
      <x:c r="E103" s="15" t="str">
        <x:v>ZAR</x:v>
      </x:c>
      <x:c r="F103" s="15" t="str">
        <x:v>Current a/c..512781</x:v>
      </x:c>
      <x:c r="G103" s="15" t="str">
        <x:v>Sales / customer receipts</x:v>
      </x:c>
      <x:c r="H103" s="15" t="str">
        <x:v>EFT receipt</x:v>
      </x:c>
      <x:c r="I103" s="15" t="str">
        <x:v>High</x:v>
      </x:c>
      <x:c r="J103" s="15" t="str">
        <x:v>eml_ALL_currentac__512781 (2).zip &gt; eml2currentac__512781.zip / FNB _-) R17426.63 paid to Current a_c..512781 @ Retail Forex. Ref.R026sb0230 Booking.c.  7May 08_24.eml</x:v>
      </x:c>
    </x:row>
    <x:row r="104">
      <x:c r="A104" s="34" t="n">
        <x:v>46151.438888888886</x:v>
      </x:c>
      <x:c r="B104" s="15" t="str">
        <x:v>Ik Pay 487882</x:v>
      </x:c>
      <x:c r="C104" s="15" t="str">
        <x:v>R1729.10 paid to Current a/c..512781 @ Payshap. Ref.Ik Pay 487882. 9May 10:32</x:v>
      </x:c>
      <x:c r="D104" s="38" t="n">
        <x:v>1729.1</x:v>
      </x:c>
      <x:c r="E104" s="15" t="str">
        <x:v>ZAR</x:v>
      </x:c>
      <x:c r="F104" s="15" t="str">
        <x:v>Current a/c..512781</x:v>
      </x:c>
      <x:c r="G104" s="15" t="str">
        <x:v>Sales / customer receipts</x:v>
      </x:c>
      <x:c r="H104" s="15" t="str">
        <x:v>EFT receipt</x:v>
      </x:c>
      <x:c r="I104" s="15" t="str">
        <x:v>High</x:v>
      </x:c>
      <x:c r="J104" s="15" t="str">
        <x:v>eml_ALL_currentac__512781 (2).zip &gt; eml2currentac__512781.zip / FNB _-) R1729.10 paid to Current a_c..512781 @ Payshap. Ref.Ik Pay 487882.  9May 10_32.eml</x:v>
      </x:c>
    </x:row>
    <x:row r="105">
      <x:c r="A105" s="34" t="n">
        <x:v>46153.65625</x:v>
      </x:c>
      <x:c r="B105" s="15" t="str">
        <x:v>Send Rev</x:v>
      </x:c>
      <x:c r="C105" s="15" t="str">
        <x:v>R1500.00 paid to Current a/c..512781 @ Smartapp. Ref.Send Rev. 11May 15:45</x:v>
      </x:c>
      <x:c r="D105" s="38" t="n">
        <x:v>1500</x:v>
      </x:c>
      <x:c r="E105" s="15" t="str">
        <x:v>ZAR</x:v>
      </x:c>
      <x:c r="F105" s="15" t="str">
        <x:v>Current a/c..512781</x:v>
      </x:c>
      <x:c r="G105" s="15" t="str">
        <x:v>Sales / customer receipts</x:v>
      </x:c>
      <x:c r="H105" s="15" t="str">
        <x:v>EFT receipt</x:v>
      </x:c>
      <x:c r="I105" s="15" t="str">
        <x:v>High</x:v>
      </x:c>
      <x:c r="J105" s="15" t="str">
        <x:v>eml_ALL_currentac__512781 (2).zip &gt; eml2currentac__512781.zip / FNB _-) R1500.00 paid to Current a_c..512781 @ Smartapp. Ref.Send Rev. 11May 15_45.eml</x:v>
      </x:c>
    </x:row>
    <x:row r="106">
      <x:c r="A106" s="34" t="n">
        <x:v>46157.34861111111</x:v>
      </x:c>
      <x:c r="B106" s="15" t="str">
        <x:v>R026rzc0k0 Booking.c</x:v>
      </x:c>
      <x:c r="C106" s="15" t="str">
        <x:v>R13502.81 paid to Current a/c..512781 @ Retail Forex. Ref.R026rzc0k0 Booking.c. 15May 08:22</x:v>
      </x:c>
      <x:c r="D106" s="38" t="n">
        <x:v>13502.81</x:v>
      </x:c>
      <x:c r="E106" s="15" t="str">
        <x:v>ZAR</x:v>
      </x:c>
      <x:c r="F106" s="15" t="str">
        <x:v>Current a/c..512781</x:v>
      </x:c>
      <x:c r="G106" s="15" t="str">
        <x:v>Sales / customer receipts</x:v>
      </x:c>
      <x:c r="H106" s="15" t="str">
        <x:v>EFT receipt</x:v>
      </x:c>
      <x:c r="I106" s="15" t="str">
        <x:v>High</x:v>
      </x:c>
      <x:c r="J106" s="15" t="str">
        <x:v>eml_ALL_currentac__512781 (2).zip &gt; eml2currentac__512781.zip / FNB _-) R13502.81 paid to Current a_c..512781 @ Retail Forex. Ref.R026rzc0k0 Booking.c. 15May 08_22.eml</x:v>
      </x:c>
    </x:row>
    <x:row r="107">
      <x:c r="A107" s="34" t="n">
        <x:v>46158.44305555556</x:v>
      </x:c>
      <x:c r="B107" s="15" t="str">
        <x:v>Ik Pay 487882</x:v>
      </x:c>
      <x:c r="C107" s="15" t="str">
        <x:v>R371.00 paid to Current a/c..512781 @ Payshap. Ref.Ik Pay 487882. 16May 10:38</x:v>
      </x:c>
      <x:c r="D107" s="38" t="n">
        <x:v>371</x:v>
      </x:c>
      <x:c r="E107" s="15" t="str">
        <x:v>ZAR</x:v>
      </x:c>
      <x:c r="F107" s="15" t="str">
        <x:v>Current a/c..512781</x:v>
      </x:c>
      <x:c r="G107" s="15" t="str">
        <x:v>Sales / customer receipts</x:v>
      </x:c>
      <x:c r="H107" s="15" t="str">
        <x:v>EFT receipt</x:v>
      </x:c>
      <x:c r="I107" s="15" t="str">
        <x:v>High</x:v>
      </x:c>
      <x:c r="J107" s="15" t="str">
        <x:v>eml_ALL_currentac__512781 (2).zip &gt; eml2currentac__512781.zip / FNB _-) R371.00 paid to Current a_c..512781 @ Payshap. Ref.Ik Pay 487882. 16May 10_38.eml</x:v>
      </x:c>
    </x:row>
    <x:row r="108">
      <x:c r="A108" s="34" t="n">
        <x:v>46160.572916666664</x:v>
      </x:c>
      <x:c r="B108" s="15" t="str">
        <x:v>Ik Pay 487882</x:v>
      </x:c>
      <x:c r="C108" s="15" t="str">
        <x:v>R335.25 paid to Current a/c..512781 @ Payshap. Ref.Ik Pay 487882. 18May 13:45</x:v>
      </x:c>
      <x:c r="D108" s="38" t="n">
        <x:v>335.25</x:v>
      </x:c>
      <x:c r="E108" s="15" t="str">
        <x:v>ZAR</x:v>
      </x:c>
      <x:c r="F108" s="15" t="str">
        <x:v>Current a/c..512781</x:v>
      </x:c>
      <x:c r="G108" s="15" t="str">
        <x:v>Sales / customer receipts</x:v>
      </x:c>
      <x:c r="H108" s="15" t="str">
        <x:v>EFT receipt</x:v>
      </x:c>
      <x:c r="I108" s="15" t="str">
        <x:v>High</x:v>
      </x:c>
      <x:c r="J108" s="15" t="str">
        <x:v>eml_ALL_currentac__512781 (2).zip &gt; eml2currentac__512781.zip / FNB _-) R335.25 paid to Current a_c..512781 @ Payshap. Ref.Ik Pay 487882. 18May 13_45.eml</x:v>
      </x:c>
    </x:row>
    <x:row r="109">
      <x:c r="A109" s="34" t="n">
        <x:v>46162.58125</x:v>
      </x:c>
      <x:c r="B109" s="15" t="str">
        <x:v>Ik Pay 487882</x:v>
      </x:c>
      <x:c r="C109" s="15" t="str">
        <x:v>R3197.67 paid to Current a/c..512781 @ Payshap. Ref.Ik Pay 487882. 20May 13:57</x:v>
      </x:c>
      <x:c r="D109" s="38" t="n">
        <x:v>3197.67</x:v>
      </x:c>
      <x:c r="E109" s="15" t="str">
        <x:v>ZAR</x:v>
      </x:c>
      <x:c r="F109" s="15" t="str">
        <x:v>Current a/c..512781</x:v>
      </x:c>
      <x:c r="G109" s="15" t="str">
        <x:v>Sales / customer receipts</x:v>
      </x:c>
      <x:c r="H109" s="15" t="str">
        <x:v>EFT receipt</x:v>
      </x:c>
      <x:c r="I109" s="15" t="str">
        <x:v>High</x:v>
      </x:c>
      <x:c r="J109" s="15" t="str">
        <x:v>eml_ALL_currentac__512781 (2).zip &gt; eml2currentac__512781.zip / FNB _-) R3197.67 paid to Current a_c..512781 @ Payshap. Ref.Ik Pay 487882. 20May 13_57.eml</x:v>
      </x:c>
    </x:row>
    <x:row r="110">
      <x:c r="A110" s="34" t="n">
        <x:v>46163.34375</x:v>
      </x:c>
      <x:c r="B110" s="15" t="str">
        <x:v>R026rpg4x0 Booking.c</x:v>
      </x:c>
      <x:c r="C110" s="15" t="str">
        <x:v>R28594.43 paid to Current a/c..512781 @ Retail Forex. Ref.R026rpg4x0 Booking.c. 21May 08:15</x:v>
      </x:c>
      <x:c r="D110" s="38" t="n">
        <x:v>28594.43</x:v>
      </x:c>
      <x:c r="E110" s="15" t="str">
        <x:v>ZAR</x:v>
      </x:c>
      <x:c r="F110" s="15" t="str">
        <x:v>Current a/c..512781</x:v>
      </x:c>
      <x:c r="G110" s="15" t="str">
        <x:v>Sales / customer receipts</x:v>
      </x:c>
      <x:c r="H110" s="15" t="str">
        <x:v>EFT receipt</x:v>
      </x:c>
      <x:c r="I110" s="15" t="str">
        <x:v>High</x:v>
      </x:c>
      <x:c r="J110" s="15" t="str">
        <x:v>eml_ALL_currentac__512781 (2).zip &gt; eml2currentac__512781.zip / FNB _-) R28594.43 paid to Current a_c..512781 @ Retail Forex. Ref.R026rpg4x0 Booking.c. 21May 08_15.eml</x:v>
      </x:c>
    </x:row>
    <x:row r="111">
      <x:c r="A111" s="34" t="n">
        <x:v>46167.490277777775</x:v>
      </x:c>
      <x:c r="B111" s="15" t="str">
        <x:v>Kruger Sa 1698 50%</x:v>
      </x:c>
      <x:c r="C111" s="15" t="str">
        <x:v>REVERSAL of R3454.50 paid from Current a/c..512781 Ref.Kruger Sa 1698 50%. 25May 11:46</x:v>
      </x:c>
      <x:c r="D111" s="38" t="n">
        <x:v>3454.5</x:v>
      </x:c>
      <x:c r="E111" s="15" t="str">
        <x:v>ZAR</x:v>
      </x:c>
      <x:c r="F111" s="15" t="str">
        <x:v>Current a/c..512781</x:v>
      </x:c>
      <x:c r="G111" s="15" t="str">
        <x:v>Refunds / reversals</x:v>
      </x:c>
      <x:c r="H111" s="15" t="str">
        <x:v>Reversal</x:v>
      </x:c>
      <x:c r="I111" s="15" t="str">
        <x:v>High</x:v>
      </x:c>
      <x:c r="J111" s="15" t="str">
        <x:v>eml_ALL_currentac__512781 (2).zip &gt; eml2currentac__512781.zip / FNB _-) REVERSAL of R3454.50 paid from Current a_c..512781 Ref.Kruger Sa 1698 50%. 25May 11_46.eml</x:v>
      </x:c>
    </x:row>
    <x:row r="112">
      <x:c r="A112" s="34" t="n">
        <x:v>46167.583333333336</x:v>
      </x:c>
      <x:c r="B112" s="15" t="str">
        <x:v>6114000315</x:v>
      </x:c>
      <x:c r="C112" s="15" t="str">
        <x:v>R38411.98 paid to Current a/c..512781 @ Real Time Cl. Ref.6114000315. 25May 14:00</x:v>
      </x:c>
      <x:c r="D112" s="38" t="n">
        <x:v>38411.98</x:v>
      </x:c>
      <x:c r="E112" s="15" t="str">
        <x:v>ZAR</x:v>
      </x:c>
      <x:c r="F112" s="15" t="str">
        <x:v>Current a/c..512781</x:v>
      </x:c>
      <x:c r="G112" s="15" t="str">
        <x:v>Sales / customer receipts</x:v>
      </x:c>
      <x:c r="H112" s="15" t="str">
        <x:v>EFT receipt</x:v>
      </x:c>
      <x:c r="I112" s="15" t="str">
        <x:v>High</x:v>
      </x:c>
      <x:c r="J112" s="15" t="str">
        <x:v>eml_ALL_currentac__512781 (2).zip &gt; eml2currentac__512781.zip / FNB _-) R38411.98 paid to Current a_c..512781 @ Real Time Cl. Ref.6114000315. 25May 14_00.eml</x:v>
      </x:c>
    </x:row>
    <x:row r="113">
      <x:c r="A113" s="34" t="n">
        <x:v>46168.584027777775</x:v>
      </x:c>
      <x:c r="B113" s="15" t="str">
        <x:v>Ag1 Seaside Village</x:v>
      </x:c>
      <x:c r="C113" s="15" t="str">
        <x:v>R24373.00 paid to Current a/c..512781 @ Online Banking. Ref.Ag1 Seaside Village. 26May 14:01</x:v>
      </x:c>
      <x:c r="D113" s="38" t="n">
        <x:v>24373</x:v>
      </x:c>
      <x:c r="E113" s="15" t="str">
        <x:v>ZAR</x:v>
      </x:c>
      <x:c r="F113" s="15" t="str">
        <x:v>Current a/c..512781</x:v>
      </x:c>
      <x:c r="G113" s="15" t="str">
        <x:v>Sales / customer receipts</x:v>
      </x:c>
      <x:c r="H113" s="15" t="str">
        <x:v>EFT receipt</x:v>
      </x:c>
      <x:c r="I113" s="15" t="str">
        <x:v>High</x:v>
      </x:c>
      <x:c r="J113" s="15" t="str">
        <x:v>eml_ALL_currentac__512781 (2).zip &gt; eml2currentac__512781.zip / FNB _-) R24373.00 paid to Current a_c..512781 @ Online Banking. Ref.Ag1 Seaside Village. 26May 14_01.eml</x:v>
      </x:c>
    </x:row>
    <x:row r="114">
      <x:c r="A114" s="34" t="n">
        <x:v>46170.35972222222</x:v>
      </x:c>
      <x:c r="B114" s="15" t="str">
        <x:v>R026rbwzx0 Booking.c</x:v>
      </x:c>
      <x:c r="C114" s="15" t="str">
        <x:v>R19442.24 paid to Current a/c..512781 @ Retail Forex. Ref.R026rbwzx0 Booking.c. 28May 08:38</x:v>
      </x:c>
      <x:c r="D114" s="38" t="n">
        <x:v>19442.24</x:v>
      </x:c>
      <x:c r="E114" s="15" t="str">
        <x:v>ZAR</x:v>
      </x:c>
      <x:c r="F114" s="15" t="str">
        <x:v>Current a/c..512781</x:v>
      </x:c>
      <x:c r="G114" s="15" t="str">
        <x:v>Sales / customer receipts</x:v>
      </x:c>
      <x:c r="H114" s="15" t="str">
        <x:v>EFT receipt</x:v>
      </x:c>
      <x:c r="I114" s="15" t="str">
        <x:v>High</x:v>
      </x:c>
      <x:c r="J114" s="15" t="str">
        <x:v>eml_ALL_currentac__512781 (2).zip &gt; eml1currentac__512781.zip / FNB _-) R19442.24 paid to Current a_c..512781 @ Retail Forex. Ref.R026rbwzx0 Booking.c. 28May 08_38.eml</x:v>
      </x:c>
    </x:row>
    <x:row r="115">
      <x:c r="A115" s="34" t="n">
        <x:v>46170.58125</x:v>
      </x:c>
      <x:c r="B115" s="15" t="str">
        <x:v>Ik Pay 487882</x:v>
      </x:c>
      <x:c r="C115" s="15" t="str">
        <x:v>R5770.16 paid to Current a/c..512781 @ Payshap. Ref.Ik Pay 487882. 28May 13:57</x:v>
      </x:c>
      <x:c r="D115" s="38" t="n">
        <x:v>5770.16</x:v>
      </x:c>
      <x:c r="E115" s="15" t="str">
        <x:v>ZAR</x:v>
      </x:c>
      <x:c r="F115" s="15" t="str">
        <x:v>Current a/c..512781</x:v>
      </x:c>
      <x:c r="G115" s="15" t="str">
        <x:v>Sales / customer receipts</x:v>
      </x:c>
      <x:c r="H115" s="15" t="str">
        <x:v>EFT receipt</x:v>
      </x:c>
      <x:c r="I115" s="15" t="str">
        <x:v>High</x:v>
      </x:c>
      <x:c r="J115" s="15" t="str">
        <x:v>eml_ALL_currentac__512781 (2).zip &gt; eml1currentac__512781.zip / FNB _-) R5770.16 paid to Current a_c..512781 @ Payshap. Ref.Ik Pay 487882. 28May 13_57.eml</x:v>
      </x:c>
    </x:row>
    <x:row r="116">
      <x:c r="A116" s="34" t="n">
        <x:v>46175.35208333333</x:v>
      </x:c>
      <x:c r="B116" s="15" t="str">
        <x:v>Ik Pay 487882</x:v>
      </x:c>
      <x:c r="C116" s="15" t="str">
        <x:v>R9225.78 paid to Current a/c..512781 @ Payshap. Ref.Ik Pay 487882. 2Jun 08:27</x:v>
      </x:c>
      <x:c r="D116" s="38" t="n">
        <x:v>9225.78</x:v>
      </x:c>
      <x:c r="E116" s="15" t="str">
        <x:v>ZAR</x:v>
      </x:c>
      <x:c r="F116" s="15" t="str">
        <x:v>Current a/c..512781</x:v>
      </x:c>
      <x:c r="G116" s="15" t="str">
        <x:v>Sales / customer receipts</x:v>
      </x:c>
      <x:c r="H116" s="15" t="str">
        <x:v>EFT receipt</x:v>
      </x:c>
      <x:c r="I116" s="15" t="str">
        <x:v>High</x:v>
      </x:c>
      <x:c r="J116" s="15" t="str">
        <x:v>eml_ALL_currentac__512781 (2).zip &gt; eml1currentac__512781.zip / FNB _-) R9225.78 paid to Current a_c..512781 @ Payshap. Ref.Ik Pay 487882.  2Jun 08_27.eml</x:v>
      </x:c>
    </x:row>
    <x:row r="117">
      <x:c r="A117" s="34" t="n">
        <x:v>46177.33819444444</x:v>
      </x:c>
      <x:c r="B117" s="15" t="str">
        <x:v>R026qzlwv0 Booking.c</x:v>
      </x:c>
      <x:c r="C117" s="15" t="str">
        <x:v>R8567.39 paid to Current a/c..512781 @ Retail Forex. Ref.R026qzlwv0 Booking.c. 4Jun 08:07</x:v>
      </x:c>
      <x:c r="D117" s="38" t="n">
        <x:v>8567.39</x:v>
      </x:c>
      <x:c r="E117" s="15" t="str">
        <x:v>ZAR</x:v>
      </x:c>
      <x:c r="F117" s="15" t="str">
        <x:v>Current a/c..512781</x:v>
      </x:c>
      <x:c r="G117" s="15" t="str">
        <x:v>Sales / customer receipts</x:v>
      </x:c>
      <x:c r="H117" s="15" t="str">
        <x:v>EFT receipt</x:v>
      </x:c>
      <x:c r="I117" s="15" t="str">
        <x:v>High</x:v>
      </x:c>
      <x:c r="J117" s="15" t="str">
        <x:v>eml_ALL_currentac__512781 (2).zip &gt; eml1currentac__512781.zip / FNB _-) R8567.39 paid to Current a_c..512781 @ Retail Forex. Ref.R026qzlwv0 Booking.c.  4Jun 08_07.eml</x:v>
      </x:c>
    </x:row>
    <x:row r="118">
      <x:c r="A118" s="34" t="n">
        <x:v>46179.44375</x:v>
      </x:c>
      <x:c r="B118" s="15" t="str">
        <x:v>Ik Pay 487882</x:v>
      </x:c>
      <x:c r="C118" s="15" t="str">
        <x:v>R2254.86 paid to Current a/c..512781 @ Payshap. Ref.Ik Pay 487882. 6Jun 10:39</x:v>
      </x:c>
      <x:c r="D118" s="38" t="n">
        <x:v>2254.86</x:v>
      </x:c>
      <x:c r="E118" s="15" t="str">
        <x:v>ZAR</x:v>
      </x:c>
      <x:c r="F118" s="15" t="str">
        <x:v>Current a/c..512781</x:v>
      </x:c>
      <x:c r="G118" s="15" t="str">
        <x:v>Sales / customer receipts</x:v>
      </x:c>
      <x:c r="H118" s="15" t="str">
        <x:v>EFT receipt</x:v>
      </x:c>
      <x:c r="I118" s="15" t="str">
        <x:v>High</x:v>
      </x:c>
      <x:c r="J118" s="15" t="str">
        <x:v>eml_ALL_currentac__512781 (2).zip &gt; eml1currentac__512781.zip / FNB _-) R2254.86 paid to Current a_c..512781 @ Payshap. Ref.Ik Pay 487882.  6Jun 10_39.eml</x:v>
      </x:c>
    </x:row>
    <x:row r="119">
      <x:c r="A119" s="34" t="n">
        <x:v>46181.498611111114</x:v>
      </x:c>
      <x:c r="B119" s="15" t="str">
        <x:v>Gd</x:v>
      </x:c>
      <x:c r="C119" s="15" t="str">
        <x:v>R4100.00 paid to Current a/c..512781 @ 00182007 ATM. Ref.Gd. 8Jun 11:58</x:v>
      </x:c>
      <x:c r="D119" s="38" t="n">
        <x:v>4100</x:v>
      </x:c>
      <x:c r="E119" s="15" t="str">
        <x:v>ZAR</x:v>
      </x:c>
      <x:c r="F119" s="15" t="str">
        <x:v>Current a/c..512781</x:v>
      </x:c>
      <x:c r="G119" s="15" t="str">
        <x:v>Sales / customer receipts</x:v>
      </x:c>
      <x:c r="H119" s="15" t="str">
        <x:v>EFT receipt</x:v>
      </x:c>
      <x:c r="I119" s="15" t="str">
        <x:v>High</x:v>
      </x:c>
      <x:c r="J119" s="15" t="str">
        <x:v>eml_ALL_currentac__512781 (2).zip &gt; eml1currentac__512781.zip / FNB _-) R4100.00 paid to Current a_c..512781 @ 00182007 ATM. Ref.Gd.  8Jun 11_58.eml</x:v>
      </x:c>
    </x:row>
    <x:row r="120">
      <x:c r="A120" s="34" t="n">
        <x:v>46182.81736111111</x:v>
      </x:c>
      <x:c r="B120" s="15" t="str">
        <x:v>524405,04294887007</x:v>
      </x:c>
      <x:c r="C120" s="15" t="str">
        <x:v>R150.00 paid to Current a/c..512781 @ Smartapp. Ref.524405,04294887007. 9Jun 19:37</x:v>
      </x:c>
      <x:c r="D120" s="38" t="n">
        <x:v>150</x:v>
      </x:c>
      <x:c r="E120" s="15" t="str">
        <x:v>ZAR</x:v>
      </x:c>
      <x:c r="F120" s="15" t="str">
        <x:v>Current a/c..512781</x:v>
      </x:c>
      <x:c r="G120" s="15" t="str">
        <x:v>Sales / customer receipts</x:v>
      </x:c>
      <x:c r="H120" s="15" t="str">
        <x:v>EFT receipt</x:v>
      </x:c>
      <x:c r="I120" s="15" t="str">
        <x:v>High</x:v>
      </x:c>
      <x:c r="J120" s="15" t="str">
        <x:v>eml_ALL_currentac__512781 (2).zip &gt; eml1currentac__512781.zip / FNB _-) R150.00 paid to Current a_c..512781 @ Smartapp. Ref.524405,04294887007.  9Jun 19_37.eml</x:v>
      </x:c>
    </x:row>
    <x:row r="121">
      <x:c r="A121" s="34" t="n">
        <x:v>46182.81805555556</x:v>
      </x:c>
      <x:c r="B121" s="15" t="str">
        <x:v>524745,04294887007</x:v>
      </x:c>
      <x:c r="C121" s="15" t="str">
        <x:v>R150.00 paid to Current a/c..512781 @ Smartapp. Ref.524745,04294887007. 9Jun 19:38</x:v>
      </x:c>
      <x:c r="D121" s="38" t="n">
        <x:v>150</x:v>
      </x:c>
      <x:c r="E121" s="15" t="str">
        <x:v>ZAR</x:v>
      </x:c>
      <x:c r="F121" s="15" t="str">
        <x:v>Current a/c..512781</x:v>
      </x:c>
      <x:c r="G121" s="15" t="str">
        <x:v>Sales / customer receipts</x:v>
      </x:c>
      <x:c r="H121" s="15" t="str">
        <x:v>EFT receipt</x:v>
      </x:c>
      <x:c r="I121" s="15" t="str">
        <x:v>High</x:v>
      </x:c>
      <x:c r="J121" s="15" t="str">
        <x:v>eml_ALL_currentac__512781 (2).zip &gt; eml1currentac__512781.zip / FNB _-) R150.00 paid to Current a_c..512781 @ Smartapp. Ref.524745,04294887007.  9Jun 19_38.eml</x:v>
      </x:c>
    </x:row>
    <x:row r="122">
      <x:c r="A122" s="34" t="n">
        <x:v>46184.34027777778</x:v>
      </x:c>
      <x:c r="B122" s="15" t="str">
        <x:v>R026qn5f90 Booking.c</x:v>
      </x:c>
      <x:c r="C122" s="15" t="str">
        <x:v>R12141.73 paid to Current a/c..512781 @ Retail Forex. Ref.R026qn5f90 Booking.c. 11Jun 08:10</x:v>
      </x:c>
      <x:c r="D122" s="38" t="n">
        <x:v>12141.73</x:v>
      </x:c>
      <x:c r="E122" s="15" t="str">
        <x:v>ZAR</x:v>
      </x:c>
      <x:c r="F122" s="15" t="str">
        <x:v>Current a/c..512781</x:v>
      </x:c>
      <x:c r="G122" s="15" t="str">
        <x:v>Sales / customer receipts</x:v>
      </x:c>
      <x:c r="H122" s="15" t="str">
        <x:v>EFT receipt</x:v>
      </x:c>
      <x:c r="I122" s="15" t="str">
        <x:v>High</x:v>
      </x:c>
      <x:c r="J122" s="15" t="str">
        <x:v>eml_ALL_currentac__512781 (2).zip &gt; eml1currentac__512781.zip / FNB _-) R12141.73 paid to Current a_c..512781 @ Retail Forex. Ref.R026qn5f90 Booking.c. 11Jun 08_10.eml</x:v>
      </x:c>
    </x:row>
    <x:row r="123">
      <x:c r="A123" s="34" t="n">
        <x:v>46184.56597222222</x:v>
      </x:c>
      <x:c r="B123" s="15" t="str">
        <x:v>Ik Pay 487882</x:v>
      </x:c>
      <x:c r="C123" s="15" t="str">
        <x:v>R629.06 paid to Current a/c..512781 @ Payshap. Ref.Ik Pay 487882. 11Jun 13:35</x:v>
      </x:c>
      <x:c r="D123" s="38" t="n">
        <x:v>629.06</x:v>
      </x:c>
      <x:c r="E123" s="15" t="str">
        <x:v>ZAR</x:v>
      </x:c>
      <x:c r="F123" s="15" t="str">
        <x:v>Current a/c..512781</x:v>
      </x:c>
      <x:c r="G123" s="15" t="str">
        <x:v>Sales / customer receipts</x:v>
      </x:c>
      <x:c r="H123" s="15" t="str">
        <x:v>EFT receipt</x:v>
      </x:c>
      <x:c r="I123" s="15" t="str">
        <x:v>High</x:v>
      </x:c>
      <x:c r="J123" s="15" t="str">
        <x:v>eml_ALL_currentac__512781 (2).zip &gt; eml1currentac__512781.zip / FNB _-) R629.06 paid to Current a_c..512781 @ Payshap. Ref.Ik Pay 487882. 11Jun 13_35.eml</x:v>
      </x:c>
    </x:row>
    <x:row r="124">
      <x:c r="A124" s="34" t="n">
        <x:v>46188.572222222225</x:v>
      </x:c>
      <x:c r="B124" s="15" t="str">
        <x:v>Ik Pay 487882</x:v>
      </x:c>
      <x:c r="C124" s="15" t="str">
        <x:v>R22887.88 paid to Current a/c..512781 @ Payshap. Ref.Ik Pay 487882. 15Jun 13:44</x:v>
      </x:c>
      <x:c r="D124" s="38" t="n">
        <x:v>22887.88</x:v>
      </x:c>
      <x:c r="E124" s="15" t="str">
        <x:v>ZAR</x:v>
      </x:c>
      <x:c r="F124" s="15" t="str">
        <x:v>Current a/c..512781</x:v>
      </x:c>
      <x:c r="G124" s="15" t="str">
        <x:v>Sales / customer receipts</x:v>
      </x:c>
      <x:c r="H124" s="15" t="str">
        <x:v>EFT receipt</x:v>
      </x:c>
      <x:c r="I124" s="15" t="str">
        <x:v>High</x:v>
      </x:c>
      <x:c r="J124" s="15" t="str">
        <x:v>eml_ALL_currentac__512781 (2).zip &gt; eml1currentac__512781.zip / FNB _-) R22887.88 paid to Current a_c..512781 @ Payshap. Ref.Ik Pay 487882. 15Jun 13_44.eml</x:v>
      </x:c>
    </x:row>
    <x:row r="125">
      <x:c r="A125" s="34" t="n">
        <x:v>46191.38958333333</x:v>
      </x:c>
      <x:c r="B125" s="15" t="str">
        <x:v>R026qc6v20 Booking.c</x:v>
      </x:c>
      <x:c r="C125" s="15" t="str">
        <x:v>R6363.32 paid to Current a/c..512781 @ Retail Forex. Ref.R026qc6v20 Booking.c. 18Jun 09:21</x:v>
      </x:c>
      <x:c r="D125" s="38" t="n">
        <x:v>6363.32</x:v>
      </x:c>
      <x:c r="E125" s="15" t="str">
        <x:v>ZAR</x:v>
      </x:c>
      <x:c r="F125" s="15" t="str">
        <x:v>Current a/c..512781</x:v>
      </x:c>
      <x:c r="G125" s="15" t="str">
        <x:v>Sales / customer receipts</x:v>
      </x:c>
      <x:c r="H125" s="15" t="str">
        <x:v>EFT receipt</x:v>
      </x:c>
      <x:c r="I125" s="15" t="str">
        <x:v>High</x:v>
      </x:c>
      <x:c r="J125" s="15" t="str">
        <x:v>eml_ALL_currentac__512781 (2).zip &gt; eml1currentac__512781.zip / FNB _-) R6363.32 paid to Current a_c..512781 @ Retail Forex. Ref.R026qc6v20 Booking.c. 18Jun 09_21.eml</x:v>
      </x:c>
    </x:row>
    <x:row r="126">
      <x:c r="A126" s="34" t="n">
        <x:v>46192.57152777778</x:v>
      </x:c>
      <x:c r="B126" s="15" t="str">
        <x:v>Ik Pay 487882</x:v>
      </x:c>
      <x:c r="C126" s="15" t="str">
        <x:v>R1641.66 paid to Current a/c..512781 @ Payshap. Ref.Ik Pay 487882. 19Jun 13:43</x:v>
      </x:c>
      <x:c r="D126" s="38" t="n">
        <x:v>1641.66</x:v>
      </x:c>
      <x:c r="E126" s="15" t="str">
        <x:v>ZAR</x:v>
      </x:c>
      <x:c r="F126" s="15" t="str">
        <x:v>Current a/c..512781</x:v>
      </x:c>
      <x:c r="G126" s="15" t="str">
        <x:v>Sales / customer receipts</x:v>
      </x:c>
      <x:c r="H126" s="15" t="str">
        <x:v>EFT receipt</x:v>
      </x:c>
      <x:c r="I126" s="15" t="str">
        <x:v>High</x:v>
      </x:c>
      <x:c r="J126" s="15" t="str">
        <x:v>eml_ALL_currentac__512781 (2).zip &gt; eml1currentac__512781.zip / FNB _-) R1641.66 paid to Current a_c..512781 @ Payshap. Ref.Ik Pay 487882. 19Jun 13_43.eml</x:v>
      </x:c>
    </x:row>
  </x:sheetData>
  <x:pageMargins left="0.7" right="0.7" top="0.75" bottom="0.75" header="0.3" footer="0.3"/>
  <x:tableParts count="1">
    <x:tablePart xmlns:r="http://schemas.openxmlformats.org/officeDocument/2006/relationships" r:id="R64b85abe37534e4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36" hidden="0" customWidth="1"/>
    <x:col min="9" max="9" width="16" hidden="0" customWidth="1"/>
    <x:col min="10" max="10" width="36" hidden="0" customWidth="1"/>
  </x:cols>
  <x:sheetData>
    <x:row r="1">
      <x:c r="A1" s="29" t="str">
        <x:v>Date</x:v>
      </x:c>
      <x:c r="B1" s="29" t="str">
        <x:v>Payee / merchant</x:v>
      </x:c>
      <x:c r="C1" s="29" t="str">
        <x:v>Description</x:v>
      </x:c>
      <x:c r="D1" s="29" t="str">
        <x:v>Amount</x:v>
      </x:c>
      <x:c r="E1" s="29" t="str">
        <x:v>Currency</x:v>
      </x:c>
      <x:c r="F1" s="29" t="str">
        <x:v>Account/card</x:v>
      </x:c>
      <x:c r="G1" s="29" t="str">
        <x:v>Category</x:v>
      </x:c>
      <x:c r="H1" s="29" t="str">
        <x:v>Transaction type</x:v>
      </x:c>
      <x:c r="I1" s="29" t="str">
        <x:v>Confidence</x:v>
      </x:c>
      <x:c r="J1" s="29" t="str">
        <x:v>Source file</x:v>
      </x:c>
    </x:row>
    <x:row r="2">
      <x:c r="A2" s="34" t="n">
        <x:v>45919.38888888889</x:v>
      </x:c>
      <x:c r="B2" s="15" t="str">
        <x:v>Shell Rinsa Pty Ltd</x:v>
      </x:c>
      <x:c r="C2" s="15" t="str">
        <x:v>R500.15 reserved for purchase @ Shell Rinsa Pty Ltd from Current a/c..512781 using card..2924. Avail R4297. 19Sep 09:20</x:v>
      </x:c>
      <x:c r="D2" s="38" t="n">
        <x:v>500.15</x:v>
      </x:c>
      <x:c r="E2" s="15" t="str">
        <x:v>ZAR</x:v>
      </x:c>
      <x:c r="F2" s="15" t="str">
        <x:v>Current a/c..512781 / card..2924</x:v>
      </x:c>
      <x:c r="G2" s="15" t="str">
        <x:v>Fuel / transport</x:v>
      </x:c>
      <x:c r="H2" s="15" t="str">
        <x:v>Card purchase</x:v>
      </x:c>
      <x:c r="I2" s="15" t="str">
        <x:v>High</x:v>
      </x:c>
      <x:c r="J2" s="15" t="str">
        <x:v>eml_ALL_currentac__512781 (2).zip &gt; eml12currentac__512781.zip / FNB _-) R500.15 reserved for purchase @ Shell Rinsa Pty Ltd from Current a_c..512781 using card..2924. 19Sep 09_20.eml</x:v>
      </x:c>
    </x:row>
    <x:row r="3">
      <x:c r="A3" s="34" t="n">
        <x:v>45919.433333333334</x:v>
      </x:c>
      <x:c r="B3" s="15" t="str">
        <x:v>Machado Tap N Go</x:v>
      </x:c>
      <x:c r="C3" s="15" t="str">
        <x:v>R122.00 reserved for purchase @ Machado Tap N Go from Current a/c..512781 using card..2924. Avail R4175. 19Sep 10:24</x:v>
      </x:c>
      <x:c r="D3" s="38" t="n">
        <x:v>122</x:v>
      </x:c>
      <x:c r="E3" s="15" t="str">
        <x:v>ZAR</x:v>
      </x:c>
      <x:c r="F3" s="15" t="str">
        <x:v>Current a/c..512781 / card..2924</x:v>
      </x:c>
      <x:c r="G3" s="15" t="str">
        <x:v>Card spend</x:v>
      </x:c>
      <x:c r="H3" s="15" t="str">
        <x:v>Card purchase</x:v>
      </x:c>
      <x:c r="I3" s="15" t="str">
        <x:v>High</x:v>
      </x:c>
      <x:c r="J3" s="15" t="str">
        <x:v>eml_ALL_currentac__512781 (2).zip &gt; eml12currentac__512781.zip / FNB _-) R122.00 reserved for purchase @ Machado Tap N Go from Current a_c..512781 using card..2924. 19Sep 10_24.eml</x:v>
      </x:c>
    </x:row>
    <x:row r="4">
      <x:c r="A4" s="34" t="n">
        <x:v>45924.458333333336</x:v>
      </x:c>
      <x:c r="B4" s="15" t="str">
        <x:v>Atmh11960000001</x:v>
      </x:c>
      <x:c r="C4" s="15" t="str">
        <x:v>R600.00 withdrawn from Current a/c..512781 using card..2924 @ Atmh11960000001. Avail R697. 24Sep 11:00</x:v>
      </x:c>
      <x:c r="D4" s="38" t="n">
        <x:v>600</x:v>
      </x:c>
      <x:c r="E4" s="15" t="str">
        <x:v>ZAR</x:v>
      </x:c>
      <x:c r="F4" s="15" t="str">
        <x:v>Current a/c..512781 / card..2924</x:v>
      </x:c>
      <x:c r="G4" s="15" t="str">
        <x:v>Cash withdrawal</x:v>
      </x:c>
      <x:c r="H4" s="15" t="str">
        <x:v>ATM / cash withdrawal</x:v>
      </x:c>
      <x:c r="I4" s="15" t="str">
        <x:v>High</x:v>
      </x:c>
      <x:c r="J4" s="15" t="str">
        <x:v>eml_ALL_currentac__512781 (2).zip &gt; eml12currentac__512781.zip / FNB _-) R600.00 withdrawn from Current a_c..512781 using card..2924 @ Atmh11960000001. 24Sep 11_00.eml</x:v>
      </x:c>
    </x:row>
    <x:row r="5">
      <x:c r="A5" s="34" t="n">
        <x:v>45925.683333333334</x:v>
      </x:c>
      <x:c r="B5" s="15" t="str">
        <x:v>Superspar Komatipoor</x:v>
      </x:c>
      <x:c r="C5" s="15" t="str">
        <x:v>R506.43 reserved for purchase @ Superspar Komatipoor from Current a/c..512781 using card..2924. Avail R191. 25Sep 16:24</x:v>
      </x:c>
      <x:c r="D5" s="38" t="n">
        <x:v>506.43</x:v>
      </x:c>
      <x:c r="E5" s="15" t="str">
        <x:v>ZAR</x:v>
      </x:c>
      <x:c r="F5" s="15" t="str">
        <x:v>Current a/c..512781 / card..2924</x:v>
      </x:c>
      <x:c r="G5" s="15" t="str">
        <x:v>Supplier payments</x:v>
      </x:c>
      <x:c r="H5" s="15" t="str">
        <x:v>Card purchase</x:v>
      </x:c>
      <x:c r="I5" s="15" t="str">
        <x:v>High</x:v>
      </x:c>
      <x:c r="J5" s="15" t="str">
        <x:v>eml_ALL_currentac__512781 (2).zip &gt; eml12currentac__512781.zip / FNB _-) R506.43 reserved for purchase @ Superspar Komatipoor from Current a_c..512781 using card..2924. 25Sep 16_24.eml</x:v>
      </x:c>
    </x:row>
    <x:row r="6">
      <x:c r="A6" s="34" t="n">
        <x:v>45931.08541666667</x:v>
      </x:c>
      <x:c r="B6" s="15" t="str">
        <x:v>Engen Komatipoort</x:v>
      </x:c>
      <x:c r="C6" s="15" t="str">
        <x:v>R400.00 reserved for purchase @ Engen Komatipoort from Current a/c..512781 using card..2924. Avail R4566. 1Oct 02:03</x:v>
      </x:c>
      <x:c r="D6" s="38" t="n">
        <x:v>400</x:v>
      </x:c>
      <x:c r="E6" s="15" t="str">
        <x:v>ZAR</x:v>
      </x:c>
      <x:c r="F6" s="15" t="str">
        <x:v>Current a/c..512781 / card..2924</x:v>
      </x:c>
      <x:c r="G6" s="15" t="str">
        <x:v>Fuel / transport</x:v>
      </x:c>
      <x:c r="H6" s="15" t="str">
        <x:v>Card purchase</x:v>
      </x:c>
      <x:c r="I6" s="15" t="str">
        <x:v>High</x:v>
      </x:c>
      <x:c r="J6" s="15" t="str">
        <x:v>eml_ALL_currentac__512781 (2).zip &gt; eml12currentac__512781.zip / FNB _-) R400.00 reserved for purchase @ Engen Komatipoort from Current a_c..512781 using card..2924.  1Oct 02_03.eml</x:v>
      </x:c>
    </x:row>
    <x:row r="7">
      <x:c r="A7" s="34" t="n">
        <x:v>45931.48263888889</x:v>
      </x:c>
      <x:c r="B7" s="15" t="str">
        <x:v>Superspar Komatipoor</x:v>
      </x:c>
      <x:c r="C7" s="15" t="str">
        <x:v>R384.87 reserved for purchase @ Superspar Komatipoor from Current a/c..512781 using card..2924. Avail R4182. 1Oct 11:35</x:v>
      </x:c>
      <x:c r="D7" s="38" t="n">
        <x:v>384.87</x:v>
      </x:c>
      <x:c r="E7" s="15" t="str">
        <x:v>ZAR</x:v>
      </x:c>
      <x:c r="F7" s="15" t="str">
        <x:v>Current a/c..512781 / card..2924</x:v>
      </x:c>
      <x:c r="G7" s="15" t="str">
        <x:v>Supplier payments</x:v>
      </x:c>
      <x:c r="H7" s="15" t="str">
        <x:v>Card purchase</x:v>
      </x:c>
      <x:c r="I7" s="15" t="str">
        <x:v>High</x:v>
      </x:c>
      <x:c r="J7" s="15" t="str">
        <x:v>eml_ALL_currentac__512781 (2).zip &gt; eml12currentac__512781.zip / FNB _-) R384.87 reserved for purchase @ Superspar Komatipoor from Current a_c..512781 using card..2924.  1Oct 11_35.eml</x:v>
      </x:c>
    </x:row>
    <x:row r="8">
      <x:c r="A8" s="34" t="n">
        <x:v>45931.48611111111</x:v>
      </x:c>
      <x:c r="B8" s="15" t="str">
        <x:v>Tops Komatipoort</x:v>
      </x:c>
      <x:c r="C8" s="15" t="str">
        <x:v>R231.96 reserved for purchase @ Tops Komatipoort from Current a/c..512781 using card..2924. Avail R3950. 1Oct 11:40</x:v>
      </x:c>
      <x:c r="D8" s="38" t="n">
        <x:v>231.96</x:v>
      </x:c>
      <x:c r="E8" s="15" t="str">
        <x:v>ZAR</x:v>
      </x:c>
      <x:c r="F8" s="15" t="str">
        <x:v>Current a/c..512781 / card..2924</x:v>
      </x:c>
      <x:c r="G8" s="15" t="str">
        <x:v>Meals / restaurants / entertainment</x:v>
      </x:c>
      <x:c r="H8" s="15" t="str">
        <x:v>Card purchase</x:v>
      </x:c>
      <x:c r="I8" s="15" t="str">
        <x:v>High</x:v>
      </x:c>
      <x:c r="J8" s="15" t="str">
        <x:v>eml_ALL_currentac__512781 (2).zip &gt; eml12currentac__512781.zip / FNB _-) R231.96 reserved for purchase @ Tops Komatipoort from Current a_c..512781 using card..2924.  1Oct 11_40.eml</x:v>
      </x:c>
    </x:row>
    <x:row r="9">
      <x:c r="A9" s="34" t="n">
        <x:v>45932.4125</x:v>
      </x:c>
      <x:c r="B9" s="15" t="str">
        <x:v>Dinner Box 99970</x:v>
      </x:c>
      <x:c r="C9" s="15" t="str">
        <x:v>R2543.95 paid from Current a/c..512781 @ Smartapp. Avail R1406. Ref.Dinner Box 99970. 2Oct 09:54</x:v>
      </x:c>
      <x:c r="D9" s="38" t="n">
        <x:v>2543.95</x:v>
      </x:c>
      <x:c r="E9" s="15" t="str">
        <x:v>ZAR</x:v>
      </x:c>
      <x:c r="F9" s="15" t="str">
        <x:v>Current a/c..512781</x:v>
      </x:c>
      <x:c r="G9" s="15" t="str">
        <x:v>Meals / restaurants / entertainment</x:v>
      </x:c>
      <x:c r="H9" s="15" t="str">
        <x:v>EFT payment</x:v>
      </x:c>
      <x:c r="I9" s="15" t="str">
        <x:v>High</x:v>
      </x:c>
      <x:c r="J9" s="15" t="str">
        <x:v>eml_ALL_currentac__512781 (2).zip &gt; eml12currentac__512781.zip / FNB _-) R2543.95 paid from Current a_c..512781 @ Smartapp. Ref.Dinner Box 99970.  2Oct 09_54.eml</x:v>
      </x:c>
    </x:row>
    <x:row r="10">
      <x:c r="A10" s="34" t="n">
        <x:v>45932.48402777778</x:v>
      </x:c>
      <x:c r="B10" s="15" t="str">
        <x:v>Deon"s Diy 4193</x:v>
      </x:c>
      <x:c r="C10" s="15" t="str">
        <x:v>R300.00 paid from Current a/c..512781 @ Smartapp. Avail R1106. Ref.Deon"s Diy 4193. 2Oct 11:37</x:v>
      </x:c>
      <x:c r="D10" s="38" t="n">
        <x:v>300</x:v>
      </x:c>
      <x:c r="E10" s="15" t="str">
        <x:v>ZAR</x:v>
      </x:c>
      <x:c r="F10" s="15" t="str">
        <x:v>Current a/c..512781</x:v>
      </x:c>
      <x:c r="G10" s="15" t="str">
        <x:v>Supplier payments</x:v>
      </x:c>
      <x:c r="H10" s="15" t="str">
        <x:v>EFT payment</x:v>
      </x:c>
      <x:c r="I10" s="15" t="str">
        <x:v>High</x:v>
      </x:c>
      <x:c r="J10" s="15" t="str">
        <x:v>eml_ALL_currentac__512781 (2).zip &gt; eml12currentac__512781.zip / FNB _-) R300.00 paid from Current a_c..512781 @ Smartapp. Ref.Deon_s Diy 4193.  2Oct 11_37.eml</x:v>
      </x:c>
    </x:row>
    <x:row r="11">
      <x:c r="A11" s="34" t="n">
        <x:v>45932.71875</x:v>
      </x:c>
      <x:c r="B11" s="15" t="str">
        <x:v>Savemor Marloth</x:v>
      </x:c>
      <x:c r="C11" s="15" t="str">
        <x:v>R161.98 reserved for purchase @ Savemor Marloth from Current a/c..512781 using card..2924. Avail R944. 2Oct 17:15</x:v>
      </x:c>
      <x:c r="D11" s="38" t="n">
        <x:v>161.98</x:v>
      </x:c>
      <x:c r="E11" s="15" t="str">
        <x:v>ZAR</x:v>
      </x:c>
      <x:c r="F11" s="15" t="str">
        <x:v>Current a/c..512781 / card..2924</x:v>
      </x:c>
      <x:c r="G11" s="15" t="str">
        <x:v>Supplier payments</x:v>
      </x:c>
      <x:c r="H11" s="15" t="str">
        <x:v>Card purchase</x:v>
      </x:c>
      <x:c r="I11" s="15" t="str">
        <x:v>High</x:v>
      </x:c>
      <x:c r="J11" s="15" t="str">
        <x:v>eml_ALL_currentac__512781 (2).zip &gt; eml12currentac__512781.zip / FNB _-) R161.98 reserved for purchase @ Savemor Marloth from Current a_c..512781 using card..2924.  2Oct 17_15.eml</x:v>
      </x:c>
    </x:row>
    <x:row r="12">
      <x:c r="A12" s="34" t="n">
        <x:v>45933.459027777775</x:v>
      </x:c>
      <x:c r="B12" s="15" t="str">
        <x:v>Kruger Safari 1657</x:v>
      </x:c>
      <x:c r="C12" s="15" t="str">
        <x:v>R2845.00 paid from Current a/c..512781 @ Smartapp. Avail R39534. Ref.Kruger Safari 1657. 3Oct 11:01</x:v>
      </x:c>
      <x:c r="D12" s="38" t="n">
        <x:v>2845</x:v>
      </x:c>
      <x:c r="E12" s="15" t="str">
        <x:v>ZAR</x:v>
      </x:c>
      <x:c r="F12" s="15" t="str">
        <x:v>Current a/c..512781</x:v>
      </x:c>
      <x:c r="G12" s="15" t="str">
        <x:v>Supplier payments</x:v>
      </x:c>
      <x:c r="H12" s="15" t="str">
        <x:v>EFT payment</x:v>
      </x:c>
      <x:c r="I12" s="15" t="str">
        <x:v>High</x:v>
      </x:c>
      <x:c r="J12" s="15" t="str">
        <x:v>eml_ALL_currentac__512781 (2).zip &gt; eml12currentac__512781.zip / FNB _-) R2845.00 paid from Current a_c..512781 @ Smartapp. Ref.Kruger Safari 1657.  3Oct 11_01.eml</x:v>
      </x:c>
    </x:row>
    <x:row r="13">
      <x:c r="A13" s="34" t="n">
        <x:v>45933.518055555556</x:v>
      </x:c>
      <x:c r="B13" s="15" t="str">
        <x:v>Nb N992820 + 983772</x:v>
      </x:c>
      <x:c r="C13" s="15" t="str">
        <x:v>R1414.50 paid from Current a/c..512781 @ Smartapp. Avail R70819. Ref.Nb N992820 + 983772. 3Oct 12:26</x:v>
      </x:c>
      <x:c r="D13" s="38" t="n">
        <x:v>1414.5</x:v>
      </x:c>
      <x:c r="E13" s="15" t="str">
        <x:v>ZAR</x:v>
      </x:c>
      <x:c r="F13" s="15" t="str">
        <x:v>Current a/c..512781</x:v>
      </x:c>
      <x:c r="G13" s="15" t="str">
        <x:v>Supplier payments</x:v>
      </x:c>
      <x:c r="H13" s="15" t="str">
        <x:v>EFT payment</x:v>
      </x:c>
      <x:c r="I13" s="15" t="str">
        <x:v>High</x:v>
      </x:c>
      <x:c r="J13" s="15" t="str">
        <x:v>eml_ALL_currentac__512781 (2).zip &gt; eml12currentac__512781.zip / FNB _-) R1414.50 paid from Current a_c..512781 @ Smartapp. Ref.Nb N992820 + 983772.  3Oct 12_26.eml</x:v>
      </x:c>
    </x:row>
    <x:row r="14">
      <x:c r="A14" s="34" t="n">
        <x:v>45934.40625</x:v>
      </x:c>
      <x:c r="B14" s="15" t="str">
        <x:v>Savemor Marloth</x:v>
      </x:c>
      <x:c r="C14" s="15" t="str">
        <x:v>R114.36 reserved for purchase @ Savemor Marloth from Current a/c..512781 using card..2924. Avail R69439. 4Oct 09:45</x:v>
      </x:c>
      <x:c r="D14" s="38" t="n">
        <x:v>114.36</x:v>
      </x:c>
      <x:c r="E14" s="15" t="str">
        <x:v>ZAR</x:v>
      </x:c>
      <x:c r="F14" s="15" t="str">
        <x:v>Current a/c..512781 / card..2924</x:v>
      </x:c>
      <x:c r="G14" s="15" t="str">
        <x:v>Supplier payments</x:v>
      </x:c>
      <x:c r="H14" s="15" t="str">
        <x:v>Card purchase</x:v>
      </x:c>
      <x:c r="I14" s="15" t="str">
        <x:v>High</x:v>
      </x:c>
      <x:c r="J14" s="15" t="str">
        <x:v>eml_ALL_currentac__512781 (2).zip &gt; eml12currentac__512781.zip / FNB _-) R114.36 reserved for purchase @ Savemor Marloth from Current a_c..512781 using card..2924.  4Oct 09_45.eml</x:v>
      </x:c>
    </x:row>
    <x:row r="15">
      <x:c r="A15" s="34" t="n">
        <x:v>45934.495833333334</x:v>
      </x:c>
      <x:c r="B15" s="15" t="str">
        <x:v>Staff Tips For Aug</x:v>
      </x:c>
      <x:c r="C15" s="15" t="str">
        <x:v>R1400.00 paid from Current a/c..512781 @ Smartapp. Avail R66639. Ref.Staff Tips For Aug. 4Oct 11:54</x:v>
      </x:c>
      <x:c r="D15" s="38" t="n">
        <x:v>1400</x:v>
      </x:c>
      <x:c r="E15" s="15" t="str">
        <x:v>ZAR</x:v>
      </x:c>
      <x:c r="F15" s="15" t="str">
        <x:v>Current a/c..512781</x:v>
      </x:c>
      <x:c r="G15" s="15" t="str">
        <x:v>Salary / wages</x:v>
      </x:c>
      <x:c r="H15" s="15" t="str">
        <x:v>EFT payment</x:v>
      </x:c>
      <x:c r="I15" s="15" t="str">
        <x:v>High</x:v>
      </x:c>
      <x:c r="J15" s="15" t="str">
        <x:v>eml_ALL_currentac__512781 (2).zip &gt; eml12currentac__512781.zip / FNB _-) R1400.00 paid from Current a_c..512781 @ Smartapp. Ref.Staff Tips For Aug.  4Oct 11_54.eml</x:v>
      </x:c>
    </x:row>
    <x:row r="16">
      <x:c r="A16" s="34" t="n">
        <x:v>45934.49652777778</x:v>
      </x:c>
      <x:c r="B16" s="15" t="str">
        <x:v>Staff Tips For Aug</x:v>
      </x:c>
      <x:c r="C16" s="15" t="str">
        <x:v>R1400.00 paid from Current a/c..512781 @ Smartapp. Avail R65239. Ref.Staff Tips For Aug. 4Oct 11:55</x:v>
      </x:c>
      <x:c r="D16" s="38" t="n">
        <x:v>1400</x:v>
      </x:c>
      <x:c r="E16" s="15" t="str">
        <x:v>ZAR</x:v>
      </x:c>
      <x:c r="F16" s="15" t="str">
        <x:v>Current a/c..512781</x:v>
      </x:c>
      <x:c r="G16" s="15" t="str">
        <x:v>Salary / wages</x:v>
      </x:c>
      <x:c r="H16" s="15" t="str">
        <x:v>EFT payment</x:v>
      </x:c>
      <x:c r="I16" s="15" t="str">
        <x:v>High</x:v>
      </x:c>
      <x:c r="J16" s="15" t="str">
        <x:v>eml_ALL_currentac__512781 (2).zip &gt; eml12currentac__512781.zip / FNB _-) R1400.00 paid from Current a_c..512781 @ Smartapp. Ref.Staff Tips For Aug.  4Oct 11_55.eml</x:v>
      </x:c>
    </x:row>
    <x:row r="17">
      <x:c r="A17" s="34" t="n">
        <x:v>45935.41458333333</x:v>
      </x:c>
      <x:c r="B17" s="15" t="str">
        <x:v>Nyala Safari 145</x:v>
      </x:c>
      <x:c r="C17" s="15" t="str">
        <x:v>R10080.00 paid from Current a/c..512781 @ Smartapp. Avail R55159. Ref.Nyala Safari 145. 5Oct 09:57</x:v>
      </x:c>
      <x:c r="D17" s="38" t="n">
        <x:v>10080</x:v>
      </x:c>
      <x:c r="E17" s="15" t="str">
        <x:v>ZAR</x:v>
      </x:c>
      <x:c r="F17" s="15" t="str">
        <x:v>Current a/c..512781</x:v>
      </x:c>
      <x:c r="G17" s="15" t="str">
        <x:v>Supplier payments</x:v>
      </x:c>
      <x:c r="H17" s="15" t="str">
        <x:v>EFT payment</x:v>
      </x:c>
      <x:c r="I17" s="15" t="str">
        <x:v>High</x:v>
      </x:c>
      <x:c r="J17" s="15" t="str">
        <x:v>eml_ALL_currentac__512781 (2).zip &gt; eml12currentac__512781.zip / FNB _-) R10080.00 paid from Current a_c..512781 @ Smartapp. Ref.Nyala Safari 145.  5Oct 09_57.eml</x:v>
      </x:c>
    </x:row>
    <x:row r="18">
      <x:c r="A18" s="34" t="n">
        <x:v>45935.45625</x:v>
      </x:c>
      <x:c r="B18" s="15" t="str">
        <x:v>Giraffe Pub And Gril</x:v>
      </x:c>
      <x:c r="C18" s="15" t="str">
        <x:v>R400.00 reserved for purchase @ Giraffe Pub And Gril from Current a/c..512781 using card..2924. Avail R54759. 5Oct 10:57</x:v>
      </x:c>
      <x:c r="D18" s="38" t="n">
        <x:v>400</x:v>
      </x:c>
      <x:c r="E18" s="15" t="str">
        <x:v>ZAR</x:v>
      </x:c>
      <x:c r="F18" s="15" t="str">
        <x:v>Current a/c..512781 / card..2924</x:v>
      </x:c>
      <x:c r="G18" s="15" t="str">
        <x:v>Meals / restaurants / entertainment</x:v>
      </x:c>
      <x:c r="H18" s="15" t="str">
        <x:v>Card purchase</x:v>
      </x:c>
      <x:c r="I18" s="15" t="str">
        <x:v>High</x:v>
      </x:c>
      <x:c r="J18" s="15" t="str">
        <x:v>eml_ALL_currentac__512781 (2).zip &gt; eml12currentac__512781.zip / FNB _-) R400.00 reserved for purchase @ Giraffe Pub And Gril from Current a_c..512781 using card..2924.  5Oct 10_57.eml</x:v>
      </x:c>
    </x:row>
    <x:row r="19">
      <x:c r="A19" s="34" t="n">
        <x:v>45935.46944444445</x:v>
      </x:c>
      <x:c r="B19" s="15" t="str">
        <x:v>Savemor Marloth</x:v>
      </x:c>
      <x:c r="C19" s="15" t="str">
        <x:v>R1821.97 reserved for purchase @ Savemor Marloth from Current a/c..512781 using card..2924. Avail R52937. 5Oct 11:16</x:v>
      </x:c>
      <x:c r="D19" s="38" t="n">
        <x:v>1821.97</x:v>
      </x:c>
      <x:c r="E19" s="15" t="str">
        <x:v>ZAR</x:v>
      </x:c>
      <x:c r="F19" s="15" t="str">
        <x:v>Current a/c..512781 / card..2924</x:v>
      </x:c>
      <x:c r="G19" s="15" t="str">
        <x:v>Supplier payments</x:v>
      </x:c>
      <x:c r="H19" s="15" t="str">
        <x:v>Card purchase</x:v>
      </x:c>
      <x:c r="I19" s="15" t="str">
        <x:v>High</x:v>
      </x:c>
      <x:c r="J19" s="15" t="str">
        <x:v>eml_ALL_currentac__512781 (2).zip &gt; eml12currentac__512781.zip / FNB _-) R1821.97 reserved for purchase @ Savemor Marloth from Current a_c..512781 using card..2924.  5Oct 11_16.eml</x:v>
      </x:c>
    </x:row>
    <x:row r="20">
      <x:c r="A20" s="34" t="n">
        <x:v>45936.31736111111</x:v>
      </x:c>
      <x:c r="B20" s="15" t="str">
        <x:v>Savemor Marloth</x:v>
      </x:c>
      <x:c r="C20" s="15" t="str">
        <x:v>R124.34 reserved for purchase @ Savemor Marloth from Current a/c..512781 using card..2924. Avail R52802. 6Oct 07:37</x:v>
      </x:c>
      <x:c r="D20" s="38" t="n">
        <x:v>124.34</x:v>
      </x:c>
      <x:c r="E20" s="15" t="str">
        <x:v>ZAR</x:v>
      </x:c>
      <x:c r="F20" s="15" t="str">
        <x:v>Current a/c..512781 / card..2924</x:v>
      </x:c>
      <x:c r="G20" s="15" t="str">
        <x:v>Supplier payments</x:v>
      </x:c>
      <x:c r="H20" s="15" t="str">
        <x:v>Card purchase</x:v>
      </x:c>
      <x:c r="I20" s="15" t="str">
        <x:v>High</x:v>
      </x:c>
      <x:c r="J20" s="15" t="str">
        <x:v>eml_ALL_currentac__512781 (2).zip &gt; eml12currentac__512781.zip / FNB _-) R124.34 reserved for purchase @ Savemor Marloth from Current a_c..512781 using card..2924.  6Oct 07_37.eml</x:v>
      </x:c>
    </x:row>
    <x:row r="21">
      <x:c r="A21" s="34" t="n">
        <x:v>45938.438888888886</x:v>
      </x:c>
      <x:c r="B21" s="15" t="str">
        <x:v>Nkomazi Local Munici</x:v>
      </x:c>
      <x:c r="C21" s="15" t="str">
        <x:v>R5670.36 reserved for purchase @ Nkomazi Local Munici from Current a/c..512781 using card..2924. Avail R47112. 8Oct 10:32</x:v>
      </x:c>
      <x:c r="D21" s="38" t="n">
        <x:v>5670.36</x:v>
      </x:c>
      <x:c r="E21" s="15" t="str">
        <x:v>ZAR</x:v>
      </x:c>
      <x:c r="F21" s="15" t="str">
        <x:v>Current a/c..512781 / card..2924</x:v>
      </x:c>
      <x:c r="G21" s="15" t="str">
        <x:v>Card spend</x:v>
      </x:c>
      <x:c r="H21" s="15" t="str">
        <x:v>Card purchase</x:v>
      </x:c>
      <x:c r="I21" s="15" t="str">
        <x:v>High</x:v>
      </x:c>
      <x:c r="J21" s="15" t="str">
        <x:v>eml_ALL_currentac__512781 (2).zip &gt; eml12currentac__512781.zip / FNB _-) R5670.36 reserved for purchase @ Nkomazi Local Munici from Current a_c..512781 using card..2924.  8Oct 10_32.eml</x:v>
      </x:c>
    </x:row>
    <x:row r="22">
      <x:c r="A22" s="34" t="n">
        <x:v>45938.569444444445</x:v>
      </x:c>
      <x:c r="B22" s="15" t="str">
        <x:v>Bon Express 006708</x:v>
      </x:c>
      <x:c r="C22" s="15" t="str">
        <x:v>R127.88 paid from Current a/c..512781 @ Smartapp. Avail R46976. Ref.Bon Express 006708. 8Oct 13:40</x:v>
      </x:c>
      <x:c r="D22" s="38" t="n">
        <x:v>127.88</x:v>
      </x:c>
      <x:c r="E22" s="15" t="str">
        <x:v>ZAR</x:v>
      </x:c>
      <x:c r="F22" s="15" t="str">
        <x:v>Current a/c..512781</x:v>
      </x:c>
      <x:c r="G22" s="15" t="str">
        <x:v>Supplier payments</x:v>
      </x:c>
      <x:c r="H22" s="15" t="str">
        <x:v>EFT payment</x:v>
      </x:c>
      <x:c r="I22" s="15" t="str">
        <x:v>High</x:v>
      </x:c>
      <x:c r="J22" s="15" t="str">
        <x:v>eml_ALL_currentac__512781 (2).zip &gt; eml12currentac__512781.zip / FNB _-) R127.88 paid from Current a_c..512781 @ Smartapp. Ref.Bon Express 006708.  8Oct 13_40.eml</x:v>
      </x:c>
    </x:row>
    <x:row r="23">
      <x:c r="A23" s="34" t="n">
        <x:v>45938.57013888889</x:v>
      </x:c>
      <x:c r="B23" s="15" t="str">
        <x:v>Kruger Safari 1658</x:v>
      </x:c>
      <x:c r="C23" s="15" t="str">
        <x:v>R2776.00 paid from Current a/c..512781 @ Smartapp. Avail R44192. Ref.Kruger Safari 1658. 8Oct 13:41</x:v>
      </x:c>
      <x:c r="D23" s="38" t="n">
        <x:v>2776</x:v>
      </x:c>
      <x:c r="E23" s="15" t="str">
        <x:v>ZAR</x:v>
      </x:c>
      <x:c r="F23" s="15" t="str">
        <x:v>Current a/c..512781</x:v>
      </x:c>
      <x:c r="G23" s="15" t="str">
        <x:v>Supplier payments</x:v>
      </x:c>
      <x:c r="H23" s="15" t="str">
        <x:v>EFT payment</x:v>
      </x:c>
      <x:c r="I23" s="15" t="str">
        <x:v>High</x:v>
      </x:c>
      <x:c r="J23" s="15" t="str">
        <x:v>eml_ALL_currentac__512781 (2).zip &gt; eml12currentac__512781.zip / FNB _-) R2776.00 paid from Current a_c..512781 @ Smartapp. Ref.Kruger Safari 1658.  8Oct 13_41.eml</x:v>
      </x:c>
    </x:row>
    <x:row r="24">
      <x:c r="A24" s="34" t="n">
        <x:v>45938.59652777778</x:v>
      </x:c>
      <x:c r="B24" s="15" t="str">
        <x:v>Temu</x:v>
      </x:c>
      <x:c r="C24" s="15" t="str">
        <x:v>R150.00 reserved for purchase @ Temu from Current a/c..512781 using card..2924. Avail R44042. 8Oct 14:19</x:v>
      </x:c>
      <x:c r="D24" s="38" t="n">
        <x:v>150</x:v>
      </x:c>
      <x:c r="E24" s="15" t="str">
        <x:v>ZAR</x:v>
      </x:c>
      <x:c r="F24" s="15" t="str">
        <x:v>Current a/c..512781 / card..2924</x:v>
      </x:c>
      <x:c r="G24" s="15" t="str">
        <x:v>Card spend</x:v>
      </x:c>
      <x:c r="H24" s="15" t="str">
        <x:v>Card purchase</x:v>
      </x:c>
      <x:c r="I24" s="15" t="str">
        <x:v>High</x:v>
      </x:c>
      <x:c r="J24" s="15" t="str">
        <x:v>eml_ALL_currentac__512781 (2).zip &gt; eml12currentac__512781.zip / FNB _-) R150.00 reserved for purchase @ Temu from Current a_c..512781 using card..2924.  8Oct 14_19.eml</x:v>
      </x:c>
    </x:row>
    <x:row r="25">
      <x:c r="A25" s="34" t="n">
        <x:v>45938.603472222225</x:v>
      </x:c>
      <x:c r="B25" s="15" t="str">
        <x:v>Temu</x:v>
      </x:c>
      <x:c r="C25" s="15" t="str">
        <x:v>R234.00 reserved for purchase @ Temu from Current a/c..512781 using card..2924. Avail R43808. 8Oct 14:29</x:v>
      </x:c>
      <x:c r="D25" s="38" t="n">
        <x:v>234</x:v>
      </x:c>
      <x:c r="E25" s="15" t="str">
        <x:v>ZAR</x:v>
      </x:c>
      <x:c r="F25" s="15" t="str">
        <x:v>Current a/c..512781 / card..2924</x:v>
      </x:c>
      <x:c r="G25" s="15" t="str">
        <x:v>Card spend</x:v>
      </x:c>
      <x:c r="H25" s="15" t="str">
        <x:v>Card purchase</x:v>
      </x:c>
      <x:c r="I25" s="15" t="str">
        <x:v>High</x:v>
      </x:c>
      <x:c r="J25" s="15" t="str">
        <x:v>eml_ALL_currentac__512781 (2).zip &gt; eml12currentac__512781.zip / FNB _-) R234.00 reserved for purchase @ Temu from Current a_c..512781 using card..2924.  8Oct 14_29.eml</x:v>
      </x:c>
    </x:row>
    <x:row r="26">
      <x:c r="A26" s="34" t="n">
        <x:v>45938.60763888889</x:v>
      </x:c>
      <x:c r="B26" s="15" t="str">
        <x:v>Temu</x:v>
      </x:c>
      <x:c r="C26" s="15" t="str">
        <x:v>R152.00 reserved for purchase @ Temu from Current a/c..512781 using card..2924. Avail R43656. 8Oct 14:35</x:v>
      </x:c>
      <x:c r="D26" s="38" t="n">
        <x:v>152</x:v>
      </x:c>
      <x:c r="E26" s="15" t="str">
        <x:v>ZAR</x:v>
      </x:c>
      <x:c r="F26" s="15" t="str">
        <x:v>Current a/c..512781 / card..2924</x:v>
      </x:c>
      <x:c r="G26" s="15" t="str">
        <x:v>Card spend</x:v>
      </x:c>
      <x:c r="H26" s="15" t="str">
        <x:v>Card purchase</x:v>
      </x:c>
      <x:c r="I26" s="15" t="str">
        <x:v>High</x:v>
      </x:c>
      <x:c r="J26" s="15" t="str">
        <x:v>eml_ALL_currentac__512781 (2).zip &gt; eml12currentac__512781.zip / FNB _-) R152.00 reserved for purchase @ Temu from Current a_c..512781 using card..2924.  8Oct 14_35.eml</x:v>
      </x:c>
    </x:row>
    <x:row r="27">
      <x:c r="A27" s="34" t="n">
        <x:v>45938.620833333334</x:v>
      </x:c>
      <x:c r="B27" s="15" t="str">
        <x:v>Temu</x:v>
      </x:c>
      <x:c r="C27" s="15" t="str">
        <x:v>R170.00 reserved for purchase @ Temu from Current a/c..512781 using card..2924. Avail R43486. 8Oct 14:54</x:v>
      </x:c>
      <x:c r="D27" s="38" t="n">
        <x:v>170</x:v>
      </x:c>
      <x:c r="E27" s="15" t="str">
        <x:v>ZAR</x:v>
      </x:c>
      <x:c r="F27" s="15" t="str">
        <x:v>Current a/c..512781 / card..2924</x:v>
      </x:c>
      <x:c r="G27" s="15" t="str">
        <x:v>Card spend</x:v>
      </x:c>
      <x:c r="H27" s="15" t="str">
        <x:v>Card purchase</x:v>
      </x:c>
      <x:c r="I27" s="15" t="str">
        <x:v>High</x:v>
      </x:c>
      <x:c r="J27" s="15" t="str">
        <x:v>eml_ALL_currentac__512781 (2).zip &gt; eml12currentac__512781.zip / FNB _-) R170.00 reserved for purchase @ Temu from Current a_c..512781 using card..2924.  8Oct 14_54.eml</x:v>
      </x:c>
    </x:row>
    <x:row r="28">
      <x:c r="A28" s="34" t="n">
        <x:v>45939.458333333336</x:v>
      </x:c>
      <x:c r="B28" s="15" t="str">
        <x:v>Cindy Wages</x:v>
      </x:c>
      <x:c r="C28" s="15" t="str">
        <x:v>R450.00 paid from Current a/c..512781 @ Smartapp. Avail R43012. Ref.Cindy Wages. 9Oct 11:00</x:v>
      </x:c>
      <x:c r="D28" s="38" t="n">
        <x:v>450</x:v>
      </x:c>
      <x:c r="E28" s="15" t="str">
        <x:v>ZAR</x:v>
      </x:c>
      <x:c r="F28" s="15" t="str">
        <x:v>Current a/c..512781</x:v>
      </x:c>
      <x:c r="G28" s="15" t="str">
        <x:v>Salary / wages</x:v>
      </x:c>
      <x:c r="H28" s="15" t="str">
        <x:v>EFT payment</x:v>
      </x:c>
      <x:c r="I28" s="15" t="str">
        <x:v>High</x:v>
      </x:c>
      <x:c r="J28" s="15" t="str">
        <x:v>eml_ALL_currentac__512781 (2).zip &gt; eml12currentac__512781.zip / FNB _-) R450.00 paid from Current a_c..512781 @ Smartapp. Ref.Cindy Wages.  9Oct 11_00.eml</x:v>
      </x:c>
    </x:row>
    <x:row r="29">
      <x:c r="A29" s="34" t="n">
        <x:v>45939.48055555556</x:v>
      </x:c>
      <x:c r="B29" s="15" t="str">
        <x:v>Agrico Pty Ltd</x:v>
      </x:c>
      <x:c r="C29" s="15" t="str">
        <x:v>R912.79 reserved for purchase @ Agrico Pty Ltd from Current a/c..512781 using card..2924. Avail R42099. 9Oct 11:32</x:v>
      </x:c>
      <x:c r="D29" s="38" t="n">
        <x:v>912.79</x:v>
      </x:c>
      <x:c r="E29" s="15" t="str">
        <x:v>ZAR</x:v>
      </x:c>
      <x:c r="F29" s="15" t="str">
        <x:v>Current a/c..512781 / card..2924</x:v>
      </x:c>
      <x:c r="G29" s="15" t="str">
        <x:v>Supplier payments</x:v>
      </x:c>
      <x:c r="H29" s="15" t="str">
        <x:v>Card purchase</x:v>
      </x:c>
      <x:c r="I29" s="15" t="str">
        <x:v>High</x:v>
      </x:c>
      <x:c r="J29" s="15" t="str">
        <x:v>eml_ALL_currentac__512781 (2).zip &gt; eml12currentac__512781.zip / FNB _-) R912.79 reserved for purchase @ Agrico Pty Ltd from Current a_c..512781 using card..2924.  9Oct 11_32.eml</x:v>
      </x:c>
    </x:row>
    <x:row r="30">
      <x:c r="A30" s="34" t="n">
        <x:v>45939.49930555555</x:v>
      </x:c>
      <x:c r="B30" s="15" t="str">
        <x:v>S2s*sa Liquors Komat</x:v>
      </x:c>
      <x:c r="C30" s="15" t="str">
        <x:v>R981.50 reserved for purchase @ S2s*sa Liquors Komat from Current a/c..512781 using card..2924. Avail R41117. 9Oct 11:59</x:v>
      </x:c>
      <x:c r="D30" s="38" t="n">
        <x:v>981.5</x:v>
      </x:c>
      <x:c r="E30" s="15" t="str">
        <x:v>ZAR</x:v>
      </x:c>
      <x:c r="F30" s="15" t="str">
        <x:v>Current a/c..512781 / card..2924</x:v>
      </x:c>
      <x:c r="G30" s="15" t="str">
        <x:v>Meals / restaurants / entertainment</x:v>
      </x:c>
      <x:c r="H30" s="15" t="str">
        <x:v>Card purchase</x:v>
      </x:c>
      <x:c r="I30" s="15" t="str">
        <x:v>High</x:v>
      </x:c>
      <x:c r="J30" s="15" t="str">
        <x:v>eml_ALL_currentac__512781 (2).zip &gt; eml12currentac__512781.zip / FNB _-) R981.50 reserved for purchase @ S2s_sa Liquors Komat from Current a_c..512781 using card..2924.  9Oct 11_59.eml</x:v>
      </x:c>
    </x:row>
    <x:row r="31">
      <x:c r="A31" s="34" t="n">
        <x:v>45939.53611111111</x:v>
      </x:c>
      <x:c r="B31" s="15" t="str">
        <x:v>Superspar Komatipoor</x:v>
      </x:c>
      <x:c r="C31" s="15" t="str">
        <x:v>R1096.67 reserved for purchase @ Superspar Komatipoor from Current a/c..512781 using card..2924. Avail R40021. 9Oct 12:52</x:v>
      </x:c>
      <x:c r="D31" s="38" t="n">
        <x:v>1096.67</x:v>
      </x:c>
      <x:c r="E31" s="15" t="str">
        <x:v>ZAR</x:v>
      </x:c>
      <x:c r="F31" s="15" t="str">
        <x:v>Current a/c..512781 / card..2924</x:v>
      </x:c>
      <x:c r="G31" s="15" t="str">
        <x:v>Supplier payments</x:v>
      </x:c>
      <x:c r="H31" s="15" t="str">
        <x:v>Card purchase</x:v>
      </x:c>
      <x:c r="I31" s="15" t="str">
        <x:v>High</x:v>
      </x:c>
      <x:c r="J31" s="15" t="str">
        <x:v>eml_ALL_currentac__512781 (2).zip &gt; eml12currentac__512781.zip / FNB _-) R1096.67 reserved for purchase @ Superspar Komatipoor from Current a_c..512781 using card..2924.  9Oct 12_52.eml</x:v>
      </x:c>
    </x:row>
    <x:row r="32">
      <x:c r="A32" s="34" t="n">
        <x:v>45939.55069444444</x:v>
      </x:c>
      <x:c r="B32" s="15" t="str">
        <x:v>Oasis Water Komatipo</x:v>
      </x:c>
      <x:c r="C32" s="15" t="str">
        <x:v>R216.00 reserved for purchase @ Oasis Water Komatipo from Current a/c..512781 using card..2924. Avail R39805. 9Oct 13:13</x:v>
      </x:c>
      <x:c r="D32" s="38" t="n">
        <x:v>216</x:v>
      </x:c>
      <x:c r="E32" s="15" t="str">
        <x:v>ZAR</x:v>
      </x:c>
      <x:c r="F32" s="15" t="str">
        <x:v>Current a/c..512781 / card..2924</x:v>
      </x:c>
      <x:c r="G32" s="15" t="str">
        <x:v>Supplier payments</x:v>
      </x:c>
      <x:c r="H32" s="15" t="str">
        <x:v>Card purchase</x:v>
      </x:c>
      <x:c r="I32" s="15" t="str">
        <x:v>High</x:v>
      </x:c>
      <x:c r="J32" s="15" t="str">
        <x:v>eml_ALL_currentac__512781 (2).zip &gt; eml12currentac__512781.zip / FNB _-) R216.00 reserved for purchase @ Oasis Water Komatipo from Current a_c..512781 using card..2924.  9Oct 13_13.eml</x:v>
      </x:c>
    </x:row>
    <x:row r="33">
      <x:c r="A33" s="34" t="n">
        <x:v>45939.566666666666</x:v>
      </x:c>
      <x:c r="B33" s="15" t="str">
        <x:v>Gfc Whisky Packhouse</x:v>
      </x:c>
      <x:c r="C33" s="15" t="str">
        <x:v>R115.00 reserved for purchase @ Gfc Whisky Packhouse from Current a/c..512781 using card..2924. Avail R39690. 9Oct 13:36</x:v>
      </x:c>
      <x:c r="D33" s="38" t="n">
        <x:v>115</x:v>
      </x:c>
      <x:c r="E33" s="15" t="str">
        <x:v>ZAR</x:v>
      </x:c>
      <x:c r="F33" s="15" t="str">
        <x:v>Current a/c..512781 / card..2924</x:v>
      </x:c>
      <x:c r="G33" s="15" t="str">
        <x:v>Card spend</x:v>
      </x:c>
      <x:c r="H33" s="15" t="str">
        <x:v>Card purchase</x:v>
      </x:c>
      <x:c r="I33" s="15" t="str">
        <x:v>High</x:v>
      </x:c>
      <x:c r="J33" s="15" t="str">
        <x:v>eml_ALL_currentac__512781 (2).zip &gt; eml12currentac__512781.zip / FNB _-) R115.00 reserved for purchase @ Gfc Whisky Packhouse from Current a_c..512781 using card..2924.  9Oct 13_36.eml</x:v>
      </x:c>
    </x:row>
    <x:row r="34">
      <x:c r="A34" s="34" t="n">
        <x:v>45940.561111111114</x:v>
      </x:c>
      <x:c r="B34" s="15" t="str">
        <x:v>R + A Projects</x:v>
      </x:c>
      <x:c r="C34" s="15" t="str">
        <x:v>R1950.00 paid from Current a/c..512781 @ Smartapp. Avail R45155. Ref.R + A Projects. 10Oct 13:28</x:v>
      </x:c>
      <x:c r="D34" s="38" t="n">
        <x:v>1950</x:v>
      </x:c>
      <x:c r="E34" s="15" t="str">
        <x:v>ZAR</x:v>
      </x:c>
      <x:c r="F34" s="15" t="str">
        <x:v>Current a/c..512781</x:v>
      </x:c>
      <x:c r="G34" s="15" t="str">
        <x:v>Supplier payments</x:v>
      </x:c>
      <x:c r="H34" s="15" t="str">
        <x:v>EFT payment</x:v>
      </x:c>
      <x:c r="I34" s="15" t="str">
        <x:v>High</x:v>
      </x:c>
      <x:c r="J34" s="15" t="str">
        <x:v>eml_ALL_currentac__512781 (2).zip &gt; eml12currentac__512781.zip / FNB _-) R1950.00 paid from Current a_c..512781 @ Smartapp. Ref.R + A Projects. 10Oct 13_28.eml</x:v>
      </x:c>
    </x:row>
    <x:row r="35">
      <x:c r="A35" s="34" t="n">
        <x:v>45940.56180555555</x:v>
      </x:c>
      <x:c r="B35" s="15" t="str">
        <x:v>Nyala Safari 146</x:v>
      </x:c>
      <x:c r="C35" s="15" t="str">
        <x:v>R2244.00 paid from Current a/c..512781 @ Smartapp. Avail R42903. Ref.Nyala Safari 146. 10Oct 13:29</x:v>
      </x:c>
      <x:c r="D35" s="38" t="n">
        <x:v>2244</x:v>
      </x:c>
      <x:c r="E35" s="15" t="str">
        <x:v>ZAR</x:v>
      </x:c>
      <x:c r="F35" s="15" t="str">
        <x:v>Current a/c..512781</x:v>
      </x:c>
      <x:c r="G35" s="15" t="str">
        <x:v>Supplier payments</x:v>
      </x:c>
      <x:c r="H35" s="15" t="str">
        <x:v>EFT payment</x:v>
      </x:c>
      <x:c r="I35" s="15" t="str">
        <x:v>High</x:v>
      </x:c>
      <x:c r="J35" s="15" t="str">
        <x:v>eml_ALL_currentac__512781 (2).zip &gt; eml12currentac__512781.zip / FNB _-) R2244.00 paid from Current a_c..512781 @ Smartapp. Ref.Nyala Safari 146. 10Oct 13_29.eml</x:v>
      </x:c>
    </x:row>
    <x:row r="36">
      <x:c r="A36" s="34" t="n">
        <x:v>45941.489583333336</x:v>
      </x:c>
      <x:c r="B36" s="15" t="str">
        <x:v>Electricity 04294887</x:v>
      </x:c>
      <x:c r="C36" s="15" t="str">
        <x:v>R1000.00 paid from Current a/c..512781 @ Smartapp. Avail R41731. Ref.Electricity 04294887. 11Oct 11:45</x:v>
      </x:c>
      <x:c r="D36" s="38" t="n">
        <x:v>1000</x:v>
      </x:c>
      <x:c r="E36" s="15" t="str">
        <x:v>ZAR</x:v>
      </x:c>
      <x:c r="F36" s="15" t="str">
        <x:v>Current a/c..512781</x:v>
      </x:c>
      <x:c r="G36" s="15" t="str">
        <x:v>Telecom / utilities</x:v>
      </x:c>
      <x:c r="H36" s="15" t="str">
        <x:v>EFT payment</x:v>
      </x:c>
      <x:c r="I36" s="15" t="str">
        <x:v>High</x:v>
      </x:c>
      <x:c r="J36" s="15" t="str">
        <x:v>eml_ALL_currentac__512781 (2).zip &gt; eml12currentac__512781.zip / FNB _-) R1000.00 paid from Current a_c..512781 @ Smartapp. Ref.Electricity 04294887. 11Oct 11_45.eml</x:v>
      </x:c>
    </x:row>
    <x:row r="37">
      <x:c r="A37" s="34" t="n">
        <x:v>45942.486805555556</x:v>
      </x:c>
      <x:c r="B37" s="15" t="str">
        <x:v>Savemor Marloth</x:v>
      </x:c>
      <x:c r="C37" s="15" t="str">
        <x:v>R547.36 reserved for purchase @ Savemor Marloth from Current a/c..512781 using card..2924. Avail R23399. 12Oct 11:41</x:v>
      </x:c>
      <x:c r="D37" s="38" t="n">
        <x:v>547.36</x:v>
      </x:c>
      <x:c r="E37" s="15" t="str">
        <x:v>ZAR</x:v>
      </x:c>
      <x:c r="F37" s="15" t="str">
        <x:v>Current a/c..512781 / card..2924</x:v>
      </x:c>
      <x:c r="G37" s="15" t="str">
        <x:v>Supplier payments</x:v>
      </x:c>
      <x:c r="H37" s="15" t="str">
        <x:v>Card purchase</x:v>
      </x:c>
      <x:c r="I37" s="15" t="str">
        <x:v>High</x:v>
      </x:c>
      <x:c r="J37" s="15" t="str">
        <x:v>eml_ALL_currentac__512781 (2).zip &gt; eml12currentac__512781.zip / FNB _-) R547.36 reserved for purchase @ Savemor Marloth from Current a_c..512781 using card..2924. 12Oct 11_41.eml</x:v>
      </x:c>
    </x:row>
    <x:row r="38">
      <x:c r="A38" s="34" t="n">
        <x:v>45943.57708333333</x:v>
      </x:c>
      <x:c r="B38" s="15" t="str">
        <x:v>Ingwe Liquors 146</x:v>
      </x:c>
      <x:c r="C38" s="15" t="str">
        <x:v>R142.00 reserved for purchase @ Ingwe Liquors 146 from Current a/c..512781 using card..2924. Avail R23890. 13Oct 13:51</x:v>
      </x:c>
      <x:c r="D38" s="38" t="n">
        <x:v>142</x:v>
      </x:c>
      <x:c r="E38" s="15" t="str">
        <x:v>ZAR</x:v>
      </x:c>
      <x:c r="F38" s="15" t="str">
        <x:v>Current a/c..512781 / card..2924</x:v>
      </x:c>
      <x:c r="G38" s="15" t="str">
        <x:v>Meals / restaurants / entertainment</x:v>
      </x:c>
      <x:c r="H38" s="15" t="str">
        <x:v>Card purchase</x:v>
      </x:c>
      <x:c r="I38" s="15" t="str">
        <x:v>High</x:v>
      </x:c>
      <x:c r="J38" s="15" t="str">
        <x:v>eml_ALL_currentac__512781 (2).zip &gt; eml12currentac__512781.zip / FNB _-) R142.00 reserved for purchase @ Ingwe Liquors 146 from Current a_c..512781 using card..2924. 13Oct 13_51.eml</x:v>
      </x:c>
    </x:row>
    <x:row r="39">
      <x:c r="A39" s="34" t="n">
        <x:v>45944.41875</x:v>
      </x:c>
      <x:c r="B39" s="15" t="str">
        <x:v>Dinner Box 100542</x:v>
      </x:c>
      <x:c r="C39" s="15" t="str">
        <x:v>R1870.75 paid from Current a/c..512781 @ Smartapp. Avail R21997. Ref.Dinner Box 100542. 14Oct 10:03</x:v>
      </x:c>
      <x:c r="D39" s="38" t="n">
        <x:v>1870.75</x:v>
      </x:c>
      <x:c r="E39" s="15" t="str">
        <x:v>ZAR</x:v>
      </x:c>
      <x:c r="F39" s="15" t="str">
        <x:v>Current a/c..512781</x:v>
      </x:c>
      <x:c r="G39" s="15" t="str">
        <x:v>Meals / restaurants / entertainment</x:v>
      </x:c>
      <x:c r="H39" s="15" t="str">
        <x:v>EFT payment</x:v>
      </x:c>
      <x:c r="I39" s="15" t="str">
        <x:v>High</x:v>
      </x:c>
      <x:c r="J39" s="15" t="str">
        <x:v>eml_ALL_currentac__512781 (2).zip &gt; eml12currentac__512781.zip / FNB _-) R1870.75 paid from Current a_c..512781 @ Smartapp. Ref.Dinner Box 100542. 14Oct 10_03.eml</x:v>
      </x:c>
    </x:row>
    <x:row r="40">
      <x:c r="A40" s="34" t="n">
        <x:v>45944.42013888889</x:v>
      </x:c>
      <x:c r="B40" s="15" t="str">
        <x:v>Bon Express 006772</x:v>
      </x:c>
      <x:c r="C40" s="15" t="str">
        <x:v>R255.76 paid from Current a/c..512781 @ Smartapp. Avail R21733. Ref.Bon Express 006772. 14Oct 10:05</x:v>
      </x:c>
      <x:c r="D40" s="38" t="n">
        <x:v>255.76</x:v>
      </x:c>
      <x:c r="E40" s="15" t="str">
        <x:v>ZAR</x:v>
      </x:c>
      <x:c r="F40" s="15" t="str">
        <x:v>Current a/c..512781</x:v>
      </x:c>
      <x:c r="G40" s="15" t="str">
        <x:v>Supplier payments</x:v>
      </x:c>
      <x:c r="H40" s="15" t="str">
        <x:v>EFT payment</x:v>
      </x:c>
      <x:c r="I40" s="15" t="str">
        <x:v>High</x:v>
      </x:c>
      <x:c r="J40" s="15" t="str">
        <x:v>eml_ALL_currentac__512781 (2).zip &gt; eml12currentac__512781.zip / FNB _-) R255.76 paid from Current a_c..512781 @ Smartapp. Ref.Bon Express 006772. 14Oct 10_05.eml</x:v>
      </x:c>
    </x:row>
    <x:row r="41">
      <x:c r="A41" s="34" t="n">
        <x:v>45944.620833333334</x:v>
      </x:c>
      <x:c r="B41" s="15" t="str">
        <x:v>Shoprite Komatipoort</x:v>
      </x:c>
      <x:c r="C41" s="15" t="str">
        <x:v>R184.98 reserved for purchase @ Shoprite Komatipoort from Current a/c..512781 using card..2924. Avail R20555. 14Oct 14:54</x:v>
      </x:c>
      <x:c r="D41" s="38" t="n">
        <x:v>184.98</x:v>
      </x:c>
      <x:c r="E41" s="15" t="str">
        <x:v>ZAR</x:v>
      </x:c>
      <x:c r="F41" s="15" t="str">
        <x:v>Current a/c..512781 / card..2924</x:v>
      </x:c>
      <x:c r="G41" s="15" t="str">
        <x:v>Supplier payments</x:v>
      </x:c>
      <x:c r="H41" s="15" t="str">
        <x:v>Card purchase</x:v>
      </x:c>
      <x:c r="I41" s="15" t="str">
        <x:v>High</x:v>
      </x:c>
      <x:c r="J41" s="15" t="str">
        <x:v>eml_ALL_currentac__512781 (2).zip &gt; eml12currentac__512781.zip / FNB _-) R184.98 reserved for purchase @ Shoprite Komatipoort from Current a_c..512781 using card..2924. 14Oct 14_54.eml</x:v>
      </x:c>
    </x:row>
    <x:row r="42">
      <x:c r="A42" s="34" t="n">
        <x:v>45945.60138888889</x:v>
      </x:c>
      <x:c r="B42" s="15" t="str">
        <x:v>Oasis Water 7745</x:v>
      </x:c>
      <x:c r="C42" s="15" t="str">
        <x:v>R108.00 paid from Current a/c..512781 @ Smartapp. Avail R20439. Ref.Oasis Water 7745. 15Oct 14:26</x:v>
      </x:c>
      <x:c r="D42" s="38" t="n">
        <x:v>108</x:v>
      </x:c>
      <x:c r="E42" s="15" t="str">
        <x:v>ZAR</x:v>
      </x:c>
      <x:c r="F42" s="15" t="str">
        <x:v>Current a/c..512781</x:v>
      </x:c>
      <x:c r="G42" s="15" t="str">
        <x:v>Supplier payments</x:v>
      </x:c>
      <x:c r="H42" s="15" t="str">
        <x:v>EFT payment</x:v>
      </x:c>
      <x:c r="I42" s="15" t="str">
        <x:v>High</x:v>
      </x:c>
      <x:c r="J42" s="15" t="str">
        <x:v>eml_ALL_currentac__512781 (2).zip &gt; eml12currentac__512781.zip / FNB _-) R108.00 paid from Current a_c..512781 @ Smartapp. Ref.Oasis Water 7745. 15Oct 14_26.eml</x:v>
      </x:c>
    </x:row>
    <x:row r="43">
      <x:c r="A43" s="34" t="n">
        <x:v>45945.61875</x:v>
      </x:c>
      <x:c r="B43" s="15" t="str">
        <x:v>Savemor Marloth</x:v>
      </x:c>
      <x:c r="C43" s="15" t="str">
        <x:v>R280.95 reserved for purchase @ Savemor Marloth from Current a/c..512781 using card..2924. Avail R20158. 15Oct 14:51</x:v>
      </x:c>
      <x:c r="D43" s="38" t="n">
        <x:v>280.95</x:v>
      </x:c>
      <x:c r="E43" s="15" t="str">
        <x:v>ZAR</x:v>
      </x:c>
      <x:c r="F43" s="15" t="str">
        <x:v>Current a/c..512781 / card..2924</x:v>
      </x:c>
      <x:c r="G43" s="15" t="str">
        <x:v>Supplier payments</x:v>
      </x:c>
      <x:c r="H43" s="15" t="str">
        <x:v>Card purchase</x:v>
      </x:c>
      <x:c r="I43" s="15" t="str">
        <x:v>High</x:v>
      </x:c>
      <x:c r="J43" s="15" t="str">
        <x:v>eml_ALL_currentac__512781 (2).zip &gt; eml12currentac__512781.zip / FNB _-) R280.95 reserved for purchase @ Savemor Marloth from Current a_c..512781 using card..2924. 15Oct 14_51.eml</x:v>
      </x:c>
    </x:row>
    <x:row r="44">
      <x:c r="A44" s="34" t="n">
        <x:v>45945.62152777778</x:v>
      </x:c>
      <x:c r="B44" s="15" t="str">
        <x:v>Marlothi Petrol Stat</x:v>
      </x:c>
      <x:c r="C44" s="15" t="str">
        <x:v>R400.00 reserved for purchase @ Marlothi Petrol Stat from Current a/c..512781 using card..2924. Avail R19758. 15Oct 14:55</x:v>
      </x:c>
      <x:c r="D44" s="38" t="n">
        <x:v>400</x:v>
      </x:c>
      <x:c r="E44" s="15" t="str">
        <x:v>ZAR</x:v>
      </x:c>
      <x:c r="F44" s="15" t="str">
        <x:v>Current a/c..512781 / card..2924</x:v>
      </x:c>
      <x:c r="G44" s="15" t="str">
        <x:v>Fuel / transport</x:v>
      </x:c>
      <x:c r="H44" s="15" t="str">
        <x:v>Card purchase</x:v>
      </x:c>
      <x:c r="I44" s="15" t="str">
        <x:v>High</x:v>
      </x:c>
      <x:c r="J44" s="15" t="str">
        <x:v>eml_ALL_currentac__512781 (2).zip &gt; eml12currentac__512781.zip / FNB _-) R400.00 reserved for purchase @ Marlothi Petrol Stat from Current a_c..512781 using card..2924. 15Oct 14_55.eml</x:v>
      </x:c>
    </x:row>
    <x:row r="45">
      <x:c r="A45" s="34" t="n">
        <x:v>45946.415972222225</x:v>
      </x:c>
      <x:c r="B45" s="15" t="str">
        <x:v>Savemor Marloth</x:v>
      </x:c>
      <x:c r="C45" s="15" t="str">
        <x:v>R101.37 reserved for purchase @ Savemor Marloth from Current a/c..512781 using card..2924. Avail R19606. 16Oct 09:59</x:v>
      </x:c>
      <x:c r="D45" s="38" t="n">
        <x:v>101.37</x:v>
      </x:c>
      <x:c r="E45" s="15" t="str">
        <x:v>ZAR</x:v>
      </x:c>
      <x:c r="F45" s="15" t="str">
        <x:v>Current a/c..512781 / card..2924</x:v>
      </x:c>
      <x:c r="G45" s="15" t="str">
        <x:v>Supplier payments</x:v>
      </x:c>
      <x:c r="H45" s="15" t="str">
        <x:v>Card purchase</x:v>
      </x:c>
      <x:c r="I45" s="15" t="str">
        <x:v>High</x:v>
      </x:c>
      <x:c r="J45" s="15" t="str">
        <x:v>eml_ALL_currentac__512781 (2).zip &gt; eml12currentac__512781.zip / FNB _-) R101.37 reserved for purchase @ Savemor Marloth from Current a_c..512781 using card..2924. 16Oct 09_59.eml</x:v>
      </x:c>
    </x:row>
    <x:row r="46">
      <x:c r="A46" s="34" t="n">
        <x:v>45969.790972222225</x:v>
      </x:c>
      <x:c r="B46" s="15" t="str">
        <x:v>The Tin Shack</x:v>
      </x:c>
      <x:c r="C46" s="15" t="str">
        <x:v>R360.00 reserved for purchase @ The Tin Shack from Current a/c..512781 using card..2924. Avail R57629. 8Nov 18:59</x:v>
      </x:c>
      <x:c r="D46" s="38" t="n">
        <x:v>360</x:v>
      </x:c>
      <x:c r="E46" s="15" t="str">
        <x:v>ZAR</x:v>
      </x:c>
      <x:c r="F46" s="15" t="str">
        <x:v>Current a/c..512781 / card..2924</x:v>
      </x:c>
      <x:c r="G46" s="15" t="str">
        <x:v>Meals / restaurants / entertainment</x:v>
      </x:c>
      <x:c r="H46" s="15" t="str">
        <x:v>Card purchase</x:v>
      </x:c>
      <x:c r="I46" s="15" t="str">
        <x:v>High</x:v>
      </x:c>
      <x:c r="J46" s="15" t="str">
        <x:v>eml_ALL_currentac__512781 (2).zip &gt; eml10currentac__512781.zip / FNB _-) R360.00 reserved for purchase @ The Tin Shack from Current a_c..512781 using card..2924.  8Nov 18_59.eml</x:v>
      </x:c>
    </x:row>
    <x:row r="47">
      <x:c r="A47" s="34" t="n">
        <x:v>45970.36041666667</x:v>
      </x:c>
      <x:c r="B47" s="15" t="str">
        <x:v>Cindy Wages</x:v>
      </x:c>
      <x:c r="C47" s="15" t="str">
        <x:v>R500.00 paid from Current a/c..512781 @ Smartapp. Avail R57129. Ref.Cindy Wages. 9Nov 08:39</x:v>
      </x:c>
      <x:c r="D47" s="38" t="n">
        <x:v>500</x:v>
      </x:c>
      <x:c r="E47" s="15" t="str">
        <x:v>ZAR</x:v>
      </x:c>
      <x:c r="F47" s="15" t="str">
        <x:v>Current a/c..512781</x:v>
      </x:c>
      <x:c r="G47" s="15" t="str">
        <x:v>Salary / wages</x:v>
      </x:c>
      <x:c r="H47" s="15" t="str">
        <x:v>EFT payment</x:v>
      </x:c>
      <x:c r="I47" s="15" t="str">
        <x:v>High</x:v>
      </x:c>
      <x:c r="J47" s="15" t="str">
        <x:v>eml_ALL_currentac__512781 (2).zip &gt; eml10currentac__512781.zip / FNB _-) R500.00 paid from Current a_c..512781 @ Smartapp. Ref.Cindy Wages.  9Nov 08_39.eml</x:v>
      </x:c>
    </x:row>
    <x:row r="48">
      <x:c r="A48" s="34" t="n">
        <x:v>45970.561111111114</x:v>
      </x:c>
      <x:c r="B48" s="15" t="str">
        <x:v>Savemor Marloth</x:v>
      </x:c>
      <x:c r="C48" s="15" t="str">
        <x:v>R263.92 reserved for purchase @ Savemor Marloth from Current a/c..512781 using card..2924. Avail R56652. 9Nov 13:28</x:v>
      </x:c>
      <x:c r="D48" s="38" t="n">
        <x:v>263.92</x:v>
      </x:c>
      <x:c r="E48" s="15" t="str">
        <x:v>ZAR</x:v>
      </x:c>
      <x:c r="F48" s="15" t="str">
        <x:v>Current a/c..512781 / card..2924</x:v>
      </x:c>
      <x:c r="G48" s="15" t="str">
        <x:v>Supplier payments</x:v>
      </x:c>
      <x:c r="H48" s="15" t="str">
        <x:v>Card purchase</x:v>
      </x:c>
      <x:c r="I48" s="15" t="str">
        <x:v>High</x:v>
      </x:c>
      <x:c r="J48" s="15" t="str">
        <x:v>eml_ALL_currentac__512781 (2).zip &gt; eml10currentac__512781.zip / FNB _-) R263.92 reserved for purchase @ Savemor Marloth from Current a_c..512781 using card..2924.  9Nov 13_28.eml</x:v>
      </x:c>
    </x:row>
    <x:row r="49">
      <x:c r="A49" s="34" t="n">
        <x:v>45971.23402777778</x:v>
      </x:c>
      <x:c r="B49" s="15" t="str">
        <x:v>Sanparks Crocodile B</x:v>
      </x:c>
      <x:c r="C49" s="15" t="str">
        <x:v>R13332.00 reserved for purchase @ Sanparks Crocodile B from Current a/c..512781 using card..2924. Avail R43237. 10Nov 05:37</x:v>
      </x:c>
      <x:c r="D49" s="38" t="n">
        <x:v>13332</x:v>
      </x:c>
      <x:c r="E49" s="15" t="str">
        <x:v>ZAR</x:v>
      </x:c>
      <x:c r="F49" s="15" t="str">
        <x:v>Current a/c..512781 / card..2924</x:v>
      </x:c>
      <x:c r="G49" s="15" t="str">
        <x:v>Card spend</x:v>
      </x:c>
      <x:c r="H49" s="15" t="str">
        <x:v>Card purchase</x:v>
      </x:c>
      <x:c r="I49" s="15" t="str">
        <x:v>High</x:v>
      </x:c>
      <x:c r="J49" s="15" t="str">
        <x:v>eml_ALL_currentac__512781 (2).zip &gt; eml10currentac__512781.zip / FNB _-) R13332.00 reserved for purchase @ Sanparks Crocodile B from Current a_c..512781 using card..2924. 10Nov 05_37.eml</x:v>
      </x:c>
    </x:row>
    <x:row r="50">
      <x:c r="A50" s="34" t="n">
        <x:v>45971.36736111111</x:v>
      </x:c>
      <x:c r="B50" s="15" t="str">
        <x:v>Kruger Safari 1664</x:v>
      </x:c>
      <x:c r="C50" s="15" t="str">
        <x:v>R7500.00 paid from Current a/c..512781 @ Smartapp. Avail R35729. Ref.Kruger Safari 1664. 10Nov 08:49</x:v>
      </x:c>
      <x:c r="D50" s="38" t="n">
        <x:v>7500</x:v>
      </x:c>
      <x:c r="E50" s="15" t="str">
        <x:v>ZAR</x:v>
      </x:c>
      <x:c r="F50" s="15" t="str">
        <x:v>Current a/c..512781</x:v>
      </x:c>
      <x:c r="G50" s="15" t="str">
        <x:v>Supplier payments</x:v>
      </x:c>
      <x:c r="H50" s="15" t="str">
        <x:v>EFT payment</x:v>
      </x:c>
      <x:c r="I50" s="15" t="str">
        <x:v>High</x:v>
      </x:c>
      <x:c r="J50" s="15" t="str">
        <x:v>eml_ALL_currentac__512781 (2).zip &gt; eml10currentac__512781.zip / FNB _-) R7500.00 paid from Current a_c..512781 @ Smartapp. Ref.Kruger Safari 1664. 10Nov 08_49.eml</x:v>
      </x:c>
    </x:row>
    <x:row r="51">
      <x:c r="A51" s="34" t="n">
        <x:v>45971.552777777775</x:v>
      </x:c>
      <x:c r="B51" s="15" t="str">
        <x:v>Buco Komatipoort 116</x:v>
      </x:c>
      <x:c r="C51" s="15" t="str">
        <x:v>R248.85 reserved for purchase @ Buco Komatipoort 116 from Current a/c..512781 using card..2924. Avail R35480. 10Nov 13:16</x:v>
      </x:c>
      <x:c r="D51" s="38" t="n">
        <x:v>248.85</x:v>
      </x:c>
      <x:c r="E51" s="15" t="str">
        <x:v>ZAR</x:v>
      </x:c>
      <x:c r="F51" s="15" t="str">
        <x:v>Current a/c..512781 / card..2924</x:v>
      </x:c>
      <x:c r="G51" s="15" t="str">
        <x:v>Supplier payments</x:v>
      </x:c>
      <x:c r="H51" s="15" t="str">
        <x:v>Card purchase</x:v>
      </x:c>
      <x:c r="I51" s="15" t="str">
        <x:v>High</x:v>
      </x:c>
      <x:c r="J51" s="15" t="str">
        <x:v>eml_ALL_currentac__512781 (2).zip &gt; eml10currentac__512781.zip / FNB _-) R248.85 reserved for purchase @ Buco Komatipoort 116 from Current a_c..512781 using card..2924. 10Nov 13_16.eml</x:v>
      </x:c>
    </x:row>
    <x:row r="52">
      <x:c r="A52" s="34" t="n">
        <x:v>45971.57013888889</x:v>
      </x:c>
      <x:c r="B52" s="15" t="str">
        <x:v>Pep Home 5771 Komati</x:v>
      </x:c>
      <x:c r="C52" s="15" t="str">
        <x:v>R461.86 reserved for purchase @ Pep Home 5771 Komati from Current a/c..512781 using card..2924. Avail R35018. 10Nov 13:41</x:v>
      </x:c>
      <x:c r="D52" s="38" t="n">
        <x:v>461.86</x:v>
      </x:c>
      <x:c r="E52" s="15" t="str">
        <x:v>ZAR</x:v>
      </x:c>
      <x:c r="F52" s="15" t="str">
        <x:v>Current a/c..512781 / card..2924</x:v>
      </x:c>
      <x:c r="G52" s="15" t="str">
        <x:v>Supplier payments</x:v>
      </x:c>
      <x:c r="H52" s="15" t="str">
        <x:v>Card purchase</x:v>
      </x:c>
      <x:c r="I52" s="15" t="str">
        <x:v>High</x:v>
      </x:c>
      <x:c r="J52" s="15" t="str">
        <x:v>eml_ALL_currentac__512781 (2).zip &gt; eml10currentac__512781.zip / FNB _-) R461.86 reserved for purchase @ Pep Home 5771 Komati from Current a_c..512781 using card..2924. 10Nov 13_41.eml</x:v>
      </x:c>
    </x:row>
    <x:row r="53">
      <x:c r="A53" s="34" t="n">
        <x:v>45971.57083333333</x:v>
      </x:c>
      <x:c r="B53" s="15" t="str">
        <x:v>Bon Express 006962</x:v>
      </x:c>
      <x:c r="C53" s="15" t="str">
        <x:v>R255.76 paid from Current a/c..512781 @ Smartapp. Avail R34754. Ref.Bon Express 006962. 10Nov 13:42</x:v>
      </x:c>
      <x:c r="D53" s="38" t="n">
        <x:v>255.76</x:v>
      </x:c>
      <x:c r="E53" s="15" t="str">
        <x:v>ZAR</x:v>
      </x:c>
      <x:c r="F53" s="15" t="str">
        <x:v>Current a/c..512781</x:v>
      </x:c>
      <x:c r="G53" s="15" t="str">
        <x:v>Supplier payments</x:v>
      </x:c>
      <x:c r="H53" s="15" t="str">
        <x:v>EFT payment</x:v>
      </x:c>
      <x:c r="I53" s="15" t="str">
        <x:v>High</x:v>
      </x:c>
      <x:c r="J53" s="15" t="str">
        <x:v>eml_ALL_currentac__512781 (2).zip &gt; eml10currentac__512781.zip / FNB _-) R255.76 paid from Current a_c..512781 @ Smartapp. Ref.Bon Express 006962. 10Nov 13_42.eml</x:v>
      </x:c>
    </x:row>
    <x:row r="54">
      <x:c r="A54" s="34" t="n">
        <x:v>45971.60625</x:v>
      </x:c>
      <x:c r="B54" s="15" t="str">
        <x:v>Superspar Komatipoor</x:v>
      </x:c>
      <x:c r="C54" s="15" t="str">
        <x:v>R1005.71 reserved for purchase @ Superspar Komatipoor from Current a/c..512781 using card..2924. Avail R46260. 10Nov 14:33</x:v>
      </x:c>
      <x:c r="D54" s="38" t="n">
        <x:v>1005.71</x:v>
      </x:c>
      <x:c r="E54" s="15" t="str">
        <x:v>ZAR</x:v>
      </x:c>
      <x:c r="F54" s="15" t="str">
        <x:v>Current a/c..512781 / card..2924</x:v>
      </x:c>
      <x:c r="G54" s="15" t="str">
        <x:v>Supplier payments</x:v>
      </x:c>
      <x:c r="H54" s="15" t="str">
        <x:v>Card purchase</x:v>
      </x:c>
      <x:c r="I54" s="15" t="str">
        <x:v>High</x:v>
      </x:c>
      <x:c r="J54" s="15" t="str">
        <x:v>eml_ALL_currentac__512781 (2).zip &gt; eml10currentac__512781.zip / FNB _-) R1005.71 reserved for purchase @ Superspar Komatipoor from Current a_c..512781 using card..2924. 10Nov 14_33.eml</x:v>
      </x:c>
    </x:row>
    <x:row r="55">
      <x:c r="A55" s="34" t="n">
        <x:v>45972.4625</x:v>
      </x:c>
      <x:c r="B55" s="15" t="str">
        <x:v>Waterkloof Gas 9632</x:v>
      </x:c>
      <x:c r="C55" s="15" t="str">
        <x:v>R1258.00 paid from Current a/c..512781 @ Smartapp. Avail R44984. Ref.Waterkloof Gas 9632. 11Nov 11:06</x:v>
      </x:c>
      <x:c r="D55" s="38" t="n">
        <x:v>1258</x:v>
      </x:c>
      <x:c r="E55" s="15" t="str">
        <x:v>ZAR</x:v>
      </x:c>
      <x:c r="F55" s="15" t="str">
        <x:v>Current a/c..512781</x:v>
      </x:c>
      <x:c r="G55" s="15" t="str">
        <x:v>Supplier payments</x:v>
      </x:c>
      <x:c r="H55" s="15" t="str">
        <x:v>EFT payment</x:v>
      </x:c>
      <x:c r="I55" s="15" t="str">
        <x:v>High</x:v>
      </x:c>
      <x:c r="J55" s="15" t="str">
        <x:v>eml_ALL_currentac__512781 (2).zip &gt; eml10currentac__512781.zip / FNB _-) R1258.00 paid from Current a_c..512781 @ Smartapp. Ref.Waterkloof Gas 9632. 11Nov 11_06.eml</x:v>
      </x:c>
    </x:row>
    <x:row r="56">
      <x:c r="A56" s="34" t="n">
        <x:v>45972.4875</x:v>
      </x:c>
      <x:c r="B56" s="15" t="str">
        <x:v>Dinner Box 102116</x:v>
      </x:c>
      <x:c r="C56" s="15" t="str">
        <x:v>R1202.00 paid from Current a/c..512781 @ Smartapp. Avail R43774. Ref.Dinner Box 102116. 11Nov 11:42</x:v>
      </x:c>
      <x:c r="D56" s="38" t="n">
        <x:v>1202</x:v>
      </x:c>
      <x:c r="E56" s="15" t="str">
        <x:v>ZAR</x:v>
      </x:c>
      <x:c r="F56" s="15" t="str">
        <x:v>Current a/c..512781</x:v>
      </x:c>
      <x:c r="G56" s="15" t="str">
        <x:v>Meals / restaurants / entertainment</x:v>
      </x:c>
      <x:c r="H56" s="15" t="str">
        <x:v>EFT payment</x:v>
      </x:c>
      <x:c r="I56" s="15" t="str">
        <x:v>High</x:v>
      </x:c>
      <x:c r="J56" s="15" t="str">
        <x:v>eml_ALL_currentac__512781 (2).zip &gt; eml10currentac__512781.zip / FNB _-) R1202.00 paid from Current a_c..512781 @ Smartapp. Ref.Dinner Box 102116. 11Nov 11_42.eml</x:v>
      </x:c>
    </x:row>
    <x:row r="57">
      <x:c r="A57" s="34" t="n">
        <x:v>45972.58819444444</x:v>
      </x:c>
      <x:c r="B57" s="15" t="str">
        <x:v>Superspar Komatipoor</x:v>
      </x:c>
      <x:c r="C57" s="15" t="str">
        <x:v>R250.27 reserved for purchase @ Superspar Komatipoor from Current a/c..512781 using card..2924. Avail R43523. 11Nov 14:07</x:v>
      </x:c>
      <x:c r="D57" s="38" t="n">
        <x:v>250.27</x:v>
      </x:c>
      <x:c r="E57" s="15" t="str">
        <x:v>ZAR</x:v>
      </x:c>
      <x:c r="F57" s="15" t="str">
        <x:v>Current a/c..512781 / card..2924</x:v>
      </x:c>
      <x:c r="G57" s="15" t="str">
        <x:v>Supplier payments</x:v>
      </x:c>
      <x:c r="H57" s="15" t="str">
        <x:v>Card purchase</x:v>
      </x:c>
      <x:c r="I57" s="15" t="str">
        <x:v>High</x:v>
      </x:c>
      <x:c r="J57" s="15" t="str">
        <x:v>eml_ALL_currentac__512781 (2).zip &gt; eml10currentac__512781.zip / FNB _-) R250.27 reserved for purchase @ Superspar Komatipoor from Current a_c..512781 using card..2924. 11Nov 14_07.eml</x:v>
      </x:c>
    </x:row>
    <x:row r="58">
      <x:c r="A58" s="34" t="n">
        <x:v>45972.59652777778</x:v>
      </x:c>
      <x:c r="B58" s="15" t="str">
        <x:v>Frontier Fuels</x:v>
      </x:c>
      <x:c r="C58" s="15" t="str">
        <x:v>R800.00 reserved for purchase @ Frontier Fuels from Current a/c..512781 using card..2924. Avail R42723. 11Nov 14:19</x:v>
      </x:c>
      <x:c r="D58" s="38" t="n">
        <x:v>800</x:v>
      </x:c>
      <x:c r="E58" s="15" t="str">
        <x:v>ZAR</x:v>
      </x:c>
      <x:c r="F58" s="15" t="str">
        <x:v>Current a/c..512781 / card..2924</x:v>
      </x:c>
      <x:c r="G58" s="15" t="str">
        <x:v>Fuel / transport</x:v>
      </x:c>
      <x:c r="H58" s="15" t="str">
        <x:v>Card purchase</x:v>
      </x:c>
      <x:c r="I58" s="15" t="str">
        <x:v>High</x:v>
      </x:c>
      <x:c r="J58" s="15" t="str">
        <x:v>eml_ALL_currentac__512781 (2).zip &gt; eml10currentac__512781.zip / FNB _-) R800.00 reserved for purchase @ Frontier Fuels from Current a_c..512781 using card..2924. 11Nov 14_19.eml</x:v>
      </x:c>
    </x:row>
    <x:row r="59">
      <x:c r="A59" s="34" t="n">
        <x:v>45972.60763888889</x:v>
      </x:c>
      <x:c r="B59" s="15" t="str">
        <x:v>Royal Bush 3380 50%</x:v>
      </x:c>
      <x:c r="C59" s="15" t="str">
        <x:v>R21945.00 paid from Current a/c..512781 @ Gen Ph. Avail R20763. Ref.Royal Bush 3380 50%. 11Nov 14:35</x:v>
      </x:c>
      <x:c r="D59" s="38" t="n">
        <x:v>21945</x:v>
      </x:c>
      <x:c r="E59" s="15" t="str">
        <x:v>ZAR</x:v>
      </x:c>
      <x:c r="F59" s="15" t="str">
        <x:v>Current a/c..512781</x:v>
      </x:c>
      <x:c r="G59" s="15" t="str">
        <x:v>Supplier payments</x:v>
      </x:c>
      <x:c r="H59" s="15" t="str">
        <x:v>EFT payment</x:v>
      </x:c>
      <x:c r="I59" s="15" t="str">
        <x:v>High</x:v>
      </x:c>
      <x:c r="J59" s="15" t="str">
        <x:v>eml_ALL_currentac__512781 (2).zip &gt; eml10currentac__512781.zip / FNB _-) R21945.00 paid from Current a_c..512781 @ Gen Ph. Ref.Royal Bush 3380 50%. 11Nov 14_35.eml</x:v>
      </x:c>
    </x:row>
    <x:row r="60">
      <x:c r="A60" s="34" t="n">
        <x:v>45973.510416666664</x:v>
      </x:c>
      <x:c r="B60" s="15" t="str">
        <x:v>Impala Electrical Wh</x:v>
      </x:c>
      <x:c r="C60" s="15" t="str">
        <x:v>R1099.79 reserved for purchase @ Impala Electrical Wh from Current a/c..512781 using card..2924. Avail R19181. 12Nov 12:15</x:v>
      </x:c>
      <x:c r="D60" s="38" t="n">
        <x:v>1099.79</x:v>
      </x:c>
      <x:c r="E60" s="15" t="str">
        <x:v>ZAR</x:v>
      </x:c>
      <x:c r="F60" s="15" t="str">
        <x:v>Current a/c..512781 / card..2924</x:v>
      </x:c>
      <x:c r="G60" s="15" t="str">
        <x:v>Telecom / utilities</x:v>
      </x:c>
      <x:c r="H60" s="15" t="str">
        <x:v>Card purchase</x:v>
      </x:c>
      <x:c r="I60" s="15" t="str">
        <x:v>High</x:v>
      </x:c>
      <x:c r="J60" s="15" t="str">
        <x:v>eml_ALL_currentac__512781 (2).zip &gt; eml10currentac__512781.zip / FNB _-) R1099.79 reserved for purchase @ Impala Electrical Wh from Current a_c..512781 using card..2924. 12Nov 12_15.eml</x:v>
      </x:c>
    </x:row>
    <x:row r="61">
      <x:c r="A61" s="34" t="n">
        <x:v>45973.51736111111</x:v>
      </x:c>
      <x:c r="B61" s="15" t="str">
        <x:v>Tops Malelane</x:v>
      </x:c>
      <x:c r="C61" s="15" t="str">
        <x:v>R444.00 reserved for purchase @ Tops Malelane from Current a/c..512781 using card..2924. Avail R18737. 12Nov 12:25</x:v>
      </x:c>
      <x:c r="D61" s="38" t="n">
        <x:v>444</x:v>
      </x:c>
      <x:c r="E61" s="15" t="str">
        <x:v>ZAR</x:v>
      </x:c>
      <x:c r="F61" s="15" t="str">
        <x:v>Current a/c..512781 / card..2924</x:v>
      </x:c>
      <x:c r="G61" s="15" t="str">
        <x:v>Meals / restaurants / entertainment</x:v>
      </x:c>
      <x:c r="H61" s="15" t="str">
        <x:v>Card purchase</x:v>
      </x:c>
      <x:c r="I61" s="15" t="str">
        <x:v>High</x:v>
      </x:c>
      <x:c r="J61" s="15" t="str">
        <x:v>eml_ALL_currentac__512781 (2).zip &gt; eml10currentac__512781.zip / FNB _-) R444.00 reserved for purchase @ Tops Malelane from Current a_c..512781 using card..2924. 12Nov 12_25.eml</x:v>
      </x:c>
    </x:row>
    <x:row r="62">
      <x:c r="A62" s="34" t="n">
        <x:v>45974.35138888889</x:v>
      </x:c>
      <x:c r="B62" s="15" t="str">
        <x:v>Mr Plumber- Inv 5053</x:v>
      </x:c>
      <x:c r="C62" s="15" t="str">
        <x:v>R590.00 paid from Current a/c..512781 @ Smartapp. Avail R18026. Ref.Mr Plumber- Inv 5053. 13Nov 08:26</x:v>
      </x:c>
      <x:c r="D62" s="38" t="n">
        <x:v>590</x:v>
      </x:c>
      <x:c r="E62" s="15" t="str">
        <x:v>ZAR</x:v>
      </x:c>
      <x:c r="F62" s="15" t="str">
        <x:v>Current a/c..512781</x:v>
      </x:c>
      <x:c r="G62" s="15" t="str">
        <x:v>Supplier payments</x:v>
      </x:c>
      <x:c r="H62" s="15" t="str">
        <x:v>EFT payment</x:v>
      </x:c>
      <x:c r="I62" s="15" t="str">
        <x:v>High</x:v>
      </x:c>
      <x:c r="J62" s="15" t="str">
        <x:v>eml_ALL_currentac__512781 (2).zip &gt; eml10currentac__512781.zip / FNB _-) R590.00 paid from Current a_c..512781 @ Smartapp. Ref.Mr Plumber- Inv 5053. 13Nov 08_26.eml</x:v>
      </x:c>
    </x:row>
    <x:row r="63">
      <x:c r="A63" s="34" t="n">
        <x:v>45974.58263888889</x:v>
      </x:c>
      <x:c r="B63" s="15" t="str">
        <x:v>Savemor Marloth</x:v>
      </x:c>
      <x:c r="C63" s="15" t="str">
        <x:v>R134.02 reserved for purchase @ Savemor Marloth from Current a/c..512781 using card..2924. Avail R20040. 13Nov 13:59</x:v>
      </x:c>
      <x:c r="D63" s="38" t="n">
        <x:v>134.02</x:v>
      </x:c>
      <x:c r="E63" s="15" t="str">
        <x:v>ZAR</x:v>
      </x:c>
      <x:c r="F63" s="15" t="str">
        <x:v>Current a/c..512781 / card..2924</x:v>
      </x:c>
      <x:c r="G63" s="15" t="str">
        <x:v>Supplier payments</x:v>
      </x:c>
      <x:c r="H63" s="15" t="str">
        <x:v>Card purchase</x:v>
      </x:c>
      <x:c r="I63" s="15" t="str">
        <x:v>High</x:v>
      </x:c>
      <x:c r="J63" s="15" t="str">
        <x:v>eml_ALL_currentac__512781 (2).zip &gt; eml10currentac__512781.zip / FNB _-) R134.02 reserved for purchase @ Savemor Marloth from Current a_c..512781 using card..2924. 13Nov 13_59.eml</x:v>
      </x:c>
    </x:row>
    <x:row r="64">
      <x:c r="A64" s="34" t="n">
        <x:v>45975.37847222222</x:v>
      </x:c>
      <x:c r="B64" s="15" t="str">
        <x:v>Horse Af2hr2011</x:v>
      </x:c>
      <x:c r="C64" s="15" t="str">
        <x:v>R1400.00 paid from Current a/c..512781 @ Smartapp. Avail R17622. Ref.Horse Af2hr2011. 14Nov 09:05</x:v>
      </x:c>
      <x:c r="D64" s="38" t="n">
        <x:v>1400</x:v>
      </x:c>
      <x:c r="E64" s="15" t="str">
        <x:v>ZAR</x:v>
      </x:c>
      <x:c r="F64" s="15" t="str">
        <x:v>Current a/c..512781</x:v>
      </x:c>
      <x:c r="G64" s="15" t="str">
        <x:v>Supplier payments</x:v>
      </x:c>
      <x:c r="H64" s="15" t="str">
        <x:v>EFT payment</x:v>
      </x:c>
      <x:c r="I64" s="15" t="str">
        <x:v>High</x:v>
      </x:c>
      <x:c r="J64" s="15" t="str">
        <x:v>eml_ALL_currentac__512781 (2).zip &gt; eml10currentac__512781.zip / FNB _-) R1400.00 paid from Current a_c..512781 @ Smartapp. Ref.Horse Af2hr2011. 14Nov 09_05.eml</x:v>
      </x:c>
    </x:row>
    <x:row r="65">
      <x:c r="A65" s="34" t="n">
        <x:v>45975.45416666667</x:v>
      </x:c>
      <x:c r="B65" s="15" t="str">
        <x:v>Royal 3380 + 3463</x:v>
      </x:c>
      <x:c r="C65" s="15" t="str">
        <x:v>R26185.00 paid from Current a/c..512781 @ Smartapp. Avail R9672. Ref.Royal 3380 + 3463. 14Nov 10:54</x:v>
      </x:c>
      <x:c r="D65" s="38" t="n">
        <x:v>26185</x:v>
      </x:c>
      <x:c r="E65" s="15" t="str">
        <x:v>ZAR</x:v>
      </x:c>
      <x:c r="F65" s="15" t="str">
        <x:v>Current a/c..512781</x:v>
      </x:c>
      <x:c r="G65" s="15" t="str">
        <x:v>Supplier payments</x:v>
      </x:c>
      <x:c r="H65" s="15" t="str">
        <x:v>EFT payment</x:v>
      </x:c>
      <x:c r="I65" s="15" t="str">
        <x:v>High</x:v>
      </x:c>
      <x:c r="J65" s="15" t="str">
        <x:v>eml_ALL_currentac__512781 (2).zip &gt; eml10currentac__512781.zip / FNB _-) R26185.00 paid from Current a_c..512781 @ Smartapp. Ref.Royal 3380 + 3463. 14Nov 10_54.eml</x:v>
      </x:c>
    </x:row>
    <x:row r="66">
      <x:c r="A66" s="34" t="n">
        <x:v>45975.459027777775</x:v>
      </x:c>
      <x:c r="B66" s="15" t="str">
        <x:v>Kruger Safari 1665</x:v>
      </x:c>
      <x:c r="C66" s="15" t="str">
        <x:v>R5074.00 paid from Current a/c..512781 @ Smartapp. Avail R4590. Ref.Kruger Safari 1665. 14Nov 11:01</x:v>
      </x:c>
      <x:c r="D66" s="38" t="n">
        <x:v>5074</x:v>
      </x:c>
      <x:c r="E66" s="15" t="str">
        <x:v>ZAR</x:v>
      </x:c>
      <x:c r="F66" s="15" t="str">
        <x:v>Current a/c..512781</x:v>
      </x:c>
      <x:c r="G66" s="15" t="str">
        <x:v>Supplier payments</x:v>
      </x:c>
      <x:c r="H66" s="15" t="str">
        <x:v>EFT payment</x:v>
      </x:c>
      <x:c r="I66" s="15" t="str">
        <x:v>High</x:v>
      </x:c>
      <x:c r="J66" s="15" t="str">
        <x:v>eml_ALL_currentac__512781 (2).zip &gt; eml10currentac__512781.zip / FNB _-) R5074.00 paid from Current a_c..512781 @ Smartapp. Ref.Kruger Safari 1665. 14Nov 11_01.eml</x:v>
      </x:c>
    </x:row>
    <x:row r="67">
      <x:c r="A67" s="34" t="n">
        <x:v>45975.47777777778</x:v>
      </x:c>
      <x:c r="B67" s="15" t="str">
        <x:v>Smart Home</x:v>
      </x:c>
      <x:c r="C67" s="15" t="str">
        <x:v>R220.00 reserved for purchase @ Smart Home from Current a/c..512781 using card..2924. Avail R4370. 14Nov 11:28</x:v>
      </x:c>
      <x:c r="D67" s="38" t="n">
        <x:v>220</x:v>
      </x:c>
      <x:c r="E67" s="15" t="str">
        <x:v>ZAR</x:v>
      </x:c>
      <x:c r="F67" s="15" t="str">
        <x:v>Current a/c..512781 / card..2924</x:v>
      </x:c>
      <x:c r="G67" s="15" t="str">
        <x:v>Card spend</x:v>
      </x:c>
      <x:c r="H67" s="15" t="str">
        <x:v>Card purchase</x:v>
      </x:c>
      <x:c r="I67" s="15" t="str">
        <x:v>High</x:v>
      </x:c>
      <x:c r="J67" s="15" t="str">
        <x:v>eml_ALL_currentac__512781 (2).zip &gt; eml10currentac__512781.zip / FNB _-) R220.00 reserved for purchase @ Smart Home from Current a_c..512781 using card..2924. 14Nov 11_28.eml</x:v>
      </x:c>
    </x:row>
    <x:row r="68">
      <x:c r="A68" s="34" t="n">
        <x:v>45975.49166666667</x:v>
      </x:c>
      <x:c r="B68" s="15" t="str">
        <x:v>Dream Lucky</x:v>
      </x:c>
      <x:c r="C68" s="15" t="str">
        <x:v>R223.00 reserved for purchase @ Dream Lucky from Current a/c..512781 using card..2924. Avail R4147. 14Nov 11:48</x:v>
      </x:c>
      <x:c r="D68" s="38" t="n">
        <x:v>223</x:v>
      </x:c>
      <x:c r="E68" s="15" t="str">
        <x:v>ZAR</x:v>
      </x:c>
      <x:c r="F68" s="15" t="str">
        <x:v>Current a/c..512781 / card..2924</x:v>
      </x:c>
      <x:c r="G68" s="15" t="str">
        <x:v>Card spend</x:v>
      </x:c>
      <x:c r="H68" s="15" t="str">
        <x:v>Card purchase</x:v>
      </x:c>
      <x:c r="I68" s="15" t="str">
        <x:v>High</x:v>
      </x:c>
      <x:c r="J68" s="15" t="str">
        <x:v>eml_ALL_currentac__512781 (2).zip &gt; eml10currentac__512781.zip / FNB _-) R223.00 reserved for purchase @ Dream Lucky from Current a_c..512781 using card..2924. 14Nov 11_48.eml</x:v>
      </x:c>
    </x:row>
    <x:row r="69">
      <x:c r="A69" s="34" t="n">
        <x:v>45975.50833333333</x:v>
      </x:c>
      <x:c r="B69" s="15" t="str">
        <x:v>Riviera Cash N Carry</x:v>
      </x:c>
      <x:c r="C69" s="15" t="str">
        <x:v>R369.94 reserved for purchase @ Riviera Cash N Carry from Current a/c..512781 using card..2924. Avail R3777. 14Nov 12:12</x:v>
      </x:c>
      <x:c r="D69" s="38" t="n">
        <x:v>369.94</x:v>
      </x:c>
      <x:c r="E69" s="15" t="str">
        <x:v>ZAR</x:v>
      </x:c>
      <x:c r="F69" s="15" t="str">
        <x:v>Current a/c..512781 / card..2924</x:v>
      </x:c>
      <x:c r="G69" s="15" t="str">
        <x:v>Cash withdrawal</x:v>
      </x:c>
      <x:c r="H69" s="15" t="str">
        <x:v>Card purchase</x:v>
      </x:c>
      <x:c r="I69" s="15" t="str">
        <x:v>High</x:v>
      </x:c>
      <x:c r="J69" s="15" t="str">
        <x:v>eml_ALL_currentac__512781 (2).zip &gt; eml10currentac__512781.zip / FNB _-) R369.94 reserved for purchase @ Riviera Cash N Carry from Current a_c..512781 using card..2924. 14Nov 12_12.eml</x:v>
      </x:c>
    </x:row>
    <x:row r="70">
      <x:c r="A70" s="34" t="n">
        <x:v>45975.55694444444</x:v>
      </x:c>
      <x:c r="B70" s="15" t="str">
        <x:v>Shoprite Malelane</x:v>
      </x:c>
      <x:c r="C70" s="15" t="str">
        <x:v>R853.87 reserved for purchase @ Shoprite Malelane from Current a/c..512781 using card..2924. Avail R2861. 14Nov 13:22</x:v>
      </x:c>
      <x:c r="D70" s="38" t="n">
        <x:v>853.87</x:v>
      </x:c>
      <x:c r="E70" s="15" t="str">
        <x:v>ZAR</x:v>
      </x:c>
      <x:c r="F70" s="15" t="str">
        <x:v>Current a/c..512781 / card..2924</x:v>
      </x:c>
      <x:c r="G70" s="15" t="str">
        <x:v>Supplier payments</x:v>
      </x:c>
      <x:c r="H70" s="15" t="str">
        <x:v>Card purchase</x:v>
      </x:c>
      <x:c r="I70" s="15" t="str">
        <x:v>High</x:v>
      </x:c>
      <x:c r="J70" s="15" t="str">
        <x:v>eml_ALL_currentac__512781 (2).zip &gt; eml10currentac__512781.zip / FNB _-) R853.87 reserved for purchase @ Shoprite Malelane from Current a_c..512781 using card..2924. 14Nov 13_22.eml</x:v>
      </x:c>
    </x:row>
    <x:row r="71">
      <x:c r="A71" s="34" t="n">
        <x:v>45975.58472222222</x:v>
      </x:c>
      <x:c r="B71" s="15" t="str">
        <x:v>Woolworths</x:v>
      </x:c>
      <x:c r="C71" s="15" t="str">
        <x:v>R563.89 reserved for purchase @ Woolworths from Current a/c..512781 using card..2924. Avail R2297. 14Nov 14:02</x:v>
      </x:c>
      <x:c r="D71" s="38" t="n">
        <x:v>563.89</x:v>
      </x:c>
      <x:c r="E71" s="15" t="str">
        <x:v>ZAR</x:v>
      </x:c>
      <x:c r="F71" s="15" t="str">
        <x:v>Current a/c..512781 / card..2924</x:v>
      </x:c>
      <x:c r="G71" s="15" t="str">
        <x:v>Supplier payments</x:v>
      </x:c>
      <x:c r="H71" s="15" t="str">
        <x:v>Card purchase</x:v>
      </x:c>
      <x:c r="I71" s="15" t="str">
        <x:v>High</x:v>
      </x:c>
      <x:c r="J71" s="15" t="str">
        <x:v>eml_ALL_currentac__512781 (2).zip &gt; eml10currentac__512781.zip / FNB _-) R563.89 reserved for purchase @ Woolworths from Current a_c..512781 using card..2924. 14Nov 14_02.eml</x:v>
      </x:c>
    </x:row>
    <x:row r="72">
      <x:c r="A72" s="34" t="n">
        <x:v>45975.638194444444</x:v>
      </x:c>
      <x:c r="B72" s="15" t="str">
        <x:v>Superspar Malelane</x:v>
      </x:c>
      <x:c r="C72" s="15" t="str">
        <x:v>R1034.52 reserved for purchase @ Superspar Malelane from Current a/c..512781 using card..2924. Avail R1262. 14Nov 15:19</x:v>
      </x:c>
      <x:c r="D72" s="38" t="n">
        <x:v>1034.52</x:v>
      </x:c>
      <x:c r="E72" s="15" t="str">
        <x:v>ZAR</x:v>
      </x:c>
      <x:c r="F72" s="15" t="str">
        <x:v>Current a/c..512781 / card..2924</x:v>
      </x:c>
      <x:c r="G72" s="15" t="str">
        <x:v>Supplier payments</x:v>
      </x:c>
      <x:c r="H72" s="15" t="str">
        <x:v>Card purchase</x:v>
      </x:c>
      <x:c r="I72" s="15" t="str">
        <x:v>High</x:v>
      </x:c>
      <x:c r="J72" s="15" t="str">
        <x:v>eml_ALL_currentac__512781 (2).zip &gt; eml10currentac__512781.zip / FNB _-) R1034.52 reserved for purchase @ Superspar Malelane from Current a_c..512781 using card..2924. 14Nov 15_19.eml</x:v>
      </x:c>
    </x:row>
    <x:row r="73">
      <x:c r="A73" s="34" t="n">
        <x:v>45977.51458333333</x:v>
      </x:c>
      <x:c r="B73" s="15" t="str">
        <x:v>Savemor Marloth</x:v>
      </x:c>
      <x:c r="C73" s="15" t="str">
        <x:v>R218.85 reserved for purchase @ Savemor Marloth from Current a/c..512781 using card..2924. Avail R1029. 16Nov 12:21</x:v>
      </x:c>
      <x:c r="D73" s="38" t="n">
        <x:v>218.85</x:v>
      </x:c>
      <x:c r="E73" s="15" t="str">
        <x:v>ZAR</x:v>
      </x:c>
      <x:c r="F73" s="15" t="str">
        <x:v>Current a/c..512781 / card..2924</x:v>
      </x:c>
      <x:c r="G73" s="15" t="str">
        <x:v>Supplier payments</x:v>
      </x:c>
      <x:c r="H73" s="15" t="str">
        <x:v>Card purchase</x:v>
      </x:c>
      <x:c r="I73" s="15" t="str">
        <x:v>High</x:v>
      </x:c>
      <x:c r="J73" s="15" t="str">
        <x:v>eml_ALL_currentac__512781 (2).zip &gt; eml10currentac__512781.zip / FNB _-) R218.85 reserved for purchase @ Savemor Marloth from Current a_c..512781 using card..2924. 16Nov 12_21.eml</x:v>
      </x:c>
    </x:row>
    <x:row r="74">
      <x:c r="A74" s="34" t="n">
        <x:v>45978.2125</x:v>
      </x:c>
      <x:c r="B74" s="15" t="str">
        <x:v>Kruger Saf 1662/1663</x:v>
      </x:c>
      <x:c r="C74" s="15" t="str">
        <x:v>R11016.00 paid from Current a/c..512781 @ Gen Ph. Avail R7942. Ref.Kruger Saf 1662/1663. 17Nov 05:06</x:v>
      </x:c>
      <x:c r="D74" s="38" t="n">
        <x:v>11016</x:v>
      </x:c>
      <x:c r="E74" s="15" t="str">
        <x:v>ZAR</x:v>
      </x:c>
      <x:c r="F74" s="15" t="str">
        <x:v>Current a/c..512781</x:v>
      </x:c>
      <x:c r="G74" s="15" t="str">
        <x:v>Supplier payments</x:v>
      </x:c>
      <x:c r="H74" s="15" t="str">
        <x:v>EFT payment</x:v>
      </x:c>
      <x:c r="I74" s="15" t="str">
        <x:v>High</x:v>
      </x:c>
      <x:c r="J74" s="15" t="str">
        <x:v>eml_ALL_currentac__512781 (2).zip &gt; eml10currentac__512781.zip / FNB _-) R11016.00 paid from Current a_c..512781 @ Gen Ph. Ref.Kruger Saf 1662_1663. 17Nov 05_06.eml</x:v>
      </x:c>
    </x:row>
    <x:row r="75">
      <x:c r="A75" s="34" t="n">
        <x:v>45978.45277777778</x:v>
      </x:c>
      <x:c r="B75" s="15" t="str">
        <x:v>Superspar Komatipoor</x:v>
      </x:c>
      <x:c r="C75" s="15" t="str">
        <x:v>R815.37 reserved for purchase @ Superspar Komatipoor from Current a/c..512781 using card..2924. Avail R7127. 17Nov 10:52</x:v>
      </x:c>
      <x:c r="D75" s="38" t="n">
        <x:v>815.37</x:v>
      </x:c>
      <x:c r="E75" s="15" t="str">
        <x:v>ZAR</x:v>
      </x:c>
      <x:c r="F75" s="15" t="str">
        <x:v>Current a/c..512781 / card..2924</x:v>
      </x:c>
      <x:c r="G75" s="15" t="str">
        <x:v>Supplier payments</x:v>
      </x:c>
      <x:c r="H75" s="15" t="str">
        <x:v>Card purchase</x:v>
      </x:c>
      <x:c r="I75" s="15" t="str">
        <x:v>High</x:v>
      </x:c>
      <x:c r="J75" s="15" t="str">
        <x:v>eml_ALL_currentac__512781 (2).zip &gt; eml10currentac__512781.zip / FNB _-) R815.37 reserved for purchase @ Superspar Komatipoor from Current a_c..512781 using card..2924. 17Nov 10_52.eml</x:v>
      </x:c>
    </x:row>
    <x:row r="76">
      <x:c r="A76" s="34" t="n">
        <x:v>45978.46041666667</x:v>
      </x:c>
      <x:c r="B76" s="15" t="str">
        <x:v>Oasis Water Komatipo</x:v>
      </x:c>
      <x:c r="C76" s="15" t="str">
        <x:v>R225.60 reserved for purchase @ Oasis Water Komatipo from Current a/c..512781 using card..2924. Avail R6901. 17Nov 11:03</x:v>
      </x:c>
      <x:c r="D76" s="38" t="n">
        <x:v>225.6</x:v>
      </x:c>
      <x:c r="E76" s="15" t="str">
        <x:v>ZAR</x:v>
      </x:c>
      <x:c r="F76" s="15" t="str">
        <x:v>Current a/c..512781 / card..2924</x:v>
      </x:c>
      <x:c r="G76" s="15" t="str">
        <x:v>Supplier payments</x:v>
      </x:c>
      <x:c r="H76" s="15" t="str">
        <x:v>Card purchase</x:v>
      </x:c>
      <x:c r="I76" s="15" t="str">
        <x:v>High</x:v>
      </x:c>
      <x:c r="J76" s="15" t="str">
        <x:v>eml_ALL_currentac__512781 (2).zip &gt; eml10currentac__512781.zip / FNB _-) R225.60 reserved for purchase @ Oasis Water Komatipo from Current a_c..512781 using card..2924. 17Nov 11_03.eml</x:v>
      </x:c>
    </x:row>
    <x:row r="77">
      <x:c r="A77" s="34" t="n">
        <x:v>45978.49722222222</x:v>
      </x:c>
      <x:c r="B77" s="15" t="str">
        <x:v>Paystack *zoho Co</x:v>
      </x:c>
      <x:c r="C77" s="15" t="str">
        <x:v>R228.85 reserved for purchase @ Paystack *zoho Co from Current a/c..512781 using card..2924. Avail R6673. 17Nov 11:56</x:v>
      </x:c>
      <x:c r="D77" s="38" t="n">
        <x:v>228.85</x:v>
      </x:c>
      <x:c r="E77" s="15" t="str">
        <x:v>ZAR</x:v>
      </x:c>
      <x:c r="F77" s="15" t="str">
        <x:v>Current a/c..512781 / card..2924</x:v>
      </x:c>
      <x:c r="G77" s="15" t="str">
        <x:v>Software / subscriptions</x:v>
      </x:c>
      <x:c r="H77" s="15" t="str">
        <x:v>Card purchase</x:v>
      </x:c>
      <x:c r="I77" s="15" t="str">
        <x:v>High</x:v>
      </x:c>
      <x:c r="J77" s="15" t="str">
        <x:v>eml_ALL_currentac__512781 (2).zip &gt; eml10currentac__512781.zip / FNB _-) R228.85 reserved for purchase @ Paystack _zoho Co from Current a_c..512781 using card..2924. 17Nov 11_56.eml</x:v>
      </x:c>
    </x:row>
    <x:row r="78">
      <x:c r="A78" s="34" t="n">
        <x:v>45978.62708333333</x:v>
      </x:c>
      <x:c r="B78" s="15" t="str">
        <x:v>Savemor Marloth</x:v>
      </x:c>
      <x:c r="C78" s="15" t="str">
        <x:v>R145.85 reserved for purchase @ Savemor Marloth from Current a/c..512781 using card..2924. Avail R12512. 17Nov 15:03</x:v>
      </x:c>
      <x:c r="D78" s="38" t="n">
        <x:v>145.85</x:v>
      </x:c>
      <x:c r="E78" s="15" t="str">
        <x:v>ZAR</x:v>
      </x:c>
      <x:c r="F78" s="15" t="str">
        <x:v>Current a/c..512781 / card..2924</x:v>
      </x:c>
      <x:c r="G78" s="15" t="str">
        <x:v>Supplier payments</x:v>
      </x:c>
      <x:c r="H78" s="15" t="str">
        <x:v>Card purchase</x:v>
      </x:c>
      <x:c r="I78" s="15" t="str">
        <x:v>High</x:v>
      </x:c>
      <x:c r="J78" s="15" t="str">
        <x:v>eml_ALL_currentac__512781 (2).zip &gt; eml10currentac__512781.zip / FNB _-) R145.85 reserved for purchase @ Savemor Marloth from Current a_c..512781 using card..2924. 17Nov 15_03.eml</x:v>
      </x:c>
    </x:row>
    <x:row r="79">
      <x:c r="A79" s="34" t="n">
        <x:v>45978.85277777778</x:v>
      </x:c>
      <x:c r="B79" s="15" t="str">
        <x:v>Ntonwasi Saf Inv476</x:v>
      </x:c>
      <x:c r="C79" s="15" t="str">
        <x:v>R2770.00 paid from Current a/c..512781 @ Smartapp. Avail R9734. Ref.Ntonwasi Saf Inv476. 17Nov 20:28</x:v>
      </x:c>
      <x:c r="D79" s="38" t="n">
        <x:v>2770</x:v>
      </x:c>
      <x:c r="E79" s="15" t="str">
        <x:v>ZAR</x:v>
      </x:c>
      <x:c r="F79" s="15" t="str">
        <x:v>Current a/c..512781</x:v>
      </x:c>
      <x:c r="G79" s="15" t="str">
        <x:v>Supplier payments</x:v>
      </x:c>
      <x:c r="H79" s="15" t="str">
        <x:v>EFT payment</x:v>
      </x:c>
      <x:c r="I79" s="15" t="str">
        <x:v>High</x:v>
      </x:c>
      <x:c r="J79" s="15" t="str">
        <x:v>eml_ALL_currentac__512781 (2).zip &gt; eml10currentac__512781.zip / FNB _-) R2770.00 paid from Current a_c..512781 @ Smartapp. Ref.Ntonwasi Saf Inv476. 17Nov 20_28.eml</x:v>
      </x:c>
    </x:row>
    <x:row r="80">
      <x:c r="A80" s="34" t="n">
        <x:v>45979.47986111111</x:v>
      </x:c>
      <x:c r="B80" s="15" t="str">
        <x:v>Superspar Komatipoor</x:v>
      </x:c>
      <x:c r="C80" s="15" t="str">
        <x:v>R846.99 reserved for purchase @ Superspar Komatipoor from Current a/c..512781 using card..2924. Avail R3865. 18Nov 11:31</x:v>
      </x:c>
      <x:c r="D80" s="38" t="n">
        <x:v>846.99</x:v>
      </x:c>
      <x:c r="E80" s="15" t="str">
        <x:v>ZAR</x:v>
      </x:c>
      <x:c r="F80" s="15" t="str">
        <x:v>Current a/c..512781 / card..2924</x:v>
      </x:c>
      <x:c r="G80" s="15" t="str">
        <x:v>Supplier payments</x:v>
      </x:c>
      <x:c r="H80" s="15" t="str">
        <x:v>Card purchase</x:v>
      </x:c>
      <x:c r="I80" s="15" t="str">
        <x:v>High</x:v>
      </x:c>
      <x:c r="J80" s="15" t="str">
        <x:v>eml_ALL_currentac__512781 (2).zip &gt; eml10currentac__512781.zip / FNB _-) R846.99 reserved for purchase @ Superspar Komatipoor from Current a_c..512781 using card..2924. 18Nov 11_31.eml</x:v>
      </x:c>
    </x:row>
    <x:row r="81">
      <x:c r="A81" s="34" t="n">
        <x:v>45979.4875</x:v>
      </x:c>
      <x:c r="B81" s="15" t="str">
        <x:v>Tops Komatipoort</x:v>
      </x:c>
      <x:c r="C81" s="15" t="str">
        <x:v>R246.47 reserved for purchase @ Tops Komatipoort from Current a/c..512781 using card..2924. Avail R3619. 18Nov 11:42</x:v>
      </x:c>
      <x:c r="D81" s="38" t="n">
        <x:v>246.47</x:v>
      </x:c>
      <x:c r="E81" s="15" t="str">
        <x:v>ZAR</x:v>
      </x:c>
      <x:c r="F81" s="15" t="str">
        <x:v>Current a/c..512781 / card..2924</x:v>
      </x:c>
      <x:c r="G81" s="15" t="str">
        <x:v>Meals / restaurants / entertainment</x:v>
      </x:c>
      <x:c r="H81" s="15" t="str">
        <x:v>Card purchase</x:v>
      </x:c>
      <x:c r="I81" s="15" t="str">
        <x:v>High</x:v>
      </x:c>
      <x:c r="J81" s="15" t="str">
        <x:v>eml_ALL_currentac__512781 (2).zip &gt; eml10currentac__512781.zip / FNB _-) R246.47 reserved for purchase @ Tops Komatipoort from Current a_c..512781 using card..2924. 18Nov 11_42.eml</x:v>
      </x:c>
    </x:row>
    <x:row r="82">
      <x:c r="A82" s="34" t="n">
        <x:v>45979.506944444445</x:v>
      </x:c>
      <x:c r="B82" s="15" t="str">
        <x:v>Border Butchery 265</x:v>
      </x:c>
      <x:c r="C82" s="15" t="str">
        <x:v>R237.35 reserved for purchase @ Border Butchery 265 from Current a/c..512781 using card..2924. Avail R3382. 18Nov 12:10</x:v>
      </x:c>
      <x:c r="D82" s="38" t="n">
        <x:v>237.35</x:v>
      </x:c>
      <x:c r="E82" s="15" t="str">
        <x:v>ZAR</x:v>
      </x:c>
      <x:c r="F82" s="15" t="str">
        <x:v>Current a/c..512781 / card..2924</x:v>
      </x:c>
      <x:c r="G82" s="15" t="str">
        <x:v>Supplier payments</x:v>
      </x:c>
      <x:c r="H82" s="15" t="str">
        <x:v>Card purchase</x:v>
      </x:c>
      <x:c r="I82" s="15" t="str">
        <x:v>High</x:v>
      </x:c>
      <x:c r="J82" s="15" t="str">
        <x:v>eml_ALL_currentac__512781 (2).zip &gt; eml10currentac__512781.zip / FNB _-) R237.35 reserved for purchase @ Border Butchery 265 from Current a_c..512781 using card..2924. 18Nov 12_10.eml</x:v>
      </x:c>
    </x:row>
    <x:row r="83">
      <x:c r="A83" s="34" t="n">
        <x:v>45980.49652777778</x:v>
      </x:c>
      <x:c r="B83" s="15" t="str">
        <x:v>Dinner Box 102430</x:v>
      </x:c>
      <x:c r="C83" s="15" t="str">
        <x:v>R1543.00 paid from Current a/c..512781 @ Smartapp. Avail R1752. Ref.Dinner Box 102430. 19Nov 11:55</x:v>
      </x:c>
      <x:c r="D83" s="38" t="n">
        <x:v>1543</x:v>
      </x:c>
      <x:c r="E83" s="15" t="str">
        <x:v>ZAR</x:v>
      </x:c>
      <x:c r="F83" s="15" t="str">
        <x:v>Current a/c..512781</x:v>
      </x:c>
      <x:c r="G83" s="15" t="str">
        <x:v>Meals / restaurants / entertainment</x:v>
      </x:c>
      <x:c r="H83" s="15" t="str">
        <x:v>EFT payment</x:v>
      </x:c>
      <x:c r="I83" s="15" t="str">
        <x:v>High</x:v>
      </x:c>
      <x:c r="J83" s="15" t="str">
        <x:v>eml_ALL_currentac__512781 (2).zip &gt; eml10currentac__512781.zip / FNB _-) R1543.00 paid from Current a_c..512781 @ Smartapp. Ref.Dinner Box 102430. 19Nov 11_55.eml</x:v>
      </x:c>
    </x:row>
    <x:row r="84">
      <x:c r="A84" s="34" t="n">
        <x:v>45980.55763888889</x:v>
      </x:c>
      <x:c r="B84" s="15" t="str">
        <x:v>S2s*sa Liquors Komat</x:v>
      </x:c>
      <x:c r="C84" s="15" t="str">
        <x:v>R569.00 reserved for purchase @ S2s*sa Liquors Komat from Current a/c..512781 using card..2924. Avail R1183. 19Nov 13:23</x:v>
      </x:c>
      <x:c r="D84" s="38" t="n">
        <x:v>569</x:v>
      </x:c>
      <x:c r="E84" s="15" t="str">
        <x:v>ZAR</x:v>
      </x:c>
      <x:c r="F84" s="15" t="str">
        <x:v>Current a/c..512781 / card..2924</x:v>
      </x:c>
      <x:c r="G84" s="15" t="str">
        <x:v>Meals / restaurants / entertainment</x:v>
      </x:c>
      <x:c r="H84" s="15" t="str">
        <x:v>Card purchase</x:v>
      </x:c>
      <x:c r="I84" s="15" t="str">
        <x:v>High</x:v>
      </x:c>
      <x:c r="J84" s="15" t="str">
        <x:v>eml_ALL_currentac__512781 (2).zip &gt; eml10currentac__512781.zip / FNB _-) R569.00 reserved for purchase @ S2s_sa Liquors Komat from Current a_c..512781 using card..2924. 19Nov 13_23.eml</x:v>
      </x:c>
    </x:row>
    <x:row r="85">
      <x:c r="A85" s="34" t="n">
        <x:v>45980.60208333333</x:v>
      </x:c>
      <x:c r="B85" s="15" t="str">
        <x:v>Savemor Marloth</x:v>
      </x:c>
      <x:c r="C85" s="15" t="str">
        <x:v>R572.97 reserved for purchase @ Savemor Marloth from Current a/c..512781 using card..2924. Avail R9810. 19Nov 14:27</x:v>
      </x:c>
      <x:c r="D85" s="38" t="n">
        <x:v>572.97</x:v>
      </x:c>
      <x:c r="E85" s="15" t="str">
        <x:v>ZAR</x:v>
      </x:c>
      <x:c r="F85" s="15" t="str">
        <x:v>Current a/c..512781 / card..2924</x:v>
      </x:c>
      <x:c r="G85" s="15" t="str">
        <x:v>Supplier payments</x:v>
      </x:c>
      <x:c r="H85" s="15" t="str">
        <x:v>Card purchase</x:v>
      </x:c>
      <x:c r="I85" s="15" t="str">
        <x:v>High</x:v>
      </x:c>
      <x:c r="J85" s="15" t="str">
        <x:v>eml_ALL_currentac__512781 (2).zip &gt; eml10currentac__512781.zip / FNB _-) R572.97 reserved for purchase @ Savemor Marloth from Current a_c..512781 using card..2924. 19Nov 14_27.eml</x:v>
      </x:c>
    </x:row>
    <x:row r="86">
      <x:c r="A86" s="34" t="n">
        <x:v>45980.74652777778</x:v>
      </x:c>
      <x:c r="B86" s="15" t="str">
        <x:v>The Tin Shack</x:v>
      </x:c>
      <x:c r="C86" s="15" t="str">
        <x:v>R125.00 reserved for purchase @ The Tin Shack from Current a/c..512781 using card..2924. Avail R9685. 19Nov 17:55</x:v>
      </x:c>
      <x:c r="D86" s="38" t="n">
        <x:v>125</x:v>
      </x:c>
      <x:c r="E86" s="15" t="str">
        <x:v>ZAR</x:v>
      </x:c>
      <x:c r="F86" s="15" t="str">
        <x:v>Current a/c..512781 / card..2924</x:v>
      </x:c>
      <x:c r="G86" s="15" t="str">
        <x:v>Meals / restaurants / entertainment</x:v>
      </x:c>
      <x:c r="H86" s="15" t="str">
        <x:v>Card purchase</x:v>
      </x:c>
      <x:c r="I86" s="15" t="str">
        <x:v>High</x:v>
      </x:c>
      <x:c r="J86" s="15" t="str">
        <x:v>eml_ALL_currentac__512781 (2).zip &gt; eml10currentac__512781.zip / FNB _-) R125.00 reserved for purchase @ The Tin Shack from Current a_c..512781 using card..2924. 19Nov 17_55.eml</x:v>
      </x:c>
    </x:row>
    <x:row r="87">
      <x:c r="A87" s="34" t="n">
        <x:v>45981.42916666667</x:v>
      </x:c>
      <x:c r="B87" s="15" t="str">
        <x:v>Sparkling Auto Nelsp</x:v>
      </x:c>
      <x:c r="C87" s="15" t="str">
        <x:v>R170.00 reserved for purchase @ Sparkling Auto Nelsp from Current a/c..512781 using card..2924. Avail R9410. 20Nov 10:18</x:v>
      </x:c>
      <x:c r="D87" s="38" t="n">
        <x:v>170</x:v>
      </x:c>
      <x:c r="E87" s="15" t="str">
        <x:v>ZAR</x:v>
      </x:c>
      <x:c r="F87" s="15" t="str">
        <x:v>Current a/c..512781 / card..2924</x:v>
      </x:c>
      <x:c r="G87" s="15" t="str">
        <x:v>Supplier payments</x:v>
      </x:c>
      <x:c r="H87" s="15" t="str">
        <x:v>Card purchase</x:v>
      </x:c>
      <x:c r="I87" s="15" t="str">
        <x:v>High</x:v>
      </x:c>
      <x:c r="J87" s="15" t="str">
        <x:v>eml_ALL_currentac__512781 (2).zip &gt; eml10currentac__512781.zip / FNB _-) R170.00 reserved for purchase @ Sparkling Auto Nelsp from Current a_c..512781 using card..2924. 20Nov 10_18.eml</x:v>
      </x:c>
    </x:row>
    <x:row r="88">
      <x:c r="A88" s="34" t="n">
        <x:v>45981.47361111111</x:v>
      </x:c>
      <x:c r="B88" s="15" t="str">
        <x:v>Bossa Nelspruit</x:v>
      </x:c>
      <x:c r="C88" s="15" t="str">
        <x:v>R125.00 reserved for purchase @ Bossa Nelspruit from Current a/c..512781 using card..2924. Avail R9285. 20Nov 11:22</x:v>
      </x:c>
      <x:c r="D88" s="38" t="n">
        <x:v>125</x:v>
      </x:c>
      <x:c r="E88" s="15" t="str">
        <x:v>ZAR</x:v>
      </x:c>
      <x:c r="F88" s="15" t="str">
        <x:v>Current a/c..512781 / card..2924</x:v>
      </x:c>
      <x:c r="G88" s="15" t="str">
        <x:v>Card spend</x:v>
      </x:c>
      <x:c r="H88" s="15" t="str">
        <x:v>Card purchase</x:v>
      </x:c>
      <x:c r="I88" s="15" t="str">
        <x:v>High</x:v>
      </x:c>
      <x:c r="J88" s="15" t="str">
        <x:v>eml_ALL_currentac__512781 (2).zip &gt; eml10currentac__512781.zip / FNB _-) R125.00 reserved for purchase @ Bossa Nelspruit from Current a_c..512781 using card..2924. 20Nov 11_22.eml</x:v>
      </x:c>
    </x:row>
    <x:row r="89">
      <x:c r="A89" s="34" t="n">
        <x:v>45981.50277777778</x:v>
      </x:c>
      <x:c r="B89" s="15" t="str">
        <x:v>Superspar The Grove</x:v>
      </x:c>
      <x:c r="C89" s="15" t="str">
        <x:v>R778.98 reserved for purchase @ Superspar The Grove from Current a/c..512781 using card..2924. Avail R7706. 20Nov 12:04</x:v>
      </x:c>
      <x:c r="D89" s="38" t="n">
        <x:v>778.98</x:v>
      </x:c>
      <x:c r="E89" s="15" t="str">
        <x:v>ZAR</x:v>
      </x:c>
      <x:c r="F89" s="15" t="str">
        <x:v>Current a/c..512781 / card..2924</x:v>
      </x:c>
      <x:c r="G89" s="15" t="str">
        <x:v>Supplier payments</x:v>
      </x:c>
      <x:c r="H89" s="15" t="str">
        <x:v>Card purchase</x:v>
      </x:c>
      <x:c r="I89" s="15" t="str">
        <x:v>High</x:v>
      </x:c>
      <x:c r="J89" s="15" t="str">
        <x:v>eml_ALL_currentac__512781 (2).zip &gt; eml10currentac__512781.zip / FNB _-) R778.98 reserved for purchase @ Superspar The Grove from Current a_c..512781 using card..2924. 20Nov 12_04.eml</x:v>
      </x:c>
    </x:row>
    <x:row r="90">
      <x:c r="A90" s="34" t="n">
        <x:v>45981.50277777778</x:v>
      </x:c>
      <x:c r="B90" s="15" t="str">
        <x:v>Superspar The Grove</x:v>
      </x:c>
      <x:c r="C90" s="15" t="str">
        <x:v>R778.98 reserved for purchase @ Superspar The Grove from Current a/c..512781 using card..2924. Avail R8485. 20Nov 12:04</x:v>
      </x:c>
      <x:c r="D90" s="38" t="n">
        <x:v>778.98</x:v>
      </x:c>
      <x:c r="E90" s="15" t="str">
        <x:v>ZAR</x:v>
      </x:c>
      <x:c r="F90" s="15" t="str">
        <x:v>Current a/c..512781 / card..2924</x:v>
      </x:c>
      <x:c r="G90" s="15" t="str">
        <x:v>Supplier payments</x:v>
      </x:c>
      <x:c r="H90" s="15" t="str">
        <x:v>Card purchase</x:v>
      </x:c>
      <x:c r="I90" s="15" t="str">
        <x:v>High</x:v>
      </x:c>
      <x:c r="J90" s="15" t="str">
        <x:v>eml_ALL_currentac__512781 (2).zip &gt; eml10currentac__512781.zip / FNB _-) R778.98 reserved for purchase @ Superspar The Grove from Current a_c..512781 using card..2924. 20Nov 12_04_1.eml</x:v>
      </x:c>
    </x:row>
    <x:row r="91">
      <x:c r="A91" s="34" t="n">
        <x:v>45981.61388888889</x:v>
      </x:c>
      <x:c r="B91" s="15" t="str">
        <x:v>Kruger Safari 1666</x:v>
      </x:c>
      <x:c r="C91" s="15" t="str">
        <x:v>R8112.00 paid from Current a/c..512781 @ Gen Ph. Avail R12277. Ref.Kruger Safari 1666. 20Nov 14:44</x:v>
      </x:c>
      <x:c r="D91" s="38" t="n">
        <x:v>8112</x:v>
      </x:c>
      <x:c r="E91" s="15" t="str">
        <x:v>ZAR</x:v>
      </x:c>
      <x:c r="F91" s="15" t="str">
        <x:v>Current a/c..512781</x:v>
      </x:c>
      <x:c r="G91" s="15" t="str">
        <x:v>Supplier payments</x:v>
      </x:c>
      <x:c r="H91" s="15" t="str">
        <x:v>EFT payment</x:v>
      </x:c>
      <x:c r="I91" s="15" t="str">
        <x:v>High</x:v>
      </x:c>
      <x:c r="J91" s="15" t="str">
        <x:v>eml_ALL_currentac__512781 (2).zip &gt; eml10currentac__512781.zip / FNB _-) R8112.00 paid from Current a_c..512781 @ Gen Ph. Ref.Kruger Safari 1666. 20Nov 14_44.eml</x:v>
      </x:c>
    </x:row>
    <x:row r="92">
      <x:c r="A92" s="34" t="n">
        <x:v>45981.74722222222</x:v>
      </x:c>
      <x:c r="B92" s="15" t="str">
        <x:v>Ac De Jager Vleis</x:v>
      </x:c>
      <x:c r="C92" s="15" t="str">
        <x:v>R1842.04 paid from Current a/c..512781 @ Smartapp. Avail R10335. Ref.Ac De Jager Vleis. 20Nov 17:56</x:v>
      </x:c>
      <x:c r="D92" s="38" t="n">
        <x:v>1842.04</x:v>
      </x:c>
      <x:c r="E92" s="15" t="str">
        <x:v>ZAR</x:v>
      </x:c>
      <x:c r="F92" s="15" t="str">
        <x:v>Current a/c..512781</x:v>
      </x:c>
      <x:c r="G92" s="15" t="str">
        <x:v>Supplier payments</x:v>
      </x:c>
      <x:c r="H92" s="15" t="str">
        <x:v>EFT payment</x:v>
      </x:c>
      <x:c r="I92" s="15" t="str">
        <x:v>High</x:v>
      </x:c>
      <x:c r="J92" s="15" t="str">
        <x:v>eml_ALL_currentac__512781 (2).zip &gt; eml10currentac__512781.zip / FNB _-) R1842.04 paid from Current a_c..512781 @ Smartapp. Ref.Ac De Jager Vleis. 20Nov 17_56.eml</x:v>
      </x:c>
    </x:row>
    <x:row r="93">
      <x:c r="A93" s="34" t="n">
        <x:v>45982.40902777778</x:v>
      </x:c>
      <x:c r="B93" s="15" t="str">
        <x:v>Bon Express 007058</x:v>
      </x:c>
      <x:c r="C93" s="15" t="str">
        <x:v>R546.25 paid from Current a/c..512781 @ Smartapp. Avail R9759. Ref.Bon Express 007058. 21Nov 09:49</x:v>
      </x:c>
      <x:c r="D93" s="38" t="n">
        <x:v>546.25</x:v>
      </x:c>
      <x:c r="E93" s="15" t="str">
        <x:v>ZAR</x:v>
      </x:c>
      <x:c r="F93" s="15" t="str">
        <x:v>Current a/c..512781</x:v>
      </x:c>
      <x:c r="G93" s="15" t="str">
        <x:v>Supplier payments</x:v>
      </x:c>
      <x:c r="H93" s="15" t="str">
        <x:v>EFT payment</x:v>
      </x:c>
      <x:c r="I93" s="15" t="str">
        <x:v>High</x:v>
      </x:c>
      <x:c r="J93" s="15" t="str">
        <x:v>eml_ALL_currentac__512781 (2).zip &gt; eml10currentac__512781.zip / FNB _-) R546.25 paid from Current a_c..512781 @ Smartapp. Ref.Bon Express 007058. 21Nov 09_49.eml</x:v>
      </x:c>
    </x:row>
    <x:row r="94">
      <x:c r="A94" s="34" t="n">
        <x:v>45982.424305555556</x:v>
      </x:c>
      <x:c r="B94" s="15" t="str">
        <x:v>Marlothi Petrol Stat</x:v>
      </x:c>
      <x:c r="C94" s="15" t="str">
        <x:v>R250.00 reserved for purchase @ Marlothi Petrol Stat from Current a/c..512781 using card..2924. Avail R9509. 21Nov 10:11</x:v>
      </x:c>
      <x:c r="D94" s="38" t="n">
        <x:v>250</x:v>
      </x:c>
      <x:c r="E94" s="15" t="str">
        <x:v>ZAR</x:v>
      </x:c>
      <x:c r="F94" s="15" t="str">
        <x:v>Current a/c..512781 / card..2924</x:v>
      </x:c>
      <x:c r="G94" s="15" t="str">
        <x:v>Fuel / transport</x:v>
      </x:c>
      <x:c r="H94" s="15" t="str">
        <x:v>Card purchase</x:v>
      </x:c>
      <x:c r="I94" s="15" t="str">
        <x:v>High</x:v>
      </x:c>
      <x:c r="J94" s="15" t="str">
        <x:v>eml_ALL_currentac__512781 (2).zip &gt; eml10currentac__512781.zip / FNB _-) R250.00 reserved for purchase @ Marlothi Petrol Stat from Current a_c..512781 using card..2924. 21Nov 10_11.eml</x:v>
      </x:c>
    </x:row>
    <x:row r="95">
      <x:c r="A95" s="34" t="n">
        <x:v>45982.56041666667</x:v>
      </x:c>
      <x:c r="B95" s="15" t="str">
        <x:v>Superspar Komatipoor</x:v>
      </x:c>
      <x:c r="C95" s="15" t="str">
        <x:v>R1712.37 reserved for purchase @ Superspar Komatipoor from Current a/c..512781 using card..2924. Avail R2696. 21Nov 13:27</x:v>
      </x:c>
      <x:c r="D95" s="38" t="n">
        <x:v>1712.37</x:v>
      </x:c>
      <x:c r="E95" s="15" t="str">
        <x:v>ZAR</x:v>
      </x:c>
      <x:c r="F95" s="15" t="str">
        <x:v>Current a/c..512781 / card..2924</x:v>
      </x:c>
      <x:c r="G95" s="15" t="str">
        <x:v>Supplier payments</x:v>
      </x:c>
      <x:c r="H95" s="15" t="str">
        <x:v>Card purchase</x:v>
      </x:c>
      <x:c r="I95" s="15" t="str">
        <x:v>High</x:v>
      </x:c>
      <x:c r="J95" s="15" t="str">
        <x:v>eml_ALL_currentac__512781 (2).zip &gt; eml10currentac__512781.zip / FNB _-) R1712.37 reserved for purchase @ Superspar Komatipoor from Current a_c..512781 using card..2924. 21Nov 13_27.eml</x:v>
      </x:c>
    </x:row>
    <x:row r="96">
      <x:c r="A96" s="34" t="n">
        <x:v>45982.575</x:v>
      </x:c>
      <x:c r="B96" s="15" t="str">
        <x:v>Border Butchery 265</x:v>
      </x:c>
      <x:c r="C96" s="15" t="str">
        <x:v>R184.00 reserved for purchase @ Border Butchery 265 from Current a/c..512781 using card..2924. Avail R2512. 21Nov 13:48</x:v>
      </x:c>
      <x:c r="D96" s="38" t="n">
        <x:v>184</x:v>
      </x:c>
      <x:c r="E96" s="15" t="str">
        <x:v>ZAR</x:v>
      </x:c>
      <x:c r="F96" s="15" t="str">
        <x:v>Current a/c..512781 / card..2924</x:v>
      </x:c>
      <x:c r="G96" s="15" t="str">
        <x:v>Supplier payments</x:v>
      </x:c>
      <x:c r="H96" s="15" t="str">
        <x:v>Card purchase</x:v>
      </x:c>
      <x:c r="I96" s="15" t="str">
        <x:v>High</x:v>
      </x:c>
      <x:c r="J96" s="15" t="str">
        <x:v>eml_ALL_currentac__512781 (2).zip &gt; eml10currentac__512781.zip / FNB _-) R184.00 reserved for purchase @ Border Butchery 265 from Current a_c..512781 using card..2924. 21Nov 13_48.eml</x:v>
      </x:c>
    </x:row>
    <x:row r="97">
      <x:c r="A97" s="34" t="n">
        <x:v>45982.59375</x:v>
      </x:c>
      <x:c r="B97" s="15" t="str">
        <x:v>Marlothi Petrol Stat</x:v>
      </x:c>
      <x:c r="C97" s="15" t="str">
        <x:v>R673.85 reserved for purchase @ Marlothi Petrol Stat from Current a/c..512781 using card..2924. Avail R1839. 21Nov 14:15</x:v>
      </x:c>
      <x:c r="D97" s="38" t="n">
        <x:v>673.85</x:v>
      </x:c>
      <x:c r="E97" s="15" t="str">
        <x:v>ZAR</x:v>
      </x:c>
      <x:c r="F97" s="15" t="str">
        <x:v>Current a/c..512781 / card..2924</x:v>
      </x:c>
      <x:c r="G97" s="15" t="str">
        <x:v>Fuel / transport</x:v>
      </x:c>
      <x:c r="H97" s="15" t="str">
        <x:v>Card purchase</x:v>
      </x:c>
      <x:c r="I97" s="15" t="str">
        <x:v>High</x:v>
      </x:c>
      <x:c r="J97" s="15" t="str">
        <x:v>eml_ALL_currentac__512781 (2).zip &gt; eml10currentac__512781.zip / FNB _-) R673.85 reserved for purchase @ Marlothi Petrol Stat from Current a_c..512781 using card..2924. 21Nov 14_15.eml</x:v>
      </x:c>
    </x:row>
    <x:row r="98">
      <x:c r="A98" s="34" t="n">
        <x:v>45982.63402777778</x:v>
      </x:c>
      <x:c r="B98" s="15" t="str">
        <x:v>Afr Dream In27814</x:v>
      </x:c>
      <x:c r="C98" s="15" t="str">
        <x:v>R678.50 paid from Current a/c..512781 @ Smartapp. Avail R23574. Ref.Afr Dream In27814. 21Nov 15:13</x:v>
      </x:c>
      <x:c r="D98" s="38" t="n">
        <x:v>678.5</x:v>
      </x:c>
      <x:c r="E98" s="15" t="str">
        <x:v>ZAR</x:v>
      </x:c>
      <x:c r="F98" s="15" t="str">
        <x:v>Current a/c..512781</x:v>
      </x:c>
      <x:c r="G98" s="15" t="str">
        <x:v>Supplier payments</x:v>
      </x:c>
      <x:c r="H98" s="15" t="str">
        <x:v>EFT payment</x:v>
      </x:c>
      <x:c r="I98" s="15" t="str">
        <x:v>High</x:v>
      </x:c>
      <x:c r="J98" s="15" t="str">
        <x:v>eml_ALL_currentac__512781 (2).zip &gt; eml10currentac__512781.zip / FNB _-) R678.50 paid from Current a_c..512781 @ Smartapp. Ref.Afr Dream In27814. 21Nov 15_13.eml</x:v>
      </x:c>
    </x:row>
    <x:row r="99">
      <x:c r="A99" s="34" t="n">
        <x:v>45982.635416666664</x:v>
      </x:c>
      <x:c r="B99" s="15" t="str">
        <x:v>Salary Portion Oct</x:v>
      </x:c>
      <x:c r="C99" s="15" t="str">
        <x:v>R13000.00 paid from Current a/c..512781 @ Smartapp. Avail R10566. Ref.Salary Portion Oct. 21Nov 15:15</x:v>
      </x:c>
      <x:c r="D99" s="38" t="n">
        <x:v>13000</x:v>
      </x:c>
      <x:c r="E99" s="15" t="str">
        <x:v>ZAR</x:v>
      </x:c>
      <x:c r="F99" s="15" t="str">
        <x:v>Current a/c..512781</x:v>
      </x:c>
      <x:c r="G99" s="15" t="str">
        <x:v>Salary / wages</x:v>
      </x:c>
      <x:c r="H99" s="15" t="str">
        <x:v>EFT payment</x:v>
      </x:c>
      <x:c r="I99" s="15" t="str">
        <x:v>High</x:v>
      </x:c>
      <x:c r="J99" s="15" t="str">
        <x:v>eml_ALL_currentac__512781 (2).zip &gt; eml10currentac__512781.zip / FNB _-) R13000.00 paid from Current a_c..512781 @ Smartapp. Ref.Salary Portion Oct. 21Nov 15_15.eml</x:v>
      </x:c>
    </x:row>
    <x:row r="100">
      <x:c r="A100" s="34" t="n">
        <x:v>45982.63680555556</x:v>
      </x:c>
      <x:c r="B100" s="15" t="str">
        <x:v>Kruger Safari 1667</x:v>
      </x:c>
      <x:c r="C100" s="15" t="str">
        <x:v>R5704.00 paid from Current a/c..512781 @ Smartapp. Avail R4854. Ref.Kruger Safari 1667. 21Nov 15:17</x:v>
      </x:c>
      <x:c r="D100" s="38" t="n">
        <x:v>5704</x:v>
      </x:c>
      <x:c r="E100" s="15" t="str">
        <x:v>ZAR</x:v>
      </x:c>
      <x:c r="F100" s="15" t="str">
        <x:v>Current a/c..512781</x:v>
      </x:c>
      <x:c r="G100" s="15" t="str">
        <x:v>Supplier payments</x:v>
      </x:c>
      <x:c r="H100" s="15" t="str">
        <x:v>EFT payment</x:v>
      </x:c>
      <x:c r="I100" s="15" t="str">
        <x:v>High</x:v>
      </x:c>
      <x:c r="J100" s="15" t="str">
        <x:v>eml_ALL_currentac__512781 (2).zip &gt; eml10currentac__512781.zip / FNB _-) R5704.00 paid from Current a_c..512781 @ Smartapp. Ref.Kruger Safari 1667. 21Nov 15_17.eml</x:v>
      </x:c>
    </x:row>
    <x:row r="101">
      <x:c r="A101" s="34" t="n">
        <x:v>45983.54027777778</x:v>
      </x:c>
      <x:c r="B101" s="15" t="str">
        <x:v>Tops Komatipoort</x:v>
      </x:c>
      <x:c r="C101" s="15" t="str">
        <x:v>R493.41 reserved for purchase @ Tops Komatipoort from Current a/c..512781 using card..2924. Avail R4341. 22Nov 12:58</x:v>
      </x:c>
      <x:c r="D101" s="38" t="n">
        <x:v>493.41</x:v>
      </x:c>
      <x:c r="E101" s="15" t="str">
        <x:v>ZAR</x:v>
      </x:c>
      <x:c r="F101" s="15" t="str">
        <x:v>Current a/c..512781 / card..2924</x:v>
      </x:c>
      <x:c r="G101" s="15" t="str">
        <x:v>Meals / restaurants / entertainment</x:v>
      </x:c>
      <x:c r="H101" s="15" t="str">
        <x:v>Card purchase</x:v>
      </x:c>
      <x:c r="I101" s="15" t="str">
        <x:v>High</x:v>
      </x:c>
      <x:c r="J101" s="15" t="str">
        <x:v>eml_ALL_currentac__512781 (2).zip &gt; eml10currentac__512781.zip / FNB _-) R493.41 reserved for purchase @ Tops Komatipoort from Current a_c..512781 using card..2924. 22Nov 12_58.eml</x:v>
      </x:c>
    </x:row>
    <x:row r="102">
      <x:c r="A102" s="34" t="n">
        <x:v>45985.572916666664</x:v>
      </x:c>
      <x:c r="B102" s="15" t="str">
        <x:v>Savemor Marloth</x:v>
      </x:c>
      <x:c r="C102" s="15" t="str">
        <x:v>R193.75 reserved for purchase @ Savemor Marloth from Current a/c..512781 using card..2924. Avail R6886. 24Nov 13:45</x:v>
      </x:c>
      <x:c r="D102" s="38" t="n">
        <x:v>193.75</x:v>
      </x:c>
      <x:c r="E102" s="15" t="str">
        <x:v>ZAR</x:v>
      </x:c>
      <x:c r="F102" s="15" t="str">
        <x:v>Current a/c..512781 / card..2924</x:v>
      </x:c>
      <x:c r="G102" s="15" t="str">
        <x:v>Supplier payments</x:v>
      </x:c>
      <x:c r="H102" s="15" t="str">
        <x:v>Card purchase</x:v>
      </x:c>
      <x:c r="I102" s="15" t="str">
        <x:v>High</x:v>
      </x:c>
      <x:c r="J102" s="15" t="str">
        <x:v>eml_ALL_currentac__512781 (2).zip &gt; eml10currentac__512781.zip / FNB _-) R193.75 reserved for purchase @ Savemor Marloth from Current a_c..512781 using card..2924. 24Nov 13_45.eml</x:v>
      </x:c>
    </x:row>
    <x:row r="103">
      <x:c r="A103" s="34" t="n">
        <x:v>45985.618055555555</x:v>
      </x:c>
      <x:c r="B103" s="15" t="str">
        <x:v>Marlothi Petrol Stat</x:v>
      </x:c>
      <x:c r="C103" s="15" t="str">
        <x:v>R200.00 reserved for purchase @ Marlothi Petrol Stat from Current a/c..512781 using card..2924. Avail R7928. 24Nov 14:50</x:v>
      </x:c>
      <x:c r="D103" s="38" t="n">
        <x:v>200</x:v>
      </x:c>
      <x:c r="E103" s="15" t="str">
        <x:v>ZAR</x:v>
      </x:c>
      <x:c r="F103" s="15" t="str">
        <x:v>Current a/c..512781 / card..2924</x:v>
      </x:c>
      <x:c r="G103" s="15" t="str">
        <x:v>Fuel / transport</x:v>
      </x:c>
      <x:c r="H103" s="15" t="str">
        <x:v>Card purchase</x:v>
      </x:c>
      <x:c r="I103" s="15" t="str">
        <x:v>High</x:v>
      </x:c>
      <x:c r="J103" s="15" t="str">
        <x:v>eml_ALL_currentac__512781 (2).zip &gt; eml10currentac__512781.zip / FNB _-) R200.00 reserved for purchase @ Marlothi Petrol Stat from Current a_c..512781 using card..2924. 24Nov 14_50.eml</x:v>
      </x:c>
    </x:row>
    <x:row r="104">
      <x:c r="A104" s="34" t="n">
        <x:v>45987.50902777778</x:v>
      </x:c>
      <x:c r="B104" s="15" t="str">
        <x:v>Waterkloofgas 236</x:v>
      </x:c>
      <x:c r="C104" s="15" t="str">
        <x:v>R321.00 reserved for purchase @ Waterkloofgas 236 from Current a/c..512781 using card..2924. Avail R5278. 26Nov 12:13</x:v>
      </x:c>
      <x:c r="D104" s="38" t="n">
        <x:v>321</x:v>
      </x:c>
      <x:c r="E104" s="15" t="str">
        <x:v>ZAR</x:v>
      </x:c>
      <x:c r="F104" s="15" t="str">
        <x:v>Current a/c..512781 / card..2924</x:v>
      </x:c>
      <x:c r="G104" s="15" t="str">
        <x:v>Card spend</x:v>
      </x:c>
      <x:c r="H104" s="15" t="str">
        <x:v>Card purchase</x:v>
      </x:c>
      <x:c r="I104" s="15" t="str">
        <x:v>High</x:v>
      </x:c>
      <x:c r="J104" s="15" t="str">
        <x:v>eml_ALL_currentac__512781 (2).zip &gt; eml10currentac__512781.zip / FNB _-) R321.00 reserved for purchase @ Waterkloofgas 236 from Current a_c..512781 using card..2924. 26Nov 12_13.eml</x:v>
      </x:c>
    </x:row>
    <x:row r="105">
      <x:c r="A105" s="34" t="n">
        <x:v>45987.544444444444</x:v>
      </x:c>
      <x:c r="B105" s="15" t="str">
        <x:v>Dinner Box 102794</x:v>
      </x:c>
      <x:c r="C105" s="15" t="str">
        <x:v>R1484.00 paid from Current a/c..512781 @ Smartapp. Avail R3791. Ref.Dinner Box 102794. 26Nov 13:04</x:v>
      </x:c>
      <x:c r="D105" s="38" t="n">
        <x:v>1484</x:v>
      </x:c>
      <x:c r="E105" s="15" t="str">
        <x:v>ZAR</x:v>
      </x:c>
      <x:c r="F105" s="15" t="str">
        <x:v>Current a/c..512781</x:v>
      </x:c>
      <x:c r="G105" s="15" t="str">
        <x:v>Meals / restaurants / entertainment</x:v>
      </x:c>
      <x:c r="H105" s="15" t="str">
        <x:v>EFT payment</x:v>
      </x:c>
      <x:c r="I105" s="15" t="str">
        <x:v>High</x:v>
      </x:c>
      <x:c r="J105" s="15" t="str">
        <x:v>eml_ALL_currentac__512781 (2).zip &gt; eml10currentac__512781.zip / FNB _-) R1484.00 paid from Current a_c..512781 @ Smartapp. Ref.Dinner Box 102794. 26Nov 13_04.eml</x:v>
      </x:c>
    </x:row>
    <x:row r="106">
      <x:c r="A106" s="34" t="n">
        <x:v>45987.6125</x:v>
      </x:c>
      <x:c r="B106" s="15" t="str">
        <x:v>Marlothi Petrol Stat</x:v>
      </x:c>
      <x:c r="C106" s="15" t="str">
        <x:v>R250.00 reserved for purchase @ Marlothi Petrol Stat from Current a/c..512781 using card..2924. Avail R7727. 26Nov 14:42</x:v>
      </x:c>
      <x:c r="D106" s="38" t="n">
        <x:v>250</x:v>
      </x:c>
      <x:c r="E106" s="15" t="str">
        <x:v>ZAR</x:v>
      </x:c>
      <x:c r="F106" s="15" t="str">
        <x:v>Current a/c..512781 / card..2924</x:v>
      </x:c>
      <x:c r="G106" s="15" t="str">
        <x:v>Fuel / transport</x:v>
      </x:c>
      <x:c r="H106" s="15" t="str">
        <x:v>Card purchase</x:v>
      </x:c>
      <x:c r="I106" s="15" t="str">
        <x:v>High</x:v>
      </x:c>
      <x:c r="J106" s="15" t="str">
        <x:v>eml_ALL_currentac__512781 (2).zip &gt; eml10currentac__512781.zip / FNB _-) R250.00 reserved for purchase @ Marlothi Petrol Stat from Current a_c..512781 using card..2924. 26Nov 14_42.eml</x:v>
      </x:c>
    </x:row>
    <x:row r="107">
      <x:c r="A107" s="34" t="n">
        <x:v>45987.618055555555</x:v>
      </x:c>
      <x:c r="B107" s="15" t="str">
        <x:v>Savemor Marloth</x:v>
      </x:c>
      <x:c r="C107" s="15" t="str">
        <x:v>R181.16 reserved for purchase @ Savemor Marloth from Current a/c..512781 using card..2924. Avail R7546. 26Nov 14:50</x:v>
      </x:c>
      <x:c r="D107" s="38" t="n">
        <x:v>181.16</x:v>
      </x:c>
      <x:c r="E107" s="15" t="str">
        <x:v>ZAR</x:v>
      </x:c>
      <x:c r="F107" s="15" t="str">
        <x:v>Current a/c..512781 / card..2924</x:v>
      </x:c>
      <x:c r="G107" s="15" t="str">
        <x:v>Supplier payments</x:v>
      </x:c>
      <x:c r="H107" s="15" t="str">
        <x:v>Card purchase</x:v>
      </x:c>
      <x:c r="I107" s="15" t="str">
        <x:v>High</x:v>
      </x:c>
      <x:c r="J107" s="15" t="str">
        <x:v>eml_ALL_currentac__512781 (2).zip &gt; eml10currentac__512781.zip / FNB _-) R181.16 reserved for purchase @ Savemor Marloth from Current a_c..512781 using card..2924. 26Nov 14_50.eml</x:v>
      </x:c>
    </x:row>
    <x:row r="108">
      <x:c r="A108" s="34" t="n">
        <x:v>45987.62222222222</x:v>
      </x:c>
      <x:c r="B108" s="15" t="str">
        <x:v>Savemor Marloth Liqu</x:v>
      </x:c>
      <x:c r="C108" s="15" t="str">
        <x:v>R379.96 reserved for purchase @ Savemor Marloth Liqu from Current a/c..512781 using card..2924. Avail R7166. 26Nov 14:56</x:v>
      </x:c>
      <x:c r="D108" s="38" t="n">
        <x:v>379.96</x:v>
      </x:c>
      <x:c r="E108" s="15" t="str">
        <x:v>ZAR</x:v>
      </x:c>
      <x:c r="F108" s="15" t="str">
        <x:v>Current a/c..512781 / card..2924</x:v>
      </x:c>
      <x:c r="G108" s="15" t="str">
        <x:v>Meals / restaurants / entertainment</x:v>
      </x:c>
      <x:c r="H108" s="15" t="str">
        <x:v>Card purchase</x:v>
      </x:c>
      <x:c r="I108" s="15" t="str">
        <x:v>High</x:v>
      </x:c>
      <x:c r="J108" s="15" t="str">
        <x:v>eml_ALL_currentac__512781 (2).zip &gt; eml10currentac__512781.zip / FNB _-) R379.96 reserved for purchase @ Savemor Marloth Liqu from Current a_c..512781 using card..2924. 26Nov 14_56.eml</x:v>
      </x:c>
    </x:row>
    <x:row r="109">
      <x:c r="A109" s="34" t="n">
        <x:v>45987.65</x:v>
      </x:c>
      <x:c r="B109" s="15" t="str">
        <x:v>Kruger Safari 1668</x:v>
      </x:c>
      <x:c r="C109" s="15" t="str">
        <x:v>R2440.00 paid from Current a/c..512781 @ Smartapp. Avail R4718. Ref.Kruger Safari 1668. 26Nov 15:36</x:v>
      </x:c>
      <x:c r="D109" s="38" t="n">
        <x:v>2440</x:v>
      </x:c>
      <x:c r="E109" s="15" t="str">
        <x:v>ZAR</x:v>
      </x:c>
      <x:c r="F109" s="15" t="str">
        <x:v>Current a/c..512781</x:v>
      </x:c>
      <x:c r="G109" s="15" t="str">
        <x:v>Supplier payments</x:v>
      </x:c>
      <x:c r="H109" s="15" t="str">
        <x:v>EFT payment</x:v>
      </x:c>
      <x:c r="I109" s="15" t="str">
        <x:v>High</x:v>
      </x:c>
      <x:c r="J109" s="15" t="str">
        <x:v>eml_ALL_currentac__512781 (2).zip &gt; eml10currentac__512781.zip / FNB _-) R2440.00 paid from Current a_c..512781 @ Smartapp. Ref.Kruger Safari 1668. 26Nov 15_36.eml</x:v>
      </x:c>
    </x:row>
    <x:row r="110">
      <x:c r="A110" s="34" t="n">
        <x:v>45988.11736111111</x:v>
      </x:c>
      <x:c r="B110" s="15" t="str">
        <x:v>Kruger Safari 1669</x:v>
      </x:c>
      <x:c r="C110" s="15" t="str">
        <x:v>R2910.00 paid from Current a/c..512781 @ Smartapp. Avail R1790. Ref.Kruger Safari 1669. 27Nov 02:49</x:v>
      </x:c>
      <x:c r="D110" s="38" t="n">
        <x:v>2910</x:v>
      </x:c>
      <x:c r="E110" s="15" t="str">
        <x:v>ZAR</x:v>
      </x:c>
      <x:c r="F110" s="15" t="str">
        <x:v>Current a/c..512781</x:v>
      </x:c>
      <x:c r="G110" s="15" t="str">
        <x:v>Supplier payments</x:v>
      </x:c>
      <x:c r="H110" s="15" t="str">
        <x:v>EFT payment</x:v>
      </x:c>
      <x:c r="I110" s="15" t="str">
        <x:v>High</x:v>
      </x:c>
      <x:c r="J110" s="15" t="str">
        <x:v>eml_ALL_currentac__512781 (2).zip &gt; eml10currentac__512781.zip / FNB _-) R2910.00 paid from Current a_c..512781 @ Smartapp. Ref.Kruger Safari 1669. 27Nov 02_49.eml</x:v>
      </x:c>
    </x:row>
    <x:row r="111">
      <x:c r="A111" s="34" t="n">
        <x:v>45988.69097222222</x:v>
      </x:c>
      <x:c r="B111" s="15" t="str">
        <x:v>Savemor Marloth</x:v>
      </x:c>
      <x:c r="C111" s="15" t="str">
        <x:v>R194.39 reserved for purchase @ Savemor Marloth from Current a/c..512781 using card..2924. Avail R11955. 27Nov 16:35</x:v>
      </x:c>
      <x:c r="D111" s="38" t="n">
        <x:v>194.39</x:v>
      </x:c>
      <x:c r="E111" s="15" t="str">
        <x:v>ZAR</x:v>
      </x:c>
      <x:c r="F111" s="15" t="str">
        <x:v>Current a/c..512781 / card..2924</x:v>
      </x:c>
      <x:c r="G111" s="15" t="str">
        <x:v>Supplier payments</x:v>
      </x:c>
      <x:c r="H111" s="15" t="str">
        <x:v>Card purchase</x:v>
      </x:c>
      <x:c r="I111" s="15" t="str">
        <x:v>High</x:v>
      </x:c>
      <x:c r="J111" s="15" t="str">
        <x:v>eml_ALL_currentac__512781 (2).zip &gt; eml10currentac__512781.zip / FNB _-) R194.39 reserved for purchase @ Savemor Marloth from Current a_c..512781 using card..2924. 27Nov 16_35.eml</x:v>
      </x:c>
    </x:row>
    <x:row r="112">
      <x:c r="A112" s="34" t="n">
        <x:v>45989.50486111111</x:v>
      </x:c>
      <x:c r="B112" s="15" t="str">
        <x:v>Superspar Komatipoor</x:v>
      </x:c>
      <x:c r="C112" s="15" t="str">
        <x:v>R1598.42 reserved for purchase @ Superspar Komatipoor from Current a/c..512781 using card..2924. Avail R10353. 28Nov 12:07</x:v>
      </x:c>
      <x:c r="D112" s="38" t="n">
        <x:v>1598.42</x:v>
      </x:c>
      <x:c r="E112" s="15" t="str">
        <x:v>ZAR</x:v>
      </x:c>
      <x:c r="F112" s="15" t="str">
        <x:v>Current a/c..512781 / card..2924</x:v>
      </x:c>
      <x:c r="G112" s="15" t="str">
        <x:v>Supplier payments</x:v>
      </x:c>
      <x:c r="H112" s="15" t="str">
        <x:v>Card purchase</x:v>
      </x:c>
      <x:c r="I112" s="15" t="str">
        <x:v>High</x:v>
      </x:c>
      <x:c r="J112" s="15" t="str">
        <x:v>eml_ALL_currentac__512781 (2).zip &gt; eml10currentac__512781.zip / FNB _-) R1598.42 reserved for purchase @ Superspar Komatipoor from Current a_c..512781 using card..2924. 28Nov 12_07.eml</x:v>
      </x:c>
    </x:row>
    <x:row r="113">
      <x:c r="A113" s="34" t="n">
        <x:v>45989.518055555556</x:v>
      </x:c>
      <x:c r="B113" s="15" t="str">
        <x:v>Eastern Border Fuels</x:v>
      </x:c>
      <x:c r="C113" s="15" t="str">
        <x:v>R250.00 reserved for purchase @ Eastern Border Fuels from Current a/c..512781 using card..2924. Avail R10103. 28Nov 12:26</x:v>
      </x:c>
      <x:c r="D113" s="38" t="n">
        <x:v>250</x:v>
      </x:c>
      <x:c r="E113" s="15" t="str">
        <x:v>ZAR</x:v>
      </x:c>
      <x:c r="F113" s="15" t="str">
        <x:v>Current a/c..512781 / card..2924</x:v>
      </x:c>
      <x:c r="G113" s="15" t="str">
        <x:v>Fuel / transport</x:v>
      </x:c>
      <x:c r="H113" s="15" t="str">
        <x:v>Card purchase</x:v>
      </x:c>
      <x:c r="I113" s="15" t="str">
        <x:v>High</x:v>
      </x:c>
      <x:c r="J113" s="15" t="str">
        <x:v>eml_ALL_currentac__512781 (2).zip &gt; eml10currentac__512781.zip / FNB _-) R250.00 reserved for purchase @ Eastern Border Fuels from Current a_c..512781 using card..2924. 28Nov 12_26.eml</x:v>
      </x:c>
    </x:row>
    <x:row r="114">
      <x:c r="A114" s="34" t="n">
        <x:v>45990.46527777778</x:v>
      </x:c>
      <x:c r="B114" s="15" t="str">
        <x:v>Savemor Marloth</x:v>
      </x:c>
      <x:c r="C114" s="15" t="str">
        <x:v>R181.77 reserved for purchase @ Savemor Marloth from Current a/c..512781 using card..2924. Avail R28935. 29Nov 11:10</x:v>
      </x:c>
      <x:c r="D114" s="38" t="n">
        <x:v>181.77</x:v>
      </x:c>
      <x:c r="E114" s="15" t="str">
        <x:v>ZAR</x:v>
      </x:c>
      <x:c r="F114" s="15" t="str">
        <x:v>Current a/c..512781 / card..2924</x:v>
      </x:c>
      <x:c r="G114" s="15" t="str">
        <x:v>Supplier payments</x:v>
      </x:c>
      <x:c r="H114" s="15" t="str">
        <x:v>Card purchase</x:v>
      </x:c>
      <x:c r="I114" s="15" t="str">
        <x:v>High</x:v>
      </x:c>
      <x:c r="J114" s="15" t="str">
        <x:v>eml_ALL_currentac__512781 (2).zip &gt; eml10currentac__512781.zip / FNB _-) R181.77 reserved for purchase @ Savemor Marloth from Current a_c..512781 using card..2924. 29Nov 11_10.eml</x:v>
      </x:c>
    </x:row>
    <x:row r="115">
      <x:c r="A115" s="34" t="n">
        <x:v>45990.575694444444</x:v>
      </x:c>
      <x:c r="B115" s="15" t="str">
        <x:v>Repayment</x:v>
      </x:c>
      <x:c r="C115" s="15" t="str">
        <x:v>R5000.00 paid from Current a/c..512781 @ Gen Ph. Avail R25725. Ref.Repayment. 29Nov 13:49</x:v>
      </x:c>
      <x:c r="D115" s="38" t="n">
        <x:v>5000</x:v>
      </x:c>
      <x:c r="E115" s="15" t="str">
        <x:v>ZAR</x:v>
      </x:c>
      <x:c r="F115" s="15" t="str">
        <x:v>Current a/c..512781</x:v>
      </x:c>
      <x:c r="G115" s="15" t="str">
        <x:v>Supplier payments</x:v>
      </x:c>
      <x:c r="H115" s="15" t="str">
        <x:v>EFT payment</x:v>
      </x:c>
      <x:c r="I115" s="15" t="str">
        <x:v>High</x:v>
      </x:c>
      <x:c r="J115" s="15" t="str">
        <x:v>eml_ALL_currentac__512781 (2).zip &gt; eml10currentac__512781.zip / FNB _-) R5000.00 paid from Current a_c..512781 @ Gen Ph. Ref.Repayment. 29Nov 13_49.eml</x:v>
      </x:c>
    </x:row>
    <x:row r="116">
      <x:c r="A116" s="34" t="n">
        <x:v>45990.666666666664</x:v>
      </x:c>
      <x:c r="B116" s="15" t="str">
        <x:v>Savemor Marloth Liqu</x:v>
      </x:c>
      <x:c r="C116" s="15" t="str">
        <x:v>R128.99 reserved for purchase @ Savemor Marloth Liqu from Current a/c..512781 using card..2924. Avail R25596. 29Nov 16:00</x:v>
      </x:c>
      <x:c r="D116" s="38" t="n">
        <x:v>128.99</x:v>
      </x:c>
      <x:c r="E116" s="15" t="str">
        <x:v>ZAR</x:v>
      </x:c>
      <x:c r="F116" s="15" t="str">
        <x:v>Current a/c..512781 / card..2924</x:v>
      </x:c>
      <x:c r="G116" s="15" t="str">
        <x:v>Meals / restaurants / entertainment</x:v>
      </x:c>
      <x:c r="H116" s="15" t="str">
        <x:v>Card purchase</x:v>
      </x:c>
      <x:c r="I116" s="15" t="str">
        <x:v>High</x:v>
      </x:c>
      <x:c r="J116" s="15" t="str">
        <x:v>eml_ALL_currentac__512781 (2).zip &gt; eml10currentac__512781.zip / FNB _-) R128.99 reserved for purchase @ Savemor Marloth Liqu from Current a_c..512781 using card..2924. 29Nov 16_00.eml</x:v>
      </x:c>
    </x:row>
    <x:row r="117">
      <x:c r="A117" s="34" t="n">
        <x:v>45991.00833333333</x:v>
      </x:c>
      <x:c r="B117" s="15" t="str">
        <x:v>Staff Tips For Sept</x:v>
      </x:c>
      <x:c r="C117" s="15" t="str">
        <x:v>R5000.00 paid from Current a/c..512781 @ Gen Ph. Avail R20596. Ref.Staff Tips For Sept. 30Nov 00:12</x:v>
      </x:c>
      <x:c r="D117" s="38" t="n">
        <x:v>5000</x:v>
      </x:c>
      <x:c r="E117" s="15" t="str">
        <x:v>ZAR</x:v>
      </x:c>
      <x:c r="F117" s="15" t="str">
        <x:v>Current a/c..512781</x:v>
      </x:c>
      <x:c r="G117" s="15" t="str">
        <x:v>Salary / wages</x:v>
      </x:c>
      <x:c r="H117" s="15" t="str">
        <x:v>EFT payment</x:v>
      </x:c>
      <x:c r="I117" s="15" t="str">
        <x:v>High</x:v>
      </x:c>
      <x:c r="J117" s="15" t="str">
        <x:v>eml_ALL_currentac__512781 (2).zip &gt; eml10currentac__512781.zip / FNB _-) R5000.00 paid from Current a_c..512781 @ Gen Ph. Ref.Staff Tips For Sept. 30Nov 00_12.eml</x:v>
      </x:c>
    </x:row>
    <x:row r="118">
      <x:c r="A118" s="34" t="n">
        <x:v>45991.08819444444</x:v>
      </x:c>
      <x:c r="B118" s="15" t="str">
        <x:v>Staff Tips For Oct</x:v>
      </x:c>
      <x:c r="C118" s="15" t="str">
        <x:v>R4000.00 paid from Current a/c..512781 @ Gen Ph. Avail R16596. Ref.Staff Tips For Oct. 30Nov 02:07</x:v>
      </x:c>
      <x:c r="D118" s="38" t="n">
        <x:v>4000</x:v>
      </x:c>
      <x:c r="E118" s="15" t="str">
        <x:v>ZAR</x:v>
      </x:c>
      <x:c r="F118" s="15" t="str">
        <x:v>Current a/c..512781</x:v>
      </x:c>
      <x:c r="G118" s="15" t="str">
        <x:v>Salary / wages</x:v>
      </x:c>
      <x:c r="H118" s="15" t="str">
        <x:v>EFT payment</x:v>
      </x:c>
      <x:c r="I118" s="15" t="str">
        <x:v>High</x:v>
      </x:c>
      <x:c r="J118" s="15" t="str">
        <x:v>eml_ALL_currentac__512781 (2).zip &gt; eml10currentac__512781.zip / FNB _-) R4000.00 paid from Current a_c..512781 @ Gen Ph. Ref.Staff Tips For Oct. 30Nov 02_07.eml</x:v>
      </x:c>
    </x:row>
    <x:row r="119">
      <x:c r="A119" s="34" t="n">
        <x:v>45991.42361111111</x:v>
      </x:c>
      <x:c r="B119" s="15" t="str">
        <x:v>Phindi Salary Nov</x:v>
      </x:c>
      <x:c r="C119" s="15" t="str">
        <x:v>R4500.00 paid from Current a/c..512781 @ Gen Ph. Avail R12096. Ref.Phindi Salary Nov. 30Nov 10:10</x:v>
      </x:c>
      <x:c r="D119" s="38" t="n">
        <x:v>4500</x:v>
      </x:c>
      <x:c r="E119" s="15" t="str">
        <x:v>ZAR</x:v>
      </x:c>
      <x:c r="F119" s="15" t="str">
        <x:v>Current a/c..512781</x:v>
      </x:c>
      <x:c r="G119" s="15" t="str">
        <x:v>Salary / wages</x:v>
      </x:c>
      <x:c r="H119" s="15" t="str">
        <x:v>EFT payment</x:v>
      </x:c>
      <x:c r="I119" s="15" t="str">
        <x:v>High</x:v>
      </x:c>
      <x:c r="J119" s="15" t="str">
        <x:v>eml_ALL_currentac__512781 (2).zip &gt; eml10currentac__512781.zip / FNB _-) R4500.00 paid from Current a_c..512781 @ Gen Ph. Ref.Phindi Salary Nov. 30Nov 10_10.eml</x:v>
      </x:c>
    </x:row>
    <x:row r="120">
      <x:c r="A120" s="34" t="n">
        <x:v>45991.76736111111</x:v>
      </x:c>
      <x:c r="B120" s="15" t="str">
        <x:v>Jsl - 9/12 Nov</x:v>
      </x:c>
      <x:c r="C120" s="15" t="str">
        <x:v>R11280.00 paid from Current a/c..512781 @ Gen Ph. Avail R642. Ref.Jsl - 9/12 Nov. 30Nov 18:25</x:v>
      </x:c>
      <x:c r="D120" s="38" t="n">
        <x:v>11280</x:v>
      </x:c>
      <x:c r="E120" s="15" t="str">
        <x:v>ZAR</x:v>
      </x:c>
      <x:c r="F120" s="15" t="str">
        <x:v>Current a/c..512781</x:v>
      </x:c>
      <x:c r="G120" s="15" t="str">
        <x:v>Supplier payments</x:v>
      </x:c>
      <x:c r="H120" s="15" t="str">
        <x:v>EFT payment</x:v>
      </x:c>
      <x:c r="I120" s="15" t="str">
        <x:v>High</x:v>
      </x:c>
      <x:c r="J120" s="15" t="str">
        <x:v>eml_ALL_currentac__512781 (2).zip &gt; eml10currentac__512781.zip / FNB _-) R11280.00 paid from Current a_c..512781 @ Gen Ph. Ref.Jsl - 9_12 Nov. 30Nov 18_25.eml</x:v>
      </x:c>
    </x:row>
    <x:row r="121">
      <x:c r="A121" s="34" t="n">
        <x:v>46017.50069444445</x:v>
      </x:c>
      <x:c r="B121" s="15" t="str">
        <x:v>Superspar Malelane</x:v>
      </x:c>
      <x:c r="C121" s="15" t="str">
        <x:v>R199.26 reserved for purchase @ Superspar Malelane from Current a/c..512781 using card..2924. Avail R18057. 26Dec 12:01</x:v>
      </x:c>
      <x:c r="D121" s="38" t="n">
        <x:v>199.26</x:v>
      </x:c>
      <x:c r="E121" s="15" t="str">
        <x:v>ZAR</x:v>
      </x:c>
      <x:c r="F121" s="15" t="str">
        <x:v>Current a/c..512781 / card..2924</x:v>
      </x:c>
      <x:c r="G121" s="15" t="str">
        <x:v>Supplier payments</x:v>
      </x:c>
      <x:c r="H121" s="15" t="str">
        <x:v>Card purchase</x:v>
      </x:c>
      <x:c r="I121" s="15" t="str">
        <x:v>High</x:v>
      </x:c>
      <x:c r="J121" s="15" t="str">
        <x:v>eml_ALL_currentac__512781 (2).zip &gt; eml8currentac__512781.zip / FNB _-) R199.26 reserved for purchase @ Superspar Malelane from Current a_c..512781 using card..2924. 26Dec 12_01.eml</x:v>
      </x:c>
    </x:row>
    <x:row r="122">
      <x:c r="A122" s="34" t="n">
        <x:v>46017.728472222225</x:v>
      </x:c>
      <x:c r="B122" s="15" t="str">
        <x:v>Vacation</x:v>
      </x:c>
      <x:c r="C122" s="15" t="str">
        <x:v>R3000.00 paid from Current a/c..512781 @ Smartapp. Avail R15054. Ref.Vacation. 26Dec 17:29</x:v>
      </x:c>
      <x:c r="D122" s="38" t="n">
        <x:v>3000</x:v>
      </x:c>
      <x:c r="E122" s="15" t="str">
        <x:v>ZAR</x:v>
      </x:c>
      <x:c r="F122" s="15" t="str">
        <x:v>Current a/c..512781</x:v>
      </x:c>
      <x:c r="G122" s="15" t="str">
        <x:v>Supplier payments</x:v>
      </x:c>
      <x:c r="H122" s="15" t="str">
        <x:v>EFT payment</x:v>
      </x:c>
      <x:c r="I122" s="15" t="str">
        <x:v>High</x:v>
      </x:c>
      <x:c r="J122" s="15" t="str">
        <x:v>eml_ALL_currentac__512781 (2).zip &gt; eml8currentac__512781.zip / FNB _-) R3000.00 paid from Current a_c..512781 @ Smartapp. Ref.Vacation. 26Dec 17_29.eml</x:v>
      </x:c>
    </x:row>
    <x:row r="123">
      <x:c r="A123" s="34" t="n">
        <x:v>46018.48541666667</x:v>
      </x:c>
      <x:c r="B123" s="15" t="str">
        <x:v>Autozone Malelane</x:v>
      </x:c>
      <x:c r="C123" s="15" t="str">
        <x:v>R140.00 reserved for purchase @ Autozone Malelane from Current a/c..512781 using card..2924. Avail R20254. 27Dec 11:39</x:v>
      </x:c>
      <x:c r="D123" s="38" t="n">
        <x:v>140</x:v>
      </x:c>
      <x:c r="E123" s="15" t="str">
        <x:v>ZAR</x:v>
      </x:c>
      <x:c r="F123" s="15" t="str">
        <x:v>Current a/c..512781 / card..2924</x:v>
      </x:c>
      <x:c r="G123" s="15" t="str">
        <x:v>Card spend</x:v>
      </x:c>
      <x:c r="H123" s="15" t="str">
        <x:v>Card purchase</x:v>
      </x:c>
      <x:c r="I123" s="15" t="str">
        <x:v>High</x:v>
      </x:c>
      <x:c r="J123" s="15" t="str">
        <x:v>eml_ALL_currentac__512781 (2).zip &gt; eml8currentac__512781.zip / FNB _-) R140.00 reserved for purchase @ Autozone Malelane from Current a_c..512781 using card..2924. 27Dec 11_39.eml</x:v>
      </x:c>
    </x:row>
    <x:row r="124">
      <x:c r="A124" s="34" t="n">
        <x:v>46018.49930555555</x:v>
      </x:c>
      <x:c r="B124" s="15" t="str">
        <x:v>Pnp Fam Malelane</x:v>
      </x:c>
      <x:c r="C124" s="15" t="str">
        <x:v>R184.40 reserved for purchase @ Pnp Fam Malelane from Current a/c..512781 using card..2924. Avail R20069. 27Dec 11:59</x:v>
      </x:c>
      <x:c r="D124" s="38" t="n">
        <x:v>184.4</x:v>
      </x:c>
      <x:c r="E124" s="15" t="str">
        <x:v>ZAR</x:v>
      </x:c>
      <x:c r="F124" s="15" t="str">
        <x:v>Current a/c..512781 / card..2924</x:v>
      </x:c>
      <x:c r="G124" s="15" t="str">
        <x:v>Card spend</x:v>
      </x:c>
      <x:c r="H124" s="15" t="str">
        <x:v>Card purchase</x:v>
      </x:c>
      <x:c r="I124" s="15" t="str">
        <x:v>High</x:v>
      </x:c>
      <x:c r="J124" s="15" t="str">
        <x:v>eml_ALL_currentac__512781 (2).zip &gt; eml8currentac__512781.zip / FNB _-) R184.40 reserved for purchase @ Pnp Fam Malelane from Current a_c..512781 using card..2924. 27Dec 11_59.eml</x:v>
      </x:c>
    </x:row>
    <x:row r="125">
      <x:c r="A125" s="34" t="n">
        <x:v>46018.524305555555</x:v>
      </x:c>
      <x:c r="B125" s="15" t="str">
        <x:v>Woolworths</x:v>
      </x:c>
      <x:c r="C125" s="15" t="str">
        <x:v>R497.39 reserved for purchase @ Woolworths from Current a/c..512781 using card..2924. Avail R19572. 27Dec 12:35</x:v>
      </x:c>
      <x:c r="D125" s="38" t="n">
        <x:v>497.39</x:v>
      </x:c>
      <x:c r="E125" s="15" t="str">
        <x:v>ZAR</x:v>
      </x:c>
      <x:c r="F125" s="15" t="str">
        <x:v>Current a/c..512781 / card..2924</x:v>
      </x:c>
      <x:c r="G125" s="15" t="str">
        <x:v>Supplier payments</x:v>
      </x:c>
      <x:c r="H125" s="15" t="str">
        <x:v>Card purchase</x:v>
      </x:c>
      <x:c r="I125" s="15" t="str">
        <x:v>High</x:v>
      </x:c>
      <x:c r="J125" s="15" t="str">
        <x:v>eml_ALL_currentac__512781 (2).zip &gt; eml8currentac__512781.zip / FNB _-) R497.39 reserved for purchase @ Woolworths from Current a_c..512781 using card..2924. 27Dec 12_35.eml</x:v>
      </x:c>
    </x:row>
    <x:row r="126">
      <x:c r="A126" s="34" t="n">
        <x:v>46018.56180555555</x:v>
      </x:c>
      <x:c r="B126" s="15" t="str">
        <x:v>Superspar Malelane</x:v>
      </x:c>
      <x:c r="C126" s="15" t="str">
        <x:v>R1065.69 reserved for purchase @ Superspar Malelane from Current a/c..512781 using card..2924. Avail R18506. 27Dec 13:29</x:v>
      </x:c>
      <x:c r="D126" s="38" t="n">
        <x:v>1065.69</x:v>
      </x:c>
      <x:c r="E126" s="15" t="str">
        <x:v>ZAR</x:v>
      </x:c>
      <x:c r="F126" s="15" t="str">
        <x:v>Current a/c..512781 / card..2924</x:v>
      </x:c>
      <x:c r="G126" s="15" t="str">
        <x:v>Supplier payments</x:v>
      </x:c>
      <x:c r="H126" s="15" t="str">
        <x:v>Card purchase</x:v>
      </x:c>
      <x:c r="I126" s="15" t="str">
        <x:v>High</x:v>
      </x:c>
      <x:c r="J126" s="15" t="str">
        <x:v>eml_ALL_currentac__512781 (2).zip &gt; eml8currentac__512781.zip / FNB _-) R1065.69 reserved for purchase @ Superspar Malelane from Current a_c..512781 using card..2924. 27Dec 13_29.eml</x:v>
      </x:c>
    </x:row>
    <x:row r="127">
      <x:c r="A127" s="34" t="n">
        <x:v>46018.64791666667</x:v>
      </x:c>
      <x:c r="B127" s="15" t="str">
        <x:v>Waterkloof Gas 10266</x:v>
      </x:c>
      <x:c r="C127" s="15" t="str">
        <x:v>R1273.00 paid from Current a/c..512781 @ Smartapp. Avail R17230. Ref.Waterkloof Gas 10266. 27Dec 15:33</x:v>
      </x:c>
      <x:c r="D127" s="38" t="n">
        <x:v>1273</x:v>
      </x:c>
      <x:c r="E127" s="15" t="str">
        <x:v>ZAR</x:v>
      </x:c>
      <x:c r="F127" s="15" t="str">
        <x:v>Current a/c..512781</x:v>
      </x:c>
      <x:c r="G127" s="15" t="str">
        <x:v>Supplier payments</x:v>
      </x:c>
      <x:c r="H127" s="15" t="str">
        <x:v>EFT payment</x:v>
      </x:c>
      <x:c r="I127" s="15" t="str">
        <x:v>High</x:v>
      </x:c>
      <x:c r="J127" s="15" t="str">
        <x:v>eml_ALL_currentac__512781 (2).zip &gt; eml8currentac__512781.zip / FNB _-) R1273.00 paid from Current a_c..512781 @ Smartapp. Ref.Waterkloof Gas 10266. 27Dec 15_33.eml</x:v>
      </x:c>
    </x:row>
    <x:row r="128">
      <x:c r="A128" s="34" t="n">
        <x:v>46018.82986111111</x:v>
      </x:c>
      <x:c r="B128" s="15" t="str">
        <x:v>Gd Hoffman Wages</x:v>
      </x:c>
      <x:c r="C128" s="15" t="str">
        <x:v>R5000.00 paid from Current a/c..512781 @ Gen Ph. Avail R12215. Ref.Gd Hoffman Wages. 27Dec 19:55</x:v>
      </x:c>
      <x:c r="D128" s="38" t="n">
        <x:v>5000</x:v>
      </x:c>
      <x:c r="E128" s="15" t="str">
        <x:v>ZAR</x:v>
      </x:c>
      <x:c r="F128" s="15" t="str">
        <x:v>Current a/c..512781</x:v>
      </x:c>
      <x:c r="G128" s="15" t="str">
        <x:v>Salary / wages</x:v>
      </x:c>
      <x:c r="H128" s="15" t="str">
        <x:v>EFT payment</x:v>
      </x:c>
      <x:c r="I128" s="15" t="str">
        <x:v>High</x:v>
      </x:c>
      <x:c r="J128" s="15" t="str">
        <x:v>eml_ALL_currentac__512781 (2).zip &gt; eml8currentac__512781.zip / FNB _-) R5000.00 paid from Current a_c..512781 @ Gen Ph. Ref.Gd Hoffman Wages. 27Dec 19_55.eml</x:v>
      </x:c>
    </x:row>
    <x:row r="129">
      <x:c r="A129" s="34" t="n">
        <x:v>46019.38125</x:v>
      </x:c>
      <x:c r="B129" s="15" t="str">
        <x:v>Marlothi Petrol Stat</x:v>
      </x:c>
      <x:c r="C129" s="15" t="str">
        <x:v>R200.00 reserved for purchase @ Marlothi Petrol Stat from Current a/c..512781 using card..2924. Avail R11922. 28Dec 09:09</x:v>
      </x:c>
      <x:c r="D129" s="38" t="n">
        <x:v>200</x:v>
      </x:c>
      <x:c r="E129" s="15" t="str">
        <x:v>ZAR</x:v>
      </x:c>
      <x:c r="F129" s="15" t="str">
        <x:v>Current a/c..512781 / card..2924</x:v>
      </x:c>
      <x:c r="G129" s="15" t="str">
        <x:v>Fuel / transport</x:v>
      </x:c>
      <x:c r="H129" s="15" t="str">
        <x:v>Card purchase</x:v>
      </x:c>
      <x:c r="I129" s="15" t="str">
        <x:v>High</x:v>
      </x:c>
      <x:c r="J129" s="15" t="str">
        <x:v>eml_ALL_currentac__512781 (2).zip &gt; eml8currentac__512781.zip / FNB _-) R200.00 reserved for purchase @ Marlothi Petrol Stat from Current a_c..512781 using card..2924. 28Dec 09_09.eml</x:v>
      </x:c>
    </x:row>
    <x:row r="130">
      <x:c r="A130" s="34" t="n">
        <x:v>46019.38888888889</x:v>
      </x:c>
      <x:c r="B130" s="15" t="str">
        <x:v>Phindi Wages</x:v>
      </x:c>
      <x:c r="C130" s="15" t="str">
        <x:v>R750.00 paid from Current a/c..512781 @ Smartapp. Avail R11169. Ref.Phindi Wages. 28Dec 09:20</x:v>
      </x:c>
      <x:c r="D130" s="38" t="n">
        <x:v>750</x:v>
      </x:c>
      <x:c r="E130" s="15" t="str">
        <x:v>ZAR</x:v>
      </x:c>
      <x:c r="F130" s="15" t="str">
        <x:v>Current a/c..512781</x:v>
      </x:c>
      <x:c r="G130" s="15" t="str">
        <x:v>Salary / wages</x:v>
      </x:c>
      <x:c r="H130" s="15" t="str">
        <x:v>EFT payment</x:v>
      </x:c>
      <x:c r="I130" s="15" t="str">
        <x:v>High</x:v>
      </x:c>
      <x:c r="J130" s="15" t="str">
        <x:v>eml_ALL_currentac__512781 (2).zip &gt; eml8currentac__512781.zip / FNB _-) R750.00 paid from Current a_c..512781 @ Smartapp. Ref.Phindi Wages. 28Dec 09_20.eml</x:v>
      </x:c>
    </x:row>
    <x:row r="131">
      <x:c r="A131" s="34" t="n">
        <x:v>46019.52291666667</x:v>
      </x:c>
      <x:c r="B131" s="15" t="str">
        <x:v>Asbe - Comm</x:v>
      </x:c>
      <x:c r="C131" s="15" t="str">
        <x:v>R857.18 paid from Current a/c..512781 @ Smartapp. Avail R10304. Ref.Asbe - Comm. 28Dec 12:33</x:v>
      </x:c>
      <x:c r="D131" s="38" t="n">
        <x:v>857.18</x:v>
      </x:c>
      <x:c r="E131" s="15" t="str">
        <x:v>ZAR</x:v>
      </x:c>
      <x:c r="F131" s="15" t="str">
        <x:v>Current a/c..512781</x:v>
      </x:c>
      <x:c r="G131" s="15" t="str">
        <x:v>Supplier payments</x:v>
      </x:c>
      <x:c r="H131" s="15" t="str">
        <x:v>EFT payment</x:v>
      </x:c>
      <x:c r="I131" s="15" t="str">
        <x:v>High</x:v>
      </x:c>
      <x:c r="J131" s="15" t="str">
        <x:v>eml_ALL_currentac__512781 (2).zip &gt; eml8currentac__512781.zip / FNB _-) R857.18 paid from Current a_c..512781 @ Smartapp. Ref.Asbe - Comm. 28Dec 12_33.eml</x:v>
      </x:c>
    </x:row>
    <x:row r="132">
      <x:c r="A132" s="34" t="n">
        <x:v>46019.52777777778</x:v>
      </x:c>
      <x:c r="B132" s="15" t="str">
        <x:v>Savemor Marloth</x:v>
      </x:c>
      <x:c r="C132" s="15" t="str">
        <x:v>R101.89 reserved for purchase @ Savemor Marloth from Current a/c..512781 using card..2924. Avail R10202. 28Dec 12:40</x:v>
      </x:c>
      <x:c r="D132" s="38" t="n">
        <x:v>101.89</x:v>
      </x:c>
      <x:c r="E132" s="15" t="str">
        <x:v>ZAR</x:v>
      </x:c>
      <x:c r="F132" s="15" t="str">
        <x:v>Current a/c..512781 / card..2924</x:v>
      </x:c>
      <x:c r="G132" s="15" t="str">
        <x:v>Supplier payments</x:v>
      </x:c>
      <x:c r="H132" s="15" t="str">
        <x:v>Card purchase</x:v>
      </x:c>
      <x:c r="I132" s="15" t="str">
        <x:v>High</x:v>
      </x:c>
      <x:c r="J132" s="15" t="str">
        <x:v>eml_ALL_currentac__512781 (2).zip &gt; eml8currentac__512781.zip / FNB _-) R101.89 reserved for purchase @ Savemor Marloth from Current a_c..512781 using card..2924. 28Dec 12_40.eml</x:v>
      </x:c>
    </x:row>
    <x:row r="133">
      <x:c r="A133" s="34" t="n">
        <x:v>46019.82638888889</x:v>
      </x:c>
      <x:c r="B133" s="15" t="str">
        <x:v>The Tin Shack</x:v>
      </x:c>
      <x:c r="C133" s="15" t="str">
        <x:v>R175.00 reserved for purchase @ The Tin Shack from Current a/c..512781 using card..2924. Avail R10027. 28Dec 19:50</x:v>
      </x:c>
      <x:c r="D133" s="38" t="n">
        <x:v>175</x:v>
      </x:c>
      <x:c r="E133" s="15" t="str">
        <x:v>ZAR</x:v>
      </x:c>
      <x:c r="F133" s="15" t="str">
        <x:v>Current a/c..512781 / card..2924</x:v>
      </x:c>
      <x:c r="G133" s="15" t="str">
        <x:v>Meals / restaurants / entertainment</x:v>
      </x:c>
      <x:c r="H133" s="15" t="str">
        <x:v>Card purchase</x:v>
      </x:c>
      <x:c r="I133" s="15" t="str">
        <x:v>High</x:v>
      </x:c>
      <x:c r="J133" s="15" t="str">
        <x:v>eml_ALL_currentac__512781 (2).zip &gt; eml8currentac__512781.zip / FNB _-) R175.00 reserved for purchase @ The Tin Shack from Current a_c..512781 using card..2924. 28Dec 19_50.eml</x:v>
      </x:c>
    </x:row>
    <x:row r="134">
      <x:c r="A134" s="34" t="n">
        <x:v>46020.646527777775</x:v>
      </x:c>
      <x:c r="B134" s="15" t="str">
        <x:v>Savemor Marloth</x:v>
      </x:c>
      <x:c r="C134" s="15" t="str">
        <x:v>R149.93 reserved for purchase @ Savemor Marloth from Current a/c..512781 using card..2924. Avail R9877. 29Dec 15:31</x:v>
      </x:c>
      <x:c r="D134" s="38" t="n">
        <x:v>149.93</x:v>
      </x:c>
      <x:c r="E134" s="15" t="str">
        <x:v>ZAR</x:v>
      </x:c>
      <x:c r="F134" s="15" t="str">
        <x:v>Current a/c..512781 / card..2924</x:v>
      </x:c>
      <x:c r="G134" s="15" t="str">
        <x:v>Supplier payments</x:v>
      </x:c>
      <x:c r="H134" s="15" t="str">
        <x:v>Card purchase</x:v>
      </x:c>
      <x:c r="I134" s="15" t="str">
        <x:v>High</x:v>
      </x:c>
      <x:c r="J134" s="15" t="str">
        <x:v>eml_ALL_currentac__512781 (2).zip &gt; eml8currentac__512781.zip / FNB _-) R149.93 reserved for purchase @ Savemor Marloth from Current a_c..512781 using card..2924. 29Dec 15_31.eml</x:v>
      </x:c>
    </x:row>
    <x:row r="135">
      <x:c r="A135" s="34" t="n">
        <x:v>46021.444444444445</x:v>
      </x:c>
      <x:c r="B135" s="15" t="str">
        <x:v>Kruger Safari 1673</x:v>
      </x:c>
      <x:c r="C135" s="15" t="str">
        <x:v>R13095.00 paid from Current a/c..512781 @ Gen Ph. Avail R13999. Ref.Kruger Safari 1673. 30Dec 10:40</x:v>
      </x:c>
      <x:c r="D135" s="38" t="n">
        <x:v>13095</x:v>
      </x:c>
      <x:c r="E135" s="15" t="str">
        <x:v>ZAR</x:v>
      </x:c>
      <x:c r="F135" s="15" t="str">
        <x:v>Current a/c..512781</x:v>
      </x:c>
      <x:c r="G135" s="15" t="str">
        <x:v>Supplier payments</x:v>
      </x:c>
      <x:c r="H135" s="15" t="str">
        <x:v>EFT payment</x:v>
      </x:c>
      <x:c r="I135" s="15" t="str">
        <x:v>High</x:v>
      </x:c>
      <x:c r="J135" s="15" t="str">
        <x:v>eml_ALL_currentac__512781 (2).zip &gt; eml8currentac__512781.zip / FNB _-) R13095.00 paid from Current a_c..512781 @ Gen Ph. Ref.Kruger Safari 1673. 30Dec 10_40.eml</x:v>
      </x:c>
    </x:row>
    <x:row r="136">
      <x:c r="A136" s="34" t="n">
        <x:v>46021.52638888889</x:v>
      </x:c>
      <x:c r="B136" s="15" t="str">
        <x:v>Autozone Malelane</x:v>
      </x:c>
      <x:c r="C136" s="15" t="str">
        <x:v>R2300.00 reserved for purchase @ Autozone Malelane from Current a/c..512781 using card..2924. Avail R11699. 30Dec 12:38</x:v>
      </x:c>
      <x:c r="D136" s="38" t="n">
        <x:v>2300</x:v>
      </x:c>
      <x:c r="E136" s="15" t="str">
        <x:v>ZAR</x:v>
      </x:c>
      <x:c r="F136" s="15" t="str">
        <x:v>Current a/c..512781 / card..2924</x:v>
      </x:c>
      <x:c r="G136" s="15" t="str">
        <x:v>Card spend</x:v>
      </x:c>
      <x:c r="H136" s="15" t="str">
        <x:v>Card purchase</x:v>
      </x:c>
      <x:c r="I136" s="15" t="str">
        <x:v>High</x:v>
      </x:c>
      <x:c r="J136" s="15" t="str">
        <x:v>eml_ALL_currentac__512781 (2).zip &gt; eml8currentac__512781.zip / FNB _-) R2300.00 reserved for purchase @ Autozone Malelane from Current a_c..512781 using card..2924. 30Dec 12_38.eml</x:v>
      </x:c>
    </x:row>
    <x:row r="137">
      <x:c r="A137" s="34" t="n">
        <x:v>46021.563888888886</x:v>
      </x:c>
      <x:c r="B137" s="15" t="str">
        <x:v>Superspar Malelane</x:v>
      </x:c>
      <x:c r="C137" s="15" t="str">
        <x:v>R1461.38 reserved for purchase @ Superspar Malelane from Current a/c..512781 using card..2924. Avail R10238. 30Dec 13:32</x:v>
      </x:c>
      <x:c r="D137" s="38" t="n">
        <x:v>1461.38</x:v>
      </x:c>
      <x:c r="E137" s="15" t="str">
        <x:v>ZAR</x:v>
      </x:c>
      <x:c r="F137" s="15" t="str">
        <x:v>Current a/c..512781 / card..2924</x:v>
      </x:c>
      <x:c r="G137" s="15" t="str">
        <x:v>Supplier payments</x:v>
      </x:c>
      <x:c r="H137" s="15" t="str">
        <x:v>Card purchase</x:v>
      </x:c>
      <x:c r="I137" s="15" t="str">
        <x:v>High</x:v>
      </x:c>
      <x:c r="J137" s="15" t="str">
        <x:v>eml_ALL_currentac__512781 (2).zip &gt; eml8currentac__512781.zip / FNB _-) R1461.38 reserved for purchase @ Superspar Malelane from Current a_c..512781 using card..2924. 30Dec 13_32.eml</x:v>
      </x:c>
    </x:row>
    <x:row r="138">
      <x:c r="A138" s="34" t="n">
        <x:v>46021.575694444444</x:v>
      </x:c>
      <x:c r="B138" s="15" t="str">
        <x:v>Tops Malelane</x:v>
      </x:c>
      <x:c r="C138" s="15" t="str">
        <x:v>R154.98 reserved for purchase @ Tops Malelane from Current a/c..512781 using card..2924. Avail R10083. 30Dec 13:49</x:v>
      </x:c>
      <x:c r="D138" s="38" t="n">
        <x:v>154.98</x:v>
      </x:c>
      <x:c r="E138" s="15" t="str">
        <x:v>ZAR</x:v>
      </x:c>
      <x:c r="F138" s="15" t="str">
        <x:v>Current a/c..512781 / card..2924</x:v>
      </x:c>
      <x:c r="G138" s="15" t="str">
        <x:v>Meals / restaurants / entertainment</x:v>
      </x:c>
      <x:c r="H138" s="15" t="str">
        <x:v>Card purchase</x:v>
      </x:c>
      <x:c r="I138" s="15" t="str">
        <x:v>High</x:v>
      </x:c>
      <x:c r="J138" s="15" t="str">
        <x:v>eml_ALL_currentac__512781 (2).zip &gt; eml8currentac__512781.zip / FNB _-) R154.98 reserved for purchase @ Tops Malelane from Current a_c..512781 using card..2924. 30Dec 13_49.eml</x:v>
      </x:c>
    </x:row>
    <x:row r="139">
      <x:c r="A139" s="34" t="n">
        <x:v>46022.481944444444</x:v>
      </x:c>
      <x:c r="B139" s="15" t="str">
        <x:v>Savemor Marloth Liqu</x:v>
      </x:c>
      <x:c r="C139" s="15" t="str">
        <x:v>R235.98 reserved for purchase @ Savemor Marloth Liqu from Current a/c..512781 using card..2924. Avail R9815. 31Dec 11:34</x:v>
      </x:c>
      <x:c r="D139" s="38" t="n">
        <x:v>235.98</x:v>
      </x:c>
      <x:c r="E139" s="15" t="str">
        <x:v>ZAR</x:v>
      </x:c>
      <x:c r="F139" s="15" t="str">
        <x:v>Current a/c..512781 / card..2924</x:v>
      </x:c>
      <x:c r="G139" s="15" t="str">
        <x:v>Meals / restaurants / entertainment</x:v>
      </x:c>
      <x:c r="H139" s="15" t="str">
        <x:v>Card purchase</x:v>
      </x:c>
      <x:c r="I139" s="15" t="str">
        <x:v>High</x:v>
      </x:c>
      <x:c r="J139" s="15" t="str">
        <x:v>eml_ALL_currentac__512781 (2).zip &gt; eml8currentac__512781.zip / FNB _-) R235.98 reserved for purchase @ Savemor Marloth Liqu from Current a_c..512781 using card..2924. 31Dec 11_34.eml</x:v>
      </x:c>
    </x:row>
    <x:row r="140">
      <x:c r="A140" s="34" t="n">
        <x:v>46022.48611111111</x:v>
      </x:c>
      <x:c r="B140" s="15" t="str">
        <x:v>Phindi Salary Dec</x:v>
      </x:c>
      <x:c r="C140" s="15" t="str">
        <x:v>R4250.00 paid from Current a/c..512781 @ Gen Ph. Avail R5550. Ref.Phindi Salary Dec. 31Dec 11:40</x:v>
      </x:c>
      <x:c r="D140" s="38" t="n">
        <x:v>4250</x:v>
      </x:c>
      <x:c r="E140" s="15" t="str">
        <x:v>ZAR</x:v>
      </x:c>
      <x:c r="F140" s="15" t="str">
        <x:v>Current a/c..512781</x:v>
      </x:c>
      <x:c r="G140" s="15" t="str">
        <x:v>Salary / wages</x:v>
      </x:c>
      <x:c r="H140" s="15" t="str">
        <x:v>EFT payment</x:v>
      </x:c>
      <x:c r="I140" s="15" t="str">
        <x:v>High</x:v>
      </x:c>
      <x:c r="J140" s="15" t="str">
        <x:v>eml_ALL_currentac__512781 (2).zip &gt; eml8currentac__512781.zip / FNB _-) R4250.00 paid from Current a_c..512781 @ Gen Ph. Ref.Phindi Salary Dec. 31Dec 11_40.eml</x:v>
      </x:c>
    </x:row>
    <x:row r="141">
      <x:c r="A141" s="34" t="n">
        <x:v>46022.48819444444</x:v>
      </x:c>
      <x:c r="B141" s="15" t="str">
        <x:v>Savemor Marloth</x:v>
      </x:c>
      <x:c r="C141" s="15" t="str">
        <x:v>R447.95 reserved for purchase @ Savemor Marloth from Current a/c..512781 using card..2924. Avail R5102. 31Dec 11:43</x:v>
      </x:c>
      <x:c r="D141" s="38" t="n">
        <x:v>447.95</x:v>
      </x:c>
      <x:c r="E141" s="15" t="str">
        <x:v>ZAR</x:v>
      </x:c>
      <x:c r="F141" s="15" t="str">
        <x:v>Current a/c..512781 / card..2924</x:v>
      </x:c>
      <x:c r="G141" s="15" t="str">
        <x:v>Supplier payments</x:v>
      </x:c>
      <x:c r="H141" s="15" t="str">
        <x:v>Card purchase</x:v>
      </x:c>
      <x:c r="I141" s="15" t="str">
        <x:v>High</x:v>
      </x:c>
      <x:c r="J141" s="15" t="str">
        <x:v>eml_ALL_currentac__512781 (2).zip &gt; eml8currentac__512781.zip / FNB _-) R447.95 reserved for purchase @ Savemor Marloth from Current a_c..512781 using card..2924. 31Dec 11_43.eml</x:v>
      </x:c>
    </x:row>
    <x:row r="142">
      <x:c r="A142" s="34" t="n">
        <x:v>46024.325694444444</x:v>
      </x:c>
      <x:c r="B142" s="15" t="str">
        <x:v>Marlothi Petrol Stat</x:v>
      </x:c>
      <x:c r="C142" s="15" t="str">
        <x:v>R400.00 reserved for purchase @ Marlothi Petrol Stat from Current a/c..512781 using card..2924. Avail R6373. 2Jan 07:49</x:v>
      </x:c>
      <x:c r="D142" s="38" t="n">
        <x:v>400</x:v>
      </x:c>
      <x:c r="E142" s="15" t="str">
        <x:v>ZAR</x:v>
      </x:c>
      <x:c r="F142" s="15" t="str">
        <x:v>Current a/c..512781 / card..2924</x:v>
      </x:c>
      <x:c r="G142" s="15" t="str">
        <x:v>Fuel / transport</x:v>
      </x:c>
      <x:c r="H142" s="15" t="str">
        <x:v>Card purchase</x:v>
      </x:c>
      <x:c r="I142" s="15" t="str">
        <x:v>High</x:v>
      </x:c>
      <x:c r="J142" s="15" t="str">
        <x:v>eml_ALL_currentac__512781 (2).zip &gt; eml8currentac__512781.zip / FNB _-) R400.00 reserved for purchase @ Marlothi Petrol Stat from Current a_c..512781 using card..2924.  2Jan 07_49.eml</x:v>
      </x:c>
    </x:row>
    <x:row r="143">
      <x:c r="A143" s="34" t="n">
        <x:v>46024.677083333336</x:v>
      </x:c>
      <x:c r="B143" s="15" t="str">
        <x:v>Savemor Marloth</x:v>
      </x:c>
      <x:c r="C143" s="15" t="str">
        <x:v>R346.43 reserved for purchase @ Savemor Marloth from Current a/c..512781 using card..2924. Avail R7917. 2Jan 16:15</x:v>
      </x:c>
      <x:c r="D143" s="38" t="n">
        <x:v>346.43</x:v>
      </x:c>
      <x:c r="E143" s="15" t="str">
        <x:v>ZAR</x:v>
      </x:c>
      <x:c r="F143" s="15" t="str">
        <x:v>Current a/c..512781 / card..2924</x:v>
      </x:c>
      <x:c r="G143" s="15" t="str">
        <x:v>Supplier payments</x:v>
      </x:c>
      <x:c r="H143" s="15" t="str">
        <x:v>Card purchase</x:v>
      </x:c>
      <x:c r="I143" s="15" t="str">
        <x:v>High</x:v>
      </x:c>
      <x:c r="J143" s="15" t="str">
        <x:v>eml_ALL_currentac__512781 (2).zip &gt; eml8currentac__512781.zip / FNB _-) R346.43 reserved for purchase @ Savemor Marloth from Current a_c..512781 using card..2924.  2Jan 16_15.eml</x:v>
      </x:c>
    </x:row>
    <x:row r="144">
      <x:c r="A144" s="34" t="n">
        <x:v>46025.45763888889</x:v>
      </x:c>
      <x:c r="B144" s="15" t="str">
        <x:v>Shoprite Komatipoort</x:v>
      </x:c>
      <x:c r="C144" s="15" t="str">
        <x:v>R1008.54 reserved for purchase @ Shoprite Komatipoort from Current a/c..512781 using card..2924. Avail R8520. 3Jan 10:59</x:v>
      </x:c>
      <x:c r="D144" s="38" t="n">
        <x:v>1008.54</x:v>
      </x:c>
      <x:c r="E144" s="15" t="str">
        <x:v>ZAR</x:v>
      </x:c>
      <x:c r="F144" s="15" t="str">
        <x:v>Current a/c..512781 / card..2924</x:v>
      </x:c>
      <x:c r="G144" s="15" t="str">
        <x:v>Supplier payments</x:v>
      </x:c>
      <x:c r="H144" s="15" t="str">
        <x:v>Card purchase</x:v>
      </x:c>
      <x:c r="I144" s="15" t="str">
        <x:v>High</x:v>
      </x:c>
      <x:c r="J144" s="15" t="str">
        <x:v>eml_ALL_currentac__512781 (2).zip &gt; eml8currentac__512781.zip / FNB _-) R1008.54 reserved for purchase @ Shoprite Komatipoort from Current a_c..512781 using card..2924.  3Jan 10_59.eml</x:v>
      </x:c>
    </x:row>
    <x:row r="145">
      <x:c r="A145" s="34" t="n">
        <x:v>46025.49444444444</x:v>
      </x:c>
      <x:c r="B145" s="15" t="str">
        <x:v>Superspar Komatipoor</x:v>
      </x:c>
      <x:c r="C145" s="15" t="str">
        <x:v>R1755.70 reserved for purchase @ Superspar Komatipoor from Current a/c..512781 using card..2924. Avail R6764. 3Jan 11:52</x:v>
      </x:c>
      <x:c r="D145" s="38" t="n">
        <x:v>1755.7</x:v>
      </x:c>
      <x:c r="E145" s="15" t="str">
        <x:v>ZAR</x:v>
      </x:c>
      <x:c r="F145" s="15" t="str">
        <x:v>Current a/c..512781 / card..2924</x:v>
      </x:c>
      <x:c r="G145" s="15" t="str">
        <x:v>Supplier payments</x:v>
      </x:c>
      <x:c r="H145" s="15" t="str">
        <x:v>Card purchase</x:v>
      </x:c>
      <x:c r="I145" s="15" t="str">
        <x:v>High</x:v>
      </x:c>
      <x:c r="J145" s="15" t="str">
        <x:v>eml_ALL_currentac__512781 (2).zip &gt; eml8currentac__512781.zip / FNB _-) R1755.70 reserved for purchase @ Superspar Komatipoor from Current a_c..512781 using card..2924.  3Jan 11_52.eml</x:v>
      </x:c>
    </x:row>
    <x:row r="146">
      <x:c r="A146" s="34" t="n">
        <x:v>46025.50347222222</x:v>
      </x:c>
      <x:c r="B146" s="15" t="str">
        <x:v>Tops Komatipoort</x:v>
      </x:c>
      <x:c r="C146" s="15" t="str">
        <x:v>R192.00 reserved for purchase @ Tops Komatipoort from Current a/c..512781 using card..2924. Avail R6572. 3Jan 12:05</x:v>
      </x:c>
      <x:c r="D146" s="38" t="n">
        <x:v>192</x:v>
      </x:c>
      <x:c r="E146" s="15" t="str">
        <x:v>ZAR</x:v>
      </x:c>
      <x:c r="F146" s="15" t="str">
        <x:v>Current a/c..512781 / card..2924</x:v>
      </x:c>
      <x:c r="G146" s="15" t="str">
        <x:v>Meals / restaurants / entertainment</x:v>
      </x:c>
      <x:c r="H146" s="15" t="str">
        <x:v>Card purchase</x:v>
      </x:c>
      <x:c r="I146" s="15" t="str">
        <x:v>High</x:v>
      </x:c>
      <x:c r="J146" s="15" t="str">
        <x:v>eml_ALL_currentac__512781 (2).zip &gt; eml8currentac__512781.zip / FNB _-) R192.00 reserved for purchase @ Tops Komatipoort from Current a_c..512781 using card..2924.  3Jan 12_05.eml</x:v>
      </x:c>
    </x:row>
    <x:row r="147">
      <x:c r="A147" s="34" t="n">
        <x:v>46025.5125</x:v>
      </x:c>
      <x:c r="B147" s="15" t="str">
        <x:v>Oasis Water Komatipo</x:v>
      </x:c>
      <x:c r="C147" s="15" t="str">
        <x:v>R112.80 reserved for purchase @ Oasis Water Komatipo from Current a/c..512781 using card..2924. Avail R6459. 3Jan 12:18</x:v>
      </x:c>
      <x:c r="D147" s="38" t="n">
        <x:v>112.8</x:v>
      </x:c>
      <x:c r="E147" s="15" t="str">
        <x:v>ZAR</x:v>
      </x:c>
      <x:c r="F147" s="15" t="str">
        <x:v>Current a/c..512781 / card..2924</x:v>
      </x:c>
      <x:c r="G147" s="15" t="str">
        <x:v>Supplier payments</x:v>
      </x:c>
      <x:c r="H147" s="15" t="str">
        <x:v>Card purchase</x:v>
      </x:c>
      <x:c r="I147" s="15" t="str">
        <x:v>High</x:v>
      </x:c>
      <x:c r="J147" s="15" t="str">
        <x:v>eml_ALL_currentac__512781 (2).zip &gt; eml8currentac__512781.zip / FNB _-) R112.80 reserved for purchase @ Oasis Water Komatipo from Current a_c..512781 using card..2924.  3Jan 12_18.eml</x:v>
      </x:c>
    </x:row>
    <x:row r="148">
      <x:c r="A148" s="34" t="n">
        <x:v>46025.595138888886</x:v>
      </x:c>
      <x:c r="B148" s="15" t="str">
        <x:v>Savemor Marloth</x:v>
      </x:c>
      <x:c r="C148" s="15" t="str">
        <x:v>R106.45 reserved for purchase @ Savemor Marloth from Current a/c..512781 using card..2924. Avail R6353. 3Jan 14:17</x:v>
      </x:c>
      <x:c r="D148" s="38" t="n">
        <x:v>106.45</x:v>
      </x:c>
      <x:c r="E148" s="15" t="str">
        <x:v>ZAR</x:v>
      </x:c>
      <x:c r="F148" s="15" t="str">
        <x:v>Current a/c..512781 / card..2924</x:v>
      </x:c>
      <x:c r="G148" s="15" t="str">
        <x:v>Supplier payments</x:v>
      </x:c>
      <x:c r="H148" s="15" t="str">
        <x:v>Card purchase</x:v>
      </x:c>
      <x:c r="I148" s="15" t="str">
        <x:v>High</x:v>
      </x:c>
      <x:c r="J148" s="15" t="str">
        <x:v>eml_ALL_currentac__512781 (2).zip &gt; eml8currentac__512781.zip / FNB _-) R106.45 reserved for purchase @ Savemor Marloth from Current a_c..512781 using card..2924.  3Jan 14_17.eml</x:v>
      </x:c>
    </x:row>
    <x:row r="149">
      <x:c r="A149" s="34" t="n">
        <x:v>46025.74097222222</x:v>
      </x:c>
      <x:c r="B149" s="15" t="str">
        <x:v>Staff Nason</x:v>
      </x:c>
      <x:c r="C149" s="15" t="str">
        <x:v>R5000.00 paid from Current a/c..512781 @ Smartapp. Avail R1353. Ref.Staff Nason. 3Jan 17:47</x:v>
      </x:c>
      <x:c r="D149" s="38" t="n">
        <x:v>5000</x:v>
      </x:c>
      <x:c r="E149" s="15" t="str">
        <x:v>ZAR</x:v>
      </x:c>
      <x:c r="F149" s="15" t="str">
        <x:v>Current a/c..512781</x:v>
      </x:c>
      <x:c r="G149" s="15" t="str">
        <x:v>Salary / wages</x:v>
      </x:c>
      <x:c r="H149" s="15" t="str">
        <x:v>EFT payment</x:v>
      </x:c>
      <x:c r="I149" s="15" t="str">
        <x:v>High</x:v>
      </x:c>
      <x:c r="J149" s="15" t="str">
        <x:v>eml_ALL_currentac__512781 (2).zip &gt; eml8currentac__512781.zip / FNB _-) R5000.00 paid from Current a_c..512781 @ Smartapp. Ref.Staff Nason.  3Jan 17_47.eml</x:v>
      </x:c>
    </x:row>
    <x:row r="150">
      <x:c r="A150" s="34" t="n">
        <x:v>46026.41458333333</x:v>
      </x:c>
      <x:c r="B150" s="15" t="str">
        <x:v>Am Hoffman Wages</x:v>
      </x:c>
      <x:c r="C150" s="15" t="str">
        <x:v>R5000.00 paid from Current a/c..512781 @ Gen Ph. Avail R1288. Ref.Am Hoffman Wages. 4Jan 09:57</x:v>
      </x:c>
      <x:c r="D150" s="38" t="n">
        <x:v>5000</x:v>
      </x:c>
      <x:c r="E150" s="15" t="str">
        <x:v>ZAR</x:v>
      </x:c>
      <x:c r="F150" s="15" t="str">
        <x:v>Current a/c..512781</x:v>
      </x:c>
      <x:c r="G150" s="15" t="str">
        <x:v>Salary / wages</x:v>
      </x:c>
      <x:c r="H150" s="15" t="str">
        <x:v>EFT payment</x:v>
      </x:c>
      <x:c r="I150" s="15" t="str">
        <x:v>High</x:v>
      </x:c>
      <x:c r="J150" s="15" t="str">
        <x:v>eml_ALL_currentac__512781 (2).zip &gt; eml8currentac__512781.zip / FNB _-) R5000.00 paid from Current a_c..512781 @ Gen Ph. Ref.Am Hoffman Wages.  4Jan 09_57.eml</x:v>
      </x:c>
    </x:row>
    <x:row r="151">
      <x:c r="A151" s="34" t="n">
        <x:v>46026.51180555556</x:v>
      </x:c>
      <x:c r="B151" s="15" t="str">
        <x:v>Atmh11960000001</x:v>
      </x:c>
      <x:c r="C151" s="15" t="str">
        <x:v>R400.00 withdrawn from Current a/c..512781 using card..2924 @ Atmh11960000001. Avail R888. 4Jan 12:17</x:v>
      </x:c>
      <x:c r="D151" s="38" t="n">
        <x:v>400</x:v>
      </x:c>
      <x:c r="E151" s="15" t="str">
        <x:v>ZAR</x:v>
      </x:c>
      <x:c r="F151" s="15" t="str">
        <x:v>Current a/c..512781 / card..2924</x:v>
      </x:c>
      <x:c r="G151" s="15" t="str">
        <x:v>Cash withdrawal</x:v>
      </x:c>
      <x:c r="H151" s="15" t="str">
        <x:v>ATM / cash withdrawal</x:v>
      </x:c>
      <x:c r="I151" s="15" t="str">
        <x:v>High</x:v>
      </x:c>
      <x:c r="J151" s="15" t="str">
        <x:v>eml_ALL_currentac__512781 (2).zip &gt; eml8currentac__512781.zip / FNB _-) R400.00 withdrawn from Current a_c..512781 using card..2924 @ Atmh11960000001.  4Jan 12_17.eml</x:v>
      </x:c>
    </x:row>
    <x:row r="152">
      <x:c r="A152" s="34" t="n">
        <x:v>46026.51875</x:v>
      </x:c>
      <x:c r="B152" s="15" t="str">
        <x:v>Savemor Marloth</x:v>
      </x:c>
      <x:c r="C152" s="15" t="str">
        <x:v>R228.07 reserved for purchase @ Savemor Marloth from Current a/c..512781 using card..2924. Avail R660. 4Jan 12:27</x:v>
      </x:c>
      <x:c r="D152" s="38" t="n">
        <x:v>228.07</x:v>
      </x:c>
      <x:c r="E152" s="15" t="str">
        <x:v>ZAR</x:v>
      </x:c>
      <x:c r="F152" s="15" t="str">
        <x:v>Current a/c..512781 / card..2924</x:v>
      </x:c>
      <x:c r="G152" s="15" t="str">
        <x:v>Supplier payments</x:v>
      </x:c>
      <x:c r="H152" s="15" t="str">
        <x:v>Card purchase</x:v>
      </x:c>
      <x:c r="I152" s="15" t="str">
        <x:v>High</x:v>
      </x:c>
      <x:c r="J152" s="15" t="str">
        <x:v>eml_ALL_currentac__512781 (2).zip &gt; eml8currentac__512781.zip / FNB _-) R228.07 reserved for purchase @ Savemor Marloth from Current a_c..512781 using card..2924.  4Jan 12_27.eml</x:v>
      </x:c>
    </x:row>
    <x:row r="153">
      <x:c r="A153" s="34" t="n">
        <x:v>46027.388194444444</x:v>
      </x:c>
      <x:c r="B153" s="15" t="str">
        <x:v>Waterkloof Gas 10355</x:v>
      </x:c>
      <x:c r="C153" s="15" t="str">
        <x:v>R325.00 paid from Current a/c..512781 @ Smartapp. Avail R332. Ref.Waterkloof Gas 10355. 5Jan 09:19</x:v>
      </x:c>
      <x:c r="D153" s="38" t="n">
        <x:v>325</x:v>
      </x:c>
      <x:c r="E153" s="15" t="str">
        <x:v>ZAR</x:v>
      </x:c>
      <x:c r="F153" s="15" t="str">
        <x:v>Current a/c..512781</x:v>
      </x:c>
      <x:c r="G153" s="15" t="str">
        <x:v>Supplier payments</x:v>
      </x:c>
      <x:c r="H153" s="15" t="str">
        <x:v>EFT payment</x:v>
      </x:c>
      <x:c r="I153" s="15" t="str">
        <x:v>High</x:v>
      </x:c>
      <x:c r="J153" s="15" t="str">
        <x:v>eml_ALL_currentac__512781 (2).zip &gt; eml8currentac__512781.zip / FNB _-) R325.00 paid from Current a_c..512781 @ Smartapp. Ref.Waterkloof Gas 10355.  5Jan 09_19.eml</x:v>
      </x:c>
    </x:row>
    <x:row r="154">
      <x:c r="A154" s="34" t="n">
        <x:v>46027.60138888889</x:v>
      </x:c>
      <x:c r="B154" s="15" t="str">
        <x:v>Superspar Komatipoor</x:v>
      </x:c>
      <x:c r="C154" s="15" t="str">
        <x:v>R1302.06 reserved for purchase @ Superspar Komatipoor from Current a/c..512781 using card..2924. Avail R17881. 5Jan 14:26</x:v>
      </x:c>
      <x:c r="D154" s="38" t="n">
        <x:v>1302.06</x:v>
      </x:c>
      <x:c r="E154" s="15" t="str">
        <x:v>ZAR</x:v>
      </x:c>
      <x:c r="F154" s="15" t="str">
        <x:v>Current a/c..512781 / card..2924</x:v>
      </x:c>
      <x:c r="G154" s="15" t="str">
        <x:v>Supplier payments</x:v>
      </x:c>
      <x:c r="H154" s="15" t="str">
        <x:v>Card purchase</x:v>
      </x:c>
      <x:c r="I154" s="15" t="str">
        <x:v>High</x:v>
      </x:c>
      <x:c r="J154" s="15" t="str">
        <x:v>eml_ALL_currentac__512781 (2).zip &gt; eml8currentac__512781.zip / FNB _-) R1302.06 reserved for purchase @ Superspar Komatipoor from Current a_c..512781 using card..2924.  5Jan 14_26.eml</x:v>
      </x:c>
    </x:row>
    <x:row r="155">
      <x:c r="A155" s="34" t="n">
        <x:v>46027.63680555556</x:v>
      </x:c>
      <x:c r="B155" s="15" t="str">
        <x:v>Savemor Marloth</x:v>
      </x:c>
      <x:c r="C155" s="15" t="str">
        <x:v>R1148.38 reserved for purchase @ Savemor Marloth from Current a/c..512781 using card..2924. Avail R16693. 5Jan 15:17</x:v>
      </x:c>
      <x:c r="D155" s="38" t="n">
        <x:v>1148.38</x:v>
      </x:c>
      <x:c r="E155" s="15" t="str">
        <x:v>ZAR</x:v>
      </x:c>
      <x:c r="F155" s="15" t="str">
        <x:v>Current a/c..512781 / card..2924</x:v>
      </x:c>
      <x:c r="G155" s="15" t="str">
        <x:v>Supplier payments</x:v>
      </x:c>
      <x:c r="H155" s="15" t="str">
        <x:v>Card purchase</x:v>
      </x:c>
      <x:c r="I155" s="15" t="str">
        <x:v>High</x:v>
      </x:c>
      <x:c r="J155" s="15" t="str">
        <x:v>eml_ALL_currentac__512781 (2).zip &gt; eml8currentac__512781.zip / FNB _-) R1148.38 reserved for purchase @ Savemor Marloth from Current a_c..512781 using card..2924.  5Jan 15_17.eml</x:v>
      </x:c>
    </x:row>
    <x:row r="156">
      <x:c r="A156" s="34" t="n">
        <x:v>46027.64444444444</x:v>
      </x:c>
      <x:c r="B156" s="15" t="str">
        <x:v>Marlothi Petrol Stat</x:v>
      </x:c>
      <x:c r="C156" s="15" t="str">
        <x:v>R300.00 reserved for purchase @ Marlothi Petrol Stat from Current a/c..512781 using card..2924. Avail R16393. 5Jan 15:28</x:v>
      </x:c>
      <x:c r="D156" s="38" t="n">
        <x:v>300</x:v>
      </x:c>
      <x:c r="E156" s="15" t="str">
        <x:v>ZAR</x:v>
      </x:c>
      <x:c r="F156" s="15" t="str">
        <x:v>Current a/c..512781 / card..2924</x:v>
      </x:c>
      <x:c r="G156" s="15" t="str">
        <x:v>Fuel / transport</x:v>
      </x:c>
      <x:c r="H156" s="15" t="str">
        <x:v>Card purchase</x:v>
      </x:c>
      <x:c r="I156" s="15" t="str">
        <x:v>High</x:v>
      </x:c>
      <x:c r="J156" s="15" t="str">
        <x:v>eml_ALL_currentac__512781 (2).zip &gt; eml8currentac__512781.zip / FNB _-) R300.00 reserved for purchase @ Marlothi Petrol Stat from Current a_c..512781 using card..2924.  5Jan 15_28.eml</x:v>
      </x:c>
    </x:row>
    <x:row r="157">
      <x:c r="A157" s="34" t="n">
        <x:v>46028.38263888889</x:v>
      </x:c>
      <x:c r="B157" s="15" t="str">
        <x:v>Electricity 04294887</x:v>
      </x:c>
      <x:c r="C157" s="15" t="str">
        <x:v>R500.00 paid from Current a/c..512781 @ Smartapp. Avail R15867. Ref.Electricity 04294887. 6Jan 09:11</x:v>
      </x:c>
      <x:c r="D157" s="38" t="n">
        <x:v>500</x:v>
      </x:c>
      <x:c r="E157" s="15" t="str">
        <x:v>ZAR</x:v>
      </x:c>
      <x:c r="F157" s="15" t="str">
        <x:v>Current a/c..512781</x:v>
      </x:c>
      <x:c r="G157" s="15" t="str">
        <x:v>Telecom / utilities</x:v>
      </x:c>
      <x:c r="H157" s="15" t="str">
        <x:v>EFT payment</x:v>
      </x:c>
      <x:c r="I157" s="15" t="str">
        <x:v>High</x:v>
      </x:c>
      <x:c r="J157" s="15" t="str">
        <x:v>eml_ALL_currentac__512781 (2).zip &gt; eml8currentac__512781.zip / FNB _-) R500.00 paid from Current a_c..512781 @ Smartapp. Ref.Electricity 04294887.  6Jan 09_11.eml</x:v>
      </x:c>
    </x:row>
    <x:row r="158">
      <x:c r="A158" s="34" t="n">
        <x:v>46028.623611111114</x:v>
      </x:c>
      <x:c r="B158" s="15" t="str">
        <x:v>Savemor Marloth</x:v>
      </x:c>
      <x:c r="C158" s="15" t="str">
        <x:v>R108.96 reserved for purchase @ Savemor Marloth from Current a/c..512781 using card..2924. Avail R18561. 6Jan 14:58</x:v>
      </x:c>
      <x:c r="D158" s="38" t="n">
        <x:v>108.96</x:v>
      </x:c>
      <x:c r="E158" s="15" t="str">
        <x:v>ZAR</x:v>
      </x:c>
      <x:c r="F158" s="15" t="str">
        <x:v>Current a/c..512781 / card..2924</x:v>
      </x:c>
      <x:c r="G158" s="15" t="str">
        <x:v>Supplier payments</x:v>
      </x:c>
      <x:c r="H158" s="15" t="str">
        <x:v>Card purchase</x:v>
      </x:c>
      <x:c r="I158" s="15" t="str">
        <x:v>High</x:v>
      </x:c>
      <x:c r="J158" s="15" t="str">
        <x:v>eml_ALL_currentac__512781 (2).zip &gt; eml8currentac__512781.zip / FNB _-) R108.96 reserved for purchase @ Savemor Marloth from Current a_c..512781 using card..2924.  6Jan 14_58.eml</x:v>
      </x:c>
    </x:row>
    <x:row r="159">
      <x:c r="A159" s="34" t="n">
        <x:v>46028.62708333333</x:v>
      </x:c>
      <x:c r="B159" s="15" t="str">
        <x:v>Savemor Marloth Liqu</x:v>
      </x:c>
      <x:c r="C159" s="15" t="str">
        <x:v>R101.48 reserved for purchase @ Savemor Marloth Liqu from Current a/c..512781 using card..2924. Avail R18460. 6Jan 15:03</x:v>
      </x:c>
      <x:c r="D159" s="38" t="n">
        <x:v>101.48</x:v>
      </x:c>
      <x:c r="E159" s="15" t="str">
        <x:v>ZAR</x:v>
      </x:c>
      <x:c r="F159" s="15" t="str">
        <x:v>Current a/c..512781 / card..2924</x:v>
      </x:c>
      <x:c r="G159" s="15" t="str">
        <x:v>Meals / restaurants / entertainment</x:v>
      </x:c>
      <x:c r="H159" s="15" t="str">
        <x:v>Card purchase</x:v>
      </x:c>
      <x:c r="I159" s="15" t="str">
        <x:v>High</x:v>
      </x:c>
      <x:c r="J159" s="15" t="str">
        <x:v>eml_ALL_currentac__512781 (2).zip &gt; eml8currentac__512781.zip / FNB _-) R101.48 reserved for purchase @ Savemor Marloth Liqu from Current a_c..512781 using card..2924.  6Jan 15_03.eml</x:v>
      </x:c>
    </x:row>
    <x:row r="160">
      <x:c r="A160" s="34" t="n">
        <x:v>46028.77638888889</x:v>
      </x:c>
      <x:c r="B160" s="15" t="str">
        <x:v>Kpci - C1736</x:v>
      </x:c>
      <x:c r="C160" s="15" t="str">
        <x:v>R500.00 paid from Current a/c..512781 @ Smartapp. Avail R17927. Ref.Kpci - C1736. 6Jan 18:38</x:v>
      </x:c>
      <x:c r="D160" s="38" t="n">
        <x:v>500</x:v>
      </x:c>
      <x:c r="E160" s="15" t="str">
        <x:v>ZAR</x:v>
      </x:c>
      <x:c r="F160" s="15" t="str">
        <x:v>Current a/c..512781</x:v>
      </x:c>
      <x:c r="G160" s="15" t="str">
        <x:v>Supplier payments</x:v>
      </x:c>
      <x:c r="H160" s="15" t="str">
        <x:v>EFT payment</x:v>
      </x:c>
      <x:c r="I160" s="15" t="str">
        <x:v>High</x:v>
      </x:c>
      <x:c r="J160" s="15" t="str">
        <x:v>eml_ALL_currentac__512781 (2).zip &gt; eml8currentac__512781.zip / FNB _-) R500.00 paid from Current a_c..512781 @ Smartapp. Ref.Kpci - C1736.  6Jan 18_38.eml</x:v>
      </x:c>
    </x:row>
    <x:row r="161">
      <x:c r="A161" s="34" t="n">
        <x:v>46028.77777777778</x:v>
      </x:c>
      <x:c r="B161" s="15" t="str">
        <x:v>Deon"s Diy 4377</x:v>
      </x:c>
      <x:c r="C161" s="15" t="str">
        <x:v>R300.00 paid from Current a/c..512781 @ Smartapp. Avail R17619. Ref.Deon"s Diy 4377. 6Jan 18:40</x:v>
      </x:c>
      <x:c r="D161" s="38" t="n">
        <x:v>300</x:v>
      </x:c>
      <x:c r="E161" s="15" t="str">
        <x:v>ZAR</x:v>
      </x:c>
      <x:c r="F161" s="15" t="str">
        <x:v>Current a/c..512781</x:v>
      </x:c>
      <x:c r="G161" s="15" t="str">
        <x:v>Supplier payments</x:v>
      </x:c>
      <x:c r="H161" s="15" t="str">
        <x:v>EFT payment</x:v>
      </x:c>
      <x:c r="I161" s="15" t="str">
        <x:v>High</x:v>
      </x:c>
      <x:c r="J161" s="15" t="str">
        <x:v>eml_ALL_currentac__512781 (2).zip &gt; eml8currentac__512781.zip / FNB _-) R300.00 paid from Current a_c..512781 @ Smartapp. Ref.Deon_s Diy 4377.  6Jan 18_40.eml</x:v>
      </x:c>
    </x:row>
    <x:row r="162">
      <x:c r="A162" s="34" t="n">
        <x:v>46028.77916666667</x:v>
      </x:c>
      <x:c r="B162" s="15" t="str">
        <x:v>Dreyer Salary</x:v>
      </x:c>
      <x:c r="C162" s="15" t="str">
        <x:v>R2500.00 paid from Current a/c..512781 @ Smartapp. Avail R15116. Ref.Dreyer Salary. 6Jan 18:42</x:v>
      </x:c>
      <x:c r="D162" s="38" t="n">
        <x:v>2500</x:v>
      </x:c>
      <x:c r="E162" s="15" t="str">
        <x:v>ZAR</x:v>
      </x:c>
      <x:c r="F162" s="15" t="str">
        <x:v>Current a/c..512781</x:v>
      </x:c>
      <x:c r="G162" s="15" t="str">
        <x:v>Salary / wages</x:v>
      </x:c>
      <x:c r="H162" s="15" t="str">
        <x:v>EFT payment</x:v>
      </x:c>
      <x:c r="I162" s="15" t="str">
        <x:v>High</x:v>
      </x:c>
      <x:c r="J162" s="15" t="str">
        <x:v>eml_ALL_currentac__512781 (2).zip &gt; eml8currentac__512781.zip / FNB _-) R2500.00 paid from Current a_c..512781 @ Smartapp. Ref.Dreyer Salary.  6Jan 18_42.eml</x:v>
      </x:c>
    </x:row>
    <x:row r="163">
      <x:c r="A163" s="34" t="n">
        <x:v>46029.615277777775</x:v>
      </x:c>
      <x:c r="B163" s="15" t="str">
        <x:v>Sasol Emkhatsini</x:v>
      </x:c>
      <x:c r="C163" s="15" t="str">
        <x:v>R300.00 reserved for purchase @ Sasol Emkhatsini from Current a/c..512781 using card..2924. Avail R14668. 7Jan 14:46</x:v>
      </x:c>
      <x:c r="D163" s="38" t="n">
        <x:v>300</x:v>
      </x:c>
      <x:c r="E163" s="15" t="str">
        <x:v>ZAR</x:v>
      </x:c>
      <x:c r="F163" s="15" t="str">
        <x:v>Current a/c..512781 / card..2924</x:v>
      </x:c>
      <x:c r="G163" s="15" t="str">
        <x:v>Fuel / transport</x:v>
      </x:c>
      <x:c r="H163" s="15" t="str">
        <x:v>Card purchase</x:v>
      </x:c>
      <x:c r="I163" s="15" t="str">
        <x:v>High</x:v>
      </x:c>
      <x:c r="J163" s="15" t="str">
        <x:v>eml_ALL_currentac__512781 (2).zip &gt; eml8currentac__512781.zip / FNB _-) R300.00 reserved for purchase @ Sasol Emkhatsini from Current a_c..512781 using card..2924.  7Jan 14_46.eml</x:v>
      </x:c>
    </x:row>
    <x:row r="164">
      <x:c r="A164" s="34" t="n">
        <x:v>46029.65</x:v>
      </x:c>
      <x:c r="B164" s="15" t="str">
        <x:v>Bon Express 1/07/26</x:v>
      </x:c>
      <x:c r="C164" s="15" t="str">
        <x:v>R912.35 paid from Current a/c..512781 @ Smartapp. Avail R13747. Ref.Bon Express 1/07/26. 7Jan 15:36</x:v>
      </x:c>
      <x:c r="D164" s="38" t="n">
        <x:v>912.35</x:v>
      </x:c>
      <x:c r="E164" s="15" t="str">
        <x:v>ZAR</x:v>
      </x:c>
      <x:c r="F164" s="15" t="str">
        <x:v>Current a/c..512781</x:v>
      </x:c>
      <x:c r="G164" s="15" t="str">
        <x:v>Supplier payments</x:v>
      </x:c>
      <x:c r="H164" s="15" t="str">
        <x:v>EFT payment</x:v>
      </x:c>
      <x:c r="I164" s="15" t="str">
        <x:v>High</x:v>
      </x:c>
      <x:c r="J164" s="15" t="str">
        <x:v>eml_ALL_currentac__512781 (2).zip &gt; eml8currentac__512781.zip / FNB _-) R912.35 paid from Current a_c..512781 @ Smartapp. Ref.Bon Express 1_07_26.  7Jan 15_36.eml</x:v>
      </x:c>
    </x:row>
    <x:row r="165">
      <x:c r="A165" s="34" t="n">
        <x:v>46030.60972222222</x:v>
      </x:c>
      <x:c r="B165" s="15" t="str">
        <x:v>Dreyer Ticket Jhb</x:v>
      </x:c>
      <x:c r="C165" s="15" t="str">
        <x:v>R3000.00 paid from Current a/c..512781 @ Smartapp. Avail R25674. Ref.Dreyer Ticket Jhb. 8Jan 14:38</x:v>
      </x:c>
      <x:c r="D165" s="38" t="n">
        <x:v>3000</x:v>
      </x:c>
      <x:c r="E165" s="15" t="str">
        <x:v>ZAR</x:v>
      </x:c>
      <x:c r="F165" s="15" t="str">
        <x:v>Current a/c..512781</x:v>
      </x:c>
      <x:c r="G165" s="15" t="str">
        <x:v>Supplier payments</x:v>
      </x:c>
      <x:c r="H165" s="15" t="str">
        <x:v>EFT payment</x:v>
      </x:c>
      <x:c r="I165" s="15" t="str">
        <x:v>High</x:v>
      </x:c>
      <x:c r="J165" s="15" t="str">
        <x:v>eml_ALL_currentac__512781 (2).zip &gt; eml8currentac__512781.zip / FNB _-) R3000.00 paid from Current a_c..512781 @ Smartapp. Ref.Dreyer Ticket Jhb.  8Jan 14_38.eml</x:v>
      </x:c>
    </x:row>
    <x:row r="166">
      <x:c r="A166" s="34" t="n">
        <x:v>46030.625</x:v>
      </x:c>
      <x:c r="B166" s="15" t="str">
        <x:v>Kruger Safari 1675</x:v>
      </x:c>
      <x:c r="C166" s="15" t="str">
        <x:v>R2904.00 paid from Current a/c..512781 @ Smartapp. Avail R22767. Ref.Kruger Safari 1675. 8Jan 15:00</x:v>
      </x:c>
      <x:c r="D166" s="38" t="n">
        <x:v>2904</x:v>
      </x:c>
      <x:c r="E166" s="15" t="str">
        <x:v>ZAR</x:v>
      </x:c>
      <x:c r="F166" s="15" t="str">
        <x:v>Current a/c..512781</x:v>
      </x:c>
      <x:c r="G166" s="15" t="str">
        <x:v>Supplier payments</x:v>
      </x:c>
      <x:c r="H166" s="15" t="str">
        <x:v>EFT payment</x:v>
      </x:c>
      <x:c r="I166" s="15" t="str">
        <x:v>High</x:v>
      </x:c>
      <x:c r="J166" s="15" t="str">
        <x:v>eml_ALL_currentac__512781 (2).zip &gt; eml8currentac__512781.zip / FNB _-) R2904.00 paid from Current a_c..512781 @ Smartapp. Ref.Kruger Safari 1675.  8Jan 15_00.eml</x:v>
      </x:c>
    </x:row>
    <x:row r="167">
      <x:c r="A167" s="34" t="n">
        <x:v>46030.626388888886</x:v>
      </x:c>
      <x:c r="B167" s="15" t="str">
        <x:v>Kruger Safari 1674</x:v>
      </x:c>
      <x:c r="C167" s="15" t="str">
        <x:v>R2904.00 paid from Current a/c..512781 @ Smartapp. Avail R19855. Ref.Kruger Safari 1674. 8Jan 15:02</x:v>
      </x:c>
      <x:c r="D167" s="38" t="n">
        <x:v>2904</x:v>
      </x:c>
      <x:c r="E167" s="15" t="str">
        <x:v>ZAR</x:v>
      </x:c>
      <x:c r="F167" s="15" t="str">
        <x:v>Current a/c..512781</x:v>
      </x:c>
      <x:c r="G167" s="15" t="str">
        <x:v>Supplier payments</x:v>
      </x:c>
      <x:c r="H167" s="15" t="str">
        <x:v>EFT payment</x:v>
      </x:c>
      <x:c r="I167" s="15" t="str">
        <x:v>High</x:v>
      </x:c>
      <x:c r="J167" s="15" t="str">
        <x:v>eml_ALL_currentac__512781 (2).zip &gt; eml8currentac__512781.zip / FNB _-) R2904.00 paid from Current a_c..512781 @ Smartapp. Ref.Kruger Safari 1674.  8Jan 15_02.eml</x:v>
      </x:c>
    </x:row>
    <x:row r="168">
      <x:c r="A168" s="34" t="n">
        <x:v>46030.629166666666</x:v>
      </x:c>
      <x:c r="B168" s="15" t="str">
        <x:v>Savemor Marloth</x:v>
      </x:c>
      <x:c r="C168" s="15" t="str">
        <x:v>R128.33 reserved for purchase @ Savemor Marloth from Current a/c..512781 using card..2924. Avail R19727. 8Jan 15:06</x:v>
      </x:c>
      <x:c r="D168" s="38" t="n">
        <x:v>128.33</x:v>
      </x:c>
      <x:c r="E168" s="15" t="str">
        <x:v>ZAR</x:v>
      </x:c>
      <x:c r="F168" s="15" t="str">
        <x:v>Current a/c..512781 / card..2924</x:v>
      </x:c>
      <x:c r="G168" s="15" t="str">
        <x:v>Supplier payments</x:v>
      </x:c>
      <x:c r="H168" s="15" t="str">
        <x:v>Card purchase</x:v>
      </x:c>
      <x:c r="I168" s="15" t="str">
        <x:v>High</x:v>
      </x:c>
      <x:c r="J168" s="15" t="str">
        <x:v>eml_ALL_currentac__512781 (2).zip &gt; eml8currentac__512781.zip / FNB _-) R128.33 reserved for purchase @ Savemor Marloth from Current a_c..512781 using card..2924.  8Jan 15_06.eml</x:v>
      </x:c>
    </x:row>
    <x:row r="169">
      <x:c r="A169" s="34" t="n">
        <x:v>46030.64791666667</x:v>
      </x:c>
      <x:c r="B169" s="15" t="str">
        <x:v>Daisys Den 77</x:v>
      </x:c>
      <x:c r="C169" s="15" t="str">
        <x:v>R210.00 reserved for purchase @ Daisys Den 77 from Current a/c..512781 using card..2924. Avail R19517. 8Jan 15:33</x:v>
      </x:c>
      <x:c r="D169" s="38" t="n">
        <x:v>210</x:v>
      </x:c>
      <x:c r="E169" s="15" t="str">
        <x:v>ZAR</x:v>
      </x:c>
      <x:c r="F169" s="15" t="str">
        <x:v>Current a/c..512781 / card..2924</x:v>
      </x:c>
      <x:c r="G169" s="15" t="str">
        <x:v>Card spend</x:v>
      </x:c>
      <x:c r="H169" s="15" t="str">
        <x:v>Card purchase</x:v>
      </x:c>
      <x:c r="I169" s="15" t="str">
        <x:v>High</x:v>
      </x:c>
      <x:c r="J169" s="15" t="str">
        <x:v>eml_ALL_currentac__512781 (2).zip &gt; eml8currentac__512781.zip / FNB _-) R210.00 reserved for purchase @ Daisys Den 77 from Current a_c..512781 using card..2924.  8Jan 15_33.eml</x:v>
      </x:c>
    </x:row>
    <x:row r="170">
      <x:c r="A170" s="34" t="n">
        <x:v>46030.740277777775</x:v>
      </x:c>
      <x:c r="B170" s="15" t="str">
        <x:v>Salary Nason Dec</x:v>
      </x:c>
      <x:c r="C170" s="15" t="str">
        <x:v>R7000.00 paid from Current a/c..512781 @ Smartapp. Avail R12509. Ref.Salary Nason Dec. 8Jan 17:46</x:v>
      </x:c>
      <x:c r="D170" s="38" t="n">
        <x:v>7000</x:v>
      </x:c>
      <x:c r="E170" s="15" t="str">
        <x:v>ZAR</x:v>
      </x:c>
      <x:c r="F170" s="15" t="str">
        <x:v>Current a/c..512781</x:v>
      </x:c>
      <x:c r="G170" s="15" t="str">
        <x:v>Salary / wages</x:v>
      </x:c>
      <x:c r="H170" s="15" t="str">
        <x:v>EFT payment</x:v>
      </x:c>
      <x:c r="I170" s="15" t="str">
        <x:v>High</x:v>
      </x:c>
      <x:c r="J170" s="15" t="str">
        <x:v>eml_ALL_currentac__512781 (2).zip &gt; eml8currentac__512781.zip / FNB _-) R7000.00 paid from Current a_c..512781 @ Smartapp. Ref.Salary Nason Dec.  8Jan 17_46.eml</x:v>
      </x:c>
    </x:row>
    <x:row r="171">
      <x:c r="A171" s="34" t="n">
        <x:v>46031.36736111111</x:v>
      </x:c>
      <x:c r="B171" s="15" t="str">
        <x:v>Oasis Water 8830</x:v>
      </x:c>
      <x:c r="C171" s="15" t="str">
        <x:v>R240.20 paid from Current a/c..512781 @ Smartapp. Avail R12239. Ref.Oasis Water 8830. 9Jan 08:49</x:v>
      </x:c>
      <x:c r="D171" s="38" t="n">
        <x:v>240.2</x:v>
      </x:c>
      <x:c r="E171" s="15" t="str">
        <x:v>ZAR</x:v>
      </x:c>
      <x:c r="F171" s="15" t="str">
        <x:v>Current a/c..512781</x:v>
      </x:c>
      <x:c r="G171" s="15" t="str">
        <x:v>Supplier payments</x:v>
      </x:c>
      <x:c r="H171" s="15" t="str">
        <x:v>EFT payment</x:v>
      </x:c>
      <x:c r="I171" s="15" t="str">
        <x:v>High</x:v>
      </x:c>
      <x:c r="J171" s="15" t="str">
        <x:v>eml_ALL_currentac__512781 (2).zip &gt; eml8currentac__512781.zip / FNB _-) R240.20 paid from Current a_c..512781 @ Smartapp. Ref.Oasis Water 8830.  9Jan 08_49.eml</x:v>
      </x:c>
    </x:row>
    <x:row r="172">
      <x:c r="A172" s="34" t="n">
        <x:v>46031.65416666667</x:v>
      </x:c>
      <x:c r="B172" s="15" t="str">
        <x:v>Superspar Komatipoor</x:v>
      </x:c>
      <x:c r="C172" s="15" t="str">
        <x:v>R2018.34 reserved for purchase @ Superspar Komatipoor from Current a/c..512781 using card..2924. Avail R45356. 9Jan 15:42</x:v>
      </x:c>
      <x:c r="D172" s="38" t="n">
        <x:v>2018.34</x:v>
      </x:c>
      <x:c r="E172" s="15" t="str">
        <x:v>ZAR</x:v>
      </x:c>
      <x:c r="F172" s="15" t="str">
        <x:v>Current a/c..512781 / card..2924</x:v>
      </x:c>
      <x:c r="G172" s="15" t="str">
        <x:v>Supplier payments</x:v>
      </x:c>
      <x:c r="H172" s="15" t="str">
        <x:v>Card purchase</x:v>
      </x:c>
      <x:c r="I172" s="15" t="str">
        <x:v>High</x:v>
      </x:c>
      <x:c r="J172" s="15" t="str">
        <x:v>eml_ALL_currentac__512781 (2).zip &gt; eml8currentac__512781.zip / FNB _-) R2018.34 reserved for purchase @ Superspar Komatipoor from Current a_c..512781 using card..2924.  9Jan 15_42.eml</x:v>
      </x:c>
    </x:row>
    <x:row r="173">
      <x:c r="A173" s="34" t="n">
        <x:v>46031.65625</x:v>
      </x:c>
      <x:c r="B173" s="15" t="str">
        <x:v>Superspar Komatipoor</x:v>
      </x:c>
      <x:c r="C173" s="15" t="str">
        <x:v>R1039.99 reserved for purchase @ Superspar Komatipoor from Current a/c..512781 using card..2924. Avail R44316. 9Jan 15:45</x:v>
      </x:c>
      <x:c r="D173" s="38" t="n">
        <x:v>1039.99</x:v>
      </x:c>
      <x:c r="E173" s="15" t="str">
        <x:v>ZAR</x:v>
      </x:c>
      <x:c r="F173" s="15" t="str">
        <x:v>Current a/c..512781 / card..2924</x:v>
      </x:c>
      <x:c r="G173" s="15" t="str">
        <x:v>Supplier payments</x:v>
      </x:c>
      <x:c r="H173" s="15" t="str">
        <x:v>Card purchase</x:v>
      </x:c>
      <x:c r="I173" s="15" t="str">
        <x:v>High</x:v>
      </x:c>
      <x:c r="J173" s="15" t="str">
        <x:v>eml_ALL_currentac__512781 (2).zip &gt; eml8currentac__512781.zip / FNB _-) R1039.99 reserved for purchase @ Superspar Komatipoor from Current a_c..512781 using card..2924.  9Jan 15_45.eml</x:v>
      </x:c>
    </x:row>
    <x:row r="174">
      <x:c r="A174" s="34" t="n">
        <x:v>46031.67986111111</x:v>
      </x:c>
      <x:c r="B174" s="15" t="str">
        <x:v>Obaro Komatipoort Fc</x:v>
      </x:c>
      <x:c r="C174" s="15" t="str">
        <x:v>R500.00 reserved for purchase @ Obaro Komatipoort Fc from Current a/c..512781 using card..2924. Avail R43816. 9Jan 16:19</x:v>
      </x:c>
      <x:c r="D174" s="38" t="n">
        <x:v>500</x:v>
      </x:c>
      <x:c r="E174" s="15" t="str">
        <x:v>ZAR</x:v>
      </x:c>
      <x:c r="F174" s="15" t="str">
        <x:v>Current a/c..512781 / card..2924</x:v>
      </x:c>
      <x:c r="G174" s="15" t="str">
        <x:v>Supplier payments</x:v>
      </x:c>
      <x:c r="H174" s="15" t="str">
        <x:v>Card purchase</x:v>
      </x:c>
      <x:c r="I174" s="15" t="str">
        <x:v>High</x:v>
      </x:c>
      <x:c r="J174" s="15" t="str">
        <x:v>eml_ALL_currentac__512781 (2).zip &gt; eml8currentac__512781.zip / FNB _-) R500.00 reserved for purchase @ Obaro Komatipoort Fc from Current a_c..512781 using card..2924.  9Jan 16_19.eml</x:v>
      </x:c>
    </x:row>
    <x:row r="175">
      <x:c r="A175" s="34" t="n">
        <x:v>46031.697222222225</x:v>
      </x:c>
      <x:c r="B175" s="15" t="str">
        <x:v>Royal Bush 3617</x:v>
      </x:c>
      <x:c r="C175" s="15" t="str">
        <x:v>R4740.00 paid from Current a/c..512781 @ Gen Ph. Avail R39061. Ref.Royal Bush 3617. 9Jan 16:44</x:v>
      </x:c>
      <x:c r="D175" s="38" t="n">
        <x:v>4740</x:v>
      </x:c>
      <x:c r="E175" s="15" t="str">
        <x:v>ZAR</x:v>
      </x:c>
      <x:c r="F175" s="15" t="str">
        <x:v>Current a/c..512781</x:v>
      </x:c>
      <x:c r="G175" s="15" t="str">
        <x:v>Supplier payments</x:v>
      </x:c>
      <x:c r="H175" s="15" t="str">
        <x:v>EFT payment</x:v>
      </x:c>
      <x:c r="I175" s="15" t="str">
        <x:v>High</x:v>
      </x:c>
      <x:c r="J175" s="15" t="str">
        <x:v>eml_ALL_currentac__512781 (2).zip &gt; eml8currentac__512781.zip / FNB _-) R4740.00 paid from Current a_c..512781 @ Gen Ph. Ref.Royal Bush 3617.  9Jan 16_44.eml</x:v>
      </x:c>
    </x:row>
    <x:row r="176">
      <x:c r="A176" s="34" t="n">
        <x:v>46031.833333333336</x:v>
      </x:c>
      <x:c r="B176" s="15" t="str">
        <x:v>Asbe - 002 Comm Jan</x:v>
      </x:c>
      <x:c r="C176" s="15" t="str">
        <x:v>R4372.34 paid from Current a/c..512781 @ Smartapp. Avail R34681. Ref.Asbe - 002 Comm Jan. 9Jan 20:00</x:v>
      </x:c>
      <x:c r="D176" s="38" t="n">
        <x:v>4372.34</x:v>
      </x:c>
      <x:c r="E176" s="15" t="str">
        <x:v>ZAR</x:v>
      </x:c>
      <x:c r="F176" s="15" t="str">
        <x:v>Current a/c..512781</x:v>
      </x:c>
      <x:c r="G176" s="15" t="str">
        <x:v>Supplier payments</x:v>
      </x:c>
      <x:c r="H176" s="15" t="str">
        <x:v>EFT payment</x:v>
      </x:c>
      <x:c r="I176" s="15" t="str">
        <x:v>High</x:v>
      </x:c>
      <x:c r="J176" s="15" t="str">
        <x:v>eml_ALL_currentac__512781 (2).zip &gt; eml8currentac__512781.zip / FNB _-) R4372.34 paid from Current a_c..512781 @ Smartapp. Ref.Asbe - 002 Comm Jan.  9Jan 20_00.eml</x:v>
      </x:c>
    </x:row>
    <x:row r="177">
      <x:c r="A177" s="34" t="n">
        <x:v>46032.527083333334</x:v>
      </x:c>
      <x:c r="B177" s="15" t="str">
        <x:v>Electricity 04294887</x:v>
      </x:c>
      <x:c r="C177" s="15" t="str">
        <x:v>R500.00 paid from Current a/c..512781 @ Smartapp. Avail R34165. Ref.Electricity 04294887. 10Jan 12:39</x:v>
      </x:c>
      <x:c r="D177" s="38" t="n">
        <x:v>500</x:v>
      </x:c>
      <x:c r="E177" s="15" t="str">
        <x:v>ZAR</x:v>
      </x:c>
      <x:c r="F177" s="15" t="str">
        <x:v>Current a/c..512781</x:v>
      </x:c>
      <x:c r="G177" s="15" t="str">
        <x:v>Telecom / utilities</x:v>
      </x:c>
      <x:c r="H177" s="15" t="str">
        <x:v>EFT payment</x:v>
      </x:c>
      <x:c r="I177" s="15" t="str">
        <x:v>High</x:v>
      </x:c>
      <x:c r="J177" s="15" t="str">
        <x:v>eml_ALL_currentac__512781 (2).zip &gt; eml8currentac__512781.zip / FNB _-) R500.00 paid from Current a_c..512781 @ Smartapp. Ref.Electricity 04294887. 10Jan 12_39.eml</x:v>
      </x:c>
    </x:row>
    <x:row r="178">
      <x:c r="A178" s="34" t="n">
        <x:v>46032.529861111114</x:v>
      </x:c>
      <x:c r="B178" s="15" t="str">
        <x:v>Kruger Safari 1676</x:v>
      </x:c>
      <x:c r="C178" s="15" t="str">
        <x:v>R5408.00 paid from Current a/c..512781 @ Gen Ph. Avail R28742. Ref.Kruger Safari 1676. 10Jan 12:43</x:v>
      </x:c>
      <x:c r="D178" s="38" t="n">
        <x:v>5408</x:v>
      </x:c>
      <x:c r="E178" s="15" t="str">
        <x:v>ZAR</x:v>
      </x:c>
      <x:c r="F178" s="15" t="str">
        <x:v>Current a/c..512781</x:v>
      </x:c>
      <x:c r="G178" s="15" t="str">
        <x:v>Supplier payments</x:v>
      </x:c>
      <x:c r="H178" s="15" t="str">
        <x:v>EFT payment</x:v>
      </x:c>
      <x:c r="I178" s="15" t="str">
        <x:v>High</x:v>
      </x:c>
      <x:c r="J178" s="15" t="str">
        <x:v>eml_ALL_currentac__512781 (2).zip &gt; eml8currentac__512781.zip / FNB _-) R5408.00 paid from Current a_c..512781 @ Gen Ph. Ref.Kruger Safari 1676. 10Jan 12_43.eml</x:v>
      </x:c>
    </x:row>
    <x:row r="179">
      <x:c r="A179" s="34" t="n">
        <x:v>46033.46666666667</x:v>
      </x:c>
      <x:c r="B179" s="15" t="str">
        <x:v>Savemor Marloth</x:v>
      </x:c>
      <x:c r="C179" s="15" t="str">
        <x:v>R179.94 reserved for purchase @ Savemor Marloth from Current a/c..512781 using card..2924. Avail R28491. 11Jan 11:12</x:v>
      </x:c>
      <x:c r="D179" s="38" t="n">
        <x:v>179.94</x:v>
      </x:c>
      <x:c r="E179" s="15" t="str">
        <x:v>ZAR</x:v>
      </x:c>
      <x:c r="F179" s="15" t="str">
        <x:v>Current a/c..512781 / card..2924</x:v>
      </x:c>
      <x:c r="G179" s="15" t="str">
        <x:v>Supplier payments</x:v>
      </x:c>
      <x:c r="H179" s="15" t="str">
        <x:v>Card purchase</x:v>
      </x:c>
      <x:c r="I179" s="15" t="str">
        <x:v>High</x:v>
      </x:c>
      <x:c r="J179" s="15" t="str">
        <x:v>eml_ALL_currentac__512781 (2).zip &gt; eml8currentac__512781.zip / FNB _-) R179.94 reserved for purchase @ Savemor Marloth from Current a_c..512781 using card..2924. 11Jan 11_12.eml</x:v>
      </x:c>
    </x:row>
    <x:row r="180">
      <x:c r="A180" s="34" t="n">
        <x:v>46033.472916666666</x:v>
      </x:c>
      <x:c r="B180" s="15" t="str">
        <x:v>Marlothi Petrol Stat</x:v>
      </x:c>
      <x:c r="C180" s="15" t="str">
        <x:v>R400.00 reserved for purchase @ Marlothi Petrol Stat from Current a/c..512781 using card..2924. Avail R27996. 11Jan 11:21</x:v>
      </x:c>
      <x:c r="D180" s="38" t="n">
        <x:v>400</x:v>
      </x:c>
      <x:c r="E180" s="15" t="str">
        <x:v>ZAR</x:v>
      </x:c>
      <x:c r="F180" s="15" t="str">
        <x:v>Current a/c..512781 / card..2924</x:v>
      </x:c>
      <x:c r="G180" s="15" t="str">
        <x:v>Fuel / transport</x:v>
      </x:c>
      <x:c r="H180" s="15" t="str">
        <x:v>Card purchase</x:v>
      </x:c>
      <x:c r="I180" s="15" t="str">
        <x:v>High</x:v>
      </x:c>
      <x:c r="J180" s="15" t="str">
        <x:v>eml_ALL_currentac__512781 (2).zip &gt; eml8currentac__512781.zip / FNB _-) R400.00 reserved for purchase @ Marlothi Petrol Stat from Current a_c..512781 using card..2924. 11Jan 11_21.eml</x:v>
      </x:c>
    </x:row>
    <x:row r="181">
      <x:c r="A181" s="34" t="n">
        <x:v>46033.56597222222</x:v>
      </x:c>
      <x:c r="B181" s="15" t="str">
        <x:v>Dreyer Salary Portio</x:v>
      </x:c>
      <x:c r="C181" s="15" t="str">
        <x:v>R1000.00 paid from Current a/c..512781 @ Smartapp. Avail R26993. Ref.Dreyer Salary Portio. 11Jan 13:35</x:v>
      </x:c>
      <x:c r="D181" s="38" t="n">
        <x:v>1000</x:v>
      </x:c>
      <x:c r="E181" s="15" t="str">
        <x:v>ZAR</x:v>
      </x:c>
      <x:c r="F181" s="15" t="str">
        <x:v>Current a/c..512781</x:v>
      </x:c>
      <x:c r="G181" s="15" t="str">
        <x:v>Salary / wages</x:v>
      </x:c>
      <x:c r="H181" s="15" t="str">
        <x:v>EFT payment</x:v>
      </x:c>
      <x:c r="I181" s="15" t="str">
        <x:v>High</x:v>
      </x:c>
      <x:c r="J181" s="15" t="str">
        <x:v>eml_ALL_currentac__512781 (2).zip &gt; eml8currentac__512781.zip / FNB _-) R1000.00 paid from Current a_c..512781 @ Smartapp. Ref.Dreyer Salary Portio. 11Jan 13_35.eml</x:v>
      </x:c>
    </x:row>
    <x:row r="182">
      <x:c r="A182" s="34" t="n">
        <x:v>46033.5875</x:v>
      </x:c>
      <x:c r="B182" s="15" t="str">
        <x:v>K2025744041 Sou 262</x:v>
      </x:c>
      <x:c r="C182" s="15" t="str">
        <x:v>R405.00 reserved for purchase @ K2025744041 Sou 262 from Current a/c..512781 using card..2924. Avail R26588. 11Jan 14:06</x:v>
      </x:c>
      <x:c r="D182" s="38" t="n">
        <x:v>405</x:v>
      </x:c>
      <x:c r="E182" s="15" t="str">
        <x:v>ZAR</x:v>
      </x:c>
      <x:c r="F182" s="15" t="str">
        <x:v>Current a/c..512781 / card..2924</x:v>
      </x:c>
      <x:c r="G182" s="15" t="str">
        <x:v>Card spend</x:v>
      </x:c>
      <x:c r="H182" s="15" t="str">
        <x:v>Card purchase</x:v>
      </x:c>
      <x:c r="I182" s="15" t="str">
        <x:v>High</x:v>
      </x:c>
      <x:c r="J182" s="15" t="str">
        <x:v>eml_ALL_currentac__512781 (2).zip &gt; eml8currentac__512781.zip / FNB _-) R405.00 reserved for purchase @ K2025744041 Sou 262 from Current a_c..512781 using card..2924. 11Jan 14_06.eml</x:v>
      </x:c>
    </x:row>
    <x:row r="183">
      <x:c r="A183" s="34" t="n">
        <x:v>46034.510416666664</x:v>
      </x:c>
      <x:c r="B183" s="15" t="str">
        <x:v>Engen Hectorspruit</x:v>
      </x:c>
      <x:c r="C183" s="15" t="str">
        <x:v>R300.00 reserved for purchase @ Engen Hectorspruit from Current a/c..512781 using card..2924. Avail R26104. 12Jan 12:15</x:v>
      </x:c>
      <x:c r="D183" s="38" t="n">
        <x:v>300</x:v>
      </x:c>
      <x:c r="E183" s="15" t="str">
        <x:v>ZAR</x:v>
      </x:c>
      <x:c r="F183" s="15" t="str">
        <x:v>Current a/c..512781 / card..2924</x:v>
      </x:c>
      <x:c r="G183" s="15" t="str">
        <x:v>Fuel / transport</x:v>
      </x:c>
      <x:c r="H183" s="15" t="str">
        <x:v>Card purchase</x:v>
      </x:c>
      <x:c r="I183" s="15" t="str">
        <x:v>High</x:v>
      </x:c>
      <x:c r="J183" s="15" t="str">
        <x:v>eml_ALL_currentac__512781 (2).zip &gt; eml8currentac__512781.zip / FNB _-) R300.00 reserved for purchase @ Engen Hectorspruit from Current a_c..512781 using card..2924. 12Jan 12_15.eml</x:v>
      </x:c>
    </x:row>
    <x:row r="184">
      <x:c r="A184" s="34" t="n">
        <x:v>46034.63402777778</x:v>
      </x:c>
      <x:c r="B184" s="15" t="str">
        <x:v>Savemor Marloth</x:v>
      </x:c>
      <x:c r="C184" s="15" t="str">
        <x:v>R1435.06 reserved for purchase @ Savemor Marloth from Current a/c..512781 using card..2924. Avail R45520. 12Jan 15:13</x:v>
      </x:c>
      <x:c r="D184" s="38" t="n">
        <x:v>1435.06</x:v>
      </x:c>
      <x:c r="E184" s="15" t="str">
        <x:v>ZAR</x:v>
      </x:c>
      <x:c r="F184" s="15" t="str">
        <x:v>Current a/c..512781 / card..2924</x:v>
      </x:c>
      <x:c r="G184" s="15" t="str">
        <x:v>Supplier payments</x:v>
      </x:c>
      <x:c r="H184" s="15" t="str">
        <x:v>Card purchase</x:v>
      </x:c>
      <x:c r="I184" s="15" t="str">
        <x:v>High</x:v>
      </x:c>
      <x:c r="J184" s="15" t="str">
        <x:v>eml_ALL_currentac__512781 (2).zip &gt; eml8currentac__512781.zip / FNB _-) R1435.06 reserved for purchase @ Savemor Marloth from Current a_c..512781 using card..2924. 12Jan 15_13.eml</x:v>
      </x:c>
    </x:row>
    <x:row r="185">
      <x:c r="A185" s="34" t="n">
        <x:v>46034.6375</x:v>
      </x:c>
      <x:c r="B185" s="15" t="str">
        <x:v>Savemor Marloth Liqu</x:v>
      </x:c>
      <x:c r="C185" s="15" t="str">
        <x:v>R133.98 reserved for purchase @ Savemor Marloth Liqu from Current a/c..512781 using card..2924. Avail R45386. 12Jan 15:18</x:v>
      </x:c>
      <x:c r="D185" s="38" t="n">
        <x:v>133.98</x:v>
      </x:c>
      <x:c r="E185" s="15" t="str">
        <x:v>ZAR</x:v>
      </x:c>
      <x:c r="F185" s="15" t="str">
        <x:v>Current a/c..512781 / card..2924</x:v>
      </x:c>
      <x:c r="G185" s="15" t="str">
        <x:v>Meals / restaurants / entertainment</x:v>
      </x:c>
      <x:c r="H185" s="15" t="str">
        <x:v>Card purchase</x:v>
      </x:c>
      <x:c r="I185" s="15" t="str">
        <x:v>High</x:v>
      </x:c>
      <x:c r="J185" s="15" t="str">
        <x:v>eml_ALL_currentac__512781 (2).zip &gt; eml8currentac__512781.zip / FNB _-) R133.98 reserved for purchase @ Savemor Marloth Liqu from Current a_c..512781 using card..2924. 12Jan 15_18.eml</x:v>
      </x:c>
    </x:row>
    <x:row r="186">
      <x:c r="A186" s="34" t="n">
        <x:v>46035.39097222222</x:v>
      </x:c>
      <x:c r="B186" s="15" t="str">
        <x:v>Marlothi Petrol Stat</x:v>
      </x:c>
      <x:c r="C186" s="15" t="str">
        <x:v>R200.00 reserved for purchase @ Marlothi Petrol Stat from Current a/c..512781 using card..2924. Avail R45163. 13Jan 09:23</x:v>
      </x:c>
      <x:c r="D186" s="38" t="n">
        <x:v>200</x:v>
      </x:c>
      <x:c r="E186" s="15" t="str">
        <x:v>ZAR</x:v>
      </x:c>
      <x:c r="F186" s="15" t="str">
        <x:v>Current a/c..512781 / card..2924</x:v>
      </x:c>
      <x:c r="G186" s="15" t="str">
        <x:v>Fuel / transport</x:v>
      </x:c>
      <x:c r="H186" s="15" t="str">
        <x:v>Card purchase</x:v>
      </x:c>
      <x:c r="I186" s="15" t="str">
        <x:v>High</x:v>
      </x:c>
      <x:c r="J186" s="15" t="str">
        <x:v>eml_ALL_currentac__512781 (2).zip &gt; eml8currentac__512781.zip / FNB _-) R200.00 reserved for purchase @ Marlothi Petrol Stat from Current a_c..512781 using card..2924. 13Jan 09_23.eml</x:v>
      </x:c>
    </x:row>
    <x:row r="187">
      <x:c r="A187" s="34" t="n">
        <x:v>46035.415972222225</x:v>
      </x:c>
      <x:c r="B187" s="15" t="str">
        <x:v>Lebombo Butchery</x:v>
      </x:c>
      <x:c r="C187" s="15" t="str">
        <x:v>R203.20 reserved for purchase @ Lebombo Butchery from Current a/c..512781 using card..2924. Avail R44960. 13Jan 09:59</x:v>
      </x:c>
      <x:c r="D187" s="38" t="n">
        <x:v>203.2</x:v>
      </x:c>
      <x:c r="E187" s="15" t="str">
        <x:v>ZAR</x:v>
      </x:c>
      <x:c r="F187" s="15" t="str">
        <x:v>Current a/c..512781 / card..2924</x:v>
      </x:c>
      <x:c r="G187" s="15" t="str">
        <x:v>Supplier payments</x:v>
      </x:c>
      <x:c r="H187" s="15" t="str">
        <x:v>Card purchase</x:v>
      </x:c>
      <x:c r="I187" s="15" t="str">
        <x:v>High</x:v>
      </x:c>
      <x:c r="J187" s="15" t="str">
        <x:v>eml_ALL_currentac__512781 (2).zip &gt; eml8currentac__512781.zip / FNB _-) R203.20 reserved for purchase @ Lebombo Butchery from Current a_c..512781 using card..2924. 13Jan 09_59.eml</x:v>
      </x:c>
    </x:row>
    <x:row r="188">
      <x:c r="A188" s="34" t="n">
        <x:v>46035.45208333333</x:v>
      </x:c>
      <x:c r="B188" s="15" t="str">
        <x:v>Superspar Komatipoor</x:v>
      </x:c>
      <x:c r="C188" s="15" t="str">
        <x:v>R2035.86 reserved for purchase @ Superspar Komatipoor from Current a/c..512781 using card..2924. Avail R42924. 13Jan 10:51</x:v>
      </x:c>
      <x:c r="D188" s="38" t="n">
        <x:v>2035.86</x:v>
      </x:c>
      <x:c r="E188" s="15" t="str">
        <x:v>ZAR</x:v>
      </x:c>
      <x:c r="F188" s="15" t="str">
        <x:v>Current a/c..512781 / card..2924</x:v>
      </x:c>
      <x:c r="G188" s="15" t="str">
        <x:v>Supplier payments</x:v>
      </x:c>
      <x:c r="H188" s="15" t="str">
        <x:v>Card purchase</x:v>
      </x:c>
      <x:c r="I188" s="15" t="str">
        <x:v>High</x:v>
      </x:c>
      <x:c r="J188" s="15" t="str">
        <x:v>eml_ALL_currentac__512781 (2).zip &gt; eml8currentac__512781.zip / FNB _-) R2035.86 reserved for purchase @ Superspar Komatipoor from Current a_c..512781 using card..2924. 13Jan 10_51.eml</x:v>
      </x:c>
    </x:row>
    <x:row r="189">
      <x:c r="A189" s="34" t="n">
        <x:v>46035.461805555555</x:v>
      </x:c>
      <x:c r="B189" s="15" t="str">
        <x:v>Lebombo Butchery</x:v>
      </x:c>
      <x:c r="C189" s="15" t="str">
        <x:v>R378.10 reserved for purchase @ Lebombo Butchery from Current a/c..512781 using card..2924. Avail R42546. 13Jan 11:05</x:v>
      </x:c>
      <x:c r="D189" s="38" t="n">
        <x:v>378.1</x:v>
      </x:c>
      <x:c r="E189" s="15" t="str">
        <x:v>ZAR</x:v>
      </x:c>
      <x:c r="F189" s="15" t="str">
        <x:v>Current a/c..512781 / card..2924</x:v>
      </x:c>
      <x:c r="G189" s="15" t="str">
        <x:v>Supplier payments</x:v>
      </x:c>
      <x:c r="H189" s="15" t="str">
        <x:v>Card purchase</x:v>
      </x:c>
      <x:c r="I189" s="15" t="str">
        <x:v>High</x:v>
      </x:c>
      <x:c r="J189" s="15" t="str">
        <x:v>eml_ALL_currentac__512781 (2).zip &gt; eml8currentac__512781.zip / FNB _-) R378.10 reserved for purchase @ Lebombo Butchery from Current a_c..512781 using card..2924. 13Jan 11_05.eml</x:v>
      </x:c>
    </x:row>
    <x:row r="190">
      <x:c r="A190" s="34" t="n">
        <x:v>46036.4625</x:v>
      </x:c>
      <x:c r="B190" s="15" t="str">
        <x:v>Dinner Box 105110</x:v>
      </x:c>
      <x:c r="C190" s="15" t="str">
        <x:v>R1326.00 paid from Current a/c..512781 @ Smartapp. Avail R43907. Ref.Dinner Box 105110. 14Jan 11:06</x:v>
      </x:c>
      <x:c r="D190" s="38" t="n">
        <x:v>1326</x:v>
      </x:c>
      <x:c r="E190" s="15" t="str">
        <x:v>ZAR</x:v>
      </x:c>
      <x:c r="F190" s="15" t="str">
        <x:v>Current a/c..512781</x:v>
      </x:c>
      <x:c r="G190" s="15" t="str">
        <x:v>Meals / restaurants / entertainment</x:v>
      </x:c>
      <x:c r="H190" s="15" t="str">
        <x:v>EFT payment</x:v>
      </x:c>
      <x:c r="I190" s="15" t="str">
        <x:v>High</x:v>
      </x:c>
      <x:c r="J190" s="15" t="str">
        <x:v>eml_ALL_currentac__512781 (2).zip &gt; eml8currentac__512781.zip / FNB _-) R1326.00 paid from Current a_c..512781 @ Smartapp. Ref.Dinner Box 105110. 14Jan 11_06.eml</x:v>
      </x:c>
    </x:row>
    <x:row r="191">
      <x:c r="A191" s="34" t="n">
        <x:v>46036.49166666667</x:v>
      </x:c>
      <x:c r="B191" s="15" t="str">
        <x:v>Sqsp* Websit</x:v>
      </x:c>
      <x:c r="C191" s="15" t="str">
        <x:v>R419.31 reserved for purchase @ Sqsp* Websit from Current a/c..512781 using card..2924. Avail R43488. 14Jan 11:48</x:v>
      </x:c>
      <x:c r="D191" s="38" t="n">
        <x:v>419.31</x:v>
      </x:c>
      <x:c r="E191" s="15" t="str">
        <x:v>ZAR</x:v>
      </x:c>
      <x:c r="F191" s="15" t="str">
        <x:v>Current a/c..512781 / card..2924</x:v>
      </x:c>
      <x:c r="G191" s="15" t="str">
        <x:v>Software / subscriptions</x:v>
      </x:c>
      <x:c r="H191" s="15" t="str">
        <x:v>Card purchase</x:v>
      </x:c>
      <x:c r="I191" s="15" t="str">
        <x:v>High</x:v>
      </x:c>
      <x:c r="J191" s="15" t="str">
        <x:v>eml_ALL_currentac__512781 (2).zip &gt; eml8currentac__512781.zip / FNB _-) R419.31 reserved for purchase @ Sqsp_ Websit from Current a_c..512781 using card..2924. 14Jan 11_48.eml</x:v>
      </x:c>
    </x:row>
    <x:row r="192">
      <x:c r="A192" s="34" t="n">
        <x:v>46036.603472222225</x:v>
      </x:c>
      <x:c r="B192" s="15" t="str">
        <x:v>Savemor Marloth</x:v>
      </x:c>
      <x:c r="C192" s="15" t="str">
        <x:v>R250.99 reserved for purchase @ Savemor Marloth from Current a/c..512781 using card..2924. Avail R43237. 14Jan 14:29</x:v>
      </x:c>
      <x:c r="D192" s="38" t="n">
        <x:v>250.99</x:v>
      </x:c>
      <x:c r="E192" s="15" t="str">
        <x:v>ZAR</x:v>
      </x:c>
      <x:c r="F192" s="15" t="str">
        <x:v>Current a/c..512781 / card..2924</x:v>
      </x:c>
      <x:c r="G192" s="15" t="str">
        <x:v>Supplier payments</x:v>
      </x:c>
      <x:c r="H192" s="15" t="str">
        <x:v>Card purchase</x:v>
      </x:c>
      <x:c r="I192" s="15" t="str">
        <x:v>High</x:v>
      </x:c>
      <x:c r="J192" s="15" t="str">
        <x:v>eml_ALL_currentac__512781 (2).zip &gt; eml8currentac__512781.zip / FNB _-) R250.99 reserved for purchase @ Savemor Marloth from Current a_c..512781 using card..2924. 14Jan 14_29.eml</x:v>
      </x:c>
    </x:row>
    <x:row r="193">
      <x:c r="A193" s="34" t="n">
        <x:v>46037.481944444444</x:v>
      </x:c>
      <x:c r="B193" s="15" t="str">
        <x:v>Kruger Safari 1677</x:v>
      </x:c>
      <x:c r="C193" s="15" t="str">
        <x:v>R7008.00 paid from Current a/c..512781 @ Smartapp. Avail R36197. Ref.Kruger Safari 1677. 15Jan 11:34</x:v>
      </x:c>
      <x:c r="D193" s="38" t="n">
        <x:v>7008</x:v>
      </x:c>
      <x:c r="E193" s="15" t="str">
        <x:v>ZAR</x:v>
      </x:c>
      <x:c r="F193" s="15" t="str">
        <x:v>Current a/c..512781</x:v>
      </x:c>
      <x:c r="G193" s="15" t="str">
        <x:v>Supplier payments</x:v>
      </x:c>
      <x:c r="H193" s="15" t="str">
        <x:v>EFT payment</x:v>
      </x:c>
      <x:c r="I193" s="15" t="str">
        <x:v>High</x:v>
      </x:c>
      <x:c r="J193" s="15" t="str">
        <x:v>eml_ALL_currentac__512781 (2).zip &gt; eml8currentac__512781.zip / FNB _-) R7008.00 paid from Current a_c..512781 @ Smartapp. Ref.Kruger Safari 1677. 15Jan 11_34.eml</x:v>
      </x:c>
    </x:row>
    <x:row r="194">
      <x:c r="A194" s="34" t="n">
        <x:v>46037.53333333333</x:v>
      </x:c>
      <x:c r="B194" s="15" t="str">
        <x:v>Cellphone</x:v>
      </x:c>
      <x:c r="C194" s="15" t="str">
        <x:v>R2000.00 paid from Current a/c..512781 @ Smartapp. Avail R34194. Ref.Cellphone. 15Jan 12:48</x:v>
      </x:c>
      <x:c r="D194" s="38" t="n">
        <x:v>2000</x:v>
      </x:c>
      <x:c r="E194" s="15" t="str">
        <x:v>ZAR</x:v>
      </x:c>
      <x:c r="F194" s="15" t="str">
        <x:v>Current a/c..512781</x:v>
      </x:c>
      <x:c r="G194" s="15" t="str">
        <x:v>Supplier payments</x:v>
      </x:c>
      <x:c r="H194" s="15" t="str">
        <x:v>EFT payment</x:v>
      </x:c>
      <x:c r="I194" s="15" t="str">
        <x:v>High</x:v>
      </x:c>
      <x:c r="J194" s="15" t="str">
        <x:v>eml_ALL_currentac__512781 (2).zip &gt; eml8currentac__512781.zip / FNB _-) R2000.00 paid from Current a_c..512781 @ Smartapp. Ref.Cellphone. 15Jan 12_48.eml</x:v>
      </x:c>
    </x:row>
    <x:row r="195">
      <x:c r="A195" s="34" t="n">
        <x:v>46037.53472222222</x:v>
      </x:c>
      <x:c r="B195" s="15" t="str">
        <x:v>Superspar Komatipoor</x:v>
      </x:c>
      <x:c r="C195" s="15" t="str">
        <x:v>R844.91 reserved for purchase @ Superspar Komatipoor from Current a/c..512781 using card..2924. Avail R33349. 15Jan 12:50</x:v>
      </x:c>
      <x:c r="D195" s="38" t="n">
        <x:v>844.91</x:v>
      </x:c>
      <x:c r="E195" s="15" t="str">
        <x:v>ZAR</x:v>
      </x:c>
      <x:c r="F195" s="15" t="str">
        <x:v>Current a/c..512781 / card..2924</x:v>
      </x:c>
      <x:c r="G195" s="15" t="str">
        <x:v>Supplier payments</x:v>
      </x:c>
      <x:c r="H195" s="15" t="str">
        <x:v>Card purchase</x:v>
      </x:c>
      <x:c r="I195" s="15" t="str">
        <x:v>High</x:v>
      </x:c>
      <x:c r="J195" s="15" t="str">
        <x:v>eml_ALL_currentac__512781 (2).zip &gt; eml8currentac__512781.zip / FNB _-) R844.91 reserved for purchase @ Superspar Komatipoor from Current a_c..512781 using card..2924. 15Jan 12_50.eml</x:v>
      </x:c>
    </x:row>
    <x:row r="196">
      <x:c r="A196" s="34" t="n">
        <x:v>46037.54513888889</x:v>
      </x:c>
      <x:c r="B196" s="15" t="str">
        <x:v>Obaro Komatipoort Fc</x:v>
      </x:c>
      <x:c r="C196" s="15" t="str">
        <x:v>R400.00 reserved for purchase @ Obaro Komatipoort Fc from Current a/c..512781 using card..2924. Avail R32909. 15Jan 13:05</x:v>
      </x:c>
      <x:c r="D196" s="38" t="n">
        <x:v>400</x:v>
      </x:c>
      <x:c r="E196" s="15" t="str">
        <x:v>ZAR</x:v>
      </x:c>
      <x:c r="F196" s="15" t="str">
        <x:v>Current a/c..512781 / card..2924</x:v>
      </x:c>
      <x:c r="G196" s="15" t="str">
        <x:v>Supplier payments</x:v>
      </x:c>
      <x:c r="H196" s="15" t="str">
        <x:v>Card purchase</x:v>
      </x:c>
      <x:c r="I196" s="15" t="str">
        <x:v>High</x:v>
      </x:c>
      <x:c r="J196" s="15" t="str">
        <x:v>eml_ALL_currentac__512781 (2).zip &gt; eml8currentac__512781.zip / FNB _-) R400.00 reserved for purchase @ Obaro Komatipoort Fc from Current a_c..512781 using card..2924. 15Jan 13_05.eml</x:v>
      </x:c>
    </x:row>
    <x:row r="197">
      <x:c r="A197" s="34" t="n">
        <x:v>46038.59444444445</x:v>
      </x:c>
      <x:c r="B197" s="15" t="str">
        <x:v>Sakkie Wages Jan</x:v>
      </x:c>
      <x:c r="C197" s="15" t="str">
        <x:v>R2500.00 paid from Current a/c..512781 @ Smartapp. Avail R88703. Ref.Sakkie Wages Jan. 16Jan 14:16</x:v>
      </x:c>
      <x:c r="D197" s="38" t="n">
        <x:v>2500</x:v>
      </x:c>
      <x:c r="E197" s="15" t="str">
        <x:v>ZAR</x:v>
      </x:c>
      <x:c r="F197" s="15" t="str">
        <x:v>Current a/c..512781</x:v>
      </x:c>
      <x:c r="G197" s="15" t="str">
        <x:v>Salary / wages</x:v>
      </x:c>
      <x:c r="H197" s="15" t="str">
        <x:v>EFT payment</x:v>
      </x:c>
      <x:c r="I197" s="15" t="str">
        <x:v>High</x:v>
      </x:c>
      <x:c r="J197" s="15" t="str">
        <x:v>eml_ALL_currentac__512781 (2).zip &gt; eml8currentac__512781.zip / FNB _-) R2500.00 paid from Current a_c..512781 @ Smartapp. Ref.Sakkie Wages Jan. 16Jan 14_16.eml</x:v>
      </x:c>
    </x:row>
    <x:row r="198">
      <x:c r="A198" s="34" t="n">
        <x:v>46038.64236111111</x:v>
      </x:c>
      <x:c r="B198" s="15" t="str">
        <x:v>Wage</x:v>
      </x:c>
      <x:c r="C198" s="15" t="str">
        <x:v>R6500.00 paid from Current a/c..512781 @ Gen Ph. Avail R82188. Ref.Wage. 16Jan 15:25</x:v>
      </x:c>
      <x:c r="D198" s="38" t="n">
        <x:v>6500</x:v>
      </x:c>
      <x:c r="E198" s="15" t="str">
        <x:v>ZAR</x:v>
      </x:c>
      <x:c r="F198" s="15" t="str">
        <x:v>Current a/c..512781</x:v>
      </x:c>
      <x:c r="G198" s="15" t="str">
        <x:v>Salary / wages</x:v>
      </x:c>
      <x:c r="H198" s="15" t="str">
        <x:v>EFT payment</x:v>
      </x:c>
      <x:c r="I198" s="15" t="str">
        <x:v>High</x:v>
      </x:c>
      <x:c r="J198" s="15" t="str">
        <x:v>eml_ALL_currentac__512781 (2).zip &gt; eml8currentac__512781.zip / FNB _-) R6500.00 paid from Current a_c..512781 @ Gen Ph. Ref.Wage. 16Jan 15_25.eml</x:v>
      </x:c>
    </x:row>
    <x:row r="199">
      <x:c r="A199" s="34" t="n">
        <x:v>46038.643055555556</x:v>
      </x:c>
      <x:c r="B199" s="15" t="str">
        <x:v>Kruger Safari 1678</x:v>
      </x:c>
      <x:c r="C199" s="15" t="str">
        <x:v>R7510.00 paid from Current a/c..512781 @ Smartapp. Avail R74670. Ref.Kruger Safari 1678. 16Jan 15:26</x:v>
      </x:c>
      <x:c r="D199" s="38" t="n">
        <x:v>7510</x:v>
      </x:c>
      <x:c r="E199" s="15" t="str">
        <x:v>ZAR</x:v>
      </x:c>
      <x:c r="F199" s="15" t="str">
        <x:v>Current a/c..512781</x:v>
      </x:c>
      <x:c r="G199" s="15" t="str">
        <x:v>Supplier payments</x:v>
      </x:c>
      <x:c r="H199" s="15" t="str">
        <x:v>EFT payment</x:v>
      </x:c>
      <x:c r="I199" s="15" t="str">
        <x:v>High</x:v>
      </x:c>
      <x:c r="J199" s="15" t="str">
        <x:v>eml_ALL_currentac__512781 (2).zip &gt; eml7currentac__512781.zip / FNB _-) R7510.00 paid from Current a_c..512781 @ Smartapp. Ref.Kruger Safari 1678. 16Jan 15_26.eml</x:v>
      </x:c>
    </x:row>
    <x:row r="200">
      <x:c r="A200" s="34" t="n">
        <x:v>46038.64513888889</x:v>
      </x:c>
      <x:c r="B200" s="15" t="str">
        <x:v>Nb N992820</x:v>
      </x:c>
      <x:c r="C200" s="15" t="str">
        <x:v>R707.25 paid from Current a/c..512781 @ Smartapp. Avail R73955. Ref.Nb N992820. 16Jan 15:29</x:v>
      </x:c>
      <x:c r="D200" s="38" t="n">
        <x:v>707.25</x:v>
      </x:c>
      <x:c r="E200" s="15" t="str">
        <x:v>ZAR</x:v>
      </x:c>
      <x:c r="F200" s="15" t="str">
        <x:v>Current a/c..512781</x:v>
      </x:c>
      <x:c r="G200" s="15" t="str">
        <x:v>Supplier payments</x:v>
      </x:c>
      <x:c r="H200" s="15" t="str">
        <x:v>EFT payment</x:v>
      </x:c>
      <x:c r="I200" s="15" t="str">
        <x:v>High</x:v>
      </x:c>
      <x:c r="J200" s="15" t="str">
        <x:v>eml_ALL_currentac__512781 (2).zip &gt; eml7currentac__512781.zip / FNB _-) R707.25 paid from Current a_c..512781 @ Smartapp. Ref.Nb N992820. 16Jan 15_29.eml</x:v>
      </x:c>
    </x:row>
    <x:row r="201">
      <x:c r="A201" s="34" t="n">
        <x:v>46038.645833333336</x:v>
      </x:c>
      <x:c r="B201" s="15" t="str">
        <x:v>Nb N992820</x:v>
      </x:c>
      <x:c r="C201" s="15" t="str">
        <x:v>R707.25 paid from Current a/c..512781 @ Smartapp. Avail R73240. Ref.Nb N992820. 16Jan 15:30</x:v>
      </x:c>
      <x:c r="D201" s="38" t="n">
        <x:v>707.25</x:v>
      </x:c>
      <x:c r="E201" s="15" t="str">
        <x:v>ZAR</x:v>
      </x:c>
      <x:c r="F201" s="15" t="str">
        <x:v>Current a/c..512781</x:v>
      </x:c>
      <x:c r="G201" s="15" t="str">
        <x:v>Supplier payments</x:v>
      </x:c>
      <x:c r="H201" s="15" t="str">
        <x:v>EFT payment</x:v>
      </x:c>
      <x:c r="I201" s="15" t="str">
        <x:v>High</x:v>
      </x:c>
      <x:c r="J201" s="15" t="str">
        <x:v>eml_ALL_currentac__512781 (2).zip &gt; eml7currentac__512781.zip / FNB _-) R707.25 paid from Current a_c..512781 @ Smartapp. Ref.Nb N992820. 16Jan 15_30.eml</x:v>
      </x:c>
    </x:row>
    <x:row r="202">
      <x:c r="A202" s="34" t="n">
        <x:v>46038.65833333333</x:v>
      </x:c>
      <x:c r="B202" s="15" t="str">
        <x:v>Big Bay Maintenance</x:v>
      </x:c>
      <x:c r="C202" s="15" t="str">
        <x:v>R3550.00 paid from Current a/c..512781 @ Smartapp. Avail R69682. Ref.Big Bay Maintenance. 16Jan 15:48</x:v>
      </x:c>
      <x:c r="D202" s="38" t="n">
        <x:v>3550</x:v>
      </x:c>
      <x:c r="E202" s="15" t="str">
        <x:v>ZAR</x:v>
      </x:c>
      <x:c r="F202" s="15" t="str">
        <x:v>Current a/c..512781</x:v>
      </x:c>
      <x:c r="G202" s="15" t="str">
        <x:v>Rent / property</x:v>
      </x:c>
      <x:c r="H202" s="15" t="str">
        <x:v>EFT payment</x:v>
      </x:c>
      <x:c r="I202" s="15" t="str">
        <x:v>High</x:v>
      </x:c>
      <x:c r="J202" s="15" t="str">
        <x:v>eml_ALL_currentac__512781 (2).zip &gt; eml7currentac__512781.zip / FNB _-) R3550.00 paid from Current a_c..512781 @ Smartapp. Ref.Big Bay Maintenance. 16Jan 15_48.eml</x:v>
      </x:c>
    </x:row>
    <x:row r="203">
      <x:c r="A203" s="34" t="n">
        <x:v>46038.8</x:v>
      </x:c>
      <x:c r="B203" s="15" t="str">
        <x:v>Yoco *k2025744041</x:v>
      </x:c>
      <x:c r="C203" s="15" t="str">
        <x:v>R400.00 reserved for purchase @ Yoco *k2025744041 from Current a/c..512781 using card..2924. Avail R69282. 16Jan 19:12</x:v>
      </x:c>
      <x:c r="D203" s="38" t="n">
        <x:v>400</x:v>
      </x:c>
      <x:c r="E203" s="15" t="str">
        <x:v>ZAR</x:v>
      </x:c>
      <x:c r="F203" s="15" t="str">
        <x:v>Current a/c..512781 / card..2924</x:v>
      </x:c>
      <x:c r="G203" s="15" t="str">
        <x:v>Card spend</x:v>
      </x:c>
      <x:c r="H203" s="15" t="str">
        <x:v>Card purchase</x:v>
      </x:c>
      <x:c r="I203" s="15" t="str">
        <x:v>High</x:v>
      </x:c>
      <x:c r="J203" s="15" t="str">
        <x:v>eml_ALL_currentac__512781 (2).zip &gt; eml7currentac__512781.zip / FNB _-) R400.00 reserved for purchase @ Yoco _k2025744041 from Current a_c..512781 using card..2924. 16Jan 19_12.eml</x:v>
      </x:c>
    </x:row>
    <x:row r="204">
      <x:c r="A204" s="34" t="n">
        <x:v>46039.49930555555</x:v>
      </x:c>
      <x:c r="B204" s="15" t="str">
        <x:v>Paystack *zoho Co</x:v>
      </x:c>
      <x:c r="C204" s="15" t="str">
        <x:v>R228.85 reserved for purchase @ Paystack *zoho Co from Current a/c..512781 using card..2924. Avail R78821. 17Jan 11:59</x:v>
      </x:c>
      <x:c r="D204" s="38" t="n">
        <x:v>228.85</x:v>
      </x:c>
      <x:c r="E204" s="15" t="str">
        <x:v>ZAR</x:v>
      </x:c>
      <x:c r="F204" s="15" t="str">
        <x:v>Current a/c..512781 / card..2924</x:v>
      </x:c>
      <x:c r="G204" s="15" t="str">
        <x:v>Software / subscriptions</x:v>
      </x:c>
      <x:c r="H204" s="15" t="str">
        <x:v>Card purchase</x:v>
      </x:c>
      <x:c r="I204" s="15" t="str">
        <x:v>High</x:v>
      </x:c>
      <x:c r="J204" s="15" t="str">
        <x:v>eml_ALL_currentac__512781 (2).zip &gt; eml7currentac__512781.zip / FNB _-) R228.85 reserved for purchase @ Paystack _zoho Co from Current a_c..512781 using card..2924. 17Jan 11_59.eml</x:v>
      </x:c>
    </x:row>
    <x:row r="205">
      <x:c r="A205" s="34" t="n">
        <x:v>46040.350694444445</x:v>
      </x:c>
      <x:c r="B205" s="15" t="str">
        <x:v>Pj Els</x:v>
      </x:c>
      <x:c r="C205" s="15" t="str">
        <x:v>R16500.00 paid from Current a/c..512781 @ Gen Ph. Avail R62321. Ref.Pj Els. 18Jan 08:25</x:v>
      </x:c>
      <x:c r="D205" s="38" t="n">
        <x:v>16500</x:v>
      </x:c>
      <x:c r="E205" s="15" t="str">
        <x:v>ZAR</x:v>
      </x:c>
      <x:c r="F205" s="15" t="str">
        <x:v>Current a/c..512781</x:v>
      </x:c>
      <x:c r="G205" s="15" t="str">
        <x:v>Supplier payments</x:v>
      </x:c>
      <x:c r="H205" s="15" t="str">
        <x:v>EFT payment</x:v>
      </x:c>
      <x:c r="I205" s="15" t="str">
        <x:v>High</x:v>
      </x:c>
      <x:c r="J205" s="15" t="str">
        <x:v>eml_ALL_currentac__512781 (2).zip &gt; eml7currentac__512781.zip / FNB _-) R16500.00 paid from Current a_c..512781 @ Gen Ph. Ref.Pj Els. 18Jan 08_25.eml</x:v>
      </x:c>
    </x:row>
    <x:row r="206">
      <x:c r="A206" s="34" t="n">
        <x:v>46041.416666666664</x:v>
      </x:c>
      <x:c r="B206" s="15" t="str">
        <x:v>Electricity 04294887</x:v>
      </x:c>
      <x:c r="C206" s="15" t="str">
        <x:v>R500.00 paid from Current a/c..512781 @ Smartapp. Avail R61761. Ref.Electricity 04294887. 19Jan 10:00</x:v>
      </x:c>
      <x:c r="D206" s="38" t="n">
        <x:v>500</x:v>
      </x:c>
      <x:c r="E206" s="15" t="str">
        <x:v>ZAR</x:v>
      </x:c>
      <x:c r="F206" s="15" t="str">
        <x:v>Current a/c..512781</x:v>
      </x:c>
      <x:c r="G206" s="15" t="str">
        <x:v>Telecom / utilities</x:v>
      </x:c>
      <x:c r="H206" s="15" t="str">
        <x:v>EFT payment</x:v>
      </x:c>
      <x:c r="I206" s="15" t="str">
        <x:v>High</x:v>
      </x:c>
      <x:c r="J206" s="15" t="str">
        <x:v>eml_ALL_currentac__512781 (2).zip &gt; eml7currentac__512781.zip / FNB _-) R500.00 paid from Current a_c..512781 @ Smartapp. Ref.Electricity 04294887. 19Jan 10_00.eml</x:v>
      </x:c>
    </x:row>
    <x:row r="207">
      <x:c r="A207" s="34" t="n">
        <x:v>46041.419444444444</x:v>
      </x:c>
      <x:c r="B207" s="15" t="str">
        <x:v>Asbe - Comm Jan</x:v>
      </x:c>
      <x:c r="C207" s="15" t="str">
        <x:v>R1344.45 paid from Current a/c..512781 @ Smartapp. Avail R60408. Ref.Asbe - Comm Jan. 19Jan 10:04</x:v>
      </x:c>
      <x:c r="D207" s="38" t="n">
        <x:v>1344.45</x:v>
      </x:c>
      <x:c r="E207" s="15" t="str">
        <x:v>ZAR</x:v>
      </x:c>
      <x:c r="F207" s="15" t="str">
        <x:v>Current a/c..512781</x:v>
      </x:c>
      <x:c r="G207" s="15" t="str">
        <x:v>Supplier payments</x:v>
      </x:c>
      <x:c r="H207" s="15" t="str">
        <x:v>EFT payment</x:v>
      </x:c>
      <x:c r="I207" s="15" t="str">
        <x:v>High</x:v>
      </x:c>
      <x:c r="J207" s="15" t="str">
        <x:v>eml_ALL_currentac__512781 (2).zip &gt; eml7currentac__512781.zip / FNB _-) R1344.45 paid from Current a_c..512781 @ Smartapp. Ref.Asbe - Comm Jan. 19Jan 10_04.eml</x:v>
      </x:c>
    </x:row>
    <x:row r="208">
      <x:c r="A208" s="34" t="n">
        <x:v>46041.62291666667</x:v>
      </x:c>
      <x:c r="B208" s="15" t="str">
        <x:v>The Water Well Bu136</x:v>
      </x:c>
      <x:c r="C208" s="15" t="str">
        <x:v>R435.00 reserved for purchase @ The Water Well Bu136 from Current a/c..512781 using card..2924. Avail R59928. 19Jan 14:57</x:v>
      </x:c>
      <x:c r="D208" s="38" t="n">
        <x:v>435</x:v>
      </x:c>
      <x:c r="E208" s="15" t="str">
        <x:v>ZAR</x:v>
      </x:c>
      <x:c r="F208" s="15" t="str">
        <x:v>Current a/c..512781 / card..2924</x:v>
      </x:c>
      <x:c r="G208" s="15" t="str">
        <x:v>Card spend</x:v>
      </x:c>
      <x:c r="H208" s="15" t="str">
        <x:v>Card purchase</x:v>
      </x:c>
      <x:c r="I208" s="15" t="str">
        <x:v>High</x:v>
      </x:c>
      <x:c r="J208" s="15" t="str">
        <x:v>eml_ALL_currentac__512781 (2).zip &gt; eml7currentac__512781.zip / FNB _-) R435.00 reserved for purchase @ The Water Well Bu136 from Current a_c..512781 using card..2924. 19Jan 14_57.eml</x:v>
      </x:c>
    </x:row>
    <x:row r="209">
      <x:c r="A209" s="34" t="n">
        <x:v>46042.63055555556</x:v>
      </x:c>
      <x:c r="B209" s="15" t="str">
        <x:v>Savemor Marloth</x:v>
      </x:c>
      <x:c r="C209" s="15" t="str">
        <x:v>R437.20 reserved for purchase @ Savemor Marloth from Current a/c..512781 using card..2924. Avail R59469. 20Jan 15:08</x:v>
      </x:c>
      <x:c r="D209" s="38" t="n">
        <x:v>437.2</x:v>
      </x:c>
      <x:c r="E209" s="15" t="str">
        <x:v>ZAR</x:v>
      </x:c>
      <x:c r="F209" s="15" t="str">
        <x:v>Current a/c..512781 / card..2924</x:v>
      </x:c>
      <x:c r="G209" s="15" t="str">
        <x:v>Supplier payments</x:v>
      </x:c>
      <x:c r="H209" s="15" t="str">
        <x:v>Card purchase</x:v>
      </x:c>
      <x:c r="I209" s="15" t="str">
        <x:v>High</x:v>
      </x:c>
      <x:c r="J209" s="15" t="str">
        <x:v>eml_ALL_currentac__512781 (2).zip &gt; eml7currentac__512781.zip / FNB _-) R437.20 reserved for purchase @ Savemor Marloth from Current a_c..512781 using card..2924. 20Jan 15_08.eml</x:v>
      </x:c>
    </x:row>
    <x:row r="210">
      <x:c r="A210" s="34" t="n">
        <x:v>46042.63958333333</x:v>
      </x:c>
      <x:c r="B210" s="15" t="str">
        <x:v>Marlothi Petrol Stat</x:v>
      </x:c>
      <x:c r="C210" s="15" t="str">
        <x:v>R300.00 reserved for purchase @ Marlothi Petrol Stat from Current a/c..512781 using card..2924. Avail R59169. 20Jan 15:21</x:v>
      </x:c>
      <x:c r="D210" s="38" t="n">
        <x:v>300</x:v>
      </x:c>
      <x:c r="E210" s="15" t="str">
        <x:v>ZAR</x:v>
      </x:c>
      <x:c r="F210" s="15" t="str">
        <x:v>Current a/c..512781 / card..2924</x:v>
      </x:c>
      <x:c r="G210" s="15" t="str">
        <x:v>Fuel / transport</x:v>
      </x:c>
      <x:c r="H210" s="15" t="str">
        <x:v>Card purchase</x:v>
      </x:c>
      <x:c r="I210" s="15" t="str">
        <x:v>High</x:v>
      </x:c>
      <x:c r="J210" s="15" t="str">
        <x:v>eml_ALL_currentac__512781 (2).zip &gt; eml7currentac__512781.zip / FNB _-) R300.00 reserved for purchase @ Marlothi Petrol Stat from Current a_c..512781 using card..2924. 20Jan 15_21.eml</x:v>
      </x:c>
    </x:row>
    <x:row r="211">
      <x:c r="A211" s="34" t="n">
        <x:v>46042.72083333333</x:v>
      </x:c>
      <x:c r="B211" s="15" t="str">
        <x:v>Savemor Marloth Liqu</x:v>
      </x:c>
      <x:c r="C211" s="15" t="str">
        <x:v>R109.99 reserved for purchase @ Savemor Marloth Liqu from Current a/c..512781 using card..2924. Avail R59059. 20Jan 17:18</x:v>
      </x:c>
      <x:c r="D211" s="38" t="n">
        <x:v>109.99</x:v>
      </x:c>
      <x:c r="E211" s="15" t="str">
        <x:v>ZAR</x:v>
      </x:c>
      <x:c r="F211" s="15" t="str">
        <x:v>Current a/c..512781 / card..2924</x:v>
      </x:c>
      <x:c r="G211" s="15" t="str">
        <x:v>Meals / restaurants / entertainment</x:v>
      </x:c>
      <x:c r="H211" s="15" t="str">
        <x:v>Card purchase</x:v>
      </x:c>
      <x:c r="I211" s="15" t="str">
        <x:v>High</x:v>
      </x:c>
      <x:c r="J211" s="15" t="str">
        <x:v>eml_ALL_currentac__512781 (2).zip &gt; eml7currentac__512781.zip / FNB _-) R109.99 reserved for purchase @ Savemor Marloth Liqu from Current a_c..512781 using card..2924. 20Jan 17_18.eml</x:v>
      </x:c>
    </x:row>
    <x:row r="212">
      <x:c r="A212" s="34" t="n">
        <x:v>46042.856944444444</x:v>
      </x:c>
      <x:c r="B212" s="15" t="str">
        <x:v>Spur Fern Valley</x:v>
      </x:c>
      <x:c r="C212" s="15" t="str">
        <x:v>R490.00 reserved for purchase @ Spur Fern Valley from Current a/c..512781 using card..2924. Avail R58569. 20Jan 20:34</x:v>
      </x:c>
      <x:c r="D212" s="38" t="n">
        <x:v>490</x:v>
      </x:c>
      <x:c r="E212" s="15" t="str">
        <x:v>ZAR</x:v>
      </x:c>
      <x:c r="F212" s="15" t="str">
        <x:v>Current a/c..512781 / card..2924</x:v>
      </x:c>
      <x:c r="G212" s="15" t="str">
        <x:v>Card spend</x:v>
      </x:c>
      <x:c r="H212" s="15" t="str">
        <x:v>Card purchase</x:v>
      </x:c>
      <x:c r="I212" s="15" t="str">
        <x:v>High</x:v>
      </x:c>
      <x:c r="J212" s="15" t="str">
        <x:v>eml_ALL_currentac__512781 (2).zip &gt; eml7currentac__512781.zip / FNB _-) R490.00 reserved for purchase @ Spur Fern Valley from Current a_c..512781 using card..2924. 20Jan 20_34.eml</x:v>
      </x:c>
    </x:row>
    <x:row r="213">
      <x:c r="A213" s="34" t="n">
        <x:v>46044.42222222222</x:v>
      </x:c>
      <x:c r="B213" s="15" t="str">
        <x:v>Superspar Komatipoor</x:v>
      </x:c>
      <x:c r="C213" s="15" t="str">
        <x:v>R461.54 reserved for purchase @ Superspar Komatipoor from Current a/c..512781 using card..2924. Avail R81384. 22Jan 10:08</x:v>
      </x:c>
      <x:c r="D213" s="38" t="n">
        <x:v>461.54</x:v>
      </x:c>
      <x:c r="E213" s="15" t="str">
        <x:v>ZAR</x:v>
      </x:c>
      <x:c r="F213" s="15" t="str">
        <x:v>Current a/c..512781 / card..2924</x:v>
      </x:c>
      <x:c r="G213" s="15" t="str">
        <x:v>Supplier payments</x:v>
      </x:c>
      <x:c r="H213" s="15" t="str">
        <x:v>Card purchase</x:v>
      </x:c>
      <x:c r="I213" s="15" t="str">
        <x:v>High</x:v>
      </x:c>
      <x:c r="J213" s="15" t="str">
        <x:v>eml_ALL_currentac__512781 (2).zip &gt; eml7currentac__512781.zip / FNB _-) R461.54 reserved for purchase @ Superspar Komatipoor from Current a_c..512781 using card..2924. 22Jan 10_08.eml</x:v>
      </x:c>
    </x:row>
    <x:row r="214">
      <x:c r="A214" s="34" t="n">
        <x:v>46044.43541666667</x:v>
      </x:c>
      <x:c r="B214" s="15" t="str">
        <x:v>Hpy*vodafone Cellula</x:v>
      </x:c>
      <x:c r="C214" s="15" t="str">
        <x:v>R1150.00 reserved for purchase @ Hpy*vodafone Cellula from Current a/c..512781 using card..2924. Avail R80234. 22Jan 10:27</x:v>
      </x:c>
      <x:c r="D214" s="38" t="n">
        <x:v>1150</x:v>
      </x:c>
      <x:c r="E214" s="15" t="str">
        <x:v>ZAR</x:v>
      </x:c>
      <x:c r="F214" s="15" t="str">
        <x:v>Current a/c..512781 / card..2924</x:v>
      </x:c>
      <x:c r="G214" s="15" t="str">
        <x:v>Card spend</x:v>
      </x:c>
      <x:c r="H214" s="15" t="str">
        <x:v>Card purchase</x:v>
      </x:c>
      <x:c r="I214" s="15" t="str">
        <x:v>High</x:v>
      </x:c>
      <x:c r="J214" s="15" t="str">
        <x:v>eml_ALL_currentac__512781 (2).zip &gt; eml7currentac__512781.zip / FNB _-) R1150.00 reserved for purchase @ Hpy_vodafone Cellula from Current a_c..512781 using card..2924. 22Jan 10_27.eml</x:v>
      </x:c>
    </x:row>
    <x:row r="215">
      <x:c r="A215" s="34" t="n">
        <x:v>46044.44097222222</x:v>
      </x:c>
      <x:c r="B215" s="15" t="str">
        <x:v>Obaro Komatipoort Fc</x:v>
      </x:c>
      <x:c r="C215" s="15" t="str">
        <x:v>R500.00 reserved for purchase @ Obaro Komatipoort Fc from Current a/c..512781 using card..2924. Avail R79734. 22Jan 10:35</x:v>
      </x:c>
      <x:c r="D215" s="38" t="n">
        <x:v>500</x:v>
      </x:c>
      <x:c r="E215" s="15" t="str">
        <x:v>ZAR</x:v>
      </x:c>
      <x:c r="F215" s="15" t="str">
        <x:v>Current a/c..512781 / card..2924</x:v>
      </x:c>
      <x:c r="G215" s="15" t="str">
        <x:v>Supplier payments</x:v>
      </x:c>
      <x:c r="H215" s="15" t="str">
        <x:v>Card purchase</x:v>
      </x:c>
      <x:c r="I215" s="15" t="str">
        <x:v>High</x:v>
      </x:c>
      <x:c r="J215" s="15" t="str">
        <x:v>eml_ALL_currentac__512781 (2).zip &gt; eml7currentac__512781.zip / FNB _-) R500.00 reserved for purchase @ Obaro Komatipoort Fc from Current a_c..512781 using card..2924. 22Jan 10_35.eml</x:v>
      </x:c>
    </x:row>
    <x:row r="216">
      <x:c r="A216" s="34" t="n">
        <x:v>46044.520833333336</x:v>
      </x:c>
      <x:c r="B216" s="15" t="str">
        <x:v>Sqsp* Websit</x:v>
      </x:c>
      <x:c r="C216" s="15" t="str">
        <x:v>R154.92 reserved for purchase @ Sqsp* Websit from Current a/c..512781 using card..2924. Avail R79579. 22Jan 12:30</x:v>
      </x:c>
      <x:c r="D216" s="38" t="n">
        <x:v>154.92</x:v>
      </x:c>
      <x:c r="E216" s="15" t="str">
        <x:v>ZAR</x:v>
      </x:c>
      <x:c r="F216" s="15" t="str">
        <x:v>Current a/c..512781 / card..2924</x:v>
      </x:c>
      <x:c r="G216" s="15" t="str">
        <x:v>Software / subscriptions</x:v>
      </x:c>
      <x:c r="H216" s="15" t="str">
        <x:v>Card purchase</x:v>
      </x:c>
      <x:c r="I216" s="15" t="str">
        <x:v>High</x:v>
      </x:c>
      <x:c r="J216" s="15" t="str">
        <x:v>eml_ALL_currentac__512781 (2).zip &gt; eml7currentac__512781.zip / FNB _-) R154.92 reserved for purchase @ Sqsp_ Websit from Current a_c..512781 using card..2924. 22Jan 12_30.eml</x:v>
      </x:c>
    </x:row>
    <x:row r="217">
      <x:c r="A217" s="34" t="n">
        <x:v>46044.62569444445</x:v>
      </x:c>
      <x:c r="B217" s="15" t="str">
        <x:v>Savemor Marloth</x:v>
      </x:c>
      <x:c r="C217" s="15" t="str">
        <x:v>R416.99 reserved for purchase @ Savemor Marloth from Current a/c..512781 using card..2924. Avail R79162. 22Jan 15:01</x:v>
      </x:c>
      <x:c r="D217" s="38" t="n">
        <x:v>416.99</x:v>
      </x:c>
      <x:c r="E217" s="15" t="str">
        <x:v>ZAR</x:v>
      </x:c>
      <x:c r="F217" s="15" t="str">
        <x:v>Current a/c..512781 / card..2924</x:v>
      </x:c>
      <x:c r="G217" s="15" t="str">
        <x:v>Supplier payments</x:v>
      </x:c>
      <x:c r="H217" s="15" t="str">
        <x:v>Card purchase</x:v>
      </x:c>
      <x:c r="I217" s="15" t="str">
        <x:v>High</x:v>
      </x:c>
      <x:c r="J217" s="15" t="str">
        <x:v>eml_ALL_currentac__512781 (2).zip &gt; eml7currentac__512781.zip / FNB _-) R416.99 reserved for purchase @ Savemor Marloth from Current a_c..512781 using card..2924. 22Jan 15_01.eml</x:v>
      </x:c>
    </x:row>
    <x:row r="218">
      <x:c r="A218" s="34" t="n">
        <x:v>46044.63263888889</x:v>
      </x:c>
      <x:c r="B218" s="15" t="str">
        <x:v>Savemor Marloth</x:v>
      </x:c>
      <x:c r="C218" s="15" t="str">
        <x:v>R177.94 reserved for purchase @ Savemor Marloth from Current a/c..512781 using card..2924. Avail R78984. 22Jan 15:11</x:v>
      </x:c>
      <x:c r="D218" s="38" t="n">
        <x:v>177.94</x:v>
      </x:c>
      <x:c r="E218" s="15" t="str">
        <x:v>ZAR</x:v>
      </x:c>
      <x:c r="F218" s="15" t="str">
        <x:v>Current a/c..512781 / card..2924</x:v>
      </x:c>
      <x:c r="G218" s="15" t="str">
        <x:v>Supplier payments</x:v>
      </x:c>
      <x:c r="H218" s="15" t="str">
        <x:v>Card purchase</x:v>
      </x:c>
      <x:c r="I218" s="15" t="str">
        <x:v>High</x:v>
      </x:c>
      <x:c r="J218" s="15" t="str">
        <x:v>eml_ALL_currentac__512781 (2).zip &gt; eml7currentac__512781.zip / FNB _-) R177.94 reserved for purchase @ Savemor Marloth from Current a_c..512781 using card..2924. 22Jan 15_11.eml</x:v>
      </x:c>
    </x:row>
    <x:row r="219">
      <x:c r="A219" s="34" t="n">
        <x:v>46044.63680555556</x:v>
      </x:c>
      <x:c r="B219" s="15" t="str">
        <x:v>Savemor Marloth Liqu</x:v>
      </x:c>
      <x:c r="C219" s="15" t="str">
        <x:v>R154.98 reserved for purchase @ Savemor Marloth Liqu from Current a/c..512781 using card..2924. Avail R78829. 22Jan 15:17</x:v>
      </x:c>
      <x:c r="D219" s="38" t="n">
        <x:v>154.98</x:v>
      </x:c>
      <x:c r="E219" s="15" t="str">
        <x:v>ZAR</x:v>
      </x:c>
      <x:c r="F219" s="15" t="str">
        <x:v>Current a/c..512781 / card..2924</x:v>
      </x:c>
      <x:c r="G219" s="15" t="str">
        <x:v>Meals / restaurants / entertainment</x:v>
      </x:c>
      <x:c r="H219" s="15" t="str">
        <x:v>Card purchase</x:v>
      </x:c>
      <x:c r="I219" s="15" t="str">
        <x:v>High</x:v>
      </x:c>
      <x:c r="J219" s="15" t="str">
        <x:v>eml_ALL_currentac__512781 (2).zip &gt; eml7currentac__512781.zip / FNB _-) R154.98 reserved for purchase @ Savemor Marloth Liqu from Current a_c..512781 using card..2924. 22Jan 15_17.eml</x:v>
      </x:c>
    </x:row>
    <x:row r="220">
      <x:c r="A220" s="34" t="n">
        <x:v>46044.64861111111</x:v>
      </x:c>
      <x:c r="B220" s="15" t="str">
        <x:v>At Wild Butchery 133</x:v>
      </x:c>
      <x:c r="C220" s="15" t="str">
        <x:v>R103.15 reserved for purchase @ At Wild Butchery 133 from Current a/c..512781 using card..2924. Avail R78726. 22Jan 15:34</x:v>
      </x:c>
      <x:c r="D220" s="38" t="n">
        <x:v>103.15</x:v>
      </x:c>
      <x:c r="E220" s="15" t="str">
        <x:v>ZAR</x:v>
      </x:c>
      <x:c r="F220" s="15" t="str">
        <x:v>Current a/c..512781 / card..2924</x:v>
      </x:c>
      <x:c r="G220" s="15" t="str">
        <x:v>Supplier payments</x:v>
      </x:c>
      <x:c r="H220" s="15" t="str">
        <x:v>Card purchase</x:v>
      </x:c>
      <x:c r="I220" s="15" t="str">
        <x:v>High</x:v>
      </x:c>
      <x:c r="J220" s="15" t="str">
        <x:v>eml_ALL_currentac__512781 (2).zip &gt; eml7currentac__512781.zip / FNB _-) R103.15 reserved for purchase @ At Wild Butchery 133 from Current a_c..512781 using card..2924. 22Jan 15_34.eml</x:v>
      </x:c>
    </x:row>
    <x:row r="221">
      <x:c r="A221" s="34" t="n">
        <x:v>46045.34305555555</x:v>
      </x:c>
      <x:c r="B221" s="15" t="str">
        <x:v>Pj Els - Showp</x:v>
      </x:c>
      <x:c r="C221" s="15" t="str">
        <x:v>R2000.00 paid from Current a/c..512781 @ Smartapp. Avail R76706. Ref.Pj Els - Showp. 23Jan 08:14</x:v>
      </x:c>
      <x:c r="D221" s="38" t="n">
        <x:v>2000</x:v>
      </x:c>
      <x:c r="E221" s="15" t="str">
        <x:v>ZAR</x:v>
      </x:c>
      <x:c r="F221" s="15" t="str">
        <x:v>Current a/c..512781</x:v>
      </x:c>
      <x:c r="G221" s="15" t="str">
        <x:v>Supplier payments</x:v>
      </x:c>
      <x:c r="H221" s="15" t="str">
        <x:v>EFT payment</x:v>
      </x:c>
      <x:c r="I221" s="15" t="str">
        <x:v>High</x:v>
      </x:c>
      <x:c r="J221" s="15" t="str">
        <x:v>eml_ALL_currentac__512781 (2).zip &gt; eml7currentac__512781.zip / FNB _-) R2000.00 paid from Current a_c..512781 @ Smartapp. Ref.Pj Els - Showp. 23Jan 08_14.eml</x:v>
      </x:c>
    </x:row>
    <x:row r="222">
      <x:c r="A222" s="34" t="n">
        <x:v>46045.620833333334</x:v>
      </x:c>
      <x:c r="B222" s="15" t="str">
        <x:v>Savemor Marloth Liqu</x:v>
      </x:c>
      <x:c r="C222" s="15" t="str">
        <x:v>R175.97 reserved for purchase @ Savemor Marloth Liqu from Current a/c..512781 using card..2924. Avail R89255. 23Jan 14:54</x:v>
      </x:c>
      <x:c r="D222" s="38" t="n">
        <x:v>175.97</x:v>
      </x:c>
      <x:c r="E222" s="15" t="str">
        <x:v>ZAR</x:v>
      </x:c>
      <x:c r="F222" s="15" t="str">
        <x:v>Current a/c..512781 / card..2924</x:v>
      </x:c>
      <x:c r="G222" s="15" t="str">
        <x:v>Meals / restaurants / entertainment</x:v>
      </x:c>
      <x:c r="H222" s="15" t="str">
        <x:v>Card purchase</x:v>
      </x:c>
      <x:c r="I222" s="15" t="str">
        <x:v>High</x:v>
      </x:c>
      <x:c r="J222" s="15" t="str">
        <x:v>eml_ALL_currentac__512781 (2).zip &gt; eml7currentac__512781.zip / FNB _-) R175.97 reserved for purchase @ Savemor Marloth Liqu from Current a_c..512781 using card..2924. 23Jan 14_54.eml</x:v>
      </x:c>
    </x:row>
    <x:row r="223">
      <x:c r="A223" s="34" t="n">
        <x:v>46045.6625</x:v>
      </x:c>
      <x:c r="B223" s="15" t="str">
        <x:v>Stratton Prop Mng</x:v>
      </x:c>
      <x:c r="C223" s="15" t="str">
        <x:v>R13271.53 paid from Current a/c..512781 @ Smartapp. Avail R75895. Ref.Stratton Prop Mng. 23Jan 15:54</x:v>
      </x:c>
      <x:c r="D223" s="38" t="n">
        <x:v>13271.53</x:v>
      </x:c>
      <x:c r="E223" s="15" t="str">
        <x:v>ZAR</x:v>
      </x:c>
      <x:c r="F223" s="15" t="str">
        <x:v>Current a/c..512781</x:v>
      </x:c>
      <x:c r="G223" s="15" t="str">
        <x:v>Supplier payments</x:v>
      </x:c>
      <x:c r="H223" s="15" t="str">
        <x:v>EFT payment</x:v>
      </x:c>
      <x:c r="I223" s="15" t="str">
        <x:v>High</x:v>
      </x:c>
      <x:c r="J223" s="15" t="str">
        <x:v>eml_ALL_currentac__512781 (2).zip &gt; eml7currentac__512781.zip / FNB _-) R13271.53 paid from Current a_c..512781 @ Smartapp. Ref.Stratton Prop Mng. 23Jan 15_54.eml</x:v>
      </x:c>
    </x:row>
    <x:row r="224">
      <x:c r="A224" s="34" t="n">
        <x:v>46045.697222222225</x:v>
      </x:c>
      <x:c r="B224" s="15" t="str">
        <x:v>Electricity 04279376</x:v>
      </x:c>
      <x:c r="C224" s="15" t="str">
        <x:v>R1000.00 paid from Current a/c..512781 @ Smartapp. Avail R74892. Ref.Electricity 04279376. 23Jan 16:44</x:v>
      </x:c>
      <x:c r="D224" s="38" t="n">
        <x:v>1000</x:v>
      </x:c>
      <x:c r="E224" s="15" t="str">
        <x:v>ZAR</x:v>
      </x:c>
      <x:c r="F224" s="15" t="str">
        <x:v>Current a/c..512781</x:v>
      </x:c>
      <x:c r="G224" s="15" t="str">
        <x:v>Telecom / utilities</x:v>
      </x:c>
      <x:c r="H224" s="15" t="str">
        <x:v>EFT payment</x:v>
      </x:c>
      <x:c r="I224" s="15" t="str">
        <x:v>High</x:v>
      </x:c>
      <x:c r="J224" s="15" t="str">
        <x:v>eml_ALL_currentac__512781 (2).zip &gt; eml7currentac__512781.zip / FNB _-) R1000.00 paid from Current a_c..512781 @ Smartapp. Ref.Electricity 04279376. 23Jan 16_44.eml</x:v>
      </x:c>
    </x:row>
    <x:row r="225">
      <x:c r="A225" s="34" t="n">
        <x:v>46046.51458333333</x:v>
      </x:c>
      <x:c r="B225" s="15" t="str">
        <x:v>Savemor Marloth</x:v>
      </x:c>
      <x:c r="C225" s="15" t="str">
        <x:v>R282.99 reserved for purchase @ Savemor Marloth from Current a/c..512781 using card..2924. Avail R75429. 24Jan 12:21</x:v>
      </x:c>
      <x:c r="D225" s="38" t="n">
        <x:v>282.99</x:v>
      </x:c>
      <x:c r="E225" s="15" t="str">
        <x:v>ZAR</x:v>
      </x:c>
      <x:c r="F225" s="15" t="str">
        <x:v>Current a/c..512781 / card..2924</x:v>
      </x:c>
      <x:c r="G225" s="15" t="str">
        <x:v>Supplier payments</x:v>
      </x:c>
      <x:c r="H225" s="15" t="str">
        <x:v>Card purchase</x:v>
      </x:c>
      <x:c r="I225" s="15" t="str">
        <x:v>High</x:v>
      </x:c>
      <x:c r="J225" s="15" t="str">
        <x:v>eml_ALL_currentac__512781 (2).zip &gt; eml7currentac__512781.zip / FNB _-) R282.99 reserved for purchase @ Savemor Marloth from Current a_c..512781 using card..2924. 24Jan 12_21.eml</x:v>
      </x:c>
    </x:row>
    <x:row r="226">
      <x:c r="A226" s="34" t="n">
        <x:v>46046.53472222222</x:v>
      </x:c>
      <x:c r="B226" s="15" t="str">
        <x:v>Oasis Water Komatipo</x:v>
      </x:c>
      <x:c r="C226" s="15" t="str">
        <x:v>R330.20 reserved for purchase @ Oasis Water Komatipo from Current a/c..512781 using card..2924. Avail R75098. 24Jan 12:50</x:v>
      </x:c>
      <x:c r="D226" s="38" t="n">
        <x:v>330.2</x:v>
      </x:c>
      <x:c r="E226" s="15" t="str">
        <x:v>ZAR</x:v>
      </x:c>
      <x:c r="F226" s="15" t="str">
        <x:v>Current a/c..512781 / card..2924</x:v>
      </x:c>
      <x:c r="G226" s="15" t="str">
        <x:v>Supplier payments</x:v>
      </x:c>
      <x:c r="H226" s="15" t="str">
        <x:v>Card purchase</x:v>
      </x:c>
      <x:c r="I226" s="15" t="str">
        <x:v>High</x:v>
      </x:c>
      <x:c r="J226" s="15" t="str">
        <x:v>eml_ALL_currentac__512781 (2).zip &gt; eml7currentac__512781.zip / FNB _-) R330.20 reserved for purchase @ Oasis Water Komatipo from Current a_c..512781 using card..2924. 24Jan 12_50.eml</x:v>
      </x:c>
    </x:row>
    <x:row r="227">
      <x:c r="A227" s="34" t="n">
        <x:v>46046.57847222222</x:v>
      </x:c>
      <x:c r="B227" s="15" t="str">
        <x:v>Superspar Komatipoor</x:v>
      </x:c>
      <x:c r="C227" s="15" t="str">
        <x:v>R1704.64 reserved for purchase @ Superspar Komatipoor from Current a/c..512781 using card..2924. Avail R73394. 24Jan 13:53</x:v>
      </x:c>
      <x:c r="D227" s="38" t="n">
        <x:v>1704.64</x:v>
      </x:c>
      <x:c r="E227" s="15" t="str">
        <x:v>ZAR</x:v>
      </x:c>
      <x:c r="F227" s="15" t="str">
        <x:v>Current a/c..512781 / card..2924</x:v>
      </x:c>
      <x:c r="G227" s="15" t="str">
        <x:v>Supplier payments</x:v>
      </x:c>
      <x:c r="H227" s="15" t="str">
        <x:v>Card purchase</x:v>
      </x:c>
      <x:c r="I227" s="15" t="str">
        <x:v>High</x:v>
      </x:c>
      <x:c r="J227" s="15" t="str">
        <x:v>eml_ALL_currentac__512781 (2).zip &gt; eml7currentac__512781.zip / FNB _-) R1704.64 reserved for purchase @ Superspar Komatipoor from Current a_c..512781 using card..2924. 24Jan 13_53.eml</x:v>
      </x:c>
    </x:row>
    <x:row r="228">
      <x:c r="A228" s="34" t="n">
        <x:v>46046.92638888889</x:v>
      </x:c>
      <x:c r="B228" s="15" t="str">
        <x:v>Staff Tips For Dec</x:v>
      </x:c>
      <x:c r="C228" s="15" t="str">
        <x:v>R4000.00 paid from Current a/c..512781 @ Gen Ph. Avail R69379. Ref.Staff Tips For Dec. 24Jan 22:14</x:v>
      </x:c>
      <x:c r="D228" s="38" t="n">
        <x:v>4000</x:v>
      </x:c>
      <x:c r="E228" s="15" t="str">
        <x:v>ZAR</x:v>
      </x:c>
      <x:c r="F228" s="15" t="str">
        <x:v>Current a/c..512781</x:v>
      </x:c>
      <x:c r="G228" s="15" t="str">
        <x:v>Salary / wages</x:v>
      </x:c>
      <x:c r="H228" s="15" t="str">
        <x:v>EFT payment</x:v>
      </x:c>
      <x:c r="I228" s="15" t="str">
        <x:v>High</x:v>
      </x:c>
      <x:c r="J228" s="15" t="str">
        <x:v>eml_ALL_currentac__512781 (2).zip &gt; eml7currentac__512781.zip / FNB _-) R4000.00 paid from Current a_c..512781 @ Gen Ph. Ref.Staff Tips For Dec. 24Jan 22_14.eml</x:v>
      </x:c>
    </x:row>
    <x:row r="229">
      <x:c r="A229" s="34" t="n">
        <x:v>46047.01736111111</x:v>
      </x:c>
      <x:c r="B229" s="15" t="str">
        <x:v>Staff Tips Jan</x:v>
      </x:c>
      <x:c r="C229" s="15" t="str">
        <x:v>R5250.00 paid from Current a/c..512781 @ Gen Ph. Avail R64129. Ref.Staff Tips Jan. 25Jan 00:25</x:v>
      </x:c>
      <x:c r="D229" s="38" t="n">
        <x:v>5250</x:v>
      </x:c>
      <x:c r="E229" s="15" t="str">
        <x:v>ZAR</x:v>
      </x:c>
      <x:c r="F229" s="15" t="str">
        <x:v>Current a/c..512781</x:v>
      </x:c>
      <x:c r="G229" s="15" t="str">
        <x:v>Salary / wages</x:v>
      </x:c>
      <x:c r="H229" s="15" t="str">
        <x:v>EFT payment</x:v>
      </x:c>
      <x:c r="I229" s="15" t="str">
        <x:v>High</x:v>
      </x:c>
      <x:c r="J229" s="15" t="str">
        <x:v>eml_ALL_currentac__512781 (2).zip &gt; eml7currentac__512781.zip / FNB _-) R5250.00 paid from Current a_c..512781 @ Gen Ph. Ref.Staff Tips Jan. 25Jan 00_25.eml</x:v>
      </x:c>
    </x:row>
    <x:row r="230">
      <x:c r="A230" s="34" t="n">
        <x:v>46047.03680555556</x:v>
      </x:c>
      <x:c r="B230" s="15" t="str">
        <x:v>Staff Tips</x:v>
      </x:c>
      <x:c r="C230" s="15" t="str">
        <x:v>R4000.00 paid from Current a/c..512781 @ Gen Ph. Avail R60129. Ref.Staff Tips. 25Jan 00:53</x:v>
      </x:c>
      <x:c r="D230" s="38" t="n">
        <x:v>4000</x:v>
      </x:c>
      <x:c r="E230" s="15" t="str">
        <x:v>ZAR</x:v>
      </x:c>
      <x:c r="F230" s="15" t="str">
        <x:v>Current a/c..512781</x:v>
      </x:c>
      <x:c r="G230" s="15" t="str">
        <x:v>Salary / wages</x:v>
      </x:c>
      <x:c r="H230" s="15" t="str">
        <x:v>EFT payment</x:v>
      </x:c>
      <x:c r="I230" s="15" t="str">
        <x:v>High</x:v>
      </x:c>
      <x:c r="J230" s="15" t="str">
        <x:v>eml_ALL_currentac__512781 (2).zip &gt; eml7currentac__512781.zip / FNB _-) R4000.00 paid from Current a_c..512781 @ Gen Ph. Ref.Staff Tips. 25Jan 00_53.eml</x:v>
      </x:c>
    </x:row>
    <x:row r="231">
      <x:c r="A231" s="34" t="n">
        <x:v>46048.370833333334</x:v>
      </x:c>
      <x:c r="B231" s="15" t="str">
        <x:v>Pj Els - Showp</x:v>
      </x:c>
      <x:c r="C231" s="15" t="str">
        <x:v>R6500.00 paid from Current a/c..512781 @ Gen Ph. Avail R53552. Ref.Pj Els - Showp. 26Jan 08:54</x:v>
      </x:c>
      <x:c r="D231" s="38" t="n">
        <x:v>6500</x:v>
      </x:c>
      <x:c r="E231" s="15" t="str">
        <x:v>ZAR</x:v>
      </x:c>
      <x:c r="F231" s="15" t="str">
        <x:v>Current a/c..512781</x:v>
      </x:c>
      <x:c r="G231" s="15" t="str">
        <x:v>Supplier payments</x:v>
      </x:c>
      <x:c r="H231" s="15" t="str">
        <x:v>EFT payment</x:v>
      </x:c>
      <x:c r="I231" s="15" t="str">
        <x:v>High</x:v>
      </x:c>
      <x:c r="J231" s="15" t="str">
        <x:v>eml_ALL_currentac__512781 (2).zip &gt; eml7currentac__512781.zip / FNB _-) R6500.00 paid from Current a_c..512781 @ Gen Ph. Ref.Pj Els - Showp. 26Jan 08_54.eml</x:v>
      </x:c>
    </x:row>
    <x:row r="232">
      <x:c r="A232" s="34" t="n">
        <x:v>46048.45694444444</x:v>
      </x:c>
      <x:c r="B232" s="15" t="str">
        <x:v>Lebombo Washing Mach</x:v>
      </x:c>
      <x:c r="C232" s="15" t="str">
        <x:v>R1625.00 paid from Current a/c..512781 @ Smartapp. Avail R51919. Ref.Lebombo Washing Mach. 26Jan 10:58</x:v>
      </x:c>
      <x:c r="D232" s="38" t="n">
        <x:v>1625</x:v>
      </x:c>
      <x:c r="E232" s="15" t="str">
        <x:v>ZAR</x:v>
      </x:c>
      <x:c r="F232" s="15" t="str">
        <x:v>Current a/c..512781</x:v>
      </x:c>
      <x:c r="G232" s="15" t="str">
        <x:v>Supplier payments</x:v>
      </x:c>
      <x:c r="H232" s="15" t="str">
        <x:v>EFT payment</x:v>
      </x:c>
      <x:c r="I232" s="15" t="str">
        <x:v>High</x:v>
      </x:c>
      <x:c r="J232" s="15" t="str">
        <x:v>eml_ALL_currentac__512781 (2).zip &gt; eml7currentac__512781.zip / FNB _-) R1625.00 paid from Current a_c..512781 @ Smartapp. Ref.Lebombo Washing Mach. 26Jan 10_58.eml</x:v>
      </x:c>
    </x:row>
    <x:row r="233">
      <x:c r="A233" s="34" t="n">
        <x:v>46048.63402777778</x:v>
      </x:c>
      <x:c r="B233" s="15" t="str">
        <x:v>Savemor Marloth</x:v>
      </x:c>
      <x:c r="C233" s="15" t="str">
        <x:v>R328.94 reserved for purchase @ Savemor Marloth from Current a/c..512781 using card..2924. Avail R51590. 26Jan 15:13</x:v>
      </x:c>
      <x:c r="D233" s="38" t="n">
        <x:v>328.94</x:v>
      </x:c>
      <x:c r="E233" s="15" t="str">
        <x:v>ZAR</x:v>
      </x:c>
      <x:c r="F233" s="15" t="str">
        <x:v>Current a/c..512781 / card..2924</x:v>
      </x:c>
      <x:c r="G233" s="15" t="str">
        <x:v>Supplier payments</x:v>
      </x:c>
      <x:c r="H233" s="15" t="str">
        <x:v>Card purchase</x:v>
      </x:c>
      <x:c r="I233" s="15" t="str">
        <x:v>High</x:v>
      </x:c>
      <x:c r="J233" s="15" t="str">
        <x:v>eml_ALL_currentac__512781 (2).zip &gt; eml7currentac__512781.zip / FNB _-) R328.94 reserved for purchase @ Savemor Marloth from Current a_c..512781 using card..2924. 26Jan 15_13.eml</x:v>
      </x:c>
    </x:row>
    <x:row r="234">
      <x:c r="A234" s="34" t="n">
        <x:v>46048.64097222222</x:v>
      </x:c>
      <x:c r="B234" s="15" t="str">
        <x:v>Boskombuis 116</x:v>
      </x:c>
      <x:c r="C234" s="15" t="str">
        <x:v>R134.00 reserved for purchase @ Boskombuis 116 from Current a/c..512781 using card..2924. Avail R51456. 26Jan 15:23</x:v>
      </x:c>
      <x:c r="D234" s="38" t="n">
        <x:v>134</x:v>
      </x:c>
      <x:c r="E234" s="15" t="str">
        <x:v>ZAR</x:v>
      </x:c>
      <x:c r="F234" s="15" t="str">
        <x:v>Current a/c..512781 / card..2924</x:v>
      </x:c>
      <x:c r="G234" s="15" t="str">
        <x:v>Card spend</x:v>
      </x:c>
      <x:c r="H234" s="15" t="str">
        <x:v>Card purchase</x:v>
      </x:c>
      <x:c r="I234" s="15" t="str">
        <x:v>High</x:v>
      </x:c>
      <x:c r="J234" s="15" t="str">
        <x:v>eml_ALL_currentac__512781 (2).zip &gt; eml7currentac__512781.zip / FNB _-) R134.00 reserved for purchase @ Boskombuis 116 from Current a_c..512781 using card..2924. 26Jan 15_23.eml</x:v>
      </x:c>
    </x:row>
    <x:row r="235">
      <x:c r="A235" s="34" t="n">
        <x:v>46048.720138888886</x:v>
      </x:c>
      <x:c r="B235" s="15" t="str">
        <x:v>Savemor Marloth</x:v>
      </x:c>
      <x:c r="C235" s="15" t="str">
        <x:v>R152.64 reserved for purchase @ Savemor Marloth from Current a/c..512781 using card..2924. Avail R51304. 26Jan 17:17</x:v>
      </x:c>
      <x:c r="D235" s="38" t="n">
        <x:v>152.64</x:v>
      </x:c>
      <x:c r="E235" s="15" t="str">
        <x:v>ZAR</x:v>
      </x:c>
      <x:c r="F235" s="15" t="str">
        <x:v>Current a/c..512781 / card..2924</x:v>
      </x:c>
      <x:c r="G235" s="15" t="str">
        <x:v>Supplier payments</x:v>
      </x:c>
      <x:c r="H235" s="15" t="str">
        <x:v>Card purchase</x:v>
      </x:c>
      <x:c r="I235" s="15" t="str">
        <x:v>High</x:v>
      </x:c>
      <x:c r="J235" s="15" t="str">
        <x:v>eml_ALL_currentac__512781 (2).zip &gt; eml7currentac__512781.zip / FNB _-) R152.64 reserved for purchase @ Savemor Marloth from Current a_c..512781 using card..2924. 26Jan 17_17.eml</x:v>
      </x:c>
    </x:row>
    <x:row r="236">
      <x:c r="A236" s="34" t="n">
        <x:v>46048.88888888889</x:v>
      </x:c>
      <x:c r="B236" s="15" t="str">
        <x:v>Repairs + Maintenanc</x:v>
      </x:c>
      <x:c r="C236" s="15" t="str">
        <x:v>R15000.00 paid from Current a/c..512781 @ Smartapp. Avail R36304. Ref.Repairs + Maintenanc. 26Jan 21:20</x:v>
      </x:c>
      <x:c r="D236" s="38" t="n">
        <x:v>15000</x:v>
      </x:c>
      <x:c r="E236" s="15" t="str">
        <x:v>ZAR</x:v>
      </x:c>
      <x:c r="F236" s="15" t="str">
        <x:v>Current a/c..512781</x:v>
      </x:c>
      <x:c r="G236" s="15" t="str">
        <x:v>Supplier payments</x:v>
      </x:c>
      <x:c r="H236" s="15" t="str">
        <x:v>EFT payment</x:v>
      </x:c>
      <x:c r="I236" s="15" t="str">
        <x:v>High</x:v>
      </x:c>
      <x:c r="J236" s="15" t="str">
        <x:v>eml_ALL_currentac__512781 (2).zip &gt; eml7currentac__512781.zip / FNB _-) R15000.00 paid from Current a_c..512781 @ Smartapp. Ref.Repairs + Maintenanc. 26Jan 21_20.eml</x:v>
      </x:c>
    </x:row>
    <x:row r="237">
      <x:c r="A237" s="34" t="n">
        <x:v>46049.365277777775</x:v>
      </x:c>
      <x:c r="B237" s="15" t="str">
        <x:v>Electricity 04294887</x:v>
      </x:c>
      <x:c r="C237" s="15" t="str">
        <x:v>R500.00 paid from Current a/c..512781 @ Smartapp. Avail R40824. Ref.Electricity 04294887. 27Jan 08:46</x:v>
      </x:c>
      <x:c r="D237" s="38" t="n">
        <x:v>500</x:v>
      </x:c>
      <x:c r="E237" s="15" t="str">
        <x:v>ZAR</x:v>
      </x:c>
      <x:c r="F237" s="15" t="str">
        <x:v>Current a/c..512781</x:v>
      </x:c>
      <x:c r="G237" s="15" t="str">
        <x:v>Telecom / utilities</x:v>
      </x:c>
      <x:c r="H237" s="15" t="str">
        <x:v>EFT payment</x:v>
      </x:c>
      <x:c r="I237" s="15" t="str">
        <x:v>High</x:v>
      </x:c>
      <x:c r="J237" s="15" t="str">
        <x:v>eml_ALL_currentac__512781 (2).zip &gt; eml7currentac__512781.zip / FNB _-) R500.00 paid from Current a_c..512781 @ Smartapp. Ref.Electricity 04294887. 27Jan 08_46.eml</x:v>
      </x:c>
    </x:row>
    <x:row r="238">
      <x:c r="A238" s="34" t="n">
        <x:v>46049.39236111111</x:v>
      </x:c>
      <x:c r="B238" s="15" t="str">
        <x:v>Kruger Safari 1679</x:v>
      </x:c>
      <x:c r="C238" s="15" t="str">
        <x:v>R3004.00 paid from Current a/c..512781 @ Gen Ph. Avail R37805. Ref.Kruger Safari 1679. 27Jan 09:25</x:v>
      </x:c>
      <x:c r="D238" s="38" t="n">
        <x:v>3004</x:v>
      </x:c>
      <x:c r="E238" s="15" t="str">
        <x:v>ZAR</x:v>
      </x:c>
      <x:c r="F238" s="15" t="str">
        <x:v>Current a/c..512781</x:v>
      </x:c>
      <x:c r="G238" s="15" t="str">
        <x:v>Supplier payments</x:v>
      </x:c>
      <x:c r="H238" s="15" t="str">
        <x:v>EFT payment</x:v>
      </x:c>
      <x:c r="I238" s="15" t="str">
        <x:v>High</x:v>
      </x:c>
      <x:c r="J238" s="15" t="str">
        <x:v>eml_ALL_currentac__512781 (2).zip &gt; eml7currentac__512781.zip / FNB _-) R3004.00 paid from Current a_c..512781 @ Gen Ph. Ref.Kruger Safari 1679. 27Jan 09_25.eml</x:v>
      </x:c>
    </x:row>
    <x:row r="239">
      <x:c r="A239" s="34" t="n">
        <x:v>46049.393055555556</x:v>
      </x:c>
      <x:c r="B239" s="15" t="str">
        <x:v>Dinner Box 105910</x:v>
      </x:c>
      <x:c r="C239" s="15" t="str">
        <x:v>R1768.20 paid from Current a/c..512781 @ Smartapp. Avail R36029. Ref.Dinner Box 105910. 27Jan 09:26</x:v>
      </x:c>
      <x:c r="D239" s="38" t="n">
        <x:v>1768.2</x:v>
      </x:c>
      <x:c r="E239" s="15" t="str">
        <x:v>ZAR</x:v>
      </x:c>
      <x:c r="F239" s="15" t="str">
        <x:v>Current a/c..512781</x:v>
      </x:c>
      <x:c r="G239" s="15" t="str">
        <x:v>Meals / restaurants / entertainment</x:v>
      </x:c>
      <x:c r="H239" s="15" t="str">
        <x:v>EFT payment</x:v>
      </x:c>
      <x:c r="I239" s="15" t="str">
        <x:v>High</x:v>
      </x:c>
      <x:c r="J239" s="15" t="str">
        <x:v>eml_ALL_currentac__512781 (2).zip &gt; eml7currentac__512781.zip / FNB _-) R1768.20 paid from Current a_c..512781 @ Smartapp. Ref.Dinner Box 105910. 27Jan 09_26.eml</x:v>
      </x:c>
    </x:row>
    <x:row r="240">
      <x:c r="A240" s="34" t="n">
        <x:v>46049.558333333334</x:v>
      </x:c>
      <x:c r="B240" s="15" t="str">
        <x:v>Superspar Komatipoor</x:v>
      </x:c>
      <x:c r="C240" s="15" t="str">
        <x:v>R1758.90 reserved for purchase @ Superspar Komatipoor from Current a/c..512781 using card..2924. Avail R34270. 27Jan 13:24</x:v>
      </x:c>
      <x:c r="D240" s="38" t="n">
        <x:v>1758.9</x:v>
      </x:c>
      <x:c r="E240" s="15" t="str">
        <x:v>ZAR</x:v>
      </x:c>
      <x:c r="F240" s="15" t="str">
        <x:v>Current a/c..512781 / card..2924</x:v>
      </x:c>
      <x:c r="G240" s="15" t="str">
        <x:v>Supplier payments</x:v>
      </x:c>
      <x:c r="H240" s="15" t="str">
        <x:v>Card purchase</x:v>
      </x:c>
      <x:c r="I240" s="15" t="str">
        <x:v>High</x:v>
      </x:c>
      <x:c r="J240" s="15" t="str">
        <x:v>eml_ALL_currentac__512781 (2).zip &gt; eml7currentac__512781.zip / FNB _-) R1758.90 reserved for purchase @ Superspar Komatipoor from Current a_c..512781 using card..2924. 27Jan 13_24.eml</x:v>
      </x:c>
    </x:row>
    <x:row r="241">
      <x:c r="A241" s="34" t="n">
        <x:v>46050.467361111114</x:v>
      </x:c>
      <x:c r="B241" s="15" t="str">
        <x:v>Savemor Marloth</x:v>
      </x:c>
      <x:c r="C241" s="15" t="str">
        <x:v>R518.49 reserved for purchase @ Savemor Marloth from Current a/c..512781 using card..2924. Avail R39438. 28Jan 11:13</x:v>
      </x:c>
      <x:c r="D241" s="38" t="n">
        <x:v>518.49</x:v>
      </x:c>
      <x:c r="E241" s="15" t="str">
        <x:v>ZAR</x:v>
      </x:c>
      <x:c r="F241" s="15" t="str">
        <x:v>Current a/c..512781 / card..2924</x:v>
      </x:c>
      <x:c r="G241" s="15" t="str">
        <x:v>Supplier payments</x:v>
      </x:c>
      <x:c r="H241" s="15" t="str">
        <x:v>Card purchase</x:v>
      </x:c>
      <x:c r="I241" s="15" t="str">
        <x:v>High</x:v>
      </x:c>
      <x:c r="J241" s="15" t="str">
        <x:v>eml_ALL_currentac__512781 (2).zip &gt; eml7currentac__512781.zip / FNB _-) R518.49 reserved for purchase @ Savemor Marloth from Current a_c..512781 using card..2924. 28Jan 11_13.eml</x:v>
      </x:c>
    </x:row>
    <x:row r="242">
      <x:c r="A242" s="34" t="n">
        <x:v>46050.59583333333</x:v>
      </x:c>
      <x:c r="B242" s="15" t="str">
        <x:v>Buco Komatipoort</x:v>
      </x:c>
      <x:c r="C242" s="15" t="str">
        <x:v>R283.25 reserved for purchase @ Buco Komatipoort from Current a/c..512781 using card..2924. Avail R39155. 28Jan 14:18</x:v>
      </x:c>
      <x:c r="D242" s="38" t="n">
        <x:v>283.25</x:v>
      </x:c>
      <x:c r="E242" s="15" t="str">
        <x:v>ZAR</x:v>
      </x:c>
      <x:c r="F242" s="15" t="str">
        <x:v>Current a/c..512781 / card..2924</x:v>
      </x:c>
      <x:c r="G242" s="15" t="str">
        <x:v>Supplier payments</x:v>
      </x:c>
      <x:c r="H242" s="15" t="str">
        <x:v>Card purchase</x:v>
      </x:c>
      <x:c r="I242" s="15" t="str">
        <x:v>High</x:v>
      </x:c>
      <x:c r="J242" s="15" t="str">
        <x:v>eml_ALL_currentac__512781 (2).zip &gt; eml7currentac__512781.zip / FNB _-) R283.25 reserved for purchase @ Buco Komatipoort from Current a_c..512781 using card..2924. 28Jan 14_18.eml</x:v>
      </x:c>
    </x:row>
    <x:row r="243">
      <x:c r="A243" s="34" t="n">
        <x:v>46050.61388888889</x:v>
      </x:c>
      <x:c r="B243" s="15" t="str">
        <x:v>Komati Liquor</x:v>
      </x:c>
      <x:c r="C243" s="15" t="str">
        <x:v>R243.00 reserved for purchase @ Komati Liquor from Current a/c..512781 using card..2924. Avail R38912. 28Jan 14:44</x:v>
      </x:c>
      <x:c r="D243" s="38" t="n">
        <x:v>243</x:v>
      </x:c>
      <x:c r="E243" s="15" t="str">
        <x:v>ZAR</x:v>
      </x:c>
      <x:c r="F243" s="15" t="str">
        <x:v>Current a/c..512781 / card..2924</x:v>
      </x:c>
      <x:c r="G243" s="15" t="str">
        <x:v>Meals / restaurants / entertainment</x:v>
      </x:c>
      <x:c r="H243" s="15" t="str">
        <x:v>Card purchase</x:v>
      </x:c>
      <x:c r="I243" s="15" t="str">
        <x:v>High</x:v>
      </x:c>
      <x:c r="J243" s="15" t="str">
        <x:v>eml_ALL_currentac__512781 (2).zip &gt; eml7currentac__512781.zip / FNB _-) R243.00 reserved for purchase @ Komati Liquor from Current a_c..512781 using card..2924. 28Jan 14_44.eml</x:v>
      </x:c>
    </x:row>
    <x:row r="244">
      <x:c r="A244" s="34" t="n">
        <x:v>46050.62708333333</x:v>
      </x:c>
      <x:c r="B244" s="15" t="str">
        <x:v>Superspar Komatipoor</x:v>
      </x:c>
      <x:c r="C244" s="15" t="str">
        <x:v>R269.47 reserved for purchase @ Superspar Komatipoor from Current a/c..512781 using card..2924. Avail R38643. 28Jan 15:03</x:v>
      </x:c>
      <x:c r="D244" s="38" t="n">
        <x:v>269.47</x:v>
      </x:c>
      <x:c r="E244" s="15" t="str">
        <x:v>ZAR</x:v>
      </x:c>
      <x:c r="F244" s="15" t="str">
        <x:v>Current a/c..512781 / card..2924</x:v>
      </x:c>
      <x:c r="G244" s="15" t="str">
        <x:v>Supplier payments</x:v>
      </x:c>
      <x:c r="H244" s="15" t="str">
        <x:v>Card purchase</x:v>
      </x:c>
      <x:c r="I244" s="15" t="str">
        <x:v>High</x:v>
      </x:c>
      <x:c r="J244" s="15" t="str">
        <x:v>eml_ALL_currentac__512781 (2).zip &gt; eml7currentac__512781.zip / FNB _-) R269.47 reserved for purchase @ Superspar Komatipoor from Current a_c..512781 using card..2924. 28Jan 15_03.eml</x:v>
      </x:c>
    </x:row>
    <x:row r="245">
      <x:c r="A245" s="34" t="n">
        <x:v>46050.62777777778</x:v>
      </x:c>
      <x:c r="B245" s="15" t="str">
        <x:v>Superspar Komatipoor</x:v>
      </x:c>
      <x:c r="C245" s="15" t="str">
        <x:v>R107.99 reserved for purchase @ Superspar Komatipoor from Current a/c..512781 using card..2924. Avail R38535. 28Jan 15:04</x:v>
      </x:c>
      <x:c r="D245" s="38" t="n">
        <x:v>107.99</x:v>
      </x:c>
      <x:c r="E245" s="15" t="str">
        <x:v>ZAR</x:v>
      </x:c>
      <x:c r="F245" s="15" t="str">
        <x:v>Current a/c..512781 / card..2924</x:v>
      </x:c>
      <x:c r="G245" s="15" t="str">
        <x:v>Supplier payments</x:v>
      </x:c>
      <x:c r="H245" s="15" t="str">
        <x:v>Card purchase</x:v>
      </x:c>
      <x:c r="I245" s="15" t="str">
        <x:v>High</x:v>
      </x:c>
      <x:c r="J245" s="15" t="str">
        <x:v>eml_ALL_currentac__512781 (2).zip &gt; eml7currentac__512781.zip / FNB _-) R107.99 reserved for purchase @ Superspar Komatipoor from Current a_c..512781 using card..2924. 28Jan 15_04.eml</x:v>
      </x:c>
    </x:row>
    <x:row r="246">
      <x:c r="A246" s="34" t="n">
        <x:v>46050.64722222222</x:v>
      </x:c>
      <x:c r="B246" s="15" t="str">
        <x:v>Oasis Water Komatipo</x:v>
      </x:c>
      <x:c r="C246" s="15" t="str">
        <x:v>R137.20 reserved for purchase @ Oasis Water Komatipo from Current a/c..512781 using card..2924. Avail R38383. 28Jan 15:32</x:v>
      </x:c>
      <x:c r="D246" s="38" t="n">
        <x:v>137.2</x:v>
      </x:c>
      <x:c r="E246" s="15" t="str">
        <x:v>ZAR</x:v>
      </x:c>
      <x:c r="F246" s="15" t="str">
        <x:v>Current a/c..512781 / card..2924</x:v>
      </x:c>
      <x:c r="G246" s="15" t="str">
        <x:v>Supplier payments</x:v>
      </x:c>
      <x:c r="H246" s="15" t="str">
        <x:v>Card purchase</x:v>
      </x:c>
      <x:c r="I246" s="15" t="str">
        <x:v>High</x:v>
      </x:c>
      <x:c r="J246" s="15" t="str">
        <x:v>eml_ALL_currentac__512781 (2).zip &gt; eml7currentac__512781.zip / FNB _-) R137.20 reserved for purchase @ Oasis Water Komatipo from Current a_c..512781 using card..2924. 28Jan 15_32.eml</x:v>
      </x:c>
    </x:row>
    <x:row r="247">
      <x:c r="A247" s="34" t="n">
        <x:v>46051.53611111111</x:v>
      </x:c>
      <x:c r="B247" s="15" t="str">
        <x:v>Superspar Komatipoor</x:v>
      </x:c>
      <x:c r="C247" s="15" t="str">
        <x:v>R508.84 reserved for purchase @ Superspar Komatipoor from Current a/c..512781 using card..2924. Avail R37777. 29Jan 12:52</x:v>
      </x:c>
      <x:c r="D247" s="38" t="n">
        <x:v>508.84</x:v>
      </x:c>
      <x:c r="E247" s="15" t="str">
        <x:v>ZAR</x:v>
      </x:c>
      <x:c r="F247" s="15" t="str">
        <x:v>Current a/c..512781 / card..2924</x:v>
      </x:c>
      <x:c r="G247" s="15" t="str">
        <x:v>Supplier payments</x:v>
      </x:c>
      <x:c r="H247" s="15" t="str">
        <x:v>Card purchase</x:v>
      </x:c>
      <x:c r="I247" s="15" t="str">
        <x:v>High</x:v>
      </x:c>
      <x:c r="J247" s="15" t="str">
        <x:v>eml_ALL_currentac__512781 (2).zip &gt; eml7currentac__512781.zip / FNB _-) R508.84 reserved for purchase @ Superspar Komatipoor from Current a_c..512781 using card..2924. 29Jan 12_52.eml</x:v>
      </x:c>
    </x:row>
    <x:row r="248">
      <x:c r="A248" s="34" t="n">
        <x:v>46051.614583333336</x:v>
      </x:c>
      <x:c r="B248" s="15" t="str">
        <x:v>Savemor Marloth</x:v>
      </x:c>
      <x:c r="C248" s="15" t="str">
        <x:v>R279.99 reserved for purchase @ Savemor Marloth from Current a/c..512781 using card..2924. Avail R38809. 29Jan 14:45</x:v>
      </x:c>
      <x:c r="D248" s="38" t="n">
        <x:v>279.99</x:v>
      </x:c>
      <x:c r="E248" s="15" t="str">
        <x:v>ZAR</x:v>
      </x:c>
      <x:c r="F248" s="15" t="str">
        <x:v>Current a/c..512781 / card..2924</x:v>
      </x:c>
      <x:c r="G248" s="15" t="str">
        <x:v>Supplier payments</x:v>
      </x:c>
      <x:c r="H248" s="15" t="str">
        <x:v>Card purchase</x:v>
      </x:c>
      <x:c r="I248" s="15" t="str">
        <x:v>High</x:v>
      </x:c>
      <x:c r="J248" s="15" t="str">
        <x:v>eml_ALL_currentac__512781 (2).zip &gt; eml7currentac__512781.zip / FNB _-) R279.99 reserved for purchase @ Savemor Marloth from Current a_c..512781 using card..2924. 29Jan 14_45.eml</x:v>
      </x:c>
    </x:row>
    <x:row r="249">
      <x:c r="A249" s="34" t="n">
        <x:v>46051.70625</x:v>
      </x:c>
      <x:c r="B249" s="15" t="str">
        <x:v>Savemor Marloth</x:v>
      </x:c>
      <x:c r="C249" s="15" t="str">
        <x:v>R370.94 reserved for purchase @ Savemor Marloth from Current a/c..512781 using card..2924. Avail R38438. 29Jan 16:57</x:v>
      </x:c>
      <x:c r="D249" s="38" t="n">
        <x:v>370.94</x:v>
      </x:c>
      <x:c r="E249" s="15" t="str">
        <x:v>ZAR</x:v>
      </x:c>
      <x:c r="F249" s="15" t="str">
        <x:v>Current a/c..512781 / card..2924</x:v>
      </x:c>
      <x:c r="G249" s="15" t="str">
        <x:v>Supplier payments</x:v>
      </x:c>
      <x:c r="H249" s="15" t="str">
        <x:v>Card purchase</x:v>
      </x:c>
      <x:c r="I249" s="15" t="str">
        <x:v>High</x:v>
      </x:c>
      <x:c r="J249" s="15" t="str">
        <x:v>eml_ALL_currentac__512781 (2).zip &gt; eml7currentac__512781.zip / FNB _-) R370.94 reserved for purchase @ Savemor Marloth from Current a_c..512781 using card..2924. 29Jan 16_57.eml</x:v>
      </x:c>
    </x:row>
    <x:row r="250">
      <x:c r="A250" s="34" t="n">
        <x:v>46051.725694444445</x:v>
      </x:c>
      <x:c r="B250" s="15" t="str">
        <x:v>Marlothi Petrol Stat</x:v>
      </x:c>
      <x:c r="C250" s="15" t="str">
        <x:v>R500.00 reserved for purchase @ Marlothi Petrol Stat from Current a/c..512781 using card..2924. Avail R37938. 29Jan 17:25</x:v>
      </x:c>
      <x:c r="D250" s="38" t="n">
        <x:v>500</x:v>
      </x:c>
      <x:c r="E250" s="15" t="str">
        <x:v>ZAR</x:v>
      </x:c>
      <x:c r="F250" s="15" t="str">
        <x:v>Current a/c..512781 / card..2924</x:v>
      </x:c>
      <x:c r="G250" s="15" t="str">
        <x:v>Fuel / transport</x:v>
      </x:c>
      <x:c r="H250" s="15" t="str">
        <x:v>Card purchase</x:v>
      </x:c>
      <x:c r="I250" s="15" t="str">
        <x:v>High</x:v>
      </x:c>
      <x:c r="J250" s="15" t="str">
        <x:v>eml_ALL_currentac__512781 (2).zip &gt; eml7currentac__512781.zip / FNB _-) R500.00 reserved for purchase @ Marlothi Petrol Stat from Current a_c..512781 using card..2924. 29Jan 17_25.eml</x:v>
      </x:c>
    </x:row>
    <x:row r="251">
      <x:c r="A251" s="34" t="n">
        <x:v>46052.54722222222</x:v>
      </x:c>
      <x:c r="B251" s="15" t="str">
        <x:v>Kruger Safari 1680</x:v>
      </x:c>
      <x:c r="C251" s="15" t="str">
        <x:v>R6008.00 paid from Current a/c..512781 @ Smartapp. Avail R43109. Ref.Kruger Safari 1680. 30Jan 13:08</x:v>
      </x:c>
      <x:c r="D251" s="38" t="n">
        <x:v>6008</x:v>
      </x:c>
      <x:c r="E251" s="15" t="str">
        <x:v>ZAR</x:v>
      </x:c>
      <x:c r="F251" s="15" t="str">
        <x:v>Current a/c..512781</x:v>
      </x:c>
      <x:c r="G251" s="15" t="str">
        <x:v>Supplier payments</x:v>
      </x:c>
      <x:c r="H251" s="15" t="str">
        <x:v>EFT payment</x:v>
      </x:c>
      <x:c r="I251" s="15" t="str">
        <x:v>High</x:v>
      </x:c>
      <x:c r="J251" s="15" t="str">
        <x:v>eml_ALL_currentac__512781 (2).zip &gt; eml7currentac__512781.zip / FNB _-) R6008.00 paid from Current a_c..512781 @ Smartapp. Ref.Kruger Safari 1680. 30Jan 13_08.eml</x:v>
      </x:c>
    </x:row>
    <x:row r="252">
      <x:c r="A252" s="34" t="n">
        <x:v>46052.54791666667</x:v>
      </x:c>
      <x:c r="B252" s="15" t="str">
        <x:v>Sakkie Wages Jan</x:v>
      </x:c>
      <x:c r="C252" s="15" t="str">
        <x:v>R2500.00 paid from Current a/c..512781 @ Smartapp. Avail R40601. Ref.Sakkie Wages Jan. 30Jan 13:09</x:v>
      </x:c>
      <x:c r="D252" s="38" t="n">
        <x:v>2500</x:v>
      </x:c>
      <x:c r="E252" s="15" t="str">
        <x:v>ZAR</x:v>
      </x:c>
      <x:c r="F252" s="15" t="str">
        <x:v>Current a/c..512781</x:v>
      </x:c>
      <x:c r="G252" s="15" t="str">
        <x:v>Salary / wages</x:v>
      </x:c>
      <x:c r="H252" s="15" t="str">
        <x:v>EFT payment</x:v>
      </x:c>
      <x:c r="I252" s="15" t="str">
        <x:v>High</x:v>
      </x:c>
      <x:c r="J252" s="15" t="str">
        <x:v>eml_ALL_currentac__512781 (2).zip &gt; eml7currentac__512781.zip / FNB _-) R2500.00 paid from Current a_c..512781 @ Smartapp. Ref.Sakkie Wages Jan. 30Jan 13_09.eml</x:v>
      </x:c>
    </x:row>
    <x:row r="253">
      <x:c r="A253" s="34" t="n">
        <x:v>46052.63958333333</x:v>
      </x:c>
      <x:c r="B253" s="15" t="str">
        <x:v>Savemor Marloth</x:v>
      </x:c>
      <x:c r="C253" s="15" t="str">
        <x:v>R265.77 reserved for purchase @ Savemor Marloth from Current a/c..512781 using card..2924. Avail R49286. 30Jan 15:21</x:v>
      </x:c>
      <x:c r="D253" s="38" t="n">
        <x:v>265.77</x:v>
      </x:c>
      <x:c r="E253" s="15" t="str">
        <x:v>ZAR</x:v>
      </x:c>
      <x:c r="F253" s="15" t="str">
        <x:v>Current a/c..512781 / card..2924</x:v>
      </x:c>
      <x:c r="G253" s="15" t="str">
        <x:v>Supplier payments</x:v>
      </x:c>
      <x:c r="H253" s="15" t="str">
        <x:v>Card purchase</x:v>
      </x:c>
      <x:c r="I253" s="15" t="str">
        <x:v>High</x:v>
      </x:c>
      <x:c r="J253" s="15" t="str">
        <x:v>eml_ALL_currentac__512781 (2).zip &gt; eml7currentac__512781.zip / FNB _-) R265.77 reserved for purchase @ Savemor Marloth from Current a_c..512781 using card..2924. 30Jan 15_21.eml</x:v>
      </x:c>
    </x:row>
    <x:row r="254">
      <x:c r="A254" s="34" t="n">
        <x:v>46052.64375</x:v>
      </x:c>
      <x:c r="B254" s="15" t="str">
        <x:v>Marlothi Petrol Stat</x:v>
      </x:c>
      <x:c r="C254" s="15" t="str">
        <x:v>R300.00 reserved for purchase @ Marlothi Petrol Stat from Current a/c..512781 using card..2924. Avail R48986. 30Jan 15:27</x:v>
      </x:c>
      <x:c r="D254" s="38" t="n">
        <x:v>300</x:v>
      </x:c>
      <x:c r="E254" s="15" t="str">
        <x:v>ZAR</x:v>
      </x:c>
      <x:c r="F254" s="15" t="str">
        <x:v>Current a/c..512781 / card..2924</x:v>
      </x:c>
      <x:c r="G254" s="15" t="str">
        <x:v>Fuel / transport</x:v>
      </x:c>
      <x:c r="H254" s="15" t="str">
        <x:v>Card purchase</x:v>
      </x:c>
      <x:c r="I254" s="15" t="str">
        <x:v>High</x:v>
      </x:c>
      <x:c r="J254" s="15" t="str">
        <x:v>eml_ALL_currentac__512781 (2).zip &gt; eml7currentac__512781.zip / FNB _-) R300.00 reserved for purchase @ Marlothi Petrol Stat from Current a_c..512781 using card..2924. 30Jan 15_27.eml</x:v>
      </x:c>
    </x:row>
    <x:row r="255">
      <x:c r="A255" s="34" t="n">
        <x:v>46053.520833333336</x:v>
      </x:c>
      <x:c r="B255" s="15" t="str">
        <x:v>Shoprite Komatipoort</x:v>
      </x:c>
      <x:c r="C255" s="15" t="str">
        <x:v>R893.69 reserved for purchase @ Shoprite Komatipoort from Current a/c..512781 using card..2924. Avail R48053. 31Jan 12:30</x:v>
      </x:c>
      <x:c r="D255" s="38" t="n">
        <x:v>893.69</x:v>
      </x:c>
      <x:c r="E255" s="15" t="str">
        <x:v>ZAR</x:v>
      </x:c>
      <x:c r="F255" s="15" t="str">
        <x:v>Current a/c..512781 / card..2924</x:v>
      </x:c>
      <x:c r="G255" s="15" t="str">
        <x:v>Supplier payments</x:v>
      </x:c>
      <x:c r="H255" s="15" t="str">
        <x:v>Card purchase</x:v>
      </x:c>
      <x:c r="I255" s="15" t="str">
        <x:v>High</x:v>
      </x:c>
      <x:c r="J255" s="15" t="str">
        <x:v>eml_ALL_currentac__512781 (2).zip &gt; eml7currentac__512781.zip / FNB _-) R893.69 reserved for purchase @ Shoprite Komatipoort from Current a_c..512781 using card..2924. 31Jan 12_30.eml</x:v>
      </x:c>
    </x:row>
    <x:row r="256">
      <x:c r="A256" s="34" t="n">
        <x:v>46053.535416666666</x:v>
      </x:c>
      <x:c r="B256" s="15" t="str">
        <x:v>Lebombo Butchery</x:v>
      </x:c>
      <x:c r="C256" s="15" t="str">
        <x:v>R118.83 reserved for purchase @ Lebombo Butchery from Current a/c..512781 using card..2924. Avail R47934. 31Jan 12:51</x:v>
      </x:c>
      <x:c r="D256" s="38" t="n">
        <x:v>118.83</x:v>
      </x:c>
      <x:c r="E256" s="15" t="str">
        <x:v>ZAR</x:v>
      </x:c>
      <x:c r="F256" s="15" t="str">
        <x:v>Current a/c..512781 / card..2924</x:v>
      </x:c>
      <x:c r="G256" s="15" t="str">
        <x:v>Supplier payments</x:v>
      </x:c>
      <x:c r="H256" s="15" t="str">
        <x:v>Card purchase</x:v>
      </x:c>
      <x:c r="I256" s="15" t="str">
        <x:v>High</x:v>
      </x:c>
      <x:c r="J256" s="15" t="str">
        <x:v>eml_ALL_currentac__512781 (2).zip &gt; eml7currentac__512781.zip / FNB _-) R118.83 reserved for purchase @ Lebombo Butchery from Current a_c..512781 using card..2924. 31Jan 12_51.eml</x:v>
      </x:c>
    </x:row>
    <x:row r="257">
      <x:c r="A257" s="34" t="n">
        <x:v>46053.55694444444</x:v>
      </x:c>
      <x:c r="B257" s="15" t="str">
        <x:v>Wage Jan</x:v>
      </x:c>
      <x:c r="C257" s="15" t="str">
        <x:v>R15000.00 paid from Current a/c..512781 @ Smartapp. Avail R32926. Ref.Wage Jan. 31Jan 13:22</x:v>
      </x:c>
      <x:c r="D257" s="38" t="n">
        <x:v>15000</x:v>
      </x:c>
      <x:c r="E257" s="15" t="str">
        <x:v>ZAR</x:v>
      </x:c>
      <x:c r="F257" s="15" t="str">
        <x:v>Current a/c..512781</x:v>
      </x:c>
      <x:c r="G257" s="15" t="str">
        <x:v>Salary / wages</x:v>
      </x:c>
      <x:c r="H257" s="15" t="str">
        <x:v>EFT payment</x:v>
      </x:c>
      <x:c r="I257" s="15" t="str">
        <x:v>High</x:v>
      </x:c>
      <x:c r="J257" s="15" t="str">
        <x:v>eml_ALL_currentac__512781 (2).zip &gt; eml7currentac__512781.zip / FNB _-) R15000.00 paid from Current a_c..512781 @ Smartapp. Ref.Wage Jan. 31Jan 13_22.eml</x:v>
      </x:c>
    </x:row>
    <x:row r="258">
      <x:c r="A258" s="34" t="n">
        <x:v>46053.55763888889</x:v>
      </x:c>
      <x:c r="B258" s="15" t="str">
        <x:v>Wage - Jan 2026</x:v>
      </x:c>
      <x:c r="C258" s="15" t="str">
        <x:v>R12000.00 paid from Current a/c..512781 @ Smartapp. Avail R20918. Ref.Wage - Jan 2026. 31Jan 13:23</x:v>
      </x:c>
      <x:c r="D258" s="38" t="n">
        <x:v>12000</x:v>
      </x:c>
      <x:c r="E258" s="15" t="str">
        <x:v>ZAR</x:v>
      </x:c>
      <x:c r="F258" s="15" t="str">
        <x:v>Current a/c..512781</x:v>
      </x:c>
      <x:c r="G258" s="15" t="str">
        <x:v>Salary / wages</x:v>
      </x:c>
      <x:c r="H258" s="15" t="str">
        <x:v>EFT payment</x:v>
      </x:c>
      <x:c r="I258" s="15" t="str">
        <x:v>High</x:v>
      </x:c>
      <x:c r="J258" s="15" t="str">
        <x:v>eml_ALL_currentac__512781 (2).zip &gt; eml7currentac__512781.zip / FNB _-) R12000.00 paid from Current a_c..512781 @ Smartapp. Ref.Wage - Jan 2026. 31Jan 13_23.eml</x:v>
      </x:c>
    </x:row>
    <x:row r="259">
      <x:c r="A259" s="34" t="n">
        <x:v>46053.55902777778</x:v>
      </x:c>
      <x:c r="B259" s="15" t="str">
        <x:v>Electricity 04294887</x:v>
      </x:c>
      <x:c r="C259" s="15" t="str">
        <x:v>R500.00 paid from Current a/c..512781 @ Smartapp. Avail R20416. Ref.Electricity 04294887. 31Jan 13:25</x:v>
      </x:c>
      <x:c r="D259" s="38" t="n">
        <x:v>500</x:v>
      </x:c>
      <x:c r="E259" s="15" t="str">
        <x:v>ZAR</x:v>
      </x:c>
      <x:c r="F259" s="15" t="str">
        <x:v>Current a/c..512781</x:v>
      </x:c>
      <x:c r="G259" s="15" t="str">
        <x:v>Telecom / utilities</x:v>
      </x:c>
      <x:c r="H259" s="15" t="str">
        <x:v>EFT payment</x:v>
      </x:c>
      <x:c r="I259" s="15" t="str">
        <x:v>High</x:v>
      </x:c>
      <x:c r="J259" s="15" t="str">
        <x:v>eml_ALL_currentac__512781 (2).zip &gt; eml7currentac__512781.zip / FNB _-) R500.00 paid from Current a_c..512781 @ Smartapp. Ref.Electricity 04294887. 31Jan 13_25.eml</x:v>
      </x:c>
    </x:row>
    <x:row r="260">
      <x:c r="A260" s="34" t="n">
        <x:v>46053.55972222222</x:v>
      </x:c>
      <x:c r="B260" s="15" t="str">
        <x:v>Superspar Komatipoor</x:v>
      </x:c>
      <x:c r="C260" s="15" t="str">
        <x:v>R1235.30 reserved for purchase @ Superspar Komatipoor from Current a/c..512781 using card..2924. Avail R19180. 31Jan 13:26</x:v>
      </x:c>
      <x:c r="D260" s="38" t="n">
        <x:v>1235.3</x:v>
      </x:c>
      <x:c r="E260" s="15" t="str">
        <x:v>ZAR</x:v>
      </x:c>
      <x:c r="F260" s="15" t="str">
        <x:v>Current a/c..512781 / card..2924</x:v>
      </x:c>
      <x:c r="G260" s="15" t="str">
        <x:v>Supplier payments</x:v>
      </x:c>
      <x:c r="H260" s="15" t="str">
        <x:v>Card purchase</x:v>
      </x:c>
      <x:c r="I260" s="15" t="str">
        <x:v>High</x:v>
      </x:c>
      <x:c r="J260" s="15" t="str">
        <x:v>eml_ALL_currentac__512781 (2).zip &gt; eml7currentac__512781.zip / FNB _-) R1235.30 reserved for purchase @ Superspar Komatipoor from Current a_c..512781 using card..2924. 31Jan 13_26.eml</x:v>
      </x:c>
    </x:row>
    <x:row r="261">
      <x:c r="A261" s="34" t="n">
        <x:v>46053.57152777778</x:v>
      </x:c>
      <x:c r="B261" s="15" t="str">
        <x:v>Pep Home 5771 Komati</x:v>
      </x:c>
      <x:c r="C261" s="15" t="str">
        <x:v>R275.02 reserved for purchase @ Pep Home 5771 Komati from Current a/c..512781 using card..2924. Avail R18905. 31Jan 13:43</x:v>
      </x:c>
      <x:c r="D261" s="38" t="n">
        <x:v>275.02</x:v>
      </x:c>
      <x:c r="E261" s="15" t="str">
        <x:v>ZAR</x:v>
      </x:c>
      <x:c r="F261" s="15" t="str">
        <x:v>Current a/c..512781 / card..2924</x:v>
      </x:c>
      <x:c r="G261" s="15" t="str">
        <x:v>Supplier payments</x:v>
      </x:c>
      <x:c r="H261" s="15" t="str">
        <x:v>Card purchase</x:v>
      </x:c>
      <x:c r="I261" s="15" t="str">
        <x:v>High</x:v>
      </x:c>
      <x:c r="J261" s="15" t="str">
        <x:v>eml_ALL_currentac__512781 (2).zip &gt; eml7currentac__512781.zip / FNB _-) R275.02 reserved for purchase @ Pep Home 5771 Komati from Current a_c..512781 using card..2924. 31Jan 13_43.eml</x:v>
      </x:c>
    </x:row>
    <x:row r="262">
      <x:c r="A262" s="34" t="n">
        <x:v>46054.34583333333</x:v>
      </x:c>
      <x:c r="B262" s="15" t="str">
        <x:v>Ac De Jager Vleis</x:v>
      </x:c>
      <x:c r="C262" s="15" t="str">
        <x:v>R1707.86 paid from Current a/c..512781 @ Smartapp. Avail R17005. Ref.Ac De Jager Vleis. 1Feb 08:18</x:v>
      </x:c>
      <x:c r="D262" s="38" t="n">
        <x:v>1707.86</x:v>
      </x:c>
      <x:c r="E262" s="15" t="str">
        <x:v>ZAR</x:v>
      </x:c>
      <x:c r="F262" s="15" t="str">
        <x:v>Current a/c..512781</x:v>
      </x:c>
      <x:c r="G262" s="15" t="str">
        <x:v>Supplier payments</x:v>
      </x:c>
      <x:c r="H262" s="15" t="str">
        <x:v>EFT payment</x:v>
      </x:c>
      <x:c r="I262" s="15" t="str">
        <x:v>High</x:v>
      </x:c>
      <x:c r="J262" s="15" t="str">
        <x:v>eml_ALL_currentac__512781 (2).zip &gt; eml7currentac__512781.zip / FNB _-) R1707.86 paid from Current a_c..512781 @ Smartapp. Ref.Ac De Jager Vleis.  1Feb 08_18.eml</x:v>
      </x:c>
    </x:row>
    <x:row r="263">
      <x:c r="A263" s="34" t="n">
        <x:v>46054.46597222222</x:v>
      </x:c>
      <x:c r="B263" s="15" t="str">
        <x:v>Honeysucker</x:v>
      </x:c>
      <x:c r="C263" s="15" t="str">
        <x:v>R1500.00 paid from Current a/c..512781 @ Smartapp. Avail R15505. Ref.Honeysucker. 1Feb 11:11</x:v>
      </x:c>
      <x:c r="D263" s="38" t="n">
        <x:v>1500</x:v>
      </x:c>
      <x:c r="E263" s="15" t="str">
        <x:v>ZAR</x:v>
      </x:c>
      <x:c r="F263" s="15" t="str">
        <x:v>Current a/c..512781</x:v>
      </x:c>
      <x:c r="G263" s="15" t="str">
        <x:v>Supplier payments</x:v>
      </x:c>
      <x:c r="H263" s="15" t="str">
        <x:v>EFT payment</x:v>
      </x:c>
      <x:c r="I263" s="15" t="str">
        <x:v>High</x:v>
      </x:c>
      <x:c r="J263" s="15" t="str">
        <x:v>eml_ALL_currentac__512781 (2).zip &gt; eml7currentac__512781.zip / FNB _-) R1500.00 paid from Current a_c..512781 @ Smartapp. Ref.Honeysucker.  1Feb 11_11.eml</x:v>
      </x:c>
    </x:row>
    <x:row r="264">
      <x:c r="A264" s="34" t="n">
        <x:v>46054.768055555556</x:v>
      </x:c>
      <x:c r="B264" s="15" t="str">
        <x:v>The Tin Shack</x:v>
      </x:c>
      <x:c r="C264" s="15" t="str">
        <x:v>R625.00 reserved for purchase @ The Tin Shack from Current a/c..512781 using card..2924. Avail R14880. 1Feb 18:26</x:v>
      </x:c>
      <x:c r="D264" s="38" t="n">
        <x:v>625</x:v>
      </x:c>
      <x:c r="E264" s="15" t="str">
        <x:v>ZAR</x:v>
      </x:c>
      <x:c r="F264" s="15" t="str">
        <x:v>Current a/c..512781 / card..2924</x:v>
      </x:c>
      <x:c r="G264" s="15" t="str">
        <x:v>Meals / restaurants / entertainment</x:v>
      </x:c>
      <x:c r="H264" s="15" t="str">
        <x:v>Card purchase</x:v>
      </x:c>
      <x:c r="I264" s="15" t="str">
        <x:v>High</x:v>
      </x:c>
      <x:c r="J264" s="15" t="str">
        <x:v>eml_ALL_currentac__512781 (2).zip &gt; eml7currentac__512781.zip / FNB _-) R625.00 reserved for purchase @ The Tin Shack from Current a_c..512781 using card..2924.  1Feb 18_26.eml</x:v>
      </x:c>
    </x:row>
    <x:row r="265">
      <x:c r="A265" s="34" t="n">
        <x:v>46054.819444444445</x:v>
      </x:c>
      <x:c r="B265" s="15" t="str">
        <x:v>Sqsp* Domain</x:v>
      </x:c>
      <x:c r="C265" s="15" t="str">
        <x:v>R419.34 reserved for purchase @ Sqsp* Domain from Current a/c..512781 using card..2924. Avail R14461. 1Feb 19:40</x:v>
      </x:c>
      <x:c r="D265" s="38" t="n">
        <x:v>419.34</x:v>
      </x:c>
      <x:c r="E265" s="15" t="str">
        <x:v>ZAR</x:v>
      </x:c>
      <x:c r="F265" s="15" t="str">
        <x:v>Current a/c..512781 / card..2924</x:v>
      </x:c>
      <x:c r="G265" s="15" t="str">
        <x:v>Software / subscriptions</x:v>
      </x:c>
      <x:c r="H265" s="15" t="str">
        <x:v>Card purchase</x:v>
      </x:c>
      <x:c r="I265" s="15" t="str">
        <x:v>High</x:v>
      </x:c>
      <x:c r="J265" s="15" t="str">
        <x:v>eml_ALL_currentac__512781 (2).zip &gt; eml7currentac__512781.zip / FNB _-) R419.34 reserved for purchase @ Sqsp_ Domain from Current a_c..512781 using card..2924.  1Feb 19_40.eml</x:v>
      </x:c>
    </x:row>
    <x:row r="266">
      <x:c r="A266" s="34" t="n">
        <x:v>46055.41527777778</x:v>
      </x:c>
      <x:c r="B266" s="15" t="str">
        <x:v>Kpci - C1736 Feb</x:v>
      </x:c>
      <x:c r="C266" s="15" t="str">
        <x:v>R500.00 paid from Current a/c..512781 @ Smartapp. Avail R13961. Ref.Kpci - C1736 Feb. 2Feb 09:58</x:v>
      </x:c>
      <x:c r="D266" s="38" t="n">
        <x:v>500</x:v>
      </x:c>
      <x:c r="E266" s="15" t="str">
        <x:v>ZAR</x:v>
      </x:c>
      <x:c r="F266" s="15" t="str">
        <x:v>Current a/c..512781</x:v>
      </x:c>
      <x:c r="G266" s="15" t="str">
        <x:v>Supplier payments</x:v>
      </x:c>
      <x:c r="H266" s="15" t="str">
        <x:v>EFT payment</x:v>
      </x:c>
      <x:c r="I266" s="15" t="str">
        <x:v>High</x:v>
      </x:c>
      <x:c r="J266" s="15" t="str">
        <x:v>eml_ALL_currentac__512781 (2).zip &gt; eml7currentac__512781.zip / FNB _-) R500.00 paid from Current a_c..512781 @ Smartapp. Ref.Kpci - C1736 Feb.  2Feb 09_58.eml</x:v>
      </x:c>
    </x:row>
    <x:row r="267">
      <x:c r="A267" s="34" t="n">
        <x:v>46055.416666666664</x:v>
      </x:c>
      <x:c r="B267" s="15" t="str">
        <x:v>Deon"s Diy</x:v>
      </x:c>
      <x:c r="C267" s="15" t="str">
        <x:v>R300.00 paid from Current a/c..512781 @ Smartapp. Avail R13661. Ref.Deon"s Diy. 2Feb 10:00</x:v>
      </x:c>
      <x:c r="D267" s="38" t="n">
        <x:v>300</x:v>
      </x:c>
      <x:c r="E267" s="15" t="str">
        <x:v>ZAR</x:v>
      </x:c>
      <x:c r="F267" s="15" t="str">
        <x:v>Current a/c..512781</x:v>
      </x:c>
      <x:c r="G267" s="15" t="str">
        <x:v>Supplier payments</x:v>
      </x:c>
      <x:c r="H267" s="15" t="str">
        <x:v>EFT payment</x:v>
      </x:c>
      <x:c r="I267" s="15" t="str">
        <x:v>High</x:v>
      </x:c>
      <x:c r="J267" s="15" t="str">
        <x:v>eml_ALL_currentac__512781 (2).zip &gt; eml7currentac__512781.zip / FNB _-) R300.00 paid from Current a_c..512781 @ Smartapp. Ref.Deon_s Diy.  2Feb 10_00.eml</x:v>
      </x:c>
    </x:row>
    <x:row r="268">
      <x:c r="A268" s="34" t="n">
        <x:v>46055.42638888889</x:v>
      </x:c>
      <x:c r="B268" s="15" t="str">
        <x:v>Southern Kruger - Sw</x:v>
      </x:c>
      <x:c r="C268" s="15" t="str">
        <x:v>R4900.00 paid from Current a/c..512781 @ Smartapp. Avail R8761. Ref.Southern Kruger - Sw. 2Feb 10:14</x:v>
      </x:c>
      <x:c r="D268" s="38" t="n">
        <x:v>4900</x:v>
      </x:c>
      <x:c r="E268" s="15" t="str">
        <x:v>ZAR</x:v>
      </x:c>
      <x:c r="F268" s="15" t="str">
        <x:v>Current a/c..512781</x:v>
      </x:c>
      <x:c r="G268" s="15" t="str">
        <x:v>Supplier payments</x:v>
      </x:c>
      <x:c r="H268" s="15" t="str">
        <x:v>EFT payment</x:v>
      </x:c>
      <x:c r="I268" s="15" t="str">
        <x:v>High</x:v>
      </x:c>
      <x:c r="J268" s="15" t="str">
        <x:v>eml_ALL_currentac__512781 (2).zip &gt; eml7currentac__512781.zip / FNB _-) R4900.00 paid from Current a_c..512781 @ Smartapp. Ref.Southern Kruger - Sw.  2Feb 10_14.eml</x:v>
      </x:c>
    </x:row>
    <x:row r="269">
      <x:c r="A269" s="34" t="n">
        <x:v>46055.615277777775</x:v>
      </x:c>
      <x:c r="B269" s="15" t="str">
        <x:v>Savemor Marloth</x:v>
      </x:c>
      <x:c r="C269" s="15" t="str">
        <x:v>R113.44 reserved for purchase @ Savemor Marloth from Current a/c..512781 using card..2924. Avail R26164. 2Feb 14:46</x:v>
      </x:c>
      <x:c r="D269" s="38" t="n">
        <x:v>113.44</x:v>
      </x:c>
      <x:c r="E269" s="15" t="str">
        <x:v>ZAR</x:v>
      </x:c>
      <x:c r="F269" s="15" t="str">
        <x:v>Current a/c..512781 / card..2924</x:v>
      </x:c>
      <x:c r="G269" s="15" t="str">
        <x:v>Supplier payments</x:v>
      </x:c>
      <x:c r="H269" s="15" t="str">
        <x:v>Card purchase</x:v>
      </x:c>
      <x:c r="I269" s="15" t="str">
        <x:v>High</x:v>
      </x:c>
      <x:c r="J269" s="15" t="str">
        <x:v>eml_ALL_currentac__512781 (2).zip &gt; eml7currentac__512781.zip / FNB _-) R113.44 reserved for purchase @ Savemor Marloth from Current a_c..512781 using card..2924.  2Feb 14_46.eml</x:v>
      </x:c>
    </x:row>
    <x:row r="270">
      <x:c r="A270" s="34" t="n">
        <x:v>46055.63333333333</x:v>
      </x:c>
      <x:c r="B270" s="15" t="str">
        <x:v>Royal Bush 3597</x:v>
      </x:c>
      <x:c r="C270" s="15" t="str">
        <x:v>R6472.00 paid from Current a/c..512781 @ Smartapp. Avail R19950. Ref.Royal Bush 3597. 2Feb 15:12</x:v>
      </x:c>
      <x:c r="D270" s="38" t="n">
        <x:v>6472</x:v>
      </x:c>
      <x:c r="E270" s="15" t="str">
        <x:v>ZAR</x:v>
      </x:c>
      <x:c r="F270" s="15" t="str">
        <x:v>Current a/c..512781</x:v>
      </x:c>
      <x:c r="G270" s="15" t="str">
        <x:v>Supplier payments</x:v>
      </x:c>
      <x:c r="H270" s="15" t="str">
        <x:v>EFT payment</x:v>
      </x:c>
      <x:c r="I270" s="15" t="str">
        <x:v>High</x:v>
      </x:c>
      <x:c r="J270" s="15" t="str">
        <x:v>eml_ALL_currentac__512781 (2).zip &gt; eml7currentac__512781.zip / FNB _-) R6472.00 paid from Current a_c..512781 @ Smartapp. Ref.Royal Bush 3597.  2Feb 15_12.eml</x:v>
      </x:c>
    </x:row>
    <x:row r="271">
      <x:c r="A271" s="34" t="n">
        <x:v>46056.48263888889</x:v>
      </x:c>
      <x:c r="B271" s="15" t="str">
        <x:v>Sparkling Auto Nelsp</x:v>
      </x:c>
      <x:c r="C271" s="15" t="str">
        <x:v>R170.00 reserved for purchase @ Sparkling Auto Nelsp from Current a/c..512781 using card..2924. Avail R19685. 3Feb 11:35</x:v>
      </x:c>
      <x:c r="D271" s="38" t="n">
        <x:v>170</x:v>
      </x:c>
      <x:c r="E271" s="15" t="str">
        <x:v>ZAR</x:v>
      </x:c>
      <x:c r="F271" s="15" t="str">
        <x:v>Current a/c..512781 / card..2924</x:v>
      </x:c>
      <x:c r="G271" s="15" t="str">
        <x:v>Supplier payments</x:v>
      </x:c>
      <x:c r="H271" s="15" t="str">
        <x:v>Card purchase</x:v>
      </x:c>
      <x:c r="I271" s="15" t="str">
        <x:v>High</x:v>
      </x:c>
      <x:c r="J271" s="15" t="str">
        <x:v>eml_ALL_currentac__512781 (2).zip &gt; eml7currentac__512781.zip / FNB _-) R170.00 reserved for purchase @ Sparkling Auto Nelsp from Current a_c..512781 using card..2924.  3Feb 11_35.eml</x:v>
      </x:c>
    </x:row>
    <x:row r="272">
      <x:c r="A272" s="34" t="n">
        <x:v>46056.50347222222</x:v>
      </x:c>
      <x:c r="B272" s="15" t="str">
        <x:v>Superspar The Grove</x:v>
      </x:c>
      <x:c r="C272" s="15" t="str">
        <x:v>R299.97 reserved for purchase @ Superspar The Grove from Current a/c..512781 using card..2924. Avail R19385. 3Feb 12:05</x:v>
      </x:c>
      <x:c r="D272" s="38" t="n">
        <x:v>299.97</x:v>
      </x:c>
      <x:c r="E272" s="15" t="str">
        <x:v>ZAR</x:v>
      </x:c>
      <x:c r="F272" s="15" t="str">
        <x:v>Current a/c..512781 / card..2924</x:v>
      </x:c>
      <x:c r="G272" s="15" t="str">
        <x:v>Supplier payments</x:v>
      </x:c>
      <x:c r="H272" s="15" t="str">
        <x:v>Card purchase</x:v>
      </x:c>
      <x:c r="I272" s="15" t="str">
        <x:v>High</x:v>
      </x:c>
      <x:c r="J272" s="15" t="str">
        <x:v>eml_ALL_currentac__512781 (2).zip &gt; eml7currentac__512781.zip / FNB _-) R299.97 reserved for purchase @ Superspar The Grove from Current a_c..512781 using card..2924.  3Feb 12_05.eml</x:v>
      </x:c>
    </x:row>
    <x:row r="273">
      <x:c r="A273" s="34" t="n">
        <x:v>46056.54375</x:v>
      </x:c>
      <x:c r="B273" s="15" t="str">
        <x:v>Engen Prime Corner C</x:v>
      </x:c>
      <x:c r="C273" s="15" t="str">
        <x:v>R500.00 reserved for purchase @ Engen Prime Corner C from Current a/c..512781 using card..2924. Avail R18885. 3Feb 13:03</x:v>
      </x:c>
      <x:c r="D273" s="38" t="n">
        <x:v>500</x:v>
      </x:c>
      <x:c r="E273" s="15" t="str">
        <x:v>ZAR</x:v>
      </x:c>
      <x:c r="F273" s="15" t="str">
        <x:v>Current a/c..512781 / card..2924</x:v>
      </x:c>
      <x:c r="G273" s="15" t="str">
        <x:v>Fuel / transport</x:v>
      </x:c>
      <x:c r="H273" s="15" t="str">
        <x:v>Card purchase</x:v>
      </x:c>
      <x:c r="I273" s="15" t="str">
        <x:v>High</x:v>
      </x:c>
      <x:c r="J273" s="15" t="str">
        <x:v>eml_ALL_currentac__512781 (2).zip &gt; eml7currentac__512781.zip / FNB _-) R500.00 reserved for purchase @ Engen Prime Corner C from Current a_c..512781 using card..2924.  3Feb 13_03.eml</x:v>
      </x:c>
    </x:row>
    <x:row r="274">
      <x:c r="A274" s="34" t="n">
        <x:v>46057.333333333336</x:v>
      </x:c>
      <x:c r="B274" s="15" t="str">
        <x:v>Electricity 04294887</x:v>
      </x:c>
      <x:c r="C274" s="15" t="str">
        <x:v>R500.00 paid from Current a/c..512781 @ Smartapp. Avail R18194. Ref.Electricity 04294887. 4Feb 08:00</x:v>
      </x:c>
      <x:c r="D274" s="38" t="n">
        <x:v>500</x:v>
      </x:c>
      <x:c r="E274" s="15" t="str">
        <x:v>ZAR</x:v>
      </x:c>
      <x:c r="F274" s="15" t="str">
        <x:v>Current a/c..512781</x:v>
      </x:c>
      <x:c r="G274" s="15" t="str">
        <x:v>Telecom / utilities</x:v>
      </x:c>
      <x:c r="H274" s="15" t="str">
        <x:v>EFT payment</x:v>
      </x:c>
      <x:c r="I274" s="15" t="str">
        <x:v>High</x:v>
      </x:c>
      <x:c r="J274" s="15" t="str">
        <x:v>eml_ALL_currentac__512781 (2).zip &gt; eml7currentac__512781.zip / FNB _-) R500.00 paid from Current a_c..512781 @ Smartapp. Ref.Electricity 04294887.  4Feb 08_00.eml</x:v>
      </x:c>
    </x:row>
    <x:row r="275">
      <x:c r="A275" s="34" t="n">
        <x:v>46057.51527777778</x:v>
      </x:c>
      <x:c r="B275" s="15" t="str">
        <x:v>Kruger Safari 1681</x:v>
      </x:c>
      <x:c r="C275" s="15" t="str">
        <x:v>R6008.00 paid from Current a/c..512781 @ Gen Ph. Avail R12171. Ref.Kruger Safari 1681. 4Feb 12:22</x:v>
      </x:c>
      <x:c r="D275" s="38" t="n">
        <x:v>6008</x:v>
      </x:c>
      <x:c r="E275" s="15" t="str">
        <x:v>ZAR</x:v>
      </x:c>
      <x:c r="F275" s="15" t="str">
        <x:v>Current a/c..512781</x:v>
      </x:c>
      <x:c r="G275" s="15" t="str">
        <x:v>Supplier payments</x:v>
      </x:c>
      <x:c r="H275" s="15" t="str">
        <x:v>EFT payment</x:v>
      </x:c>
      <x:c r="I275" s="15" t="str">
        <x:v>High</x:v>
      </x:c>
      <x:c r="J275" s="15" t="str">
        <x:v>eml_ALL_currentac__512781 (2).zip &gt; eml7currentac__512781.zip / FNB _-) R6008.00 paid from Current a_c..512781 @ Gen Ph. Ref.Kruger Safari 1681.  4Feb 12_22.eml</x:v>
      </x:c>
    </x:row>
    <x:row r="276">
      <x:c r="A276" s="34" t="n">
        <x:v>46057.62986111111</x:v>
      </x:c>
      <x:c r="B276" s="15" t="str">
        <x:v>Savemor Marloth</x:v>
      </x:c>
      <x:c r="C276" s="15" t="str">
        <x:v>R524.81 reserved for purchase @ Savemor Marloth from Current a/c..512781 using card..2924. Avail R11646. 4Feb 15:07</x:v>
      </x:c>
      <x:c r="D276" s="38" t="n">
        <x:v>524.81</x:v>
      </x:c>
      <x:c r="E276" s="15" t="str">
        <x:v>ZAR</x:v>
      </x:c>
      <x:c r="F276" s="15" t="str">
        <x:v>Current a/c..512781 / card..2924</x:v>
      </x:c>
      <x:c r="G276" s="15" t="str">
        <x:v>Supplier payments</x:v>
      </x:c>
      <x:c r="H276" s="15" t="str">
        <x:v>Card purchase</x:v>
      </x:c>
      <x:c r="I276" s="15" t="str">
        <x:v>High</x:v>
      </x:c>
      <x:c r="J276" s="15" t="str">
        <x:v>eml_ALL_currentac__512781 (2).zip &gt; eml7currentac__512781.zip / FNB _-) R524.81 reserved for purchase @ Savemor Marloth from Current a_c..512781 using card..2924.  4Feb 15_07.eml</x:v>
      </x:c>
    </x:row>
    <x:row r="277">
      <x:c r="A277" s="34" t="n">
        <x:v>46058.38333333333</x:v>
      </x:c>
      <x:c r="B277" s="15" t="str">
        <x:v>Laundry Bigbay</x:v>
      </x:c>
      <x:c r="C277" s="15" t="str">
        <x:v>R442.25 paid from Current a/c..512781 @ Smartapp. Avail R11189. Ref.Laundry Bigbay. 5Feb 09:12</x:v>
      </x:c>
      <x:c r="D277" s="38" t="n">
        <x:v>442.25</x:v>
      </x:c>
      <x:c r="E277" s="15" t="str">
        <x:v>ZAR</x:v>
      </x:c>
      <x:c r="F277" s="15" t="str">
        <x:v>Current a/c..512781</x:v>
      </x:c>
      <x:c r="G277" s="15" t="str">
        <x:v>Supplier payments</x:v>
      </x:c>
      <x:c r="H277" s="15" t="str">
        <x:v>EFT payment</x:v>
      </x:c>
      <x:c r="I277" s="15" t="str">
        <x:v>High</x:v>
      </x:c>
      <x:c r="J277" s="15" t="str">
        <x:v>eml_ALL_currentac__512781 (2).zip &gt; eml7currentac__512781.zip / FNB _-) R442.25 paid from Current a_c..512781 @ Smartapp. Ref.Laundry Bigbay.  5Feb 09_12.eml</x:v>
      </x:c>
    </x:row>
    <x:row r="278">
      <x:c r="A278" s="34" t="n">
        <x:v>46058.490277777775</x:v>
      </x:c>
      <x:c r="B278" s="15" t="str">
        <x:v>Superspar Komatipoor</x:v>
      </x:c>
      <x:c r="C278" s="15" t="str">
        <x:v>R1791.43 reserved for purchase @ Superspar Komatipoor from Current a/c..512781 using card..2924. Avail R9397. 5Feb 11:46</x:v>
      </x:c>
      <x:c r="D278" s="38" t="n">
        <x:v>1791.43</x:v>
      </x:c>
      <x:c r="E278" s="15" t="str">
        <x:v>ZAR</x:v>
      </x:c>
      <x:c r="F278" s="15" t="str">
        <x:v>Current a/c..512781 / card..2924</x:v>
      </x:c>
      <x:c r="G278" s="15" t="str">
        <x:v>Supplier payments</x:v>
      </x:c>
      <x:c r="H278" s="15" t="str">
        <x:v>Card purchase</x:v>
      </x:c>
      <x:c r="I278" s="15" t="str">
        <x:v>High</x:v>
      </x:c>
      <x:c r="J278" s="15" t="str">
        <x:v>eml_ALL_currentac__512781 (2).zip &gt; eml7currentac__512781.zip / FNB _-) R1791.43 reserved for purchase @ Superspar Komatipoor from Current a_c..512781 using card..2924.  5Feb 11_46.eml</x:v>
      </x:c>
    </x:row>
    <x:row r="279">
      <x:c r="A279" s="34" t="n">
        <x:v>46058.50486111111</x:v>
      </x:c>
      <x:c r="B279" s="15" t="str">
        <x:v>Obaro Komatipoort Fc</x:v>
      </x:c>
      <x:c r="C279" s="15" t="str">
        <x:v>R600.00 reserved for purchase @ Obaro Komatipoort Fc from Current a/c..512781 using card..2924. Avail R8797. 5Feb 12:07</x:v>
      </x:c>
      <x:c r="D279" s="38" t="n">
        <x:v>600</x:v>
      </x:c>
      <x:c r="E279" s="15" t="str">
        <x:v>ZAR</x:v>
      </x:c>
      <x:c r="F279" s="15" t="str">
        <x:v>Current a/c..512781 / card..2924</x:v>
      </x:c>
      <x:c r="G279" s="15" t="str">
        <x:v>Supplier payments</x:v>
      </x:c>
      <x:c r="H279" s="15" t="str">
        <x:v>Card purchase</x:v>
      </x:c>
      <x:c r="I279" s="15" t="str">
        <x:v>High</x:v>
      </x:c>
      <x:c r="J279" s="15" t="str">
        <x:v>eml_ALL_currentac__512781 (2).zip &gt; eml7currentac__512781.zip / FNB _-) R600.00 reserved for purchase @ Obaro Komatipoort Fc from Current a_c..512781 using card..2924.  5Feb 12_07.eml</x:v>
      </x:c>
    </x:row>
    <x:row r="280">
      <x:c r="A280" s="34" t="n">
        <x:v>46058.510416666664</x:v>
      </x:c>
      <x:c r="B280" s="15" t="str">
        <x:v>Oasis Water Komatipo</x:v>
      </x:c>
      <x:c r="C280" s="15" t="str">
        <x:v>R254.40 reserved for purchase @ Oasis Water Komatipo from Current a/c..512781 using card..2924. Avail R8543. 5Feb 12:15</x:v>
      </x:c>
      <x:c r="D280" s="38" t="n">
        <x:v>254.4</x:v>
      </x:c>
      <x:c r="E280" s="15" t="str">
        <x:v>ZAR</x:v>
      </x:c>
      <x:c r="F280" s="15" t="str">
        <x:v>Current a/c..512781 / card..2924</x:v>
      </x:c>
      <x:c r="G280" s="15" t="str">
        <x:v>Supplier payments</x:v>
      </x:c>
      <x:c r="H280" s="15" t="str">
        <x:v>Card purchase</x:v>
      </x:c>
      <x:c r="I280" s="15" t="str">
        <x:v>High</x:v>
      </x:c>
      <x:c r="J280" s="15" t="str">
        <x:v>eml_ALL_currentac__512781 (2).zip &gt; eml7currentac__512781.zip / FNB _-) R254.40 reserved for purchase @ Oasis Water Komatipo from Current a_c..512781 using card..2924.  5Feb 12_15.eml</x:v>
      </x:c>
    </x:row>
    <x:row r="281">
      <x:c r="A281" s="34" t="n">
        <x:v>46059.07361111111</x:v>
      </x:c>
      <x:c r="B281" s="15" t="str">
        <x:v>Salary Jan</x:v>
      </x:c>
      <x:c r="C281" s="15" t="str">
        <x:v>R5000.00 paid from Current a/c..512781 @ Gen Ph. Avail R3174. Ref.Salary Jan. 6Feb 01:46</x:v>
      </x:c>
      <x:c r="D281" s="38" t="n">
        <x:v>5000</x:v>
      </x:c>
      <x:c r="E281" s="15" t="str">
        <x:v>ZAR</x:v>
      </x:c>
      <x:c r="F281" s="15" t="str">
        <x:v>Current a/c..512781</x:v>
      </x:c>
      <x:c r="G281" s="15" t="str">
        <x:v>Salary / wages</x:v>
      </x:c>
      <x:c r="H281" s="15" t="str">
        <x:v>EFT payment</x:v>
      </x:c>
      <x:c r="I281" s="15" t="str">
        <x:v>High</x:v>
      </x:c>
      <x:c r="J281" s="15" t="str">
        <x:v>eml_ALL_currentac__512781 (2).zip &gt; eml6currentac__512781.zip / FNB _-) R5000.00 paid from Current a_c..512781 @ Gen Ph. Ref.Salary Jan.  6Feb 01_46.eml</x:v>
      </x:c>
    </x:row>
    <x:row r="282">
      <x:c r="A282" s="34" t="n">
        <x:v>46059.17986111111</x:v>
      </x:c>
      <x:c r="B282" s="15" t="str">
        <x:v>Salary Jan</x:v>
      </x:c>
      <x:c r="C282" s="15" t="str">
        <x:v>R2000.00 paid from Current a/c..512781 @ Smartapp. Avail R1171. Ref.Salary Jan. 6Feb 04:19</x:v>
      </x:c>
      <x:c r="D282" s="38" t="n">
        <x:v>2000</x:v>
      </x:c>
      <x:c r="E282" s="15" t="str">
        <x:v>ZAR</x:v>
      </x:c>
      <x:c r="F282" s="15" t="str">
        <x:v>Current a/c..512781</x:v>
      </x:c>
      <x:c r="G282" s="15" t="str">
        <x:v>Salary / wages</x:v>
      </x:c>
      <x:c r="H282" s="15" t="str">
        <x:v>EFT payment</x:v>
      </x:c>
      <x:c r="I282" s="15" t="str">
        <x:v>High</x:v>
      </x:c>
      <x:c r="J282" s="15" t="str">
        <x:v>eml_ALL_currentac__512781 (2).zip &gt; eml6currentac__512781.zip / FNB _-) R2000.00 paid from Current a_c..512781 @ Smartapp. Ref.Salary Jan.  6Feb 04_19.eml</x:v>
      </x:c>
    </x:row>
    <x:row r="283">
      <x:c r="A283" s="34" t="n">
        <x:v>46059.40833333333</x:v>
      </x:c>
      <x:c r="B283" s="15" t="str">
        <x:v>Savemor Marloth</x:v>
      </x:c>
      <x:c r="C283" s="15" t="str">
        <x:v>R499.99 reserved for purchase @ Savemor Marloth from Current a/c..512781 using card..2924. Avail R671. 6Feb 09:48</x:v>
      </x:c>
      <x:c r="D283" s="38" t="n">
        <x:v>499.99</x:v>
      </x:c>
      <x:c r="E283" s="15" t="str">
        <x:v>ZAR</x:v>
      </x:c>
      <x:c r="F283" s="15" t="str">
        <x:v>Current a/c..512781 / card..2924</x:v>
      </x:c>
      <x:c r="G283" s="15" t="str">
        <x:v>Supplier payments</x:v>
      </x:c>
      <x:c r="H283" s="15" t="str">
        <x:v>Card purchase</x:v>
      </x:c>
      <x:c r="I283" s="15" t="str">
        <x:v>High</x:v>
      </x:c>
      <x:c r="J283" s="15" t="str">
        <x:v>eml_ALL_currentac__512781 (2).zip &gt; eml6currentac__512781.zip / FNB _-) R499.99 reserved for purchase @ Savemor Marloth from Current a_c..512781 using card..2924.  6Feb 09_48.eml</x:v>
      </x:c>
    </x:row>
    <x:row r="284">
      <x:c r="A284" s="34" t="n">
        <x:v>46059.48819444444</x:v>
      </x:c>
      <x:c r="B284" s="15" t="str">
        <x:v>Engen Siyaya Numbi</x:v>
      </x:c>
      <x:c r="C284" s="15" t="str">
        <x:v>R573.50 reserved for purchase @ Engen Siyaya Numbi from Current a/c..512781 using card..2924. Avail R12867. 6Feb 11:43</x:v>
      </x:c>
      <x:c r="D284" s="38" t="n">
        <x:v>573.5</x:v>
      </x:c>
      <x:c r="E284" s="15" t="str">
        <x:v>ZAR</x:v>
      </x:c>
      <x:c r="F284" s="15" t="str">
        <x:v>Current a/c..512781 / card..2924</x:v>
      </x:c>
      <x:c r="G284" s="15" t="str">
        <x:v>Fuel / transport</x:v>
      </x:c>
      <x:c r="H284" s="15" t="str">
        <x:v>Card purchase</x:v>
      </x:c>
      <x:c r="I284" s="15" t="str">
        <x:v>High</x:v>
      </x:c>
      <x:c r="J284" s="15" t="str">
        <x:v>eml_ALL_currentac__512781 (2).zip &gt; eml6currentac__512781.zip / FNB _-) R573.50 reserved for purchase @ Engen Siyaya Numbi from Current a_c..512781 using card..2924.  6Feb 11_43.eml</x:v>
      </x:c>
    </x:row>
    <x:row r="285">
      <x:c r="A285" s="34" t="n">
        <x:v>46059.65833333333</x:v>
      </x:c>
      <x:c r="B285" s="15" t="str">
        <x:v>Sakkie Wages</x:v>
      </x:c>
      <x:c r="C285" s="15" t="str">
        <x:v>R600.00 paid from Current a/c..512781 @ Smartapp. Avail R12167. Ref.Sakkie Wages. 6Feb 15:48</x:v>
      </x:c>
      <x:c r="D285" s="38" t="n">
        <x:v>600</x:v>
      </x:c>
      <x:c r="E285" s="15" t="str">
        <x:v>ZAR</x:v>
      </x:c>
      <x:c r="F285" s="15" t="str">
        <x:v>Current a/c..512781</x:v>
      </x:c>
      <x:c r="G285" s="15" t="str">
        <x:v>Salary / wages</x:v>
      </x:c>
      <x:c r="H285" s="15" t="str">
        <x:v>EFT payment</x:v>
      </x:c>
      <x:c r="I285" s="15" t="str">
        <x:v>High</x:v>
      </x:c>
      <x:c r="J285" s="15" t="str">
        <x:v>eml_ALL_currentac__512781 (2).zip &gt; eml6currentac__512781.zip / FNB _-) R600.00 paid from Current a_c..512781 @ Smartapp. Ref.Sakkie Wages.  6Feb 15_48.eml</x:v>
      </x:c>
    </x:row>
    <x:row r="286">
      <x:c r="A286" s="34" t="n">
        <x:v>46059.73472222222</x:v>
      </x:c>
      <x:c r="B286" s="15" t="str">
        <x:v>Savemor Marloth Liqu</x:v>
      </x:c>
      <x:c r="C286" s="15" t="str">
        <x:v>R469.95 reserved for purchase @ Savemor Marloth Liqu from Current a/c..512781 using card..2924. Avail R11619. 6Feb 17:38</x:v>
      </x:c>
      <x:c r="D286" s="38" t="n">
        <x:v>469.95</x:v>
      </x:c>
      <x:c r="E286" s="15" t="str">
        <x:v>ZAR</x:v>
      </x:c>
      <x:c r="F286" s="15" t="str">
        <x:v>Current a/c..512781 / card..2924</x:v>
      </x:c>
      <x:c r="G286" s="15" t="str">
        <x:v>Meals / restaurants / entertainment</x:v>
      </x:c>
      <x:c r="H286" s="15" t="str">
        <x:v>Card purchase</x:v>
      </x:c>
      <x:c r="I286" s="15" t="str">
        <x:v>High</x:v>
      </x:c>
      <x:c r="J286" s="15" t="str">
        <x:v>eml_ALL_currentac__512781 (2).zip &gt; eml6currentac__512781.zip / FNB _-) R469.95 reserved for purchase @ Savemor Marloth Liqu from Current a_c..512781 using card..2924.  6Feb 17_38.eml</x:v>
      </x:c>
    </x:row>
    <x:row r="287">
      <x:c r="A287" s="34" t="n">
        <x:v>46060.42083333333</x:v>
      </x:c>
      <x:c r="B287" s="15" t="str">
        <x:v>Sasol Emkhatsini</x:v>
      </x:c>
      <x:c r="C287" s="15" t="str">
        <x:v>R500.00 reserved for purchase @ Sasol Emkhatsini from Current a/c..512781 using card..2924. Avail R11011. 7Feb 10:06</x:v>
      </x:c>
      <x:c r="D287" s="38" t="n">
        <x:v>500</x:v>
      </x:c>
      <x:c r="E287" s="15" t="str">
        <x:v>ZAR</x:v>
      </x:c>
      <x:c r="F287" s="15" t="str">
        <x:v>Current a/c..512781 / card..2924</x:v>
      </x:c>
      <x:c r="G287" s="15" t="str">
        <x:v>Fuel / transport</x:v>
      </x:c>
      <x:c r="H287" s="15" t="str">
        <x:v>Card purchase</x:v>
      </x:c>
      <x:c r="I287" s="15" t="str">
        <x:v>High</x:v>
      </x:c>
      <x:c r="J287" s="15" t="str">
        <x:v>eml_ALL_currentac__512781 (2).zip &gt; eml6currentac__512781.zip / FNB _-) R500.00 reserved for purchase @ Sasol Emkhatsini from Current a_c..512781 using card..2924.  7Feb 10_06.eml</x:v>
      </x:c>
    </x:row>
    <x:row r="288">
      <x:c r="A288" s="34" t="n">
        <x:v>46060.45763888889</x:v>
      </x:c>
      <x:c r="B288" s="15" t="str">
        <x:v>Superspar Malelane</x:v>
      </x:c>
      <x:c r="C288" s="15" t="str">
        <x:v>R339.97 reserved for purchase @ Superspar Malelane from Current a/c..512781 using card..2924. Avail R16674. 7Feb 10:59</x:v>
      </x:c>
      <x:c r="D288" s="38" t="n">
        <x:v>339.97</x:v>
      </x:c>
      <x:c r="E288" s="15" t="str">
        <x:v>ZAR</x:v>
      </x:c>
      <x:c r="F288" s="15" t="str">
        <x:v>Current a/c..512781 / card..2924</x:v>
      </x:c>
      <x:c r="G288" s="15" t="str">
        <x:v>Supplier payments</x:v>
      </x:c>
      <x:c r="H288" s="15" t="str">
        <x:v>Card purchase</x:v>
      </x:c>
      <x:c r="I288" s="15" t="str">
        <x:v>High</x:v>
      </x:c>
      <x:c r="J288" s="15" t="str">
        <x:v>eml_ALL_currentac__512781 (2).zip &gt; eml6currentac__512781.zip / FNB _-) R339.97 reserved for purchase @ Superspar Malelane from Current a_c..512781 using card..2924.  7Feb 10_59.eml</x:v>
      </x:c>
    </x:row>
    <x:row r="289">
      <x:c r="A289" s="34" t="n">
        <x:v>46060.53402777778</x:v>
      </x:c>
      <x:c r="B289" s="15" t="str">
        <x:v>Atmh11960000001</x:v>
      </x:c>
      <x:c r="C289" s="15" t="str">
        <x:v>R200.00 withdrawn from Current a/c..512781 using card..2924 @ Atmh11960000001. Avail R16474. 7Feb 12:49</x:v>
      </x:c>
      <x:c r="D289" s="38" t="n">
        <x:v>200</x:v>
      </x:c>
      <x:c r="E289" s="15" t="str">
        <x:v>ZAR</x:v>
      </x:c>
      <x:c r="F289" s="15" t="str">
        <x:v>Current a/c..512781 / card..2924</x:v>
      </x:c>
      <x:c r="G289" s="15" t="str">
        <x:v>Cash withdrawal</x:v>
      </x:c>
      <x:c r="H289" s="15" t="str">
        <x:v>ATM / cash withdrawal</x:v>
      </x:c>
      <x:c r="I289" s="15" t="str">
        <x:v>High</x:v>
      </x:c>
      <x:c r="J289" s="15" t="str">
        <x:v>eml_ALL_currentac__512781 (2).zip &gt; eml6currentac__512781.zip / FNB _-) R200.00 withdrawn from Current a_c..512781 using card..2924 @ Atmh11960000001.  7Feb 12_49.eml</x:v>
      </x:c>
    </x:row>
    <x:row r="290">
      <x:c r="A290" s="34" t="n">
        <x:v>46060.535416666666</x:v>
      </x:c>
      <x:c r="B290" s="15" t="str">
        <x:v>Atmh11960000001</x:v>
      </x:c>
      <x:c r="C290" s="15" t="str">
        <x:v>R200.00 withdrawn from Current a/c..512781 using card..2924 @ Atmh11960000001. Avail R16474. 7Feb 12:51</x:v>
      </x:c>
      <x:c r="D290" s="38" t="n">
        <x:v>200</x:v>
      </x:c>
      <x:c r="E290" s="15" t="str">
        <x:v>ZAR</x:v>
      </x:c>
      <x:c r="F290" s="15" t="str">
        <x:v>Current a/c..512781 / card..2924</x:v>
      </x:c>
      <x:c r="G290" s="15" t="str">
        <x:v>Cash withdrawal</x:v>
      </x:c>
      <x:c r="H290" s="15" t="str">
        <x:v>ATM / cash withdrawal</x:v>
      </x:c>
      <x:c r="I290" s="15" t="str">
        <x:v>High</x:v>
      </x:c>
      <x:c r="J290" s="15" t="str">
        <x:v>eml_ALL_currentac__512781 (2).zip &gt; eml6currentac__512781.zip / FNB _-) R200.00 withdrawn from Current a_c..512781 using card..2924 @ Atmh11960000001.  7Feb 12_51.eml</x:v>
      </x:c>
    </x:row>
    <x:row r="291">
      <x:c r="A291" s="34" t="n">
        <x:v>46060.54652777778</x:v>
      </x:c>
      <x:c r="B291" s="15" t="str">
        <x:v>Savemor Marloth</x:v>
      </x:c>
      <x:c r="C291" s="15" t="str">
        <x:v>R351.88 reserved for purchase @ Savemor Marloth from Current a/c..512781 using card..2924. Avail R16122. 7Feb 13:07</x:v>
      </x:c>
      <x:c r="D291" s="38" t="n">
        <x:v>351.88</x:v>
      </x:c>
      <x:c r="E291" s="15" t="str">
        <x:v>ZAR</x:v>
      </x:c>
      <x:c r="F291" s="15" t="str">
        <x:v>Current a/c..512781 / card..2924</x:v>
      </x:c>
      <x:c r="G291" s="15" t="str">
        <x:v>Supplier payments</x:v>
      </x:c>
      <x:c r="H291" s="15" t="str">
        <x:v>Card purchase</x:v>
      </x:c>
      <x:c r="I291" s="15" t="str">
        <x:v>High</x:v>
      </x:c>
      <x:c r="J291" s="15" t="str">
        <x:v>eml_ALL_currentac__512781 (2).zip &gt; eml6currentac__512781.zip / FNB _-) R351.88 reserved for purchase @ Savemor Marloth from Current a_c..512781 using card..2924.  7Feb 13_07.eml</x:v>
      </x:c>
    </x:row>
    <x:row r="292">
      <x:c r="A292" s="34" t="n">
        <x:v>46060.70694444444</x:v>
      </x:c>
      <x:c r="B292" s="15" t="str">
        <x:v>Electricity 04294887</x:v>
      </x:c>
      <x:c r="C292" s="15" t="str">
        <x:v>R500.00 paid from Current a/c..512781 @ Smartapp. Avail R15619. Ref.Electricity 04294887. 7Feb 16:58</x:v>
      </x:c>
      <x:c r="D292" s="38" t="n">
        <x:v>500</x:v>
      </x:c>
      <x:c r="E292" s="15" t="str">
        <x:v>ZAR</x:v>
      </x:c>
      <x:c r="F292" s="15" t="str">
        <x:v>Current a/c..512781</x:v>
      </x:c>
      <x:c r="G292" s="15" t="str">
        <x:v>Telecom / utilities</x:v>
      </x:c>
      <x:c r="H292" s="15" t="str">
        <x:v>EFT payment</x:v>
      </x:c>
      <x:c r="I292" s="15" t="str">
        <x:v>High</x:v>
      </x:c>
      <x:c r="J292" s="15" t="str">
        <x:v>eml_ALL_currentac__512781 (2).zip &gt; eml6currentac__512781.zip / FNB _-) R500.00 paid from Current a_c..512781 @ Smartapp. Ref.Electricity 04294887.  7Feb 16_58.eml</x:v>
      </x:c>
    </x:row>
    <x:row r="293">
      <x:c r="A293" s="34" t="n">
        <x:v>46062.59027777778</x:v>
      </x:c>
      <x:c r="B293" s="15" t="str">
        <x:v>Nb 26696</x:v>
      </x:c>
      <x:c r="C293" s="15" t="str">
        <x:v>R759.00 paid from Current a/c..512781 @ Smartapp. Avail R29539. Ref.Nb 26696. 9Feb 14:10</x:v>
      </x:c>
      <x:c r="D293" s="38" t="n">
        <x:v>759</x:v>
      </x:c>
      <x:c r="E293" s="15" t="str">
        <x:v>ZAR</x:v>
      </x:c>
      <x:c r="F293" s="15" t="str">
        <x:v>Current a/c..512781</x:v>
      </x:c>
      <x:c r="G293" s="15" t="str">
        <x:v>Supplier payments</x:v>
      </x:c>
      <x:c r="H293" s="15" t="str">
        <x:v>EFT payment</x:v>
      </x:c>
      <x:c r="I293" s="15" t="str">
        <x:v>High</x:v>
      </x:c>
      <x:c r="J293" s="15" t="str">
        <x:v>eml_ALL_currentac__512781 (2).zip &gt; eml6currentac__512781.zip / FNB _-) R759.00 paid from Current a_c..512781 @ Smartapp. Ref.Nb 26696.  9Feb 14_10.eml</x:v>
      </x:c>
    </x:row>
    <x:row r="294">
      <x:c r="A294" s="34" t="n">
        <x:v>46062.59097222222</x:v>
      </x:c>
      <x:c r="B294" s="15" t="str">
        <x:v>Royal Bush 3610</x:v>
      </x:c>
      <x:c r="C294" s="15" t="str">
        <x:v>R3036.00 paid from Current a/c..512781 @ Smartapp. Avail R26495. Ref.Royal Bush 3610. 9Feb 14:11</x:v>
      </x:c>
      <x:c r="D294" s="38" t="n">
        <x:v>3036</x:v>
      </x:c>
      <x:c r="E294" s="15" t="str">
        <x:v>ZAR</x:v>
      </x:c>
      <x:c r="F294" s="15" t="str">
        <x:v>Current a/c..512781</x:v>
      </x:c>
      <x:c r="G294" s="15" t="str">
        <x:v>Supplier payments</x:v>
      </x:c>
      <x:c r="H294" s="15" t="str">
        <x:v>EFT payment</x:v>
      </x:c>
      <x:c r="I294" s="15" t="str">
        <x:v>High</x:v>
      </x:c>
      <x:c r="J294" s="15" t="str">
        <x:v>eml_ALL_currentac__512781 (2).zip &gt; eml6currentac__512781.zip / FNB _-) R3036.00 paid from Current a_c..512781 @ Smartapp. Ref.Royal Bush 3610.  9Feb 14_11.eml</x:v>
      </x:c>
    </x:row>
    <x:row r="295">
      <x:c r="A295" s="34" t="n">
        <x:v>46062.63263888889</x:v>
      </x:c>
      <x:c r="B295" s="15" t="str">
        <x:v>Savemor Marloth</x:v>
      </x:c>
      <x:c r="C295" s="15" t="str">
        <x:v>R242.90 reserved for purchase @ Savemor Marloth from Current a/c..512781 using card..2924. Avail R26252. 9Feb 15:11</x:v>
      </x:c>
      <x:c r="D295" s="38" t="n">
        <x:v>242.9</x:v>
      </x:c>
      <x:c r="E295" s="15" t="str">
        <x:v>ZAR</x:v>
      </x:c>
      <x:c r="F295" s="15" t="str">
        <x:v>Current a/c..512781 / card..2924</x:v>
      </x:c>
      <x:c r="G295" s="15" t="str">
        <x:v>Supplier payments</x:v>
      </x:c>
      <x:c r="H295" s="15" t="str">
        <x:v>Card purchase</x:v>
      </x:c>
      <x:c r="I295" s="15" t="str">
        <x:v>High</x:v>
      </x:c>
      <x:c r="J295" s="15" t="str">
        <x:v>eml_ALL_currentac__512781 (2).zip &gt; eml6currentac__512781.zip / FNB _-) R242.90 reserved for purchase @ Savemor Marloth from Current a_c..512781 using card..2924.  9Feb 15_11.eml</x:v>
      </x:c>
    </x:row>
    <x:row r="296">
      <x:c r="A296" s="34" t="n">
        <x:v>46062.82430555556</x:v>
      </x:c>
      <x:c r="B296" s="15" t="str">
        <x:v>The Tin Shack</x:v>
      </x:c>
      <x:c r="C296" s="15" t="str">
        <x:v>R380.00 reserved for purchase @ The Tin Shack from Current a/c..512781 using card..2924. Avail R25872. 9Feb 19:47</x:v>
      </x:c>
      <x:c r="D296" s="38" t="n">
        <x:v>380</x:v>
      </x:c>
      <x:c r="E296" s="15" t="str">
        <x:v>ZAR</x:v>
      </x:c>
      <x:c r="F296" s="15" t="str">
        <x:v>Current a/c..512781 / card..2924</x:v>
      </x:c>
      <x:c r="G296" s="15" t="str">
        <x:v>Meals / restaurants / entertainment</x:v>
      </x:c>
      <x:c r="H296" s="15" t="str">
        <x:v>Card purchase</x:v>
      </x:c>
      <x:c r="I296" s="15" t="str">
        <x:v>High</x:v>
      </x:c>
      <x:c r="J296" s="15" t="str">
        <x:v>eml_ALL_currentac__512781 (2).zip &gt; eml6currentac__512781.zip / FNB _-) R380.00 reserved for purchase @ The Tin Shack from Current a_c..512781 using card..2924.  9Feb 19_47.eml</x:v>
      </x:c>
    </x:row>
    <x:row r="297">
      <x:c r="A297" s="34" t="n">
        <x:v>46063.45</x:v>
      </x:c>
      <x:c r="B297" s="15" t="str">
        <x:v>Shoprite Komatipoort</x:v>
      </x:c>
      <x:c r="C297" s="15" t="str">
        <x:v>R489.84 reserved for purchase @ Shoprite Komatipoort from Current a/c..512781 using card..2924. Avail R25301. 10Feb 10:48</x:v>
      </x:c>
      <x:c r="D297" s="38" t="n">
        <x:v>489.84</x:v>
      </x:c>
      <x:c r="E297" s="15" t="str">
        <x:v>ZAR</x:v>
      </x:c>
      <x:c r="F297" s="15" t="str">
        <x:v>Current a/c..512781 / card..2924</x:v>
      </x:c>
      <x:c r="G297" s="15" t="str">
        <x:v>Supplier payments</x:v>
      </x:c>
      <x:c r="H297" s="15" t="str">
        <x:v>Card purchase</x:v>
      </x:c>
      <x:c r="I297" s="15" t="str">
        <x:v>High</x:v>
      </x:c>
      <x:c r="J297" s="15" t="str">
        <x:v>eml_ALL_currentac__512781 (2).zip &gt; eml6currentac__512781.zip / FNB _-) R489.84 reserved for purchase @ Shoprite Komatipoort from Current a_c..512781 using card..2924. 10Feb 10_48.eml</x:v>
      </x:c>
    </x:row>
    <x:row r="298">
      <x:c r="A298" s="34" t="n">
        <x:v>46063.472916666666</x:v>
      </x:c>
      <x:c r="B298" s="15" t="str">
        <x:v>Buco Komatipoort 116</x:v>
      </x:c>
      <x:c r="C298" s="15" t="str">
        <x:v>R769.67 reserved for purchase @ Buco Komatipoort 116 from Current a/c..512781 using card..2924. Avail R24531. 10Feb 11:21</x:v>
      </x:c>
      <x:c r="D298" s="38" t="n">
        <x:v>769.67</x:v>
      </x:c>
      <x:c r="E298" s="15" t="str">
        <x:v>ZAR</x:v>
      </x:c>
      <x:c r="F298" s="15" t="str">
        <x:v>Current a/c..512781 / card..2924</x:v>
      </x:c>
      <x:c r="G298" s="15" t="str">
        <x:v>Supplier payments</x:v>
      </x:c>
      <x:c r="H298" s="15" t="str">
        <x:v>Card purchase</x:v>
      </x:c>
      <x:c r="I298" s="15" t="str">
        <x:v>High</x:v>
      </x:c>
      <x:c r="J298" s="15" t="str">
        <x:v>eml_ALL_currentac__512781 (2).zip &gt; eml6currentac__512781.zip / FNB _-) R769.67 reserved for purchase @ Buco Komatipoort 116 from Current a_c..512781 using card..2924. 10Feb 11_21.eml</x:v>
      </x:c>
    </x:row>
    <x:row r="299">
      <x:c r="A299" s="34" t="n">
        <x:v>46063.490277777775</x:v>
      </x:c>
      <x:c r="B299" s="15" t="str">
        <x:v>Pep Home 5771 Komati</x:v>
      </x:c>
      <x:c r="C299" s="15" t="str">
        <x:v>R395.99 reserved for purchase @ Pep Home 5771 Komati from Current a/c..512781 using card..2924. Avail R24135. 10Feb 11:46</x:v>
      </x:c>
      <x:c r="D299" s="38" t="n">
        <x:v>395.99</x:v>
      </x:c>
      <x:c r="E299" s="15" t="str">
        <x:v>ZAR</x:v>
      </x:c>
      <x:c r="F299" s="15" t="str">
        <x:v>Current a/c..512781 / card..2924</x:v>
      </x:c>
      <x:c r="G299" s="15" t="str">
        <x:v>Supplier payments</x:v>
      </x:c>
      <x:c r="H299" s="15" t="str">
        <x:v>Card purchase</x:v>
      </x:c>
      <x:c r="I299" s="15" t="str">
        <x:v>High</x:v>
      </x:c>
      <x:c r="J299" s="15" t="str">
        <x:v>eml_ALL_currentac__512781 (2).zip &gt; eml6currentac__512781.zip / FNB _-) R395.99 reserved for purchase @ Pep Home 5771 Komati from Current a_c..512781 using card..2924. 10Feb 11_46.eml</x:v>
      </x:c>
    </x:row>
    <x:row r="300">
      <x:c r="A300" s="34" t="n">
        <x:v>46063.53958333333</x:v>
      </x:c>
      <x:c r="B300" s="15" t="str">
        <x:v>Superspar Komatipoor</x:v>
      </x:c>
      <x:c r="C300" s="15" t="str">
        <x:v>R1433.22 reserved for purchase @ Superspar Komatipoor from Current a/c..512781 using card..2924. Avail R22702. 10Feb 12:57</x:v>
      </x:c>
      <x:c r="D300" s="38" t="n">
        <x:v>1433.22</x:v>
      </x:c>
      <x:c r="E300" s="15" t="str">
        <x:v>ZAR</x:v>
      </x:c>
      <x:c r="F300" s="15" t="str">
        <x:v>Current a/c..512781 / card..2924</x:v>
      </x:c>
      <x:c r="G300" s="15" t="str">
        <x:v>Supplier payments</x:v>
      </x:c>
      <x:c r="H300" s="15" t="str">
        <x:v>Card purchase</x:v>
      </x:c>
      <x:c r="I300" s="15" t="str">
        <x:v>High</x:v>
      </x:c>
      <x:c r="J300" s="15" t="str">
        <x:v>eml_ALL_currentac__512781 (2).zip &gt; eml6currentac__512781.zip / FNB _-) R1433.22 reserved for purchase @ Superspar Komatipoor from Current a_c..512781 using card..2924. 10Feb 12_57.eml</x:v>
      </x:c>
    </x:row>
    <x:row r="301">
      <x:c r="A301" s="34" t="n">
        <x:v>46064</x:v>
      </x:c>
      <x:c r="B301" s="15" t="str">
        <x:v>Cash Ag18 3884 Olif</x:v>
      </x:c>
      <x:c r="C301" s="15" t="str">
        <x:v>R200.00 paid from Current a/c..512781 @ Eft. Avail R24852. Ref.Cash Ag18 3884 Olif. 11Feb 00:00</x:v>
      </x:c>
      <x:c r="D301" s="38" t="n">
        <x:v>200</x:v>
      </x:c>
      <x:c r="E301" s="15" t="str">
        <x:v>ZAR</x:v>
      </x:c>
      <x:c r="F301" s="15" t="str">
        <x:v>Current a/c..512781</x:v>
      </x:c>
      <x:c r="G301" s="15" t="str">
        <x:v>Cash withdrawal</x:v>
      </x:c>
      <x:c r="H301" s="15" t="str">
        <x:v>EFT payment</x:v>
      </x:c>
      <x:c r="I301" s="15" t="str">
        <x:v>High</x:v>
      </x:c>
      <x:c r="J301" s="15" t="str">
        <x:v>eml_ALL_currentac__512781 (2).zip &gt; eml6currentac__512781.zip / Payments for 11 Feb.eml</x:v>
      </x:c>
    </x:row>
    <x:row r="302">
      <x:c r="A302" s="34" t="n">
        <x:v>46064.404861111114</x:v>
      </x:c>
      <x:c r="B302" s="15" t="str">
        <x:v>Marlothi Petrol Stat</x:v>
      </x:c>
      <x:c r="C302" s="15" t="str">
        <x:v>R200.00 reserved for purchase @ Marlothi Petrol Stat from Current a/c..512781 using card..2924. Avail R24652. 11Feb 09:43</x:v>
      </x:c>
      <x:c r="D302" s="38" t="n">
        <x:v>200</x:v>
      </x:c>
      <x:c r="E302" s="15" t="str">
        <x:v>ZAR</x:v>
      </x:c>
      <x:c r="F302" s="15" t="str">
        <x:v>Current a/c..512781 / card..2924</x:v>
      </x:c>
      <x:c r="G302" s="15" t="str">
        <x:v>Fuel / transport</x:v>
      </x:c>
      <x:c r="H302" s="15" t="str">
        <x:v>Card purchase</x:v>
      </x:c>
      <x:c r="I302" s="15" t="str">
        <x:v>High</x:v>
      </x:c>
      <x:c r="J302" s="15" t="str">
        <x:v>eml_ALL_currentac__512781 (2).zip &gt; eml6currentac__512781.zip / FNB _-) R200.00 reserved for purchase @ Marlothi Petrol Stat from Current a_c..512781 using card..2924. 11Feb 09_43.eml</x:v>
      </x:c>
    </x:row>
    <x:row r="303">
      <x:c r="A303" s="34" t="n">
        <x:v>46064.521527777775</x:v>
      </x:c>
      <x:c r="B303" s="15" t="str">
        <x:v>Cf Moto Saf - Inv 1</x:v>
      </x:c>
      <x:c r="C303" s="15" t="str">
        <x:v>R2049.00 paid from Current a/c..512781 @ Smartapp. Avail R22595. Ref.Cf Moto Saf - Inv 1.. 11Feb 12:31</x:v>
      </x:c>
      <x:c r="D303" s="38" t="n">
        <x:v>2049</x:v>
      </x:c>
      <x:c r="E303" s="15" t="str">
        <x:v>ZAR</x:v>
      </x:c>
      <x:c r="F303" s="15" t="str">
        <x:v>Current a/c..512781</x:v>
      </x:c>
      <x:c r="G303" s="15" t="str">
        <x:v>Supplier payments</x:v>
      </x:c>
      <x:c r="H303" s="15" t="str">
        <x:v>EFT payment</x:v>
      </x:c>
      <x:c r="I303" s="15" t="str">
        <x:v>High</x:v>
      </x:c>
      <x:c r="J303" s="15" t="str">
        <x:v>eml_ALL_currentac__512781 (2).zip &gt; eml6currentac__512781.zip / FNB _-) R2049.00 paid from Current a_c..512781 @ Smartapp. Ref.Cf Moto Saf - Inv 1.. 11Feb 12_31.eml</x:v>
      </x:c>
    </x:row>
    <x:row r="304">
      <x:c r="A304" s="34" t="n">
        <x:v>46064.52291666667</x:v>
      </x:c>
      <x:c r="B304" s="15" t="str">
        <x:v>Dinner Box 106824</x:v>
      </x:c>
      <x:c r="C304" s="15" t="str">
        <x:v>R1760.00 paid from Current a/c..512781 @ Smartapp. Avail R20827. Ref.Dinner Box 106824. 11Feb 12:33</x:v>
      </x:c>
      <x:c r="D304" s="38" t="n">
        <x:v>1760</x:v>
      </x:c>
      <x:c r="E304" s="15" t="str">
        <x:v>ZAR</x:v>
      </x:c>
      <x:c r="F304" s="15" t="str">
        <x:v>Current a/c..512781</x:v>
      </x:c>
      <x:c r="G304" s="15" t="str">
        <x:v>Meals / restaurants / entertainment</x:v>
      </x:c>
      <x:c r="H304" s="15" t="str">
        <x:v>EFT payment</x:v>
      </x:c>
      <x:c r="I304" s="15" t="str">
        <x:v>High</x:v>
      </x:c>
      <x:c r="J304" s="15" t="str">
        <x:v>eml_ALL_currentac__512781 (2).zip &gt; eml6currentac__512781.zip / FNB _-) R1760.00 paid from Current a_c..512781 @ Smartapp. Ref.Dinner Box 106824. 11Feb 12_33.eml</x:v>
      </x:c>
    </x:row>
    <x:row r="305">
      <x:c r="A305" s="34" t="n">
        <x:v>46064.525</x:v>
      </x:c>
      <x:c r="B305" s="15" t="str">
        <x:v>Salary Jan</x:v>
      </x:c>
      <x:c r="C305" s="15" t="str">
        <x:v>R3000.00 paid from Current a/c..512781 @ Smartapp. Avail R17824. Ref.Salary Jan. 11Feb 12:36</x:v>
      </x:c>
      <x:c r="D305" s="38" t="n">
        <x:v>3000</x:v>
      </x:c>
      <x:c r="E305" s="15" t="str">
        <x:v>ZAR</x:v>
      </x:c>
      <x:c r="F305" s="15" t="str">
        <x:v>Current a/c..512781</x:v>
      </x:c>
      <x:c r="G305" s="15" t="str">
        <x:v>Salary / wages</x:v>
      </x:c>
      <x:c r="H305" s="15" t="str">
        <x:v>EFT payment</x:v>
      </x:c>
      <x:c r="I305" s="15" t="str">
        <x:v>High</x:v>
      </x:c>
      <x:c r="J305" s="15" t="str">
        <x:v>eml_ALL_currentac__512781 (2).zip &gt; eml6currentac__512781.zip / FNB _-) R3000.00 paid from Current a_c..512781 @ Smartapp. Ref.Salary Jan. 11Feb 12_36.eml</x:v>
      </x:c>
    </x:row>
    <x:row r="306">
      <x:c r="A306" s="34" t="n">
        <x:v>46064.529861111114</x:v>
      </x:c>
      <x:c r="B306" s="15" t="str">
        <x:v>Superspar Komatipoor</x:v>
      </x:c>
      <x:c r="C306" s="15" t="str">
        <x:v>R135.61 reserved for purchase @ Superspar Komatipoor from Current a/c..512781 using card..2924. Avail R17689. 11Feb 12:43</x:v>
      </x:c>
      <x:c r="D306" s="38" t="n">
        <x:v>135.61</x:v>
      </x:c>
      <x:c r="E306" s="15" t="str">
        <x:v>ZAR</x:v>
      </x:c>
      <x:c r="F306" s="15" t="str">
        <x:v>Current a/c..512781 / card..2924</x:v>
      </x:c>
      <x:c r="G306" s="15" t="str">
        <x:v>Supplier payments</x:v>
      </x:c>
      <x:c r="H306" s="15" t="str">
        <x:v>Card purchase</x:v>
      </x:c>
      <x:c r="I306" s="15" t="str">
        <x:v>High</x:v>
      </x:c>
      <x:c r="J306" s="15" t="str">
        <x:v>eml_ALL_currentac__512781 (2).zip &gt; eml6currentac__512781.zip / FNB _-) R135.61 reserved for purchase @ Superspar Komatipoor from Current a_c..512781 using card..2924. 11Feb 12_43.eml</x:v>
      </x:c>
    </x:row>
    <x:row r="307">
      <x:c r="A307" s="34" t="n">
        <x:v>46064.549305555556</x:v>
      </x:c>
      <x:c r="B307" s="15" t="str">
        <x:v>Obaro Komatipoort</x:v>
      </x:c>
      <x:c r="C307" s="15" t="str">
        <x:v>R233.00 reserved for purchase @ Obaro Komatipoort from Current a/c..512781 using card..2924. Avail R17456. 11Feb 13:11</x:v>
      </x:c>
      <x:c r="D307" s="38" t="n">
        <x:v>233</x:v>
      </x:c>
      <x:c r="E307" s="15" t="str">
        <x:v>ZAR</x:v>
      </x:c>
      <x:c r="F307" s="15" t="str">
        <x:v>Current a/c..512781 / card..2924</x:v>
      </x:c>
      <x:c r="G307" s="15" t="str">
        <x:v>Supplier payments</x:v>
      </x:c>
      <x:c r="H307" s="15" t="str">
        <x:v>Card purchase</x:v>
      </x:c>
      <x:c r="I307" s="15" t="str">
        <x:v>High</x:v>
      </x:c>
      <x:c r="J307" s="15" t="str">
        <x:v>eml_ALL_currentac__512781 (2).zip &gt; eml6currentac__512781.zip / FNB _-) R233.00 reserved for purchase @ Obaro Komatipoort from Current a_c..512781 using card..2924. 11Feb 13_11.eml</x:v>
      </x:c>
    </x:row>
    <x:row r="308">
      <x:c r="A308" s="34" t="n">
        <x:v>46064.61944444444</x:v>
      </x:c>
      <x:c r="B308" s="15" t="str">
        <x:v>Marlothi Petrol Stat</x:v>
      </x:c>
      <x:c r="C308" s="15" t="str">
        <x:v>R400.00 reserved for purchase @ Marlothi Petrol Stat from Current a/c..512781 using card..2924. Avail R17056. 11Feb 14:52</x:v>
      </x:c>
      <x:c r="D308" s="38" t="n">
        <x:v>400</x:v>
      </x:c>
      <x:c r="E308" s="15" t="str">
        <x:v>ZAR</x:v>
      </x:c>
      <x:c r="F308" s="15" t="str">
        <x:v>Current a/c..512781 / card..2924</x:v>
      </x:c>
      <x:c r="G308" s="15" t="str">
        <x:v>Fuel / transport</x:v>
      </x:c>
      <x:c r="H308" s="15" t="str">
        <x:v>Card purchase</x:v>
      </x:c>
      <x:c r="I308" s="15" t="str">
        <x:v>High</x:v>
      </x:c>
      <x:c r="J308" s="15" t="str">
        <x:v>eml_ALL_currentac__512781 (2).zip &gt; eml6currentac__512781.zip / FNB _-) R400.00 reserved for purchase @ Marlothi Petrol Stat from Current a_c..512781 using card..2924. 11Feb 14_52.eml</x:v>
      </x:c>
    </x:row>
    <x:row r="309">
      <x:c r="A309" s="34" t="n">
        <x:v>46065.43194444444</x:v>
      </x:c>
      <x:c r="B309" s="15" t="str">
        <x:v>Bon Express 007661</x:v>
      </x:c>
      <x:c r="C309" s="15" t="str">
        <x:v>R345.00 paid from Current a/c..512781 @ Smartapp. Avail R51708. Ref.Bon Express 007661. 12Feb 10:22</x:v>
      </x:c>
      <x:c r="D309" s="38" t="n">
        <x:v>345</x:v>
      </x:c>
      <x:c r="E309" s="15" t="str">
        <x:v>ZAR</x:v>
      </x:c>
      <x:c r="F309" s="15" t="str">
        <x:v>Current a/c..512781</x:v>
      </x:c>
      <x:c r="G309" s="15" t="str">
        <x:v>Supplier payments</x:v>
      </x:c>
      <x:c r="H309" s="15" t="str">
        <x:v>EFT payment</x:v>
      </x:c>
      <x:c r="I309" s="15" t="str">
        <x:v>High</x:v>
      </x:c>
      <x:c r="J309" s="15" t="str">
        <x:v>eml_ALL_currentac__512781 (2).zip &gt; eml6currentac__512781.zip / FNB _-) R345.00 paid from Current a_c..512781 @ Smartapp. Ref.Bon Express 007661. 12Feb 10_22.eml</x:v>
      </x:c>
    </x:row>
    <x:row r="310">
      <x:c r="A310" s="34" t="n">
        <x:v>46065.43194444444</x:v>
      </x:c>
      <x:c r="B310" s="15" t="str">
        <x:v>Bon Express 007623</x:v>
      </x:c>
      <x:c r="C310" s="15" t="str">
        <x:v>R380.65 paid from Current a/c..512781 @ Smartapp. Avail R52061. Ref.Bon Express 007623. 12Feb 10:22</x:v>
      </x:c>
      <x:c r="D310" s="38" t="n">
        <x:v>380.65</x:v>
      </x:c>
      <x:c r="E310" s="15" t="str">
        <x:v>ZAR</x:v>
      </x:c>
      <x:c r="F310" s="15" t="str">
        <x:v>Current a/c..512781</x:v>
      </x:c>
      <x:c r="G310" s="15" t="str">
        <x:v>Supplier payments</x:v>
      </x:c>
      <x:c r="H310" s="15" t="str">
        <x:v>EFT payment</x:v>
      </x:c>
      <x:c r="I310" s="15" t="str">
        <x:v>High</x:v>
      </x:c>
      <x:c r="J310" s="15" t="str">
        <x:v>eml_ALL_currentac__512781 (2).zip &gt; eml6currentac__512781.zip / FNB _-) R380.65 paid from Current a_c..512781 @ Smartapp. Ref.Bon Express 007623. 12Feb 10_22.eml</x:v>
      </x:c>
    </x:row>
    <x:row r="311">
      <x:c r="A311" s="34" t="n">
        <x:v>46065.43402777778</x:v>
      </x:c>
      <x:c r="B311" s="15" t="str">
        <x:v>Printing</x:v>
      </x:c>
      <x:c r="C311" s="15" t="str">
        <x:v>R815.00 paid from Current a/c..512781 @ Smartapp. Avail R50885. Ref.Printing. 12Feb 10:25</x:v>
      </x:c>
      <x:c r="D311" s="38" t="n">
        <x:v>815</x:v>
      </x:c>
      <x:c r="E311" s="15" t="str">
        <x:v>ZAR</x:v>
      </x:c>
      <x:c r="F311" s="15" t="str">
        <x:v>Current a/c..512781</x:v>
      </x:c>
      <x:c r="G311" s="15" t="str">
        <x:v>Supplier payments</x:v>
      </x:c>
      <x:c r="H311" s="15" t="str">
        <x:v>EFT payment</x:v>
      </x:c>
      <x:c r="I311" s="15" t="str">
        <x:v>High</x:v>
      </x:c>
      <x:c r="J311" s="15" t="str">
        <x:v>eml_ALL_currentac__512781 (2).zip &gt; eml6currentac__512781.zip / FNB _-) R815.00 paid from Current a_c..512781 @ Smartapp. Ref.Printing. 12Feb 10_25.eml</x:v>
      </x:c>
    </x:row>
    <x:row r="312">
      <x:c r="A312" s="34" t="n">
        <x:v>46065.43541666667</x:v>
      </x:c>
      <x:c r="B312" s="15" t="str">
        <x:v>Kruger Safari 1682</x:v>
      </x:c>
      <x:c r="C312" s="15" t="str">
        <x:v>R5708.00 paid from Current a/c..512781 @ Smartapp. Avail R45169. Ref.Kruger Safari 1682. 12Feb 10:27</x:v>
      </x:c>
      <x:c r="D312" s="38" t="n">
        <x:v>5708</x:v>
      </x:c>
      <x:c r="E312" s="15" t="str">
        <x:v>ZAR</x:v>
      </x:c>
      <x:c r="F312" s="15" t="str">
        <x:v>Current a/c..512781</x:v>
      </x:c>
      <x:c r="G312" s="15" t="str">
        <x:v>Supplier payments</x:v>
      </x:c>
      <x:c r="H312" s="15" t="str">
        <x:v>EFT payment</x:v>
      </x:c>
      <x:c r="I312" s="15" t="str">
        <x:v>High</x:v>
      </x:c>
      <x:c r="J312" s="15" t="str">
        <x:v>eml_ALL_currentac__512781 (2).zip &gt; eml6currentac__512781.zip / FNB _-) R5708.00 paid from Current a_c..512781 @ Smartapp. Ref.Kruger Safari 1682. 12Feb 10_27.eml</x:v>
      </x:c>
    </x:row>
    <x:row r="313">
      <x:c r="A313" s="34" t="n">
        <x:v>46065.506944444445</x:v>
      </x:c>
      <x:c r="B313" s="15" t="str">
        <x:v>Hpy*vodafone Cellula</x:v>
      </x:c>
      <x:c r="C313" s="15" t="str">
        <x:v>R150.00 reserved for purchase @ Hpy*vodafone Cellula from Current a/c..512781 using card..2924. Avail R44922. 12Feb 12:10</x:v>
      </x:c>
      <x:c r="D313" s="38" t="n">
        <x:v>150</x:v>
      </x:c>
      <x:c r="E313" s="15" t="str">
        <x:v>ZAR</x:v>
      </x:c>
      <x:c r="F313" s="15" t="str">
        <x:v>Current a/c..512781 / card..2924</x:v>
      </x:c>
      <x:c r="G313" s="15" t="str">
        <x:v>Card spend</x:v>
      </x:c>
      <x:c r="H313" s="15" t="str">
        <x:v>Card purchase</x:v>
      </x:c>
      <x:c r="I313" s="15" t="str">
        <x:v>High</x:v>
      </x:c>
      <x:c r="J313" s="15" t="str">
        <x:v>eml_ALL_currentac__512781 (2).zip &gt; eml6currentac__512781.zip / FNB _-) R150.00 reserved for purchase @ Hpy_vodafone Cellula from Current a_c..512781 using card..2924. 12Feb 12_10.eml</x:v>
      </x:c>
    </x:row>
    <x:row r="314">
      <x:c r="A314" s="34" t="n">
        <x:v>46065.521527777775</x:v>
      </x:c>
      <x:c r="B314" s="15" t="str">
        <x:v>Superspar Komatipoor</x:v>
      </x:c>
      <x:c r="C314" s="15" t="str">
        <x:v>R489.46 reserved for purchase @ Superspar Komatipoor from Current a/c..512781 using card..2924. Avail R44433. 12Feb 12:31</x:v>
      </x:c>
      <x:c r="D314" s="38" t="n">
        <x:v>489.46</x:v>
      </x:c>
      <x:c r="E314" s="15" t="str">
        <x:v>ZAR</x:v>
      </x:c>
      <x:c r="F314" s="15" t="str">
        <x:v>Current a/c..512781 / card..2924</x:v>
      </x:c>
      <x:c r="G314" s="15" t="str">
        <x:v>Supplier payments</x:v>
      </x:c>
      <x:c r="H314" s="15" t="str">
        <x:v>Card purchase</x:v>
      </x:c>
      <x:c r="I314" s="15" t="str">
        <x:v>High</x:v>
      </x:c>
      <x:c r="J314" s="15" t="str">
        <x:v>eml_ALL_currentac__512781 (2).zip &gt; eml6currentac__512781.zip / FNB _-) R489.46 reserved for purchase @ Superspar Komatipoor from Current a_c..512781 using card..2924. 12Feb 12_31.eml</x:v>
      </x:c>
    </x:row>
    <x:row r="315">
      <x:c r="A315" s="34" t="n">
        <x:v>46065.558333333334</x:v>
      </x:c>
      <x:c r="B315" s="15" t="str">
        <x:v>Goldwagen Komatipoor</x:v>
      </x:c>
      <x:c r="C315" s="15" t="str">
        <x:v>R575.00 reserved for purchase @ Goldwagen Komatipoor from Current a/c..512781 using card..2924. Avail R43858. 12Feb 13:24</x:v>
      </x:c>
      <x:c r="D315" s="38" t="n">
        <x:v>575</x:v>
      </x:c>
      <x:c r="E315" s="15" t="str">
        <x:v>ZAR</x:v>
      </x:c>
      <x:c r="F315" s="15" t="str">
        <x:v>Current a/c..512781 / card..2924</x:v>
      </x:c>
      <x:c r="G315" s="15" t="str">
        <x:v>Card spend</x:v>
      </x:c>
      <x:c r="H315" s="15" t="str">
        <x:v>Card purchase</x:v>
      </x:c>
      <x:c r="I315" s="15" t="str">
        <x:v>High</x:v>
      </x:c>
      <x:c r="J315" s="15" t="str">
        <x:v>eml_ALL_currentac__512781 (2).zip &gt; eml6currentac__512781.zip / FNB _-) R575.00 reserved for purchase @ Goldwagen Komatipoor from Current a_c..512781 using card..2924. 12Feb 13_24.eml</x:v>
      </x:c>
    </x:row>
    <x:row r="316">
      <x:c r="A316" s="34" t="n">
        <x:v>46066.490277777775</x:v>
      </x:c>
      <x:c r="B316" s="15" t="str">
        <x:v>Buco Komatipoort 116</x:v>
      </x:c>
      <x:c r="C316" s="15" t="str">
        <x:v>R2021.17 reserved for purchase @ Buco Komatipoort 116 from Current a/c..512781 using card..2924. Avail R45297. 13Feb 11:46</x:v>
      </x:c>
      <x:c r="D316" s="38" t="n">
        <x:v>2021.17</x:v>
      </x:c>
      <x:c r="E316" s="15" t="str">
        <x:v>ZAR</x:v>
      </x:c>
      <x:c r="F316" s="15" t="str">
        <x:v>Current a/c..512781 / card..2924</x:v>
      </x:c>
      <x:c r="G316" s="15" t="str">
        <x:v>Supplier payments</x:v>
      </x:c>
      <x:c r="H316" s="15" t="str">
        <x:v>Card purchase</x:v>
      </x:c>
      <x:c r="I316" s="15" t="str">
        <x:v>High</x:v>
      </x:c>
      <x:c r="J316" s="15" t="str">
        <x:v>eml_ALL_currentac__512781 (2).zip &gt; eml6currentac__512781.zip / FNB _-) R2021.17 reserved for purchase @ Buco Komatipoort 116 from Current a_c..512781 using card..2924. 13Feb 11_46.eml</x:v>
      </x:c>
    </x:row>
    <x:row r="317">
      <x:c r="A317" s="34" t="n">
        <x:v>46066.504166666666</x:v>
      </x:c>
      <x:c r="B317" s="15" t="str">
        <x:v>Goldwagen Komatipoor</x:v>
      </x:c>
      <x:c r="C317" s="15" t="str">
        <x:v>R355.00 reserved for purchase @ Goldwagen Komatipoor from Current a/c..512781 using card..2924. Avail R44942. 13Feb 12:06</x:v>
      </x:c>
      <x:c r="D317" s="38" t="n">
        <x:v>355</x:v>
      </x:c>
      <x:c r="E317" s="15" t="str">
        <x:v>ZAR</x:v>
      </x:c>
      <x:c r="F317" s="15" t="str">
        <x:v>Current a/c..512781 / card..2924</x:v>
      </x:c>
      <x:c r="G317" s="15" t="str">
        <x:v>Card spend</x:v>
      </x:c>
      <x:c r="H317" s="15" t="str">
        <x:v>Card purchase</x:v>
      </x:c>
      <x:c r="I317" s="15" t="str">
        <x:v>High</x:v>
      </x:c>
      <x:c r="J317" s="15" t="str">
        <x:v>eml_ALL_currentac__512781 (2).zip &gt; eml6currentac__512781.zip / FNB _-) R355.00 reserved for purchase @ Goldwagen Komatipoor from Current a_c..512781 using card..2924. 13Feb 12_06.eml</x:v>
      </x:c>
    </x:row>
    <x:row r="318">
      <x:c r="A318" s="34" t="n">
        <x:v>46066.59444444445</x:v>
      </x:c>
      <x:c r="B318" s="15" t="str">
        <x:v>Superspar Komatipoor</x:v>
      </x:c>
      <x:c r="C318" s="15" t="str">
        <x:v>R2621.98 reserved for purchase @ Superspar Komatipoor from Current a/c..512781 using card..2924. Avail R42234. 13Feb 14:16</x:v>
      </x:c>
      <x:c r="D318" s="38" t="n">
        <x:v>2621.98</x:v>
      </x:c>
      <x:c r="E318" s="15" t="str">
        <x:v>ZAR</x:v>
      </x:c>
      <x:c r="F318" s="15" t="str">
        <x:v>Current a/c..512781 / card..2924</x:v>
      </x:c>
      <x:c r="G318" s="15" t="str">
        <x:v>Supplier payments</x:v>
      </x:c>
      <x:c r="H318" s="15" t="str">
        <x:v>Card purchase</x:v>
      </x:c>
      <x:c r="I318" s="15" t="str">
        <x:v>High</x:v>
      </x:c>
      <x:c r="J318" s="15" t="str">
        <x:v>eml_ALL_currentac__512781 (2).zip &gt; eml6currentac__512781.zip / FNB _-) R2621.98 reserved for purchase @ Superspar Komatipoor from Current a_c..512781 using card..2924. 13Feb 14_16.eml</x:v>
      </x:c>
    </x:row>
    <x:row r="319">
      <x:c r="A319" s="34" t="n">
        <x:v>46066.60277777778</x:v>
      </x:c>
      <x:c r="B319" s="15" t="str">
        <x:v>Obaro Komatipoort Fc</x:v>
      </x:c>
      <x:c r="C319" s="15" t="str">
        <x:v>R500.00 reserved for purchase @ Obaro Komatipoort Fc from Current a/c..512781 using card..2924. Avail R41734. 13Feb 14:28</x:v>
      </x:c>
      <x:c r="D319" s="38" t="n">
        <x:v>500</x:v>
      </x:c>
      <x:c r="E319" s="15" t="str">
        <x:v>ZAR</x:v>
      </x:c>
      <x:c r="F319" s="15" t="str">
        <x:v>Current a/c..512781 / card..2924</x:v>
      </x:c>
      <x:c r="G319" s="15" t="str">
        <x:v>Supplier payments</x:v>
      </x:c>
      <x:c r="H319" s="15" t="str">
        <x:v>Card purchase</x:v>
      </x:c>
      <x:c r="I319" s="15" t="str">
        <x:v>High</x:v>
      </x:c>
      <x:c r="J319" s="15" t="str">
        <x:v>eml_ALL_currentac__512781 (2).zip &gt; eml6currentac__512781.zip / FNB _-) R500.00 reserved for purchase @ Obaro Komatipoort Fc from Current a_c..512781 using card..2924. 13Feb 14_28.eml</x:v>
      </x:c>
    </x:row>
    <x:row r="320">
      <x:c r="A320" s="34" t="n">
        <x:v>46066.62777777778</x:v>
      </x:c>
      <x:c r="B320" s="15" t="str">
        <x:v>Savemor Marloth</x:v>
      </x:c>
      <x:c r="C320" s="15" t="str">
        <x:v>R450.97 reserved for purchase @ Savemor Marloth from Current a/c..512781 using card..2924. Avail R41283. 13Feb 15:04</x:v>
      </x:c>
      <x:c r="D320" s="38" t="n">
        <x:v>450.97</x:v>
      </x:c>
      <x:c r="E320" s="15" t="str">
        <x:v>ZAR</x:v>
      </x:c>
      <x:c r="F320" s="15" t="str">
        <x:v>Current a/c..512781 / card..2924</x:v>
      </x:c>
      <x:c r="G320" s="15" t="str">
        <x:v>Supplier payments</x:v>
      </x:c>
      <x:c r="H320" s="15" t="str">
        <x:v>Card purchase</x:v>
      </x:c>
      <x:c r="I320" s="15" t="str">
        <x:v>High</x:v>
      </x:c>
      <x:c r="J320" s="15" t="str">
        <x:v>eml_ALL_currentac__512781 (2).zip &gt; eml6currentac__512781.zip / FNB _-) R450.97 reserved for purchase @ Savemor Marloth from Current a_c..512781 using card..2924. 13Feb 15_04.eml</x:v>
      </x:c>
    </x:row>
    <x:row r="321">
      <x:c r="A321" s="34" t="n">
        <x:v>46066.63125</x:v>
      </x:c>
      <x:c r="B321" s="15" t="str">
        <x:v>Savemor Marloth Liqu</x:v>
      </x:c>
      <x:c r="C321" s="15" t="str">
        <x:v>R330.96 reserved for purchase @ Savemor Marloth Liqu from Current a/c..512781 using card..2924. Avail R40952. 13Feb 15:09</x:v>
      </x:c>
      <x:c r="D321" s="38" t="n">
        <x:v>330.96</x:v>
      </x:c>
      <x:c r="E321" s="15" t="str">
        <x:v>ZAR</x:v>
      </x:c>
      <x:c r="F321" s="15" t="str">
        <x:v>Current a/c..512781 / card..2924</x:v>
      </x:c>
      <x:c r="G321" s="15" t="str">
        <x:v>Meals / restaurants / entertainment</x:v>
      </x:c>
      <x:c r="H321" s="15" t="str">
        <x:v>Card purchase</x:v>
      </x:c>
      <x:c r="I321" s="15" t="str">
        <x:v>High</x:v>
      </x:c>
      <x:c r="J321" s="15" t="str">
        <x:v>eml_ALL_currentac__512781 (2).zip &gt; eml6currentac__512781.zip / FNB _-) R330.96 reserved for purchase @ Savemor Marloth Liqu from Current a_c..512781 using card..2924. 13Feb 15_09.eml</x:v>
      </x:c>
    </x:row>
    <x:row r="322">
      <x:c r="A322" s="34" t="n">
        <x:v>46066.67847222222</x:v>
      </x:c>
      <x:c r="B322" s="15" t="str">
        <x:v>Electricity 04294887</x:v>
      </x:c>
      <x:c r="C322" s="15" t="str">
        <x:v>R500.00 paid from Current a/c..512781 @ Smartapp. Avail R40449. Ref.Electricity 04294887. 13Feb 16:17</x:v>
      </x:c>
      <x:c r="D322" s="38" t="n">
        <x:v>500</x:v>
      </x:c>
      <x:c r="E322" s="15" t="str">
        <x:v>ZAR</x:v>
      </x:c>
      <x:c r="F322" s="15" t="str">
        <x:v>Current a/c..512781</x:v>
      </x:c>
      <x:c r="G322" s="15" t="str">
        <x:v>Telecom / utilities</x:v>
      </x:c>
      <x:c r="H322" s="15" t="str">
        <x:v>EFT payment</x:v>
      </x:c>
      <x:c r="I322" s="15" t="str">
        <x:v>High</x:v>
      </x:c>
      <x:c r="J322" s="15" t="str">
        <x:v>eml_ALL_currentac__512781 (2).zip &gt; eml6currentac__512781.zip / FNB _-) R500.00 paid from Current a_c..512781 @ Smartapp. Ref.Electricity 04294887. 13Feb 16_17.eml</x:v>
      </x:c>
    </x:row>
    <x:row r="323">
      <x:c r="A323" s="34" t="n">
        <x:v>46066.68263888889</x:v>
      </x:c>
      <x:c r="B323" s="15" t="str">
        <x:v>Seaside Village Elec</x:v>
      </x:c>
      <x:c r="C323" s="15" t="str">
        <x:v>R1000.00 paid from Current a/c..512781 @ Smartapp. Avail R39441. Ref.Seaside Village Elec. 13Feb 16:23</x:v>
      </x:c>
      <x:c r="D323" s="38" t="n">
        <x:v>1000</x:v>
      </x:c>
      <x:c r="E323" s="15" t="str">
        <x:v>ZAR</x:v>
      </x:c>
      <x:c r="F323" s="15" t="str">
        <x:v>Current a/c..512781</x:v>
      </x:c>
      <x:c r="G323" s="15" t="str">
        <x:v>Accommodation / hotels</x:v>
      </x:c>
      <x:c r="H323" s="15" t="str">
        <x:v>EFT payment</x:v>
      </x:c>
      <x:c r="I323" s="15" t="str">
        <x:v>High</x:v>
      </x:c>
      <x:c r="J323" s="15" t="str">
        <x:v>eml_ALL_currentac__512781 (2).zip &gt; eml6currentac__512781.zip / FNB _-) R1000.00 paid from Current a_c..512781 @ Smartapp. Ref.Seaside Village Elec. 13Feb 16_23.eml</x:v>
      </x:c>
    </x:row>
    <x:row r="324">
      <x:c r="A324" s="34" t="n">
        <x:v>46066.861805555556</x:v>
      </x:c>
      <x:c r="B324" s="15" t="str">
        <x:v>Salary Feb</x:v>
      </x:c>
      <x:c r="C324" s="15" t="str">
        <x:v>R3000.00 paid from Current a/c..512781 @ Smartapp. Avail R36438. Ref.Salary Feb. 13Feb 20:41</x:v>
      </x:c>
      <x:c r="D324" s="38" t="n">
        <x:v>3000</x:v>
      </x:c>
      <x:c r="E324" s="15" t="str">
        <x:v>ZAR</x:v>
      </x:c>
      <x:c r="F324" s="15" t="str">
        <x:v>Current a/c..512781</x:v>
      </x:c>
      <x:c r="G324" s="15" t="str">
        <x:v>Salary / wages</x:v>
      </x:c>
      <x:c r="H324" s="15" t="str">
        <x:v>EFT payment</x:v>
      </x:c>
      <x:c r="I324" s="15" t="str">
        <x:v>High</x:v>
      </x:c>
      <x:c r="J324" s="15" t="str">
        <x:v>eml_ALL_currentac__512781 (2).zip &gt; eml6currentac__512781.zip / FNB _-) R3000.00 paid from Current a_c..512781 @ Smartapp. Ref.Salary Feb. 13Feb 20_41.eml</x:v>
      </x:c>
    </x:row>
    <x:row r="325">
      <x:c r="A325" s="34" t="n">
        <x:v>46066.92291666667</x:v>
      </x:c>
      <x:c r="B325" s="15" t="str">
        <x:v>Staff Tips For Aug</x:v>
      </x:c>
      <x:c r="C325" s="15" t="str">
        <x:v>R5000.00 paid from Current a/c..512781 @ Gen Ph. Avail R31438. Ref.Staff Tips For Aug. 13Feb 22:09</x:v>
      </x:c>
      <x:c r="D325" s="38" t="n">
        <x:v>5000</x:v>
      </x:c>
      <x:c r="E325" s="15" t="str">
        <x:v>ZAR</x:v>
      </x:c>
      <x:c r="F325" s="15" t="str">
        <x:v>Current a/c..512781</x:v>
      </x:c>
      <x:c r="G325" s="15" t="str">
        <x:v>Salary / wages</x:v>
      </x:c>
      <x:c r="H325" s="15" t="str">
        <x:v>EFT payment</x:v>
      </x:c>
      <x:c r="I325" s="15" t="str">
        <x:v>High</x:v>
      </x:c>
      <x:c r="J325" s="15" t="str">
        <x:v>eml_ALL_currentac__512781 (2).zip &gt; eml6currentac__512781.zip / FNB _-) R5000.00 paid from Current a_c..512781 @ Gen Ph. Ref.Staff Tips For Aug. 13Feb 22_09.eml</x:v>
      </x:c>
    </x:row>
    <x:row r="326">
      <x:c r="A326" s="34" t="n">
        <x:v>46067.00833333333</x:v>
      </x:c>
      <x:c r="B326" s="15" t="str">
        <x:v>Dreyer</x:v>
      </x:c>
      <x:c r="C326" s="15" t="str">
        <x:v>R3000.00 paid from Current a/c..512781 @ Smartapp. Avail R28420. Ref.Dreyer. 14Feb 00:12</x:v>
      </x:c>
      <x:c r="D326" s="38" t="n">
        <x:v>3000</x:v>
      </x:c>
      <x:c r="E326" s="15" t="str">
        <x:v>ZAR</x:v>
      </x:c>
      <x:c r="F326" s="15" t="str">
        <x:v>Current a/c..512781</x:v>
      </x:c>
      <x:c r="G326" s="15" t="str">
        <x:v>Supplier payments</x:v>
      </x:c>
      <x:c r="H326" s="15" t="str">
        <x:v>EFT payment</x:v>
      </x:c>
      <x:c r="I326" s="15" t="str">
        <x:v>High</x:v>
      </x:c>
      <x:c r="J326" s="15" t="str">
        <x:v>eml_ALL_currentac__512781 (2).zip &gt; eml6currentac__512781.zip / FNB _-) R3000.00 paid from Current a_c..512781 @ Smartapp. Ref.Dreyer. 14Feb 00_12.eml</x:v>
      </x:c>
    </x:row>
    <x:row r="327">
      <x:c r="A327" s="34" t="n">
        <x:v>46067.36597222222</x:v>
      </x:c>
      <x:c r="B327" s="15" t="str">
        <x:v>Sakkie Wages</x:v>
      </x:c>
      <x:c r="C327" s="15" t="str">
        <x:v>R2000.00 paid from Current a/c..512781 @ Smartapp. Avail R26412. Ref.Sakkie Wages. 14Feb 08:47</x:v>
      </x:c>
      <x:c r="D327" s="38" t="n">
        <x:v>2000</x:v>
      </x:c>
      <x:c r="E327" s="15" t="str">
        <x:v>ZAR</x:v>
      </x:c>
      <x:c r="F327" s="15" t="str">
        <x:v>Current a/c..512781</x:v>
      </x:c>
      <x:c r="G327" s="15" t="str">
        <x:v>Salary / wages</x:v>
      </x:c>
      <x:c r="H327" s="15" t="str">
        <x:v>EFT payment</x:v>
      </x:c>
      <x:c r="I327" s="15" t="str">
        <x:v>High</x:v>
      </x:c>
      <x:c r="J327" s="15" t="str">
        <x:v>eml_ALL_currentac__512781 (2).zip &gt; eml6currentac__512781.zip / FNB _-) R2000.00 paid from Current a_c..512781 @ Smartapp. Ref.Sakkie Wages. 14Feb 08_47.eml</x:v>
      </x:c>
    </x:row>
    <x:row r="328">
      <x:c r="A328" s="34" t="n">
        <x:v>46067.525</x:v>
      </x:c>
      <x:c r="B328" s="15" t="str">
        <x:v>Sqsp* Websit</x:v>
      </x:c>
      <x:c r="C328" s="15" t="str">
        <x:v>R620.09 reserved for purchase @ Sqsp* Websit from Current a/c..512781 using card..2924. Avail R25792. 14Feb 12:36</x:v>
      </x:c>
      <x:c r="D328" s="38" t="n">
        <x:v>620.09</x:v>
      </x:c>
      <x:c r="E328" s="15" t="str">
        <x:v>ZAR</x:v>
      </x:c>
      <x:c r="F328" s="15" t="str">
        <x:v>Current a/c..512781 / card..2924</x:v>
      </x:c>
      <x:c r="G328" s="15" t="str">
        <x:v>Software / subscriptions</x:v>
      </x:c>
      <x:c r="H328" s="15" t="str">
        <x:v>Card purchase</x:v>
      </x:c>
      <x:c r="I328" s="15" t="str">
        <x:v>High</x:v>
      </x:c>
      <x:c r="J328" s="15" t="str">
        <x:v>eml_ALL_currentac__512781 (2).zip &gt; eml6currentac__512781.zip / FNB _-) R620.09 reserved for purchase @ Sqsp_ Websit from Current a_c..512781 using card..2924. 14Feb 12_36.eml</x:v>
      </x:c>
    </x:row>
    <x:row r="329">
      <x:c r="A329" s="34" t="n">
        <x:v>46069.572916666664</x:v>
      </x:c>
      <x:c r="B329" s="15" t="str">
        <x:v>Shoprite Komatipoort</x:v>
      </x:c>
      <x:c r="C329" s="15" t="str">
        <x:v>R628.86 reserved for purchase @ Shoprite Komatipoort from Current a/c..512781 using card..2924. Avail R20916. 16Feb 13:45</x:v>
      </x:c>
      <x:c r="D329" s="38" t="n">
        <x:v>628.86</x:v>
      </x:c>
      <x:c r="E329" s="15" t="str">
        <x:v>ZAR</x:v>
      </x:c>
      <x:c r="F329" s="15" t="str">
        <x:v>Current a/c..512781 / card..2924</x:v>
      </x:c>
      <x:c r="G329" s="15" t="str">
        <x:v>Supplier payments</x:v>
      </x:c>
      <x:c r="H329" s="15" t="str">
        <x:v>Card purchase</x:v>
      </x:c>
      <x:c r="I329" s="15" t="str">
        <x:v>High</x:v>
      </x:c>
      <x:c r="J329" s="15" t="str">
        <x:v>eml_ALL_currentac__512781 (2).zip &gt; eml6currentac__512781.zip / FNB _-) R628.86 reserved for purchase @ Shoprite Komatipoort from Current a_c..512781 using card..2924. 16Feb 13_45.eml</x:v>
      </x:c>
    </x:row>
    <x:row r="330">
      <x:c r="A330" s="34" t="n">
        <x:v>46069.61875</x:v>
      </x:c>
      <x:c r="B330" s="15" t="str">
        <x:v>Superspar Komatipoor</x:v>
      </x:c>
      <x:c r="C330" s="15" t="str">
        <x:v>R1817.30 reserved for purchase @ Superspar Komatipoor from Current a/c..512781 using card..2924. Avail R26968. 16Feb 14:51</x:v>
      </x:c>
      <x:c r="D330" s="38" t="n">
        <x:v>1817.3</x:v>
      </x:c>
      <x:c r="E330" s="15" t="str">
        <x:v>ZAR</x:v>
      </x:c>
      <x:c r="F330" s="15" t="str">
        <x:v>Current a/c..512781 / card..2924</x:v>
      </x:c>
      <x:c r="G330" s="15" t="str">
        <x:v>Supplier payments</x:v>
      </x:c>
      <x:c r="H330" s="15" t="str">
        <x:v>Card purchase</x:v>
      </x:c>
      <x:c r="I330" s="15" t="str">
        <x:v>High</x:v>
      </x:c>
      <x:c r="J330" s="15" t="str">
        <x:v>eml_ALL_currentac__512781 (2).zip &gt; eml6currentac__512781.zip / FNB _-) R1817.30 reserved for purchase @ Superspar Komatipoor from Current a_c..512781 using card..2924. 16Feb 14_51.eml</x:v>
      </x:c>
    </x:row>
    <x:row r="331">
      <x:c r="A331" s="34" t="n">
        <x:v>46070.43680555555</x:v>
      </x:c>
      <x:c r="B331" s="15" t="str">
        <x:v>Showpls Roofing</x:v>
      </x:c>
      <x:c r="C331" s="15" t="str">
        <x:v>R2000.00 paid from Current a/c..512781 @ Smartapp. Avail R24931. Ref.Showpls Roofing. 17Feb 10:29</x:v>
      </x:c>
      <x:c r="D331" s="38" t="n">
        <x:v>2000</x:v>
      </x:c>
      <x:c r="E331" s="15" t="str">
        <x:v>ZAR</x:v>
      </x:c>
      <x:c r="F331" s="15" t="str">
        <x:v>Current a/c..512781</x:v>
      </x:c>
      <x:c r="G331" s="15" t="str">
        <x:v>Supplier payments</x:v>
      </x:c>
      <x:c r="H331" s="15" t="str">
        <x:v>EFT payment</x:v>
      </x:c>
      <x:c r="I331" s="15" t="str">
        <x:v>High</x:v>
      </x:c>
      <x:c r="J331" s="15" t="str">
        <x:v>eml_ALL_currentac__512781 (2).zip &gt; eml6currentac__512781.zip / FNB _-) R2000.00 paid from Current a_c..512781 @ Smartapp. Ref.Showpls Roofing. 17Feb 10_29.eml</x:v>
      </x:c>
    </x:row>
    <x:row r="332">
      <x:c r="A332" s="34" t="n">
        <x:v>46070.461805555555</x:v>
      </x:c>
      <x:c r="B332" s="15" t="str">
        <x:v>Kruger Safari 1683</x:v>
      </x:c>
      <x:c r="C332" s="15" t="str">
        <x:v>R4506.00 paid from Current a/c..512781 @ Gen Ph. Avail R20410. Ref.Kruger Safari 1683. 17Feb 11:05</x:v>
      </x:c>
      <x:c r="D332" s="38" t="n">
        <x:v>4506</x:v>
      </x:c>
      <x:c r="E332" s="15" t="str">
        <x:v>ZAR</x:v>
      </x:c>
      <x:c r="F332" s="15" t="str">
        <x:v>Current a/c..512781</x:v>
      </x:c>
      <x:c r="G332" s="15" t="str">
        <x:v>Supplier payments</x:v>
      </x:c>
      <x:c r="H332" s="15" t="str">
        <x:v>EFT payment</x:v>
      </x:c>
      <x:c r="I332" s="15" t="str">
        <x:v>High</x:v>
      </x:c>
      <x:c r="J332" s="15" t="str">
        <x:v>eml_ALL_currentac__512781 (2).zip &gt; eml6currentac__512781.zip / FNB _-) R4506.00 paid from Current a_c..512781 @ Gen Ph. Ref.Kruger Safari 1683. 17Feb 11_05.eml</x:v>
      </x:c>
    </x:row>
    <x:row r="333">
      <x:c r="A333" s="34" t="n">
        <x:v>46070.479166666664</x:v>
      </x:c>
      <x:c r="B333" s="15" t="str">
        <x:v>Superspar Malelane</x:v>
      </x:c>
      <x:c r="C333" s="15" t="str">
        <x:v>R316.54 reserved for purchase @ Superspar Malelane from Current a/c..512781 using card..2924. Avail R20094. 17Feb 11:30</x:v>
      </x:c>
      <x:c r="D333" s="38" t="n">
        <x:v>316.54</x:v>
      </x:c>
      <x:c r="E333" s="15" t="str">
        <x:v>ZAR</x:v>
      </x:c>
      <x:c r="F333" s="15" t="str">
        <x:v>Current a/c..512781 / card..2924</x:v>
      </x:c>
      <x:c r="G333" s="15" t="str">
        <x:v>Supplier payments</x:v>
      </x:c>
      <x:c r="H333" s="15" t="str">
        <x:v>Card purchase</x:v>
      </x:c>
      <x:c r="I333" s="15" t="str">
        <x:v>High</x:v>
      </x:c>
      <x:c r="J333" s="15" t="str">
        <x:v>eml_ALL_currentac__512781 (2).zip &gt; eml6currentac__512781.zip / FNB _-) R316.54 reserved for purchase @ Superspar Malelane from Current a_c..512781 using card..2924. 17Feb 11_30.eml</x:v>
      </x:c>
    </x:row>
    <x:row r="334">
      <x:c r="A334" s="34" t="n">
        <x:v>46070.48611111111</x:v>
      </x:c>
      <x:c r="B334" s="15" t="str">
        <x:v>Tops Malelane</x:v>
      </x:c>
      <x:c r="C334" s="15" t="str">
        <x:v>R186.00 reserved for purchase @ Tops Malelane from Current a/c..512781 using card..2924. Avail R19908. 17Feb 11:40</x:v>
      </x:c>
      <x:c r="D334" s="38" t="n">
        <x:v>186</x:v>
      </x:c>
      <x:c r="E334" s="15" t="str">
        <x:v>ZAR</x:v>
      </x:c>
      <x:c r="F334" s="15" t="str">
        <x:v>Current a/c..512781 / card..2924</x:v>
      </x:c>
      <x:c r="G334" s="15" t="str">
        <x:v>Meals / restaurants / entertainment</x:v>
      </x:c>
      <x:c r="H334" s="15" t="str">
        <x:v>Card purchase</x:v>
      </x:c>
      <x:c r="I334" s="15" t="str">
        <x:v>High</x:v>
      </x:c>
      <x:c r="J334" s="15" t="str">
        <x:v>eml_ALL_currentac__512781 (2).zip &gt; eml6currentac__512781.zip / FNB _-) R186.00 reserved for purchase @ Tops Malelane from Current a_c..512781 using card..2924. 17Feb 11_40.eml</x:v>
      </x:c>
    </x:row>
    <x:row r="335">
      <x:c r="A335" s="34" t="n">
        <x:v>46070.48888888889</x:v>
      </x:c>
      <x:c r="B335" s="15" t="str">
        <x:v>Paystack *zoho Co</x:v>
      </x:c>
      <x:c r="C335" s="15" t="str">
        <x:v>R228.85 reserved for purchase @ Paystack *zoho Co from Current a/c..512781 using card..2924. Avail R19679. 17Feb 11:44</x:v>
      </x:c>
      <x:c r="D335" s="38" t="n">
        <x:v>228.85</x:v>
      </x:c>
      <x:c r="E335" s="15" t="str">
        <x:v>ZAR</x:v>
      </x:c>
      <x:c r="F335" s="15" t="str">
        <x:v>Current a/c..512781 / card..2924</x:v>
      </x:c>
      <x:c r="G335" s="15" t="str">
        <x:v>Software / subscriptions</x:v>
      </x:c>
      <x:c r="H335" s="15" t="str">
        <x:v>Card purchase</x:v>
      </x:c>
      <x:c r="I335" s="15" t="str">
        <x:v>High</x:v>
      </x:c>
      <x:c r="J335" s="15" t="str">
        <x:v>eml_ALL_currentac__512781 (2).zip &gt; eml6currentac__512781.zip / FNB _-) R228.85 reserved for purchase @ Paystack _zoho Co from Current a_c..512781 using card..2924. 17Feb 11_44.eml</x:v>
      </x:c>
    </x:row>
    <x:row r="336">
      <x:c r="A336" s="34" t="n">
        <x:v>46070.61597222222</x:v>
      </x:c>
      <x:c r="B336" s="15" t="str">
        <x:v>Savemor Marloth</x:v>
      </x:c>
      <x:c r="C336" s="15" t="str">
        <x:v>R300.10 reserved for purchase @ Savemor Marloth from Current a/c..512781 using card..2924. Avail R19379. 17Feb 14:47</x:v>
      </x:c>
      <x:c r="D336" s="38" t="n">
        <x:v>300.1</x:v>
      </x:c>
      <x:c r="E336" s="15" t="str">
        <x:v>ZAR</x:v>
      </x:c>
      <x:c r="F336" s="15" t="str">
        <x:v>Current a/c..512781 / card..2924</x:v>
      </x:c>
      <x:c r="G336" s="15" t="str">
        <x:v>Supplier payments</x:v>
      </x:c>
      <x:c r="H336" s="15" t="str">
        <x:v>Card purchase</x:v>
      </x:c>
      <x:c r="I336" s="15" t="str">
        <x:v>High</x:v>
      </x:c>
      <x:c r="J336" s="15" t="str">
        <x:v>eml_ALL_currentac__512781 (2).zip &gt; eml6currentac__512781.zip / FNB _-) R300.10 reserved for purchase @ Savemor Marloth from Current a_c..512781 using card..2924. 17Feb 14_47.eml</x:v>
      </x:c>
    </x:row>
    <x:row r="337">
      <x:c r="A337" s="34" t="n">
        <x:v>46071.45347222222</x:v>
      </x:c>
      <x:c r="B337" s="15" t="str">
        <x:v>Savemor Marloth</x:v>
      </x:c>
      <x:c r="C337" s="15" t="str">
        <x:v>R1499.99 reserved for purchase @ Savemor Marloth from Current a/c..512781 using card..2924. Avail R17804. 18Feb 10:53</x:v>
      </x:c>
      <x:c r="D337" s="38" t="n">
        <x:v>1499.99</x:v>
      </x:c>
      <x:c r="E337" s="15" t="str">
        <x:v>ZAR</x:v>
      </x:c>
      <x:c r="F337" s="15" t="str">
        <x:v>Current a/c..512781 / card..2924</x:v>
      </x:c>
      <x:c r="G337" s="15" t="str">
        <x:v>Supplier payments</x:v>
      </x:c>
      <x:c r="H337" s="15" t="str">
        <x:v>Card purchase</x:v>
      </x:c>
      <x:c r="I337" s="15" t="str">
        <x:v>High</x:v>
      </x:c>
      <x:c r="J337" s="15" t="str">
        <x:v>eml_ALL_currentac__512781 (2).zip &gt; eml6currentac__512781.zip / FNB _-) R1499.99 reserved for purchase @ Savemor Marloth from Current a_c..512781 using card..2924. 18Feb 10_53.eml</x:v>
      </x:c>
    </x:row>
    <x:row r="338">
      <x:c r="A338" s="34" t="n">
        <x:v>46071.45625</x:v>
      </x:c>
      <x:c r="B338" s="15" t="str">
        <x:v>Marlothi Petrol Stat</x:v>
      </x:c>
      <x:c r="C338" s="15" t="str">
        <x:v>R500.00 reserved for purchase @ Marlothi Petrol Stat from Current a/c..512781 using card..2924. Avail R17304. 18Feb 10:57</x:v>
      </x:c>
      <x:c r="D338" s="38" t="n">
        <x:v>500</x:v>
      </x:c>
      <x:c r="E338" s="15" t="str">
        <x:v>ZAR</x:v>
      </x:c>
      <x:c r="F338" s="15" t="str">
        <x:v>Current a/c..512781 / card..2924</x:v>
      </x:c>
      <x:c r="G338" s="15" t="str">
        <x:v>Fuel / transport</x:v>
      </x:c>
      <x:c r="H338" s="15" t="str">
        <x:v>Card purchase</x:v>
      </x:c>
      <x:c r="I338" s="15" t="str">
        <x:v>High</x:v>
      </x:c>
      <x:c r="J338" s="15" t="str">
        <x:v>eml_ALL_currentac__512781 (2).zip &gt; eml6currentac__512781.zip / FNB _-) R500.00 reserved for purchase @ Marlothi Petrol Stat from Current a_c..512781 using card..2924. 18Feb 10_57.eml</x:v>
      </x:c>
    </x:row>
    <x:row r="339">
      <x:c r="A339" s="34" t="n">
        <x:v>46071.853472222225</x:v>
      </x:c>
      <x:c r="B339" s="15" t="str">
        <x:v>K2025744041 Sou 262</x:v>
      </x:c>
      <x:c r="C339" s="15" t="str">
        <x:v>R470.00 reserved for purchase @ K2025744041 Sou 262 from Current a/c..512781 using card..2924. Avail R16834. 18Feb 20:29</x:v>
      </x:c>
      <x:c r="D339" s="38" t="n">
        <x:v>470</x:v>
      </x:c>
      <x:c r="E339" s="15" t="str">
        <x:v>ZAR</x:v>
      </x:c>
      <x:c r="F339" s="15" t="str">
        <x:v>Current a/c..512781 / card..2924</x:v>
      </x:c>
      <x:c r="G339" s="15" t="str">
        <x:v>Card spend</x:v>
      </x:c>
      <x:c r="H339" s="15" t="str">
        <x:v>Card purchase</x:v>
      </x:c>
      <x:c r="I339" s="15" t="str">
        <x:v>High</x:v>
      </x:c>
      <x:c r="J339" s="15" t="str">
        <x:v>eml_ALL_currentac__512781 (2).zip &gt; eml6currentac__512781.zip / FNB _-) R470.00 reserved for purchase @ K2025744041 Sou 262 from Current a_c..512781 using card..2924. 18Feb 20_29.eml</x:v>
      </x:c>
    </x:row>
    <x:row r="340">
      <x:c r="A340" s="34" t="n">
        <x:v>46072.47430555556</x:v>
      </x:c>
      <x:c r="B340" s="15" t="str">
        <x:v>Screens X 5</x:v>
      </x:c>
      <x:c r="C340" s="15" t="str">
        <x:v>R3525.00 paid from Current a/c..512781 @ Smartapp. Avail R40154. Ref.Screens X 5. 19Feb 11:23</x:v>
      </x:c>
      <x:c r="D340" s="38" t="n">
        <x:v>3525</x:v>
      </x:c>
      <x:c r="E340" s="15" t="str">
        <x:v>ZAR</x:v>
      </x:c>
      <x:c r="F340" s="15" t="str">
        <x:v>Current a/c..512781</x:v>
      </x:c>
      <x:c r="G340" s="15" t="str">
        <x:v>Supplier payments</x:v>
      </x:c>
      <x:c r="H340" s="15" t="str">
        <x:v>EFT payment</x:v>
      </x:c>
      <x:c r="I340" s="15" t="str">
        <x:v>High</x:v>
      </x:c>
      <x:c r="J340" s="15" t="str">
        <x:v>eml_ALL_currentac__512781 (2).zip &gt; eml6currentac__512781.zip / FNB _-) R3525.00 paid from Current a_c..512781 @ Smartapp. Ref.Screens X 5. 19Feb 11_23.eml</x:v>
      </x:c>
    </x:row>
    <x:row r="341">
      <x:c r="A341" s="34" t="n">
        <x:v>46072.63055555556</x:v>
      </x:c>
      <x:c r="B341" s="15" t="str">
        <x:v>Bon Express 007757</x:v>
      </x:c>
      <x:c r="C341" s="15" t="str">
        <x:v>R132.25 paid from Current a/c..512781 @ Smartapp. Avail R53153. Ref.Bon Express 007757. 19Feb 15:08</x:v>
      </x:c>
      <x:c r="D341" s="38" t="n">
        <x:v>132.25</x:v>
      </x:c>
      <x:c r="E341" s="15" t="str">
        <x:v>ZAR</x:v>
      </x:c>
      <x:c r="F341" s="15" t="str">
        <x:v>Current a/c..512781</x:v>
      </x:c>
      <x:c r="G341" s="15" t="str">
        <x:v>Supplier payments</x:v>
      </x:c>
      <x:c r="H341" s="15" t="str">
        <x:v>EFT payment</x:v>
      </x:c>
      <x:c r="I341" s="15" t="str">
        <x:v>High</x:v>
      </x:c>
      <x:c r="J341" s="15" t="str">
        <x:v>eml_ALL_currentac__512781 (2).zip &gt; eml6currentac__512781.zip / FNB _-) R132.25 paid from Current a_c..512781 @ Smartapp. Ref.Bon Express 007757. 19Feb 15_08.eml</x:v>
      </x:c>
    </x:row>
    <x:row r="342">
      <x:c r="A342" s="34" t="n">
        <x:v>46072.74375</x:v>
      </x:c>
      <x:c r="B342" s="15" t="str">
        <x:v>Savemor Marloth</x:v>
      </x:c>
      <x:c r="C342" s="15" t="str">
        <x:v>R171.37 reserved for purchase @ Savemor Marloth from Current a/c..512781 using card..2924. Avail R52981. 19Feb 17:51</x:v>
      </x:c>
      <x:c r="D342" s="38" t="n">
        <x:v>171.37</x:v>
      </x:c>
      <x:c r="E342" s="15" t="str">
        <x:v>ZAR</x:v>
      </x:c>
      <x:c r="F342" s="15" t="str">
        <x:v>Current a/c..512781 / card..2924</x:v>
      </x:c>
      <x:c r="G342" s="15" t="str">
        <x:v>Supplier payments</x:v>
      </x:c>
      <x:c r="H342" s="15" t="str">
        <x:v>Card purchase</x:v>
      </x:c>
      <x:c r="I342" s="15" t="str">
        <x:v>High</x:v>
      </x:c>
      <x:c r="J342" s="15" t="str">
        <x:v>eml_ALL_currentac__512781 (2).zip &gt; eml6currentac__512781.zip / FNB _-) R171.37 reserved for purchase @ Savemor Marloth from Current a_c..512781 using card..2924. 19Feb 17_51.eml</x:v>
      </x:c>
    </x:row>
    <x:row r="343">
      <x:c r="A343" s="34" t="n">
        <x:v>46072.79861111111</x:v>
      </x:c>
      <x:c r="B343" s="15" t="str">
        <x:v>Inv 20260138</x:v>
      </x:c>
      <x:c r="C343" s="15" t="str">
        <x:v>R545.00 paid from Current a/c..512781 @ Smartapp. Avail R52428. Ref.Inv 20260138. 19Feb 19:10</x:v>
      </x:c>
      <x:c r="D343" s="38" t="n">
        <x:v>545</x:v>
      </x:c>
      <x:c r="E343" s="15" t="str">
        <x:v>ZAR</x:v>
      </x:c>
      <x:c r="F343" s="15" t="str">
        <x:v>Current a/c..512781</x:v>
      </x:c>
      <x:c r="G343" s="15" t="str">
        <x:v>Supplier payments</x:v>
      </x:c>
      <x:c r="H343" s="15" t="str">
        <x:v>EFT payment</x:v>
      </x:c>
      <x:c r="I343" s="15" t="str">
        <x:v>High</x:v>
      </x:c>
      <x:c r="J343" s="15" t="str">
        <x:v>eml_ALL_currentac__512781 (2).zip &gt; eml6currentac__512781.zip / FNB _-) R545.00 paid from Current a_c..512781 @ Smartapp. Ref.Inv 20260138. 19Feb 19_10.eml</x:v>
      </x:c>
    </x:row>
    <x:row r="344">
      <x:c r="A344" s="34" t="n">
        <x:v>46073.39097222222</x:v>
      </x:c>
      <x:c r="B344" s="15" t="str">
        <x:v>Komatipoort</x:v>
      </x:c>
      <x:c r="C344" s="15" t="str">
        <x:v>R845.00 paid from Current a/c..512781 @ Smartapp. Avail R51567. Ref.Komatipoort. 20Feb 09:23</x:v>
      </x:c>
      <x:c r="D344" s="38" t="n">
        <x:v>845</x:v>
      </x:c>
      <x:c r="E344" s="15" t="str">
        <x:v>ZAR</x:v>
      </x:c>
      <x:c r="F344" s="15" t="str">
        <x:v>Current a/c..512781</x:v>
      </x:c>
      <x:c r="G344" s="15" t="str">
        <x:v>Supplier payments</x:v>
      </x:c>
      <x:c r="H344" s="15" t="str">
        <x:v>EFT payment</x:v>
      </x:c>
      <x:c r="I344" s="15" t="str">
        <x:v>High</x:v>
      </x:c>
      <x:c r="J344" s="15" t="str">
        <x:v>eml_ALL_currentac__512781 (2).zip &gt; eml6currentac__512781.zip / FNB _-) R845.00 paid from Current a_c..512781 @ Smartapp. Ref.Komatipoort. 20Feb 09_23.eml</x:v>
      </x:c>
    </x:row>
    <x:row r="345">
      <x:c r="A345" s="34" t="n">
        <x:v>46073.58125</x:v>
      </x:c>
      <x:c r="B345" s="15" t="str">
        <x:v>Kruger Safari 1684</x:v>
      </x:c>
      <x:c r="C345" s="15" t="str">
        <x:v>R6008.00 paid from Current a/c..512781 @ Smartapp. Avail R75588. Ref.Kruger Safari 1684. 20Feb 13:57</x:v>
      </x:c>
      <x:c r="D345" s="38" t="n">
        <x:v>6008</x:v>
      </x:c>
      <x:c r="E345" s="15" t="str">
        <x:v>ZAR</x:v>
      </x:c>
      <x:c r="F345" s="15" t="str">
        <x:v>Current a/c..512781</x:v>
      </x:c>
      <x:c r="G345" s="15" t="str">
        <x:v>Supplier payments</x:v>
      </x:c>
      <x:c r="H345" s="15" t="str">
        <x:v>EFT payment</x:v>
      </x:c>
      <x:c r="I345" s="15" t="str">
        <x:v>High</x:v>
      </x:c>
      <x:c r="J345" s="15" t="str">
        <x:v>eml_ALL_currentac__512781 (2).zip &gt; eml6currentac__512781.zip / FNB _-) R6008.00 paid from Current a_c..512781 @ Smartapp. Ref.Kruger Safari 1684. 20Feb 13_57.eml</x:v>
      </x:c>
    </x:row>
    <x:row r="346">
      <x:c r="A346" s="34" t="n">
        <x:v>46073.69652777778</x:v>
      </x:c>
      <x:c r="B346" s="15" t="str">
        <x:v>Oasis Water Komatipo</x:v>
      </x:c>
      <x:c r="C346" s="15" t="str">
        <x:v>R149.70 reserved for purchase @ Oasis Water Komatipo from Current a/c..512781 using card..2924. Avail R75438. 20Feb 16:43</x:v>
      </x:c>
      <x:c r="D346" s="38" t="n">
        <x:v>149.7</x:v>
      </x:c>
      <x:c r="E346" s="15" t="str">
        <x:v>ZAR</x:v>
      </x:c>
      <x:c r="F346" s="15" t="str">
        <x:v>Current a/c..512781 / card..2924</x:v>
      </x:c>
      <x:c r="G346" s="15" t="str">
        <x:v>Supplier payments</x:v>
      </x:c>
      <x:c r="H346" s="15" t="str">
        <x:v>Card purchase</x:v>
      </x:c>
      <x:c r="I346" s="15" t="str">
        <x:v>High</x:v>
      </x:c>
      <x:c r="J346" s="15" t="str">
        <x:v>eml_ALL_currentac__512781 (2).zip &gt; eml6currentac__512781.zip / FNB _-) R149.70 reserved for purchase @ Oasis Water Komatipo from Current a_c..512781 using card..2924. 20Feb 16_43.eml</x:v>
      </x:c>
    </x:row>
    <x:row r="347">
      <x:c r="A347" s="34" t="n">
        <x:v>46073.711805555555</x:v>
      </x:c>
      <x:c r="B347" s="15" t="str">
        <x:v>Superspar Komatipoor</x:v>
      </x:c>
      <x:c r="C347" s="15" t="str">
        <x:v>R693.43 reserved for purchase @ Superspar Komatipoor from Current a/c..512781 using card..2924. Avail R74744. 20Feb 17:05</x:v>
      </x:c>
      <x:c r="D347" s="38" t="n">
        <x:v>693.43</x:v>
      </x:c>
      <x:c r="E347" s="15" t="str">
        <x:v>ZAR</x:v>
      </x:c>
      <x:c r="F347" s="15" t="str">
        <x:v>Current a/c..512781 / card..2924</x:v>
      </x:c>
      <x:c r="G347" s="15" t="str">
        <x:v>Supplier payments</x:v>
      </x:c>
      <x:c r="H347" s="15" t="str">
        <x:v>Card purchase</x:v>
      </x:c>
      <x:c r="I347" s="15" t="str">
        <x:v>High</x:v>
      </x:c>
      <x:c r="J347" s="15" t="str">
        <x:v>eml_ALL_currentac__512781 (2).zip &gt; eml6currentac__512781.zip / FNB _-) R693.43 reserved for purchase @ Superspar Komatipoor from Current a_c..512781 using card..2924. 20Feb 17_05.eml</x:v>
      </x:c>
    </x:row>
    <x:row r="348">
      <x:c r="A348" s="34" t="n">
        <x:v>46073.80416666667</x:v>
      </x:c>
      <x:c r="B348" s="15" t="str">
        <x:v>Gas</x:v>
      </x:c>
      <x:c r="C348" s="15" t="str">
        <x:v>R2000.00 paid from Current a/c..512781 @ Smartapp. Avail R72741. Ref.Gas. 20Feb 19:18</x:v>
      </x:c>
      <x:c r="D348" s="38" t="n">
        <x:v>2000</x:v>
      </x:c>
      <x:c r="E348" s="15" t="str">
        <x:v>ZAR</x:v>
      </x:c>
      <x:c r="F348" s="15" t="str">
        <x:v>Current a/c..512781</x:v>
      </x:c>
      <x:c r="G348" s="15" t="str">
        <x:v>Supplier payments</x:v>
      </x:c>
      <x:c r="H348" s="15" t="str">
        <x:v>EFT payment</x:v>
      </x:c>
      <x:c r="I348" s="15" t="str">
        <x:v>High</x:v>
      </x:c>
      <x:c r="J348" s="15" t="str">
        <x:v>eml_ALL_currentac__512781 (2).zip &gt; eml6currentac__512781.zip / FNB _-) R2000.00 paid from Current a_c..512781 @ Smartapp. Ref.Gas. 20Feb 19_18.eml</x:v>
      </x:c>
    </x:row>
    <x:row r="349">
      <x:c r="A349" s="34" t="n">
        <x:v>46073.84305555555</x:v>
      </x:c>
      <x:c r="B349" s="15" t="str">
        <x:v>The Tin Shack</x:v>
      </x:c>
      <x:c r="C349" s="15" t="str">
        <x:v>R185.00 reserved for purchase @ The Tin Shack from Current a/c..512781 using card..2924. Avail R72556. 20Feb 20:14</x:v>
      </x:c>
      <x:c r="D349" s="38" t="n">
        <x:v>185</x:v>
      </x:c>
      <x:c r="E349" s="15" t="str">
        <x:v>ZAR</x:v>
      </x:c>
      <x:c r="F349" s="15" t="str">
        <x:v>Current a/c..512781 / card..2924</x:v>
      </x:c>
      <x:c r="G349" s="15" t="str">
        <x:v>Meals / restaurants / entertainment</x:v>
      </x:c>
      <x:c r="H349" s="15" t="str">
        <x:v>Card purchase</x:v>
      </x:c>
      <x:c r="I349" s="15" t="str">
        <x:v>High</x:v>
      </x:c>
      <x:c r="J349" s="15" t="str">
        <x:v>eml_ALL_currentac__512781 (2).zip &gt; eml6currentac__512781.zip / FNB _-) R185.00 reserved for purchase @ The Tin Shack from Current a_c..512781 using card..2924. 20Feb 20_14.eml</x:v>
      </x:c>
    </x:row>
    <x:row r="350">
      <x:c r="A350" s="34" t="n">
        <x:v>46074.433333333334</x:v>
      </x:c>
      <x:c r="B350" s="15" t="str">
        <x:v>Savemor Marloth</x:v>
      </x:c>
      <x:c r="C350" s="15" t="str">
        <x:v>R1201.40 reserved for purchase @ Savemor Marloth from Current a/c..512781 using card..2924. Avail R71335. 21Feb 10:24</x:v>
      </x:c>
      <x:c r="D350" s="38" t="n">
        <x:v>1201.4</x:v>
      </x:c>
      <x:c r="E350" s="15" t="str">
        <x:v>ZAR</x:v>
      </x:c>
      <x:c r="F350" s="15" t="str">
        <x:v>Current a/c..512781 / card..2924</x:v>
      </x:c>
      <x:c r="G350" s="15" t="str">
        <x:v>Supplier payments</x:v>
      </x:c>
      <x:c r="H350" s="15" t="str">
        <x:v>Card purchase</x:v>
      </x:c>
      <x:c r="I350" s="15" t="str">
        <x:v>High</x:v>
      </x:c>
      <x:c r="J350" s="15" t="str">
        <x:v>eml_ALL_currentac__512781 (2).zip &gt; eml6currentac__512781.zip / FNB _-) R1201.40 reserved for purchase @ Savemor Marloth from Current a_c..512781 using card..2924. 21Feb 10_24.eml</x:v>
      </x:c>
    </x:row>
    <x:row r="351">
      <x:c r="A351" s="34" t="n">
        <x:v>46074.45486111111</x:v>
      </x:c>
      <x:c r="B351" s="15" t="str">
        <x:v>Komati Liquor</x:v>
      </x:c>
      <x:c r="C351" s="15" t="str">
        <x:v>R316.00 reserved for purchase @ Komati Liquor from Current a/c..512781 using card..2924. Avail R71019. 21Feb 10:55</x:v>
      </x:c>
      <x:c r="D351" s="38" t="n">
        <x:v>316</x:v>
      </x:c>
      <x:c r="E351" s="15" t="str">
        <x:v>ZAR</x:v>
      </x:c>
      <x:c r="F351" s="15" t="str">
        <x:v>Current a/c..512781 / card..2924</x:v>
      </x:c>
      <x:c r="G351" s="15" t="str">
        <x:v>Meals / restaurants / entertainment</x:v>
      </x:c>
      <x:c r="H351" s="15" t="str">
        <x:v>Card purchase</x:v>
      </x:c>
      <x:c r="I351" s="15" t="str">
        <x:v>High</x:v>
      </x:c>
      <x:c r="J351" s="15" t="str">
        <x:v>eml_ALL_currentac__512781 (2).zip &gt; eml6currentac__512781.zip / FNB _-) R316.00 reserved for purchase @ Komati Liquor from Current a_c..512781 using card..2924. 21Feb 10_55.eml</x:v>
      </x:c>
    </x:row>
    <x:row r="352">
      <x:c r="A352" s="34" t="n">
        <x:v>46074.461805555555</x:v>
      </x:c>
      <x:c r="B352" s="15" t="str">
        <x:v>Eastern Border Fuels</x:v>
      </x:c>
      <x:c r="C352" s="15" t="str">
        <x:v>R700.00 reserved for purchase @ Eastern Border Fuels from Current a/c..512781 using card..2924. Avail R70319. 21Feb 11:05</x:v>
      </x:c>
      <x:c r="D352" s="38" t="n">
        <x:v>700</x:v>
      </x:c>
      <x:c r="E352" s="15" t="str">
        <x:v>ZAR</x:v>
      </x:c>
      <x:c r="F352" s="15" t="str">
        <x:v>Current a/c..512781 / card..2924</x:v>
      </x:c>
      <x:c r="G352" s="15" t="str">
        <x:v>Fuel / transport</x:v>
      </x:c>
      <x:c r="H352" s="15" t="str">
        <x:v>Card purchase</x:v>
      </x:c>
      <x:c r="I352" s="15" t="str">
        <x:v>High</x:v>
      </x:c>
      <x:c r="J352" s="15" t="str">
        <x:v>eml_ALL_currentac__512781 (2).zip &gt; eml6currentac__512781.zip / FNB _-) R700.00 reserved for purchase @ Eastern Border Fuels from Current a_c..512781 using card..2924. 21Feb 11_05.eml</x:v>
      </x:c>
    </x:row>
    <x:row r="353">
      <x:c r="A353" s="34" t="n">
        <x:v>46074.481944444444</x:v>
      </x:c>
      <x:c r="B353" s="15" t="str">
        <x:v>Superspar Komatipoor</x:v>
      </x:c>
      <x:c r="C353" s="15" t="str">
        <x:v>R475.39 reserved for purchase @ Superspar Komatipoor from Current a/c..512781 using card..2924. Avail R69843. 21Feb 11:34</x:v>
      </x:c>
      <x:c r="D353" s="38" t="n">
        <x:v>475.39</x:v>
      </x:c>
      <x:c r="E353" s="15" t="str">
        <x:v>ZAR</x:v>
      </x:c>
      <x:c r="F353" s="15" t="str">
        <x:v>Current a/c..512781 / card..2924</x:v>
      </x:c>
      <x:c r="G353" s="15" t="str">
        <x:v>Supplier payments</x:v>
      </x:c>
      <x:c r="H353" s="15" t="str">
        <x:v>Card purchase</x:v>
      </x:c>
      <x:c r="I353" s="15" t="str">
        <x:v>High</x:v>
      </x:c>
      <x:c r="J353" s="15" t="str">
        <x:v>eml_ALL_currentac__512781 (2).zip &gt; eml6currentac__512781.zip / FNB _-) R475.39 reserved for purchase @ Superspar Komatipoor from Current a_c..512781 using card..2924. 21Feb 11_34.eml</x:v>
      </x:c>
    </x:row>
    <x:row r="354">
      <x:c r="A354" s="34" t="n">
        <x:v>46074.52222222222</x:v>
      </x:c>
      <x:c r="B354" s="15" t="str">
        <x:v>Marlothi Petrol Stat</x:v>
      </x:c>
      <x:c r="C354" s="15" t="str">
        <x:v>R200.00 reserved for purchase @ Marlothi Petrol Stat from Current a/c..512781 using card..2924. Avail R69600. 21Feb 12:32</x:v>
      </x:c>
      <x:c r="D354" s="38" t="n">
        <x:v>200</x:v>
      </x:c>
      <x:c r="E354" s="15" t="str">
        <x:v>ZAR</x:v>
      </x:c>
      <x:c r="F354" s="15" t="str">
        <x:v>Current a/c..512781 / card..2924</x:v>
      </x:c>
      <x:c r="G354" s="15" t="str">
        <x:v>Fuel / transport</x:v>
      </x:c>
      <x:c r="H354" s="15" t="str">
        <x:v>Card purchase</x:v>
      </x:c>
      <x:c r="I354" s="15" t="str">
        <x:v>High</x:v>
      </x:c>
      <x:c r="J354" s="15" t="str">
        <x:v>eml_ALL_currentac__512781 (2).zip &gt; eml6currentac__512781.zip / FNB _-) R200.00 reserved for purchase @ Marlothi Petrol Stat from Current a_c..512781 using card..2924. 21Feb 12_32.eml</x:v>
      </x:c>
    </x:row>
    <x:row r="355">
      <x:c r="A355" s="34" t="n">
        <x:v>46074.527083333334</x:v>
      </x:c>
      <x:c r="B355" s="15" t="str">
        <x:v>Savemor Marloth</x:v>
      </x:c>
      <x:c r="C355" s="15" t="str">
        <x:v>R161.96 reserved for purchase @ Savemor Marloth from Current a/c..512781 using card..2924. Avail R69438. 21Feb 12:39</x:v>
      </x:c>
      <x:c r="D355" s="38" t="n">
        <x:v>161.96</x:v>
      </x:c>
      <x:c r="E355" s="15" t="str">
        <x:v>ZAR</x:v>
      </x:c>
      <x:c r="F355" s="15" t="str">
        <x:v>Current a/c..512781 / card..2924</x:v>
      </x:c>
      <x:c r="G355" s="15" t="str">
        <x:v>Supplier payments</x:v>
      </x:c>
      <x:c r="H355" s="15" t="str">
        <x:v>Card purchase</x:v>
      </x:c>
      <x:c r="I355" s="15" t="str">
        <x:v>High</x:v>
      </x:c>
      <x:c r="J355" s="15" t="str">
        <x:v>eml_ALL_currentac__512781 (2).zip &gt; eml6currentac__512781.zip / FNB _-) R161.96 reserved for purchase @ Savemor Marloth from Current a_c..512781 using card..2924. 21Feb 12_39.eml</x:v>
      </x:c>
    </x:row>
    <x:row r="356">
      <x:c r="A356" s="34" t="n">
        <x:v>46074.819444444445</x:v>
      </x:c>
      <x:c r="B356" s="15" t="str">
        <x:v>Electricity 04294887</x:v>
      </x:c>
      <x:c r="C356" s="15" t="str">
        <x:v>R500.00 paid from Current a/c..512781 @ Smartapp. Avail R68936. Ref.Electricity 04294887. 21Feb 19:40</x:v>
      </x:c>
      <x:c r="D356" s="38" t="n">
        <x:v>500</x:v>
      </x:c>
      <x:c r="E356" s="15" t="str">
        <x:v>ZAR</x:v>
      </x:c>
      <x:c r="F356" s="15" t="str">
        <x:v>Current a/c..512781</x:v>
      </x:c>
      <x:c r="G356" s="15" t="str">
        <x:v>Telecom / utilities</x:v>
      </x:c>
      <x:c r="H356" s="15" t="str">
        <x:v>EFT payment</x:v>
      </x:c>
      <x:c r="I356" s="15" t="str">
        <x:v>High</x:v>
      </x:c>
      <x:c r="J356" s="15" t="str">
        <x:v>eml_ALL_currentac__512781 (2).zip &gt; eml6currentac__512781.zip / FNB _-) R500.00 paid from Current a_c..512781 @ Smartapp. Ref.Electricity 04294887. 21Feb 19_40.eml</x:v>
      </x:c>
    </x:row>
    <x:row r="357">
      <x:c r="A357" s="34" t="n">
        <x:v>46075.50902777778</x:v>
      </x:c>
      <x:c r="B357" s="15" t="str">
        <x:v>Cindy Wages</x:v>
      </x:c>
      <x:c r="C357" s="15" t="str">
        <x:v>R350.00 paid from Current a/c..512781 @ Smartapp. Avail R69098. Ref.Cindy Wages. 22Feb 12:13</x:v>
      </x:c>
      <x:c r="D357" s="38" t="n">
        <x:v>350</x:v>
      </x:c>
      <x:c r="E357" s="15" t="str">
        <x:v>ZAR</x:v>
      </x:c>
      <x:c r="F357" s="15" t="str">
        <x:v>Current a/c..512781</x:v>
      </x:c>
      <x:c r="G357" s="15" t="str">
        <x:v>Salary / wages</x:v>
      </x:c>
      <x:c r="H357" s="15" t="str">
        <x:v>EFT payment</x:v>
      </x:c>
      <x:c r="I357" s="15" t="str">
        <x:v>High</x:v>
      </x:c>
      <x:c r="J357" s="15" t="str">
        <x:v>eml_ALL_currentac__512781 (2).zip &gt; eml6currentac__512781.zip / FNB _-) R350.00 paid from Current a_c..512781 @ Smartapp. Ref.Cindy Wages. 22Feb 12_13.eml</x:v>
      </x:c>
    </x:row>
    <x:row r="358">
      <x:c r="A358" s="34" t="n">
        <x:v>46075.525</x:v>
      </x:c>
      <x:c r="B358" s="15" t="str">
        <x:v>Savemor Marloth</x:v>
      </x:c>
      <x:c r="C358" s="15" t="str">
        <x:v>R650.99 reserved for purchase @ Savemor Marloth from Current a/c..512781 using card..2924. Avail R68447. 22Feb 12:36</x:v>
      </x:c>
      <x:c r="D358" s="38" t="n">
        <x:v>650.99</x:v>
      </x:c>
      <x:c r="E358" s="15" t="str">
        <x:v>ZAR</x:v>
      </x:c>
      <x:c r="F358" s="15" t="str">
        <x:v>Current a/c..512781 / card..2924</x:v>
      </x:c>
      <x:c r="G358" s="15" t="str">
        <x:v>Supplier payments</x:v>
      </x:c>
      <x:c r="H358" s="15" t="str">
        <x:v>Card purchase</x:v>
      </x:c>
      <x:c r="I358" s="15" t="str">
        <x:v>High</x:v>
      </x:c>
      <x:c r="J358" s="15" t="str">
        <x:v>eml_ALL_currentac__512781 (2).zip &gt; eml6currentac__512781.zip / FNB _-) R650.99 reserved for purchase @ Savemor Marloth from Current a_c..512781 using card..2924. 22Feb 12_36.eml</x:v>
      </x:c>
    </x:row>
    <x:row r="359">
      <x:c r="A359" s="34" t="n">
        <x:v>46075.56805555556</x:v>
      </x:c>
      <x:c r="B359" s="15" t="str">
        <x:v>Savemor Marloth Liqu</x:v>
      </x:c>
      <x:c r="C359" s="15" t="str">
        <x:v>R179.98 reserved for purchase @ Savemor Marloth Liqu from Current a/c..512781 using card..2924. Avail R68267. 22Feb 13:38</x:v>
      </x:c>
      <x:c r="D359" s="38" t="n">
        <x:v>179.98</x:v>
      </x:c>
      <x:c r="E359" s="15" t="str">
        <x:v>ZAR</x:v>
      </x:c>
      <x:c r="F359" s="15" t="str">
        <x:v>Current a/c..512781 / card..2924</x:v>
      </x:c>
      <x:c r="G359" s="15" t="str">
        <x:v>Meals / restaurants / entertainment</x:v>
      </x:c>
      <x:c r="H359" s="15" t="str">
        <x:v>Card purchase</x:v>
      </x:c>
      <x:c r="I359" s="15" t="str">
        <x:v>High</x:v>
      </x:c>
      <x:c r="J359" s="15" t="str">
        <x:v>eml_ALL_currentac__512781 (2).zip &gt; eml5currentac__512781.zip / FNB _-) R179.98 reserved for purchase @ Savemor Marloth Liqu from Current a_c..512781 using card..2924. 22Feb 13_38.eml</x:v>
      </x:c>
    </x:row>
    <x:row r="360">
      <x:c r="A360" s="34" t="n">
        <x:v>46076.475</x:v>
      </x:c>
      <x:c r="B360" s="15" t="str">
        <x:v>Pep 5668 Malelane</x:v>
      </x:c>
      <x:c r="C360" s="15" t="str">
        <x:v>R306.00 reserved for purchase @ Pep 5668 Malelane from Current a/c..512781 using card..2924. Avail R67904. 23Feb 11:24</x:v>
      </x:c>
      <x:c r="D360" s="38" t="n">
        <x:v>306</x:v>
      </x:c>
      <x:c r="E360" s="15" t="str">
        <x:v>ZAR</x:v>
      </x:c>
      <x:c r="F360" s="15" t="str">
        <x:v>Current a/c..512781 / card..2924</x:v>
      </x:c>
      <x:c r="G360" s="15" t="str">
        <x:v>Supplier payments</x:v>
      </x:c>
      <x:c r="H360" s="15" t="str">
        <x:v>Card purchase</x:v>
      </x:c>
      <x:c r="I360" s="15" t="str">
        <x:v>High</x:v>
      </x:c>
      <x:c r="J360" s="15" t="str">
        <x:v>eml_ALL_currentac__512781 (2).zip &gt; eml5currentac__512781.zip / FNB _-) R306.00 reserved for purchase @ Pep 5668 Malelane from Current a_c..512781 using card..2924. 23Feb 11_24.eml</x:v>
      </x:c>
    </x:row>
    <x:row r="361">
      <x:c r="A361" s="34" t="n">
        <x:v>46076.49236111111</x:v>
      </x:c>
      <x:c r="B361" s="15" t="str">
        <x:v>Clicks Malelane Ingw</x:v>
      </x:c>
      <x:c r="C361" s="15" t="str">
        <x:v>R539.90 reserved for purchase @ Clicks Malelane Ingw from Current a/c..512781 using card..2924. Avail R67364. 23Feb 11:49</x:v>
      </x:c>
      <x:c r="D361" s="38" t="n">
        <x:v>539.9</x:v>
      </x:c>
      <x:c r="E361" s="15" t="str">
        <x:v>ZAR</x:v>
      </x:c>
      <x:c r="F361" s="15" t="str">
        <x:v>Current a/c..512781 / card..2924</x:v>
      </x:c>
      <x:c r="G361" s="15" t="str">
        <x:v>Supplier payments</x:v>
      </x:c>
      <x:c r="H361" s="15" t="str">
        <x:v>Card purchase</x:v>
      </x:c>
      <x:c r="I361" s="15" t="str">
        <x:v>High</x:v>
      </x:c>
      <x:c r="J361" s="15" t="str">
        <x:v>eml_ALL_currentac__512781 (2).zip &gt; eml5currentac__512781.zip / FNB _-) R539.90 reserved for purchase @ Clicks Malelane Ingw from Current a_c..512781 using card..2924. 23Feb 11_49.eml</x:v>
      </x:c>
    </x:row>
    <x:row r="362">
      <x:c r="A362" s="34" t="n">
        <x:v>46076.51527777778</x:v>
      </x:c>
      <x:c r="B362" s="15" t="str">
        <x:v>Woolworths</x:v>
      </x:c>
      <x:c r="C362" s="15" t="str">
        <x:v>R585.76 reserved for purchase @ Woolworths from Current a/c..512781 using card..2924. Avail R66778. 23Feb 12:22</x:v>
      </x:c>
      <x:c r="D362" s="38" t="n">
        <x:v>585.76</x:v>
      </x:c>
      <x:c r="E362" s="15" t="str">
        <x:v>ZAR</x:v>
      </x:c>
      <x:c r="F362" s="15" t="str">
        <x:v>Current a/c..512781 / card..2924</x:v>
      </x:c>
      <x:c r="G362" s="15" t="str">
        <x:v>Supplier payments</x:v>
      </x:c>
      <x:c r="H362" s="15" t="str">
        <x:v>Card purchase</x:v>
      </x:c>
      <x:c r="I362" s="15" t="str">
        <x:v>High</x:v>
      </x:c>
      <x:c r="J362" s="15" t="str">
        <x:v>eml_ALL_currentac__512781 (2).zip &gt; eml5currentac__512781.zip / FNB _-) R585.76 reserved for purchase @ Woolworths from Current a_c..512781 using card..2924. 23Feb 12_22.eml</x:v>
      </x:c>
    </x:row>
    <x:row r="363">
      <x:c r="A363" s="34" t="n">
        <x:v>46076.54861111111</x:v>
      </x:c>
      <x:c r="B363" s="15" t="str">
        <x:v>Dinner Box 107370</x:v>
      </x:c>
      <x:c r="C363" s="15" t="str">
        <x:v>R1707.00 paid from Current a/c..512781 @ Smartapp. Avail R65068. Ref.Dinner Box 107370. 23Feb 13:10</x:v>
      </x:c>
      <x:c r="D363" s="38" t="n">
        <x:v>1707</x:v>
      </x:c>
      <x:c r="E363" s="15" t="str">
        <x:v>ZAR</x:v>
      </x:c>
      <x:c r="F363" s="15" t="str">
        <x:v>Current a/c..512781</x:v>
      </x:c>
      <x:c r="G363" s="15" t="str">
        <x:v>Meals / restaurants / entertainment</x:v>
      </x:c>
      <x:c r="H363" s="15" t="str">
        <x:v>EFT payment</x:v>
      </x:c>
      <x:c r="I363" s="15" t="str">
        <x:v>High</x:v>
      </x:c>
      <x:c r="J363" s="15" t="str">
        <x:v>eml_ALL_currentac__512781 (2).zip &gt; eml5currentac__512781.zip / FNB _-) R1707.00 paid from Current a_c..512781 @ Smartapp. Ref.Dinner Box 107370. 23Feb 13_10.eml</x:v>
      </x:c>
    </x:row>
    <x:row r="364">
      <x:c r="A364" s="34" t="n">
        <x:v>46076.57916666667</x:v>
      </x:c>
      <x:c r="B364" s="15" t="str">
        <x:v>Superspar Malelane</x:v>
      </x:c>
      <x:c r="C364" s="15" t="str">
        <x:v>R2441.61 reserved for purchase @ Superspar Malelane from Current a/c..512781 using card..2924. Avail R62627. 23Feb 13:54</x:v>
      </x:c>
      <x:c r="D364" s="38" t="n">
        <x:v>2441.61</x:v>
      </x:c>
      <x:c r="E364" s="15" t="str">
        <x:v>ZAR</x:v>
      </x:c>
      <x:c r="F364" s="15" t="str">
        <x:v>Current a/c..512781 / card..2924</x:v>
      </x:c>
      <x:c r="G364" s="15" t="str">
        <x:v>Supplier payments</x:v>
      </x:c>
      <x:c r="H364" s="15" t="str">
        <x:v>Card purchase</x:v>
      </x:c>
      <x:c r="I364" s="15" t="str">
        <x:v>High</x:v>
      </x:c>
      <x:c r="J364" s="15" t="str">
        <x:v>eml_ALL_currentac__512781 (2).zip &gt; eml5currentac__512781.zip / FNB _-) R2441.61 reserved for purchase @ Superspar Malelane from Current a_c..512781 using card..2924. 23Feb 13_54.eml</x:v>
      </x:c>
    </x:row>
    <x:row r="365">
      <x:c r="A365" s="34" t="n">
        <x:v>46077.46597222222</x:v>
      </x:c>
      <x:c r="B365" s="15" t="str">
        <x:v>Royal Bush 3751</x:v>
      </x:c>
      <x:c r="C365" s="15" t="str">
        <x:v>R8480.00 paid from Current a/c..512781 @ Smartapp. Avail R54049. Ref.Royal Bush 3751. 24Feb 11:11</x:v>
      </x:c>
      <x:c r="D365" s="38" t="n">
        <x:v>8480</x:v>
      </x:c>
      <x:c r="E365" s="15" t="str">
        <x:v>ZAR</x:v>
      </x:c>
      <x:c r="F365" s="15" t="str">
        <x:v>Current a/c..512781</x:v>
      </x:c>
      <x:c r="G365" s="15" t="str">
        <x:v>Supplier payments</x:v>
      </x:c>
      <x:c r="H365" s="15" t="str">
        <x:v>EFT payment</x:v>
      </x:c>
      <x:c r="I365" s="15" t="str">
        <x:v>High</x:v>
      </x:c>
      <x:c r="J365" s="15" t="str">
        <x:v>eml_ALL_currentac__512781 (2).zip &gt; eml5currentac__512781.zip / FNB _-) R8480.00 paid from Current a_c..512781 @ Smartapp. Ref.Royal Bush 3751. 24Feb 11_11.eml</x:v>
      </x:c>
    </x:row>
    <x:row r="366">
      <x:c r="A366" s="34" t="n">
        <x:v>46078.489583333336</x:v>
      </x:c>
      <x:c r="B366" s="15" t="str">
        <x:v>Electricity 04294887</x:v>
      </x:c>
      <x:c r="C366" s="15" t="str">
        <x:v>R500.00 paid from Current a/c..512781 @ Smartapp. Avail R51518. Ref.Electricity 04294887. 25Feb 11:45</x:v>
      </x:c>
      <x:c r="D366" s="38" t="n">
        <x:v>500</x:v>
      </x:c>
      <x:c r="E366" s="15" t="str">
        <x:v>ZAR</x:v>
      </x:c>
      <x:c r="F366" s="15" t="str">
        <x:v>Current a/c..512781</x:v>
      </x:c>
      <x:c r="G366" s="15" t="str">
        <x:v>Telecom / utilities</x:v>
      </x:c>
      <x:c r="H366" s="15" t="str">
        <x:v>EFT payment</x:v>
      </x:c>
      <x:c r="I366" s="15" t="str">
        <x:v>High</x:v>
      </x:c>
      <x:c r="J366" s="15" t="str">
        <x:v>eml_ALL_currentac__512781 (2).zip &gt; eml5currentac__512781.zip / FNB _-) R500.00 paid from Current a_c..512781 @ Smartapp. Ref.Electricity 04294887. 25Feb 11_45.eml</x:v>
      </x:c>
    </x:row>
    <x:row r="367">
      <x:c r="A367" s="34" t="n">
        <x:v>46078.49097222222</x:v>
      </x:c>
      <x:c r="B367" s="15" t="str">
        <x:v>Electricity 04294887</x:v>
      </x:c>
      <x:c r="C367" s="15" t="str">
        <x:v>R500.00 paid from Current a/c..512781 @ Smartapp. Avail R51518. Ref.Electricity 04294887. 25Feb 11:47</x:v>
      </x:c>
      <x:c r="D367" s="38" t="n">
        <x:v>500</x:v>
      </x:c>
      <x:c r="E367" s="15" t="str">
        <x:v>ZAR</x:v>
      </x:c>
      <x:c r="F367" s="15" t="str">
        <x:v>Current a/c..512781</x:v>
      </x:c>
      <x:c r="G367" s="15" t="str">
        <x:v>Telecom / utilities</x:v>
      </x:c>
      <x:c r="H367" s="15" t="str">
        <x:v>EFT payment</x:v>
      </x:c>
      <x:c r="I367" s="15" t="str">
        <x:v>High</x:v>
      </x:c>
      <x:c r="J367" s="15" t="str">
        <x:v>eml_ALL_currentac__512781 (2).zip &gt; eml5currentac__512781.zip / FNB _-) R500.00 paid from Current a_c..512781 @ Smartapp. Ref.Electricity 04294887. 25Feb 11_47.eml</x:v>
      </x:c>
    </x:row>
    <x:row r="368">
      <x:c r="A368" s="34" t="n">
        <x:v>46078.52222222222</x:v>
      </x:c>
      <x:c r="B368" s="15" t="str">
        <x:v>Electricity 04294887</x:v>
      </x:c>
      <x:c r="C368" s="15" t="str">
        <x:v>R500.00 paid from Current a/c..512781 @ Smartapp. Avail R51518. Ref.Electricity 04294887. 25Feb 12:32</x:v>
      </x:c>
      <x:c r="D368" s="38" t="n">
        <x:v>500</x:v>
      </x:c>
      <x:c r="E368" s="15" t="str">
        <x:v>ZAR</x:v>
      </x:c>
      <x:c r="F368" s="15" t="str">
        <x:v>Current a/c..512781</x:v>
      </x:c>
      <x:c r="G368" s="15" t="str">
        <x:v>Telecom / utilities</x:v>
      </x:c>
      <x:c r="H368" s="15" t="str">
        <x:v>EFT payment</x:v>
      </x:c>
      <x:c r="I368" s="15" t="str">
        <x:v>High</x:v>
      </x:c>
      <x:c r="J368" s="15" t="str">
        <x:v>eml_ALL_currentac__512781 (2).zip &gt; eml5currentac__512781.zip / FNB _-) R500.00 paid from Current a_c..512781 @ Smartapp. Ref.Electricity 04294887. 25Feb 12_32.eml</x:v>
      </x:c>
    </x:row>
    <x:row r="369">
      <x:c r="A369" s="34" t="n">
        <x:v>46078.55138888889</x:v>
      </x:c>
      <x:c r="B369" s="15" t="str">
        <x:v>Lebombo 24/01/2026</x:v>
      </x:c>
      <x:c r="C369" s="15" t="str">
        <x:v>R450.00 paid from Current a/c..512781 @ Smartapp. Avail R51563. Ref.Lebombo 24/01/2026. 25Feb 13:14</x:v>
      </x:c>
      <x:c r="D369" s="38" t="n">
        <x:v>450</x:v>
      </x:c>
      <x:c r="E369" s="15" t="str">
        <x:v>ZAR</x:v>
      </x:c>
      <x:c r="F369" s="15" t="str">
        <x:v>Current a/c..512781</x:v>
      </x:c>
      <x:c r="G369" s="15" t="str">
        <x:v>Supplier payments</x:v>
      </x:c>
      <x:c r="H369" s="15" t="str">
        <x:v>EFT payment</x:v>
      </x:c>
      <x:c r="I369" s="15" t="str">
        <x:v>High</x:v>
      </x:c>
      <x:c r="J369" s="15" t="str">
        <x:v>eml_ALL_currentac__512781 (2).zip &gt; eml5currentac__512781.zip / FNB _-) R450.00 paid from Current a_c..512781 @ Smartapp. Ref.Lebombo 24_01_2026. 25Feb 13_14.eml</x:v>
      </x:c>
    </x:row>
    <x:row r="370">
      <x:c r="A370" s="34" t="n">
        <x:v>46078.552083333336</x:v>
      </x:c>
      <x:c r="B370" s="15" t="str">
        <x:v>Electricity 04294887</x:v>
      </x:c>
      <x:c r="C370" s="15" t="str">
        <x:v>R500.00 paid from Current a/c..512781 @ Smartapp. Avail R51060. Ref.Electricity 04294887. 25Feb 13:15</x:v>
      </x:c>
      <x:c r="D370" s="38" t="n">
        <x:v>500</x:v>
      </x:c>
      <x:c r="E370" s="15" t="str">
        <x:v>ZAR</x:v>
      </x:c>
      <x:c r="F370" s="15" t="str">
        <x:v>Current a/c..512781</x:v>
      </x:c>
      <x:c r="G370" s="15" t="str">
        <x:v>Telecom / utilities</x:v>
      </x:c>
      <x:c r="H370" s="15" t="str">
        <x:v>EFT payment</x:v>
      </x:c>
      <x:c r="I370" s="15" t="str">
        <x:v>High</x:v>
      </x:c>
      <x:c r="J370" s="15" t="str">
        <x:v>eml_ALL_currentac__512781 (2).zip &gt; eml5currentac__512781.zip / FNB _-) R500.00 paid from Current a_c..512781 @ Smartapp. Ref.Electricity 04294887. 25Feb 13_15.eml</x:v>
      </x:c>
    </x:row>
    <x:row r="371">
      <x:c r="A371" s="34" t="n">
        <x:v>46078.75625</x:v>
      </x:c>
      <x:c r="B371" s="15" t="str">
        <x:v>Electricity 04294887</x:v>
      </x:c>
      <x:c r="C371" s="15" t="str">
        <x:v>R500.00 paid from Current a/c..512781 @ Smartapp. Avail R24018. Ref.Electricity 04294887. 25Feb 18:09</x:v>
      </x:c>
      <x:c r="D371" s="38" t="n">
        <x:v>500</x:v>
      </x:c>
      <x:c r="E371" s="15" t="str">
        <x:v>ZAR</x:v>
      </x:c>
      <x:c r="F371" s="15" t="str">
        <x:v>Current a/c..512781</x:v>
      </x:c>
      <x:c r="G371" s="15" t="str">
        <x:v>Telecom / utilities</x:v>
      </x:c>
      <x:c r="H371" s="15" t="str">
        <x:v>EFT payment</x:v>
      </x:c>
      <x:c r="I371" s="15" t="str">
        <x:v>High</x:v>
      </x:c>
      <x:c r="J371" s="15" t="str">
        <x:v>eml_ALL_currentac__512781 (2).zip &gt; eml5currentac__512781.zip / FNB _-) R500.00 paid from Current a_c..512781 @ Smartapp. Ref.Electricity 04294887. 25Feb 18_09.eml</x:v>
      </x:c>
    </x:row>
    <x:row r="372">
      <x:c r="A372" s="34" t="n">
        <x:v>46078.75763888889</x:v>
      </x:c>
      <x:c r="B372" s="15" t="str">
        <x:v>Electricity</x:v>
      </x:c>
      <x:c r="C372" s="15" t="str">
        <x:v>R500.00 paid from Current a/c..512781 @ Smartapp. Avail R24018. Ref.Electricity. 25Feb 18:11</x:v>
      </x:c>
      <x:c r="D372" s="38" t="n">
        <x:v>500</x:v>
      </x:c>
      <x:c r="E372" s="15" t="str">
        <x:v>ZAR</x:v>
      </x:c>
      <x:c r="F372" s="15" t="str">
        <x:v>Current a/c..512781</x:v>
      </x:c>
      <x:c r="G372" s="15" t="str">
        <x:v>Telecom / utilities</x:v>
      </x:c>
      <x:c r="H372" s="15" t="str">
        <x:v>EFT payment</x:v>
      </x:c>
      <x:c r="I372" s="15" t="str">
        <x:v>High</x:v>
      </x:c>
      <x:c r="J372" s="15" t="str">
        <x:v>eml_ALL_currentac__512781 (2).zip &gt; eml5currentac__512781.zip / FNB _-) R500.00 paid from Current a_c..512781 @ Smartapp. Ref.Electricity. 25Feb 18_11.eml</x:v>
      </x:c>
    </x:row>
    <x:row r="373">
      <x:c r="A373" s="34" t="n">
        <x:v>46079.46875</x:v>
      </x:c>
      <x:c r="B373" s="15" t="str">
        <x:v>Nkomazi Local Munici</x:v>
      </x:c>
      <x:c r="C373" s="15" t="str">
        <x:v>R8233.82 reserved for purchase @ Nkomazi Local Munici from Current a/c..512781 using card..2924. Avail R16096. 26Feb 11:15</x:v>
      </x:c>
      <x:c r="D373" s="38" t="n">
        <x:v>8233.82</x:v>
      </x:c>
      <x:c r="E373" s="15" t="str">
        <x:v>ZAR</x:v>
      </x:c>
      <x:c r="F373" s="15" t="str">
        <x:v>Current a/c..512781 / card..2924</x:v>
      </x:c>
      <x:c r="G373" s="15" t="str">
        <x:v>Card spend</x:v>
      </x:c>
      <x:c r="H373" s="15" t="str">
        <x:v>Card purchase</x:v>
      </x:c>
      <x:c r="I373" s="15" t="str">
        <x:v>High</x:v>
      </x:c>
      <x:c r="J373" s="15" t="str">
        <x:v>eml_ALL_currentac__512781 (2).zip &gt; eml5currentac__512781.zip / FNB _-) R8233.82 reserved for purchase @ Nkomazi Local Munici from Current a_c..512781 using card..2924. 26Feb 11_15.eml</x:v>
      </x:c>
    </x:row>
    <x:row r="374">
      <x:c r="A374" s="34" t="n">
        <x:v>46079.478472222225</x:v>
      </x:c>
      <x:c r="B374" s="15" t="str">
        <x:v>Electricity 04294887</x:v>
      </x:c>
      <x:c r="C374" s="15" t="str">
        <x:v>R500.00 paid from Current a/c..512781 @ Smartapp. Avail R15594. Ref.Electricity 04294887. 26Feb 11:29</x:v>
      </x:c>
      <x:c r="D374" s="38" t="n">
        <x:v>500</x:v>
      </x:c>
      <x:c r="E374" s="15" t="str">
        <x:v>ZAR</x:v>
      </x:c>
      <x:c r="F374" s="15" t="str">
        <x:v>Current a/c..512781</x:v>
      </x:c>
      <x:c r="G374" s="15" t="str">
        <x:v>Telecom / utilities</x:v>
      </x:c>
      <x:c r="H374" s="15" t="str">
        <x:v>EFT payment</x:v>
      </x:c>
      <x:c r="I374" s="15" t="str">
        <x:v>High</x:v>
      </x:c>
      <x:c r="J374" s="15" t="str">
        <x:v>eml_ALL_currentac__512781 (2).zip &gt; eml5currentac__512781.zip / FNB _-) R500.00 paid from Current a_c..512781 @ Smartapp. Ref.Electricity 04294887. 26Feb 11_29.eml</x:v>
      </x:c>
    </x:row>
    <x:row r="375">
      <x:c r="A375" s="34" t="n">
        <x:v>46080.459027777775</x:v>
      </x:c>
      <x:c r="B375" s="15" t="str">
        <x:v>Southern Kru 0135</x:v>
      </x:c>
      <x:c r="C375" s="15" t="str">
        <x:v>R6450.00 paid from Current a/c..512781 @ Gen Ph. Avail R42251. Ref.Southern Kru 0135. 27Feb 11:01</x:v>
      </x:c>
      <x:c r="D375" s="38" t="n">
        <x:v>6450</x:v>
      </x:c>
      <x:c r="E375" s="15" t="str">
        <x:v>ZAR</x:v>
      </x:c>
      <x:c r="F375" s="15" t="str">
        <x:v>Current a/c..512781</x:v>
      </x:c>
      <x:c r="G375" s="15" t="str">
        <x:v>Supplier payments</x:v>
      </x:c>
      <x:c r="H375" s="15" t="str">
        <x:v>EFT payment</x:v>
      </x:c>
      <x:c r="I375" s="15" t="str">
        <x:v>High</x:v>
      </x:c>
      <x:c r="J375" s="15" t="str">
        <x:v>eml_ALL_currentac__512781 (2).zip &gt; eml5currentac__512781.zip / FNB _-) R6450.00 paid from Current a_c..512781 @ Gen Ph. Ref.Southern Kru 0135. 27Feb 11_01.eml</x:v>
      </x:c>
    </x:row>
    <x:row r="376">
      <x:c r="A376" s="34" t="n">
        <x:v>46080.45972222222</x:v>
      </x:c>
      <x:c r="B376" s="15" t="str">
        <x:v>Staff Salary</x:v>
      </x:c>
      <x:c r="C376" s="15" t="str">
        <x:v>R12000.00 paid from Current a/c..512781 @ Smartapp. Avail R30243. Ref.Staff Salary. 27Feb 11:02</x:v>
      </x:c>
      <x:c r="D376" s="38" t="n">
        <x:v>12000</x:v>
      </x:c>
      <x:c r="E376" s="15" t="str">
        <x:v>ZAR</x:v>
      </x:c>
      <x:c r="F376" s="15" t="str">
        <x:v>Current a/c..512781</x:v>
      </x:c>
      <x:c r="G376" s="15" t="str">
        <x:v>Salary / wages</x:v>
      </x:c>
      <x:c r="H376" s="15" t="str">
        <x:v>EFT payment</x:v>
      </x:c>
      <x:c r="I376" s="15" t="str">
        <x:v>High</x:v>
      </x:c>
      <x:c r="J376" s="15" t="str">
        <x:v>eml_ALL_currentac__512781 (2).zip &gt; eml5currentac__512781.zip / FNB _-) R12000.00 paid from Current a_c..512781 @ Smartapp. Ref.Staff Salary. 27Feb 11_02.eml</x:v>
      </x:c>
    </x:row>
    <x:row r="377">
      <x:c r="A377" s="34" t="n">
        <x:v>46080.46111111111</x:v>
      </x:c>
      <x:c r="B377" s="15" t="str">
        <x:v>Sakkie Wages</x:v>
      </x:c>
      <x:c r="C377" s="15" t="str">
        <x:v>R2500.00 paid from Current a/c..512781 @ Smartapp. Avail R27735. Ref.Sakkie Wages. 27Feb 11:04</x:v>
      </x:c>
      <x:c r="D377" s="38" t="n">
        <x:v>2500</x:v>
      </x:c>
      <x:c r="E377" s="15" t="str">
        <x:v>ZAR</x:v>
      </x:c>
      <x:c r="F377" s="15" t="str">
        <x:v>Current a/c..512781</x:v>
      </x:c>
      <x:c r="G377" s="15" t="str">
        <x:v>Salary / wages</x:v>
      </x:c>
      <x:c r="H377" s="15" t="str">
        <x:v>EFT payment</x:v>
      </x:c>
      <x:c r="I377" s="15" t="str">
        <x:v>High</x:v>
      </x:c>
      <x:c r="J377" s="15" t="str">
        <x:v>eml_ALL_currentac__512781 (2).zip &gt; eml5currentac__512781.zip / FNB _-) R2500.00 paid from Current a_c..512781 @ Smartapp. Ref.Sakkie Wages. 27Feb 11_04.eml</x:v>
      </x:c>
    </x:row>
    <x:row r="378">
      <x:c r="A378" s="34" t="n">
        <x:v>46080.61944444444</x:v>
      </x:c>
      <x:c r="B378" s="15" t="str">
        <x:v>Savemor Marloth</x:v>
      </x:c>
      <x:c r="C378" s="15" t="str">
        <x:v>R123.48 reserved for purchase @ Savemor Marloth from Current a/c..512781 using card..2924. Avail R39326. 27Feb 14:52</x:v>
      </x:c>
      <x:c r="D378" s="38" t="n">
        <x:v>123.48</x:v>
      </x:c>
      <x:c r="E378" s="15" t="str">
        <x:v>ZAR</x:v>
      </x:c>
      <x:c r="F378" s="15" t="str">
        <x:v>Current a/c..512781 / card..2924</x:v>
      </x:c>
      <x:c r="G378" s="15" t="str">
        <x:v>Supplier payments</x:v>
      </x:c>
      <x:c r="H378" s="15" t="str">
        <x:v>Card purchase</x:v>
      </x:c>
      <x:c r="I378" s="15" t="str">
        <x:v>High</x:v>
      </x:c>
      <x:c r="J378" s="15" t="str">
        <x:v>eml_ALL_currentac__512781 (2).zip &gt; eml5currentac__512781.zip / FNB _-) R123.48 reserved for purchase @ Savemor Marloth from Current a_c..512781 using card..2924. 27Feb 14_52.eml</x:v>
      </x:c>
    </x:row>
    <x:row r="379">
      <x:c r="A379" s="34" t="n">
        <x:v>46080.66458333333</x:v>
      </x:c>
      <x:c r="B379" s="15" t="str">
        <x:v>Kruger Safari 1685</x:v>
      </x:c>
      <x:c r="C379" s="15" t="str">
        <x:v>R3004.00 paid from Current a/c..512781 @ Smartapp. Avail R36314. Ref.Kruger Safari 1685. 27Feb 15:57</x:v>
      </x:c>
      <x:c r="D379" s="38" t="n">
        <x:v>3004</x:v>
      </x:c>
      <x:c r="E379" s="15" t="str">
        <x:v>ZAR</x:v>
      </x:c>
      <x:c r="F379" s="15" t="str">
        <x:v>Current a/c..512781</x:v>
      </x:c>
      <x:c r="G379" s="15" t="str">
        <x:v>Supplier payments</x:v>
      </x:c>
      <x:c r="H379" s="15" t="str">
        <x:v>EFT payment</x:v>
      </x:c>
      <x:c r="I379" s="15" t="str">
        <x:v>High</x:v>
      </x:c>
      <x:c r="J379" s="15" t="str">
        <x:v>eml_ALL_currentac__512781 (2).zip &gt; eml5currentac__512781.zip / FNB _-) R3004.00 paid from Current a_c..512781 @ Smartapp. Ref.Kruger Safari 1685. 27Feb 15_57.eml</x:v>
      </x:c>
    </x:row>
    <x:row r="380">
      <x:c r="A380" s="34" t="n">
        <x:v>46080.66805555556</x:v>
      </x:c>
      <x:c r="B380" s="15" t="str">
        <x:v>Staff Wage - Feb</x:v>
      </x:c>
      <x:c r="C380" s="15" t="str">
        <x:v>R14500.00 paid from Current a/c..512781 @ Smartapp. Avail R21806. Ref.Staff Wage - Feb. 27Feb 16:02</x:v>
      </x:c>
      <x:c r="D380" s="38" t="n">
        <x:v>14500</x:v>
      </x:c>
      <x:c r="E380" s="15" t="str">
        <x:v>ZAR</x:v>
      </x:c>
      <x:c r="F380" s="15" t="str">
        <x:v>Current a/c..512781</x:v>
      </x:c>
      <x:c r="G380" s="15" t="str">
        <x:v>Salary / wages</x:v>
      </x:c>
      <x:c r="H380" s="15" t="str">
        <x:v>EFT payment</x:v>
      </x:c>
      <x:c r="I380" s="15" t="str">
        <x:v>High</x:v>
      </x:c>
      <x:c r="J380" s="15" t="str">
        <x:v>eml_ALL_currentac__512781 (2).zip &gt; eml5currentac__512781.zip / FNB _-) R14500.00 paid from Current a_c..512781 @ Smartapp. Ref.Staff Wage - Feb. 27Feb 16_02.eml</x:v>
      </x:c>
    </x:row>
    <x:row r="381">
      <x:c r="A381" s="34" t="n">
        <x:v>46080.83194444444</x:v>
      </x:c>
      <x:c r="B381" s="15" t="str">
        <x:v>Amazing Kruger</x:v>
      </x:c>
      <x:c r="C381" s="15" t="str">
        <x:v>R460.00 reserved for purchase @ Amazing Kruger from Current a/c..512781 using card..2924. Avail R21346. 27Feb 19:58</x:v>
      </x:c>
      <x:c r="D381" s="38" t="n">
        <x:v>460</x:v>
      </x:c>
      <x:c r="E381" s="15" t="str">
        <x:v>ZAR</x:v>
      </x:c>
      <x:c r="F381" s="15" t="str">
        <x:v>Current a/c..512781 / card..2924</x:v>
      </x:c>
      <x:c r="G381" s="15" t="str">
        <x:v>Card spend</x:v>
      </x:c>
      <x:c r="H381" s="15" t="str">
        <x:v>Card purchase</x:v>
      </x:c>
      <x:c r="I381" s="15" t="str">
        <x:v>High</x:v>
      </x:c>
      <x:c r="J381" s="15" t="str">
        <x:v>eml_ALL_currentac__512781 (2).zip &gt; eml5currentac__512781.zip / FNB _-) R460.00 reserved for purchase @ Amazing Kruger from Current a_c..512781 using card..2924. 27Feb 19_58.eml</x:v>
      </x:c>
    </x:row>
    <x:row r="382">
      <x:c r="A382" s="34" t="n">
        <x:v>46081.38055555556</x:v>
      </x:c>
      <x:c r="B382" s="15" t="str">
        <x:v>Toppies Hardware 66</x:v>
      </x:c>
      <x:c r="C382" s="15" t="str">
        <x:v>R419.91 reserved for purchase @ Toppies Hardware 66 from Current a/c..512781 using card..2924. Avail R20916. 28Feb 09:08</x:v>
      </x:c>
      <x:c r="D382" s="38" t="n">
        <x:v>419.91</x:v>
      </x:c>
      <x:c r="E382" s="15" t="str">
        <x:v>ZAR</x:v>
      </x:c>
      <x:c r="F382" s="15" t="str">
        <x:v>Current a/c..512781 / card..2924</x:v>
      </x:c>
      <x:c r="G382" s="15" t="str">
        <x:v>Supplier payments</x:v>
      </x:c>
      <x:c r="H382" s="15" t="str">
        <x:v>Card purchase</x:v>
      </x:c>
      <x:c r="I382" s="15" t="str">
        <x:v>High</x:v>
      </x:c>
      <x:c r="J382" s="15" t="str">
        <x:v>eml_ALL_currentac__512781 (2).zip &gt; eml5currentac__512781.zip / FNB _-) R419.91 reserved for purchase @ Toppies Hardware 66 from Current a_c..512781 using card..2924. 28Feb 09_08.eml</x:v>
      </x:c>
    </x:row>
    <x:row r="383">
      <x:c r="A383" s="34" t="n">
        <x:v>46081.59583333333</x:v>
      </x:c>
      <x:c r="B383" s="15" t="str">
        <x:v>Atmh11960000001</x:v>
      </x:c>
      <x:c r="C383" s="15" t="str">
        <x:v>R300.00 withdrawn from Current a/c..512781 using card..2924 @ Atmh11960000001. Avail R20526. 28Feb 14:18</x:v>
      </x:c>
      <x:c r="D383" s="38" t="n">
        <x:v>300</x:v>
      </x:c>
      <x:c r="E383" s="15" t="str">
        <x:v>ZAR</x:v>
      </x:c>
      <x:c r="F383" s="15" t="str">
        <x:v>Current a/c..512781 / card..2924</x:v>
      </x:c>
      <x:c r="G383" s="15" t="str">
        <x:v>Cash withdrawal</x:v>
      </x:c>
      <x:c r="H383" s="15" t="str">
        <x:v>ATM / cash withdrawal</x:v>
      </x:c>
      <x:c r="I383" s="15" t="str">
        <x:v>High</x:v>
      </x:c>
      <x:c r="J383" s="15" t="str">
        <x:v>eml_ALL_currentac__512781 (2).zip &gt; eml5currentac__512781.zip / FNB _-) R300.00 withdrawn from Current a_c..512781 using card..2924 @ Atmh11960000001. 28Feb 14_18.eml</x:v>
      </x:c>
    </x:row>
    <x:row r="384">
      <x:c r="A384" s="34" t="n">
        <x:v>46082.330555555556</x:v>
      </x:c>
      <x:c r="B384" s="15" t="str">
        <x:v>Frontier Fuels</x:v>
      </x:c>
      <x:c r="C384" s="15" t="str">
        <x:v>R1280.00 reserved for purchase @ Frontier Fuels from Current a/c..512781 using card..2924. Avail R18988. 1Mar 07:56</x:v>
      </x:c>
      <x:c r="D384" s="38" t="n">
        <x:v>1280</x:v>
      </x:c>
      <x:c r="E384" s="15" t="str">
        <x:v>ZAR</x:v>
      </x:c>
      <x:c r="F384" s="15" t="str">
        <x:v>Current a/c..512781 / card..2924</x:v>
      </x:c>
      <x:c r="G384" s="15" t="str">
        <x:v>Fuel / transport</x:v>
      </x:c>
      <x:c r="H384" s="15" t="str">
        <x:v>Card purchase</x:v>
      </x:c>
      <x:c r="I384" s="15" t="str">
        <x:v>High</x:v>
      </x:c>
      <x:c r="J384" s="15" t="str">
        <x:v>eml_ALL_currentac__512781 (2).zip &gt; eml5currentac__512781.zip / FNB _-) R1280.00 reserved for purchase @ Frontier Fuels from Current a_c..512781 using card..2924.  1Mar 07_56.eml</x:v>
      </x:c>
    </x:row>
    <x:row r="385">
      <x:c r="A385" s="34" t="n">
        <x:v>46082.33819444444</x:v>
      </x:c>
      <x:c r="B385" s="15" t="str">
        <x:v>Buco Komatipoort</x:v>
      </x:c>
      <x:c r="C385" s="15" t="str">
        <x:v>R222.40 reserved for purchase @ Buco Komatipoort from Current a/c..512781 using card..2924. Avail R18766. 1Mar 08:07</x:v>
      </x:c>
      <x:c r="D385" s="38" t="n">
        <x:v>222.4</x:v>
      </x:c>
      <x:c r="E385" s="15" t="str">
        <x:v>ZAR</x:v>
      </x:c>
      <x:c r="F385" s="15" t="str">
        <x:v>Current a/c..512781 / card..2924</x:v>
      </x:c>
      <x:c r="G385" s="15" t="str">
        <x:v>Supplier payments</x:v>
      </x:c>
      <x:c r="H385" s="15" t="str">
        <x:v>Card purchase</x:v>
      </x:c>
      <x:c r="I385" s="15" t="str">
        <x:v>High</x:v>
      </x:c>
      <x:c r="J385" s="15" t="str">
        <x:v>eml_ALL_currentac__512781 (2).zip &gt; eml5currentac__512781.zip / FNB _-) R222.40 reserved for purchase @ Buco Komatipoort from Current a_c..512781 using card..2924.  1Mar 08_07.eml</x:v>
      </x:c>
    </x:row>
    <x:row r="386">
      <x:c r="A386" s="34" t="n">
        <x:v>46082.55069444444</x:v>
      </x:c>
      <x:c r="B386" s="15" t="str">
        <x:v>Savemor Marloth</x:v>
      </x:c>
      <x:c r="C386" s="15" t="str">
        <x:v>R649.95 reserved for purchase @ Savemor Marloth from Current a/c..512781 using card..2924. Avail R18116. 1Mar 13:13</x:v>
      </x:c>
      <x:c r="D386" s="38" t="n">
        <x:v>649.95</x:v>
      </x:c>
      <x:c r="E386" s="15" t="str">
        <x:v>ZAR</x:v>
      </x:c>
      <x:c r="F386" s="15" t="str">
        <x:v>Current a/c..512781 / card..2924</x:v>
      </x:c>
      <x:c r="G386" s="15" t="str">
        <x:v>Supplier payments</x:v>
      </x:c>
      <x:c r="H386" s="15" t="str">
        <x:v>Card purchase</x:v>
      </x:c>
      <x:c r="I386" s="15" t="str">
        <x:v>High</x:v>
      </x:c>
      <x:c r="J386" s="15" t="str">
        <x:v>eml_ALL_currentac__512781 (2).zip &gt; eml5currentac__512781.zip / FNB _-) R649.95 reserved for purchase @ Savemor Marloth from Current a_c..512781 using card..2924.  1Mar 13_13.eml</x:v>
      </x:c>
    </x:row>
    <x:row r="387">
      <x:c r="A387" s="34" t="n">
        <x:v>46083.4</x:v>
      </x:c>
      <x:c r="B387" s="15" t="str">
        <x:v>Superspar Komatipoor</x:v>
      </x:c>
      <x:c r="C387" s="15" t="str">
        <x:v>R328.72 reserved for purchase @ Superspar Komatipoor from Current a/c..512781 using card..2924. Avail R17787. 2Mar 09:36</x:v>
      </x:c>
      <x:c r="D387" s="38" t="n">
        <x:v>328.72</x:v>
      </x:c>
      <x:c r="E387" s="15" t="str">
        <x:v>ZAR</x:v>
      </x:c>
      <x:c r="F387" s="15" t="str">
        <x:v>Current a/c..512781 / card..2924</x:v>
      </x:c>
      <x:c r="G387" s="15" t="str">
        <x:v>Supplier payments</x:v>
      </x:c>
      <x:c r="H387" s="15" t="str">
        <x:v>Card purchase</x:v>
      </x:c>
      <x:c r="I387" s="15" t="str">
        <x:v>High</x:v>
      </x:c>
      <x:c r="J387" s="15" t="str">
        <x:v>eml_ALL_currentac__512781 (2).zip &gt; eml5currentac__512781.zip / FNB _-) R328.72 reserved for purchase @ Superspar Komatipoor from Current a_c..512781 using card..2924.  2Mar 09_36.eml</x:v>
      </x:c>
    </x:row>
    <x:row r="388">
      <x:c r="A388" s="34" t="n">
        <x:v>46083.40347222222</x:v>
      </x:c>
      <x:c r="B388" s="15" t="str">
        <x:v>Buco Komatipoort 116</x:v>
      </x:c>
      <x:c r="C388" s="15" t="str">
        <x:v>R429.97 reserved for purchase @ Buco Komatipoort 116 from Current a/c..512781 using card..2924. Avail R17357. 2Mar 09:41</x:v>
      </x:c>
      <x:c r="D388" s="38" t="n">
        <x:v>429.97</x:v>
      </x:c>
      <x:c r="E388" s="15" t="str">
        <x:v>ZAR</x:v>
      </x:c>
      <x:c r="F388" s="15" t="str">
        <x:v>Current a/c..512781 / card..2924</x:v>
      </x:c>
      <x:c r="G388" s="15" t="str">
        <x:v>Supplier payments</x:v>
      </x:c>
      <x:c r="H388" s="15" t="str">
        <x:v>Card purchase</x:v>
      </x:c>
      <x:c r="I388" s="15" t="str">
        <x:v>High</x:v>
      </x:c>
      <x:c r="J388" s="15" t="str">
        <x:v>eml_ALL_currentac__512781 (2).zip &gt; eml5currentac__512781.zip / FNB _-) R429.97 reserved for purchase @ Buco Komatipoort 116 from Current a_c..512781 using card..2924.  2Mar 09_41.eml</x:v>
      </x:c>
    </x:row>
    <x:row r="389">
      <x:c r="A389" s="34" t="n">
        <x:v>46083.419444444444</x:v>
      </x:c>
      <x:c r="B389" s="15" t="str">
        <x:v>Oasis Water Komatipo</x:v>
      </x:c>
      <x:c r="C389" s="15" t="str">
        <x:v>R254.40 reserved for purchase @ Oasis Water Komatipo from Current a/c..512781 using card..2924. Avail R17103. 2Mar 10:04</x:v>
      </x:c>
      <x:c r="D389" s="38" t="n">
        <x:v>254.4</x:v>
      </x:c>
      <x:c r="E389" s="15" t="str">
        <x:v>ZAR</x:v>
      </x:c>
      <x:c r="F389" s="15" t="str">
        <x:v>Current a/c..512781 / card..2924</x:v>
      </x:c>
      <x:c r="G389" s="15" t="str">
        <x:v>Supplier payments</x:v>
      </x:c>
      <x:c r="H389" s="15" t="str">
        <x:v>Card purchase</x:v>
      </x:c>
      <x:c r="I389" s="15" t="str">
        <x:v>High</x:v>
      </x:c>
      <x:c r="J389" s="15" t="str">
        <x:v>eml_ALL_currentac__512781 (2).zip &gt; eml5currentac__512781.zip / FNB _-) R254.40 reserved for purchase @ Oasis Water Komatipo from Current a_c..512781 using card..2924.  2Mar 10_04.eml</x:v>
      </x:c>
    </x:row>
    <x:row r="390">
      <x:c r="A390" s="34" t="n">
        <x:v>46083.436111111114</x:v>
      </x:c>
      <x:c r="B390" s="15" t="str">
        <x:v>Electricity 04279376</x:v>
      </x:c>
      <x:c r="C390" s="15" t="str">
        <x:v>R1000.00 paid from Current a/c..512781 @ Smartapp. Avail R16103. Ref.Electricity 04279376. 2Mar 10:28</x:v>
      </x:c>
      <x:c r="D390" s="38" t="n">
        <x:v>1000</x:v>
      </x:c>
      <x:c r="E390" s="15" t="str">
        <x:v>ZAR</x:v>
      </x:c>
      <x:c r="F390" s="15" t="str">
        <x:v>Current a/c..512781</x:v>
      </x:c>
      <x:c r="G390" s="15" t="str">
        <x:v>Telecom / utilities</x:v>
      </x:c>
      <x:c r="H390" s="15" t="str">
        <x:v>EFT payment</x:v>
      </x:c>
      <x:c r="I390" s="15" t="str">
        <x:v>High</x:v>
      </x:c>
      <x:c r="J390" s="15" t="str">
        <x:v>eml_ALL_currentac__512781 (2).zip &gt; eml5currentac__512781.zip / FNB _-) R1000.00 paid from Current a_c..512781 @ Smartapp. Ref.Electricity 04279376.  2Mar 10_28.eml</x:v>
      </x:c>
    </x:row>
    <x:row r="391">
      <x:c r="A391" s="34" t="n">
        <x:v>46083.592361111114</x:v>
      </x:c>
      <x:c r="B391" s="15" t="str">
        <x:v>Printing</x:v>
      </x:c>
      <x:c r="C391" s="15" t="str">
        <x:v>R815.00 paid from Current a/c..512781 @ Smartapp. Avail R15288. Ref.Printing. 2Mar 14:13</x:v>
      </x:c>
      <x:c r="D391" s="38" t="n">
        <x:v>815</x:v>
      </x:c>
      <x:c r="E391" s="15" t="str">
        <x:v>ZAR</x:v>
      </x:c>
      <x:c r="F391" s="15" t="str">
        <x:v>Current a/c..512781</x:v>
      </x:c>
      <x:c r="G391" s="15" t="str">
        <x:v>Supplier payments</x:v>
      </x:c>
      <x:c r="H391" s="15" t="str">
        <x:v>EFT payment</x:v>
      </x:c>
      <x:c r="I391" s="15" t="str">
        <x:v>High</x:v>
      </x:c>
      <x:c r="J391" s="15" t="str">
        <x:v>eml_ALL_currentac__512781 (2).zip &gt; eml5currentac__512781.zip / FNB _-) R815.00 paid from Current a_c..512781 @ Smartapp. Ref.Printing.  2Mar 14_13.eml</x:v>
      </x:c>
    </x:row>
    <x:row r="392">
      <x:c r="A392" s="34" t="n">
        <x:v>46083.604166666664</x:v>
      </x:c>
      <x:c r="B392" s="15" t="str">
        <x:v>Nb N992820</x:v>
      </x:c>
      <x:c r="C392" s="15" t="str">
        <x:v>R759.00 paid from Current a/c..512781 @ Smartapp. Avail R14529. Ref.Nb N992820. 2Mar 14:30</x:v>
      </x:c>
      <x:c r="D392" s="38" t="n">
        <x:v>759</x:v>
      </x:c>
      <x:c r="E392" s="15" t="str">
        <x:v>ZAR</x:v>
      </x:c>
      <x:c r="F392" s="15" t="str">
        <x:v>Current a/c..512781</x:v>
      </x:c>
      <x:c r="G392" s="15" t="str">
        <x:v>Supplier payments</x:v>
      </x:c>
      <x:c r="H392" s="15" t="str">
        <x:v>EFT payment</x:v>
      </x:c>
      <x:c r="I392" s="15" t="str">
        <x:v>High</x:v>
      </x:c>
      <x:c r="J392" s="15" t="str">
        <x:v>eml_ALL_currentac__512781 (2).zip &gt; eml5currentac__512781.zip / FNB _-) R759.00 paid from Current a_c..512781 @ Smartapp. Ref.Nb N992820.  2Mar 14_30.eml</x:v>
      </x:c>
    </x:row>
    <x:row r="393">
      <x:c r="A393" s="34" t="n">
        <x:v>46083.61111111111</x:v>
      </x:c>
      <x:c r="B393" s="15" t="str">
        <x:v>Kpci - C1736 March</x:v>
      </x:c>
      <x:c r="C393" s="15" t="str">
        <x:v>R500.00 paid from Current a/c..512781 @ Smartapp. Avail R14029. Ref.Kpci - C1736 March. 2Mar 14:40</x:v>
      </x:c>
      <x:c r="D393" s="38" t="n">
        <x:v>500</x:v>
      </x:c>
      <x:c r="E393" s="15" t="str">
        <x:v>ZAR</x:v>
      </x:c>
      <x:c r="F393" s="15" t="str">
        <x:v>Current a/c..512781</x:v>
      </x:c>
      <x:c r="G393" s="15" t="str">
        <x:v>Supplier payments</x:v>
      </x:c>
      <x:c r="H393" s="15" t="str">
        <x:v>EFT payment</x:v>
      </x:c>
      <x:c r="I393" s="15" t="str">
        <x:v>High</x:v>
      </x:c>
      <x:c r="J393" s="15" t="str">
        <x:v>eml_ALL_currentac__512781 (2).zip &gt; eml5currentac__512781.zip / FNB _-) R500.00 paid from Current a_c..512781 @ Smartapp. Ref.Kpci - C1736 March.  2Mar 14_40.eml</x:v>
      </x:c>
    </x:row>
    <x:row r="394">
      <x:c r="A394" s="34" t="n">
        <x:v>46083.63125</x:v>
      </x:c>
      <x:c r="B394" s="15" t="str">
        <x:v>Savemor Marloth</x:v>
      </x:c>
      <x:c r="C394" s="15" t="str">
        <x:v>R197.95 reserved for purchase @ Savemor Marloth from Current a/c..512781 using card..2924. Avail R13831. 2Mar 15:09</x:v>
      </x:c>
      <x:c r="D394" s="38" t="n">
        <x:v>197.95</x:v>
      </x:c>
      <x:c r="E394" s="15" t="str">
        <x:v>ZAR</x:v>
      </x:c>
      <x:c r="F394" s="15" t="str">
        <x:v>Current a/c..512781 / card..2924</x:v>
      </x:c>
      <x:c r="G394" s="15" t="str">
        <x:v>Supplier payments</x:v>
      </x:c>
      <x:c r="H394" s="15" t="str">
        <x:v>Card purchase</x:v>
      </x:c>
      <x:c r="I394" s="15" t="str">
        <x:v>High</x:v>
      </x:c>
      <x:c r="J394" s="15" t="str">
        <x:v>eml_ALL_currentac__512781 (2).zip &gt; eml5currentac__512781.zip / FNB _-) R197.95 reserved for purchase @ Savemor Marloth from Current a_c..512781 using card..2924.  2Mar 15_09.eml</x:v>
      </x:c>
    </x:row>
    <x:row r="395">
      <x:c r="A395" s="34" t="n">
        <x:v>46083.63958333333</x:v>
      </x:c>
      <x:c r="B395" s="15" t="str">
        <x:v>Savemor Marloth Liqu</x:v>
      </x:c>
      <x:c r="C395" s="15" t="str">
        <x:v>R253.95 reserved for purchase @ Savemor Marloth Liqu from Current a/c..512781 using card..2924. Avail R13551. 2Mar 15:21</x:v>
      </x:c>
      <x:c r="D395" s="38" t="n">
        <x:v>253.95</x:v>
      </x:c>
      <x:c r="E395" s="15" t="str">
        <x:v>ZAR</x:v>
      </x:c>
      <x:c r="F395" s="15" t="str">
        <x:v>Current a/c..512781 / card..2924</x:v>
      </x:c>
      <x:c r="G395" s="15" t="str">
        <x:v>Meals / restaurants / entertainment</x:v>
      </x:c>
      <x:c r="H395" s="15" t="str">
        <x:v>Card purchase</x:v>
      </x:c>
      <x:c r="I395" s="15" t="str">
        <x:v>High</x:v>
      </x:c>
      <x:c r="J395" s="15" t="str">
        <x:v>eml_ALL_currentac__512781 (2).zip &gt; eml5currentac__512781.zip / FNB _-) R253.95 reserved for purchase @ Savemor Marloth Liqu from Current a_c..512781 using card..2924.  2Mar 15_21.eml</x:v>
      </x:c>
    </x:row>
    <x:row r="396">
      <x:c r="A396" s="34" t="n">
        <x:v>46084.677777777775</x:v>
      </x:c>
      <x:c r="B396" s="15" t="str">
        <x:v>Ingwe Supermarket146</x:v>
      </x:c>
      <x:c r="C396" s="15" t="str">
        <x:v>R574.40 reserved for purchase @ Ingwe Supermarket146 from Current a/c..512781 using card..2924. Avail R12869. 3Mar 16:16</x:v>
      </x:c>
      <x:c r="D396" s="38" t="n">
        <x:v>574.4</x:v>
      </x:c>
      <x:c r="E396" s="15" t="str">
        <x:v>ZAR</x:v>
      </x:c>
      <x:c r="F396" s="15" t="str">
        <x:v>Current a/c..512781 / card..2924</x:v>
      </x:c>
      <x:c r="G396" s="15" t="str">
        <x:v>Card spend</x:v>
      </x:c>
      <x:c r="H396" s="15" t="str">
        <x:v>Card purchase</x:v>
      </x:c>
      <x:c r="I396" s="15" t="str">
        <x:v>High</x:v>
      </x:c>
      <x:c r="J396" s="15" t="str">
        <x:v>eml_ALL_currentac__512781 (2).zip &gt; eml5currentac__512781.zip / FNB _-) R574.40 reserved for purchase @ Ingwe Supermarket146 from Current a_c..512781 using card..2924.  3Mar 16_16.eml</x:v>
      </x:c>
    </x:row>
    <x:row r="397">
      <x:c r="A397" s="34" t="n">
        <x:v>46085.55694444444</x:v>
      </x:c>
      <x:c r="B397" s="15" t="str">
        <x:v>Komati Pharmacy</x:v>
      </x:c>
      <x:c r="C397" s="15" t="str">
        <x:v>R382.97 reserved for purchase @ Komati Pharmacy from Current a/c..512781 using card..2924. Avail R12459. 4Mar 13:22</x:v>
      </x:c>
      <x:c r="D397" s="38" t="n">
        <x:v>382.97</x:v>
      </x:c>
      <x:c r="E397" s="15" t="str">
        <x:v>ZAR</x:v>
      </x:c>
      <x:c r="F397" s="15" t="str">
        <x:v>Current a/c..512781 / card..2924</x:v>
      </x:c>
      <x:c r="G397" s="15" t="str">
        <x:v>Supplier payments</x:v>
      </x:c>
      <x:c r="H397" s="15" t="str">
        <x:v>Card purchase</x:v>
      </x:c>
      <x:c r="I397" s="15" t="str">
        <x:v>High</x:v>
      </x:c>
      <x:c r="J397" s="15" t="str">
        <x:v>eml_ALL_currentac__512781 (2).zip &gt; eml5currentac__512781.zip / FNB _-) R382.97 reserved for purchase @ Komati Pharmacy from Current a_c..512781 using card..2924.  4Mar 13_22.eml</x:v>
      </x:c>
    </x:row>
    <x:row r="398">
      <x:c r="A398" s="34" t="n">
        <x:v>46085.55763888889</x:v>
      </x:c>
      <x:c r="B398" s="15" t="str">
        <x:v>Komati Pharmacy</x:v>
      </x:c>
      <x:c r="C398" s="15" t="str">
        <x:v>R108.09 reserved for purchase @ Komati Pharmacy from Current a/c..512781 using card..2924. Avail R12351. 4Mar 13:23</x:v>
      </x:c>
      <x:c r="D398" s="38" t="n">
        <x:v>108.09</x:v>
      </x:c>
      <x:c r="E398" s="15" t="str">
        <x:v>ZAR</x:v>
      </x:c>
      <x:c r="F398" s="15" t="str">
        <x:v>Current a/c..512781 / card..2924</x:v>
      </x:c>
      <x:c r="G398" s="15" t="str">
        <x:v>Supplier payments</x:v>
      </x:c>
      <x:c r="H398" s="15" t="str">
        <x:v>Card purchase</x:v>
      </x:c>
      <x:c r="I398" s="15" t="str">
        <x:v>High</x:v>
      </x:c>
      <x:c r="J398" s="15" t="str">
        <x:v>eml_ALL_currentac__512781 (2).zip &gt; eml5currentac__512781.zip / FNB _-) R108.09 reserved for purchase @ Komati Pharmacy from Current a_c..512781 using card..2924.  4Mar 13_23.eml</x:v>
      </x:c>
    </x:row>
    <x:row r="399">
      <x:c r="A399" s="34" t="n">
        <x:v>46085.606944444444</x:v>
      </x:c>
      <x:c r="B399" s="15" t="str">
        <x:v>Superspar Komatipoor</x:v>
      </x:c>
      <x:c r="C399" s="15" t="str">
        <x:v>R1423.76 reserved for purchase @ Superspar Komatipoor from Current a/c..512781 using card..2924. Avail R10927. 4Mar 14:34</x:v>
      </x:c>
      <x:c r="D399" s="38" t="n">
        <x:v>1423.76</x:v>
      </x:c>
      <x:c r="E399" s="15" t="str">
        <x:v>ZAR</x:v>
      </x:c>
      <x:c r="F399" s="15" t="str">
        <x:v>Current a/c..512781 / card..2924</x:v>
      </x:c>
      <x:c r="G399" s="15" t="str">
        <x:v>Supplier payments</x:v>
      </x:c>
      <x:c r="H399" s="15" t="str">
        <x:v>Card purchase</x:v>
      </x:c>
      <x:c r="I399" s="15" t="str">
        <x:v>High</x:v>
      </x:c>
      <x:c r="J399" s="15" t="str">
        <x:v>eml_ALL_currentac__512781 (2).zip &gt; eml5currentac__512781.zip / FNB _-) R1423.76 reserved for purchase @ Superspar Komatipoor from Current a_c..512781 using card..2924.  4Mar 14_34.eml</x:v>
      </x:c>
    </x:row>
    <x:row r="400">
      <x:c r="A400" s="34" t="n">
        <x:v>46085.61736111111</x:v>
      </x:c>
      <x:c r="B400" s="15" t="str">
        <x:v>Ae Komatipoort</x:v>
      </x:c>
      <x:c r="C400" s="15" t="str">
        <x:v>R200.00 reserved for purchase @ Ae Komatipoort from Current a/c..512781 using card..2924. Avail R10727. 4Mar 14:49</x:v>
      </x:c>
      <x:c r="D400" s="38" t="n">
        <x:v>200</x:v>
      </x:c>
      <x:c r="E400" s="15" t="str">
        <x:v>ZAR</x:v>
      </x:c>
      <x:c r="F400" s="15" t="str">
        <x:v>Current a/c..512781 / card..2924</x:v>
      </x:c>
      <x:c r="G400" s="15" t="str">
        <x:v>Card spend</x:v>
      </x:c>
      <x:c r="H400" s="15" t="str">
        <x:v>Card purchase</x:v>
      </x:c>
      <x:c r="I400" s="15" t="str">
        <x:v>High</x:v>
      </x:c>
      <x:c r="J400" s="15" t="str">
        <x:v>eml_ALL_currentac__512781 (2).zip &gt; eml5currentac__512781.zip / FNB _-) R200.00 reserved for purchase @ Ae Komatipoort from Current a_c..512781 using card..2924.  4Mar 14_49.eml</x:v>
      </x:c>
    </x:row>
    <x:row r="401">
      <x:c r="A401" s="34" t="n">
        <x:v>46087.48819444444</x:v>
      </x:c>
      <x:c r="B401" s="15" t="str">
        <x:v>Hpy*twin City Fabric</x:v>
      </x:c>
      <x:c r="C401" s="15" t="str">
        <x:v>R166.50 reserved for purchase @ Hpy*twin City Fabric from Current a/c..512781 using card..2924. Avail R20794. 6Mar 11:43</x:v>
      </x:c>
      <x:c r="D401" s="38" t="n">
        <x:v>166.5</x:v>
      </x:c>
      <x:c r="E401" s="15" t="str">
        <x:v>ZAR</x:v>
      </x:c>
      <x:c r="F401" s="15" t="str">
        <x:v>Current a/c..512781 / card..2924</x:v>
      </x:c>
      <x:c r="G401" s="15" t="str">
        <x:v>Card spend</x:v>
      </x:c>
      <x:c r="H401" s="15" t="str">
        <x:v>Card purchase</x:v>
      </x:c>
      <x:c r="I401" s="15" t="str">
        <x:v>High</x:v>
      </x:c>
      <x:c r="J401" s="15" t="str">
        <x:v>eml_ALL_currentac__512781 (2).zip &gt; eml5currentac__512781.zip / FNB _-) R166.50 reserved for purchase @ Hpy_twin City Fabric from Current a_c..512781 using card..2924.  6Mar 11_43.eml</x:v>
      </x:c>
    </x:row>
    <x:row r="402">
      <x:c r="A402" s="34" t="n">
        <x:v>46087.51736111111</x:v>
      </x:c>
      <x:c r="B402" s="15" t="str">
        <x:v>Woolworths</x:v>
      </x:c>
      <x:c r="C402" s="15" t="str">
        <x:v>R542.89 reserved for purchase @ Woolworths from Current a/c..512781 using card..2924. Avail R20251. 6Mar 12:25</x:v>
      </x:c>
      <x:c r="D402" s="38" t="n">
        <x:v>542.89</x:v>
      </x:c>
      <x:c r="E402" s="15" t="str">
        <x:v>ZAR</x:v>
      </x:c>
      <x:c r="F402" s="15" t="str">
        <x:v>Current a/c..512781 / card..2924</x:v>
      </x:c>
      <x:c r="G402" s="15" t="str">
        <x:v>Supplier payments</x:v>
      </x:c>
      <x:c r="H402" s="15" t="str">
        <x:v>Card purchase</x:v>
      </x:c>
      <x:c r="I402" s="15" t="str">
        <x:v>High</x:v>
      </x:c>
      <x:c r="J402" s="15" t="str">
        <x:v>eml_ALL_currentac__512781 (2).zip &gt; eml5currentac__512781.zip / FNB _-) R542.89 reserved for purchase @ Woolworths from Current a_c..512781 using card..2924.  6Mar 12_25.eml</x:v>
      </x:c>
    </x:row>
    <x:row r="403">
      <x:c r="A403" s="34" t="n">
        <x:v>46087.54791666667</x:v>
      </x:c>
      <x:c r="B403" s="15" t="str">
        <x:v>Superspar Malelane</x:v>
      </x:c>
      <x:c r="C403" s="15" t="str">
        <x:v>R580.11 reserved for purchase @ Superspar Malelane from Current a/c..512781 using card..2924. Avail R19671. 6Mar 13:09</x:v>
      </x:c>
      <x:c r="D403" s="38" t="n">
        <x:v>580.11</x:v>
      </x:c>
      <x:c r="E403" s="15" t="str">
        <x:v>ZAR</x:v>
      </x:c>
      <x:c r="F403" s="15" t="str">
        <x:v>Current a/c..512781 / card..2924</x:v>
      </x:c>
      <x:c r="G403" s="15" t="str">
        <x:v>Supplier payments</x:v>
      </x:c>
      <x:c r="H403" s="15" t="str">
        <x:v>Card purchase</x:v>
      </x:c>
      <x:c r="I403" s="15" t="str">
        <x:v>High</x:v>
      </x:c>
      <x:c r="J403" s="15" t="str">
        <x:v>eml_ALL_currentac__512781 (2).zip &gt; eml5currentac__512781.zip / FNB _-) R580.11 reserved for purchase @ Superspar Malelane from Current a_c..512781 using card..2924.  6Mar 13_09.eml</x:v>
      </x:c>
    </x:row>
    <x:row r="404">
      <x:c r="A404" s="34" t="n">
        <x:v>46087.646527777775</x:v>
      </x:c>
      <x:c r="B404" s="15" t="str">
        <x:v>Royal Bush 3764</x:v>
      </x:c>
      <x:c r="C404" s="15" t="str">
        <x:v>R4240.00 paid from Current a/c..512781 @ Smartapp. Avail R16240. Ref.Royal Bush 3764. 6Mar 15:31</x:v>
      </x:c>
      <x:c r="D404" s="38" t="n">
        <x:v>4240</x:v>
      </x:c>
      <x:c r="E404" s="15" t="str">
        <x:v>ZAR</x:v>
      </x:c>
      <x:c r="F404" s="15" t="str">
        <x:v>Current a/c..512781</x:v>
      </x:c>
      <x:c r="G404" s="15" t="str">
        <x:v>Supplier payments</x:v>
      </x:c>
      <x:c r="H404" s="15" t="str">
        <x:v>EFT payment</x:v>
      </x:c>
      <x:c r="I404" s="15" t="str">
        <x:v>High</x:v>
      </x:c>
      <x:c r="J404" s="15" t="str">
        <x:v>eml_ALL_currentac__512781 (2).zip &gt; eml5currentac__512781.zip / FNB _-) R4240.00 paid from Current a_c..512781 @ Smartapp. Ref.Royal Bush 3764.  6Mar 15_31.eml</x:v>
      </x:c>
    </x:row>
    <x:row r="405">
      <x:c r="A405" s="34" t="n">
        <x:v>46087.69236111111</x:v>
      </x:c>
      <x:c r="B405" s="15" t="str">
        <x:v>Smartapp</x:v>
      </x:c>
      <x:c r="C405" s="15" t="str">
        <x:v>R200.00 paid from Current a/c..512781 @ Smartapp. Avail R16037. 6Mar 16:37</x:v>
      </x:c>
      <x:c r="D405" s="38" t="n">
        <x:v>200</x:v>
      </x:c>
      <x:c r="E405" s="15" t="str">
        <x:v>ZAR</x:v>
      </x:c>
      <x:c r="F405" s="15" t="str">
        <x:v>Current a/c..512781</x:v>
      </x:c>
      <x:c r="G405" s="15" t="str">
        <x:v>Supplier payments</x:v>
      </x:c>
      <x:c r="H405" s="15" t="str">
        <x:v>EFT payment</x:v>
      </x:c>
      <x:c r="I405" s="15" t="str">
        <x:v>High</x:v>
      </x:c>
      <x:c r="J405" s="15" t="str">
        <x:v>eml_ALL_currentac__512781 (2).zip &gt; eml5currentac__512781.zip / FNB _-) R200.00 paid from Current a_c..512781 @ Smartapp.  6Mar 16_37.eml</x:v>
      </x:c>
    </x:row>
    <x:row r="406">
      <x:c r="A406" s="34" t="n">
        <x:v>46088.55625</x:v>
      </x:c>
      <x:c r="B406" s="15" t="str">
        <x:v>Electricity 04294887</x:v>
      </x:c>
      <x:c r="C406" s="15" t="str">
        <x:v>R500.00 paid from Current a/c..512781 @ Smartapp. Avail R34457. Ref.Electricity 04294887. 7Mar 13:21</x:v>
      </x:c>
      <x:c r="D406" s="38" t="n">
        <x:v>500</x:v>
      </x:c>
      <x:c r="E406" s="15" t="str">
        <x:v>ZAR</x:v>
      </x:c>
      <x:c r="F406" s="15" t="str">
        <x:v>Current a/c..512781</x:v>
      </x:c>
      <x:c r="G406" s="15" t="str">
        <x:v>Telecom / utilities</x:v>
      </x:c>
      <x:c r="H406" s="15" t="str">
        <x:v>EFT payment</x:v>
      </x:c>
      <x:c r="I406" s="15" t="str">
        <x:v>High</x:v>
      </x:c>
      <x:c r="J406" s="15" t="str">
        <x:v>eml_ALL_currentac__512781 (2).zip &gt; eml5currentac__512781.zip / FNB _-) R500.00 paid from Current a_c..512781 @ Smartapp. Ref.Electricity 04294887.  7Mar 13_21.eml</x:v>
      </x:c>
    </x:row>
    <x:row r="407">
      <x:c r="A407" s="34" t="n">
        <x:v>46088.56805555556</x:v>
      </x:c>
      <x:c r="B407" s="15" t="str">
        <x:v>Ingwe Supermarket146</x:v>
      </x:c>
      <x:c r="C407" s="15" t="str">
        <x:v>R214.99 reserved for purchase @ Ingwe Supermarket146 from Current a/c..512781 using card..2924. Avail R34242. 7Mar 13:38</x:v>
      </x:c>
      <x:c r="D407" s="38" t="n">
        <x:v>214.99</x:v>
      </x:c>
      <x:c r="E407" s="15" t="str">
        <x:v>ZAR</x:v>
      </x:c>
      <x:c r="F407" s="15" t="str">
        <x:v>Current a/c..512781 / card..2924</x:v>
      </x:c>
      <x:c r="G407" s="15" t="str">
        <x:v>Card spend</x:v>
      </x:c>
      <x:c r="H407" s="15" t="str">
        <x:v>Card purchase</x:v>
      </x:c>
      <x:c r="I407" s="15" t="str">
        <x:v>High</x:v>
      </x:c>
      <x:c r="J407" s="15" t="str">
        <x:v>eml_ALL_currentac__512781 (2).zip &gt; eml5currentac__512781.zip / FNB _-) R214.99 reserved for purchase @ Ingwe Supermarket146 from Current a_c..512781 using card..2924.  7Mar 13_38.eml</x:v>
      </x:c>
    </x:row>
    <x:row r="408">
      <x:c r="A408" s="34" t="n">
        <x:v>46089.552777777775</x:v>
      </x:c>
      <x:c r="B408" s="15" t="str">
        <x:v>Savemor Marloth</x:v>
      </x:c>
      <x:c r="C408" s="15" t="str">
        <x:v>R541.52 reserved for purchase @ Savemor Marloth from Current a/c..512781 using card..2924. Avail R33700. 8Mar 13:16</x:v>
      </x:c>
      <x:c r="D408" s="38" t="n">
        <x:v>541.52</x:v>
      </x:c>
      <x:c r="E408" s="15" t="str">
        <x:v>ZAR</x:v>
      </x:c>
      <x:c r="F408" s="15" t="str">
        <x:v>Current a/c..512781 / card..2924</x:v>
      </x:c>
      <x:c r="G408" s="15" t="str">
        <x:v>Supplier payments</x:v>
      </x:c>
      <x:c r="H408" s="15" t="str">
        <x:v>Card purchase</x:v>
      </x:c>
      <x:c r="I408" s="15" t="str">
        <x:v>High</x:v>
      </x:c>
      <x:c r="J408" s="15" t="str">
        <x:v>eml_ALL_currentac__512781 (2).zip &gt; eml5currentac__512781.zip / FNB _-) R541.52 reserved for purchase @ Savemor Marloth from Current a_c..512781 using card..2924.  8Mar 13_16.eml</x:v>
      </x:c>
    </x:row>
    <x:row r="409">
      <x:c r="A409" s="34" t="n">
        <x:v>46089.555555555555</x:v>
      </x:c>
      <x:c r="B409" s="15" t="str">
        <x:v>Marlothi Petrol Stat</x:v>
      </x:c>
      <x:c r="C409" s="15" t="str">
        <x:v>R200.00 reserved for purchase @ Marlothi Petrol Stat from Current a/c..512781 using card..2924. Avail R33500. 8Mar 13:20</x:v>
      </x:c>
      <x:c r="D409" s="38" t="n">
        <x:v>200</x:v>
      </x:c>
      <x:c r="E409" s="15" t="str">
        <x:v>ZAR</x:v>
      </x:c>
      <x:c r="F409" s="15" t="str">
        <x:v>Current a/c..512781 / card..2924</x:v>
      </x:c>
      <x:c r="G409" s="15" t="str">
        <x:v>Fuel / transport</x:v>
      </x:c>
      <x:c r="H409" s="15" t="str">
        <x:v>Card purchase</x:v>
      </x:c>
      <x:c r="I409" s="15" t="str">
        <x:v>High</x:v>
      </x:c>
      <x:c r="J409" s="15" t="str">
        <x:v>eml_ALL_currentac__512781 (2).zip &gt; eml5currentac__512781.zip / FNB _-) R200.00 reserved for purchase @ Marlothi Petrol Stat from Current a_c..512781 using card..2924.  8Mar 13_20.eml</x:v>
      </x:c>
    </x:row>
    <x:row r="410">
      <x:c r="A410" s="34" t="n">
        <x:v>46089.55902777778</x:v>
      </x:c>
      <x:c r="B410" s="15" t="str">
        <x:v>Salary</x:v>
      </x:c>
      <x:c r="C410" s="15" t="str">
        <x:v>R2000.00 paid from Current a/c..512781 @ Smartapp. Avail R31500. Ref.Salary. 8Mar 13:25</x:v>
      </x:c>
      <x:c r="D410" s="38" t="n">
        <x:v>2000</x:v>
      </x:c>
      <x:c r="E410" s="15" t="str">
        <x:v>ZAR</x:v>
      </x:c>
      <x:c r="F410" s="15" t="str">
        <x:v>Current a/c..512781</x:v>
      </x:c>
      <x:c r="G410" s="15" t="str">
        <x:v>Salary / wages</x:v>
      </x:c>
      <x:c r="H410" s="15" t="str">
        <x:v>EFT payment</x:v>
      </x:c>
      <x:c r="I410" s="15" t="str">
        <x:v>High</x:v>
      </x:c>
      <x:c r="J410" s="15" t="str">
        <x:v>eml_ALL_currentac__512781 (2).zip &gt; eml5currentac__512781.zip / FNB _-) R2000.00 paid from Current a_c..512781 @ Smartapp. Ref.Salary.  8Mar 13_25.eml</x:v>
      </x:c>
    </x:row>
    <x:row r="411">
      <x:c r="A411" s="34" t="n">
        <x:v>46089.80902777778</x:v>
      </x:c>
      <x:c r="B411" s="15" t="str">
        <x:v>Electricity 14503572</x:v>
      </x:c>
      <x:c r="C411" s="15" t="str">
        <x:v>R200.00 paid from Current a/c..512781 @ Smartapp. Avail R34060. Ref.Electricity 14503572. 8Mar 19:25</x:v>
      </x:c>
      <x:c r="D411" s="38" t="n">
        <x:v>200</x:v>
      </x:c>
      <x:c r="E411" s="15" t="str">
        <x:v>ZAR</x:v>
      </x:c>
      <x:c r="F411" s="15" t="str">
        <x:v>Current a/c..512781</x:v>
      </x:c>
      <x:c r="G411" s="15" t="str">
        <x:v>Telecom / utilities</x:v>
      </x:c>
      <x:c r="H411" s="15" t="str">
        <x:v>EFT payment</x:v>
      </x:c>
      <x:c r="I411" s="15" t="str">
        <x:v>High</x:v>
      </x:c>
      <x:c r="J411" s="15" t="str">
        <x:v>eml_ALL_currentac__512781 (2).zip &gt; eml5currentac__512781.zip / FNB _-) R200.00 paid from Current a_c..512781 @ Smartapp. Ref.Electricity 14503572.  8Mar 19_25.eml</x:v>
      </x:c>
    </x:row>
    <x:row r="412">
      <x:c r="A412" s="34" t="n">
        <x:v>46090.54375</x:v>
      </x:c>
      <x:c r="B412" s="15" t="str">
        <x:v>Savemor Marloth</x:v>
      </x:c>
      <x:c r="C412" s="15" t="str">
        <x:v>R342.92 reserved for purchase @ Savemor Marloth from Current a/c..512781 using card..2924. Avail R33627. 9Mar 13:03</x:v>
      </x:c>
      <x:c r="D412" s="38" t="n">
        <x:v>342.92</x:v>
      </x:c>
      <x:c r="E412" s="15" t="str">
        <x:v>ZAR</x:v>
      </x:c>
      <x:c r="F412" s="15" t="str">
        <x:v>Current a/c..512781 / card..2924</x:v>
      </x:c>
      <x:c r="G412" s="15" t="str">
        <x:v>Supplier payments</x:v>
      </x:c>
      <x:c r="H412" s="15" t="str">
        <x:v>Card purchase</x:v>
      </x:c>
      <x:c r="I412" s="15" t="str">
        <x:v>High</x:v>
      </x:c>
      <x:c r="J412" s="15" t="str">
        <x:v>eml_ALL_currentac__512781 (2).zip &gt; eml5currentac__512781.zip / FNB _-) R342.92 reserved for purchase @ Savemor Marloth from Current a_c..512781 using card..2924.  9Mar 13_03.eml</x:v>
      </x:c>
    </x:row>
    <x:row r="413">
      <x:c r="A413" s="34" t="n">
        <x:v>46090.62708333333</x:v>
      </x:c>
      <x:c r="B413" s="15" t="str">
        <x:v>Ingwe Supermarket</x:v>
      </x:c>
      <x:c r="C413" s="15" t="str">
        <x:v>R128.01 reserved for purchase @ Ingwe Supermarket from Current a/c..512781 using card..2924. Avail R33499. 9Mar 15:03</x:v>
      </x:c>
      <x:c r="D413" s="38" t="n">
        <x:v>128.01</x:v>
      </x:c>
      <x:c r="E413" s="15" t="str">
        <x:v>ZAR</x:v>
      </x:c>
      <x:c r="F413" s="15" t="str">
        <x:v>Current a/c..512781 / card..2924</x:v>
      </x:c>
      <x:c r="G413" s="15" t="str">
        <x:v>Card spend</x:v>
      </x:c>
      <x:c r="H413" s="15" t="str">
        <x:v>Card purchase</x:v>
      </x:c>
      <x:c r="I413" s="15" t="str">
        <x:v>High</x:v>
      </x:c>
      <x:c r="J413" s="15" t="str">
        <x:v>eml_ALL_currentac__512781 (2).zip &gt; eml5currentac__512781.zip / FNB _-) R128.01 reserved for purchase @ Ingwe Supermarket from Current a_c..512781 using card..2924.  9Mar 15_03.eml</x:v>
      </x:c>
    </x:row>
    <x:row r="414">
      <x:c r="A414" s="34" t="n">
        <x:v>46090.63333333333</x:v>
      </x:c>
      <x:c r="B414" s="15" t="str">
        <x:v>Toppies Hardware 66</x:v>
      </x:c>
      <x:c r="C414" s="15" t="str">
        <x:v>R265.98 reserved for purchase @ Toppies Hardware 66 from Current a/c..512781 using card..2924. Avail R33233. 9Mar 15:12</x:v>
      </x:c>
      <x:c r="D414" s="38" t="n">
        <x:v>265.98</x:v>
      </x:c>
      <x:c r="E414" s="15" t="str">
        <x:v>ZAR</x:v>
      </x:c>
      <x:c r="F414" s="15" t="str">
        <x:v>Current a/c..512781 / card..2924</x:v>
      </x:c>
      <x:c r="G414" s="15" t="str">
        <x:v>Supplier payments</x:v>
      </x:c>
      <x:c r="H414" s="15" t="str">
        <x:v>Card purchase</x:v>
      </x:c>
      <x:c r="I414" s="15" t="str">
        <x:v>High</x:v>
      </x:c>
      <x:c r="J414" s="15" t="str">
        <x:v>eml_ALL_currentac__512781 (2).zip &gt; eml5currentac__512781.zip / FNB _-) R265.98 reserved for purchase @ Toppies Hardware 66 from Current a_c..512781 using card..2924.  9Mar 15_12.eml</x:v>
      </x:c>
    </x:row>
    <x:row r="415">
      <x:c r="A415" s="34" t="n">
        <x:v>46091.50555555556</x:v>
      </x:c>
      <x:c r="B415" s="15" t="str">
        <x:v>Buco Komatipoort 116</x:v>
      </x:c>
      <x:c r="C415" s="15" t="str">
        <x:v>R1287.85 reserved for purchase @ Buco Komatipoort 116 from Current a/c..512781 using card..2924. Avail R31921. 10Mar 12:08</x:v>
      </x:c>
      <x:c r="D415" s="38" t="n">
        <x:v>1287.85</x:v>
      </x:c>
      <x:c r="E415" s="15" t="str">
        <x:v>ZAR</x:v>
      </x:c>
      <x:c r="F415" s="15" t="str">
        <x:v>Current a/c..512781 / card..2924</x:v>
      </x:c>
      <x:c r="G415" s="15" t="str">
        <x:v>Supplier payments</x:v>
      </x:c>
      <x:c r="H415" s="15" t="str">
        <x:v>Card purchase</x:v>
      </x:c>
      <x:c r="I415" s="15" t="str">
        <x:v>High</x:v>
      </x:c>
      <x:c r="J415" s="15" t="str">
        <x:v>eml_ALL_currentac__512781 (2).zip &gt; eml5currentac__512781.zip / FNB _-) R1287.85 reserved for purchase @ Buco Komatipoort 116 from Current a_c..512781 using card..2924. 10Mar 12_08.eml</x:v>
      </x:c>
    </x:row>
    <x:row r="416">
      <x:c r="A416" s="34" t="n">
        <x:v>46091.558333333334</x:v>
      </x:c>
      <x:c r="B416" s="15" t="str">
        <x:v>Superspar Komatipoor</x:v>
      </x:c>
      <x:c r="C416" s="15" t="str">
        <x:v>R625.53 reserved for purchase @ Superspar Komatipoor from Current a/c..512781 using card..2924. Avail R31296. 10Mar 13:24</x:v>
      </x:c>
      <x:c r="D416" s="38" t="n">
        <x:v>625.53</x:v>
      </x:c>
      <x:c r="E416" s="15" t="str">
        <x:v>ZAR</x:v>
      </x:c>
      <x:c r="F416" s="15" t="str">
        <x:v>Current a/c..512781 / card..2924</x:v>
      </x:c>
      <x:c r="G416" s="15" t="str">
        <x:v>Supplier payments</x:v>
      </x:c>
      <x:c r="H416" s="15" t="str">
        <x:v>Card purchase</x:v>
      </x:c>
      <x:c r="I416" s="15" t="str">
        <x:v>High</x:v>
      </x:c>
      <x:c r="J416" s="15" t="str">
        <x:v>eml_ALL_currentac__512781 (2).zip &gt; eml5currentac__512781.zip / FNB _-) R625.53 reserved for purchase @ Superspar Komatipoor from Current a_c..512781 using card..2924. 10Mar 13_24.eml</x:v>
      </x:c>
    </x:row>
    <x:row r="417">
      <x:c r="A417" s="34" t="n">
        <x:v>46091.62430555555</x:v>
      </x:c>
      <x:c r="B417" s="15" t="str">
        <x:v>Savemor Marloth</x:v>
      </x:c>
      <x:c r="C417" s="15" t="str">
        <x:v>R114.49 reserved for purchase @ Savemor Marloth from Current a/c..512781 using card..2924. Avail R31181. 10Mar 14:59</x:v>
      </x:c>
      <x:c r="D417" s="38" t="n">
        <x:v>114.49</x:v>
      </x:c>
      <x:c r="E417" s="15" t="str">
        <x:v>ZAR</x:v>
      </x:c>
      <x:c r="F417" s="15" t="str">
        <x:v>Current a/c..512781 / card..2924</x:v>
      </x:c>
      <x:c r="G417" s="15" t="str">
        <x:v>Supplier payments</x:v>
      </x:c>
      <x:c r="H417" s="15" t="str">
        <x:v>Card purchase</x:v>
      </x:c>
      <x:c r="I417" s="15" t="str">
        <x:v>High</x:v>
      </x:c>
      <x:c r="J417" s="15" t="str">
        <x:v>eml_ALL_currentac__512781 (2).zip &gt; eml5currentac__512781.zip / FNB _-) R114.49 reserved for purchase @ Savemor Marloth from Current a_c..512781 using card..2924. 10Mar 14_59.eml</x:v>
      </x:c>
    </x:row>
    <x:row r="418">
      <x:c r="A418" s="34" t="n">
        <x:v>46091.71041666667</x:v>
      </x:c>
      <x:c r="B418" s="15" t="str">
        <x:v>Electricity 14503572</x:v>
      </x:c>
      <x:c r="C418" s="15" t="str">
        <x:v>R150.00 paid from Current a/c..512781 @ Smartapp. Avail R31030. Ref.Electricity 14503572. 10Mar 17:03</x:v>
      </x:c>
      <x:c r="D418" s="38" t="n">
        <x:v>150</x:v>
      </x:c>
      <x:c r="E418" s="15" t="str">
        <x:v>ZAR</x:v>
      </x:c>
      <x:c r="F418" s="15" t="str">
        <x:v>Current a/c..512781</x:v>
      </x:c>
      <x:c r="G418" s="15" t="str">
        <x:v>Telecom / utilities</x:v>
      </x:c>
      <x:c r="H418" s="15" t="str">
        <x:v>EFT payment</x:v>
      </x:c>
      <x:c r="I418" s="15" t="str">
        <x:v>High</x:v>
      </x:c>
      <x:c r="J418" s="15" t="str">
        <x:v>eml_ALL_currentac__512781 (2).zip &gt; eml5currentac__512781.zip / FNB _-) R150.00 paid from Current a_c..512781 @ Smartapp. Ref.Electricity 14503572. 10Mar 17_03.eml</x:v>
      </x:c>
    </x:row>
    <x:row r="419">
      <x:c r="A419" s="34" t="n">
        <x:v>46092.57638888889</x:v>
      </x:c>
      <x:c r="B419" s="15" t="str">
        <x:v>Kruger Safari 1686</x:v>
      </x:c>
      <x:c r="C419" s="15" t="str">
        <x:v>R6008.00 paid from Current a/c..512781 @ Smartapp. Avail R24996. Ref.Kruger Safari 1686. 11Mar 13:50</x:v>
      </x:c>
      <x:c r="D419" s="38" t="n">
        <x:v>6008</x:v>
      </x:c>
      <x:c r="E419" s="15" t="str">
        <x:v>ZAR</x:v>
      </x:c>
      <x:c r="F419" s="15" t="str">
        <x:v>Current a/c..512781</x:v>
      </x:c>
      <x:c r="G419" s="15" t="str">
        <x:v>Supplier payments</x:v>
      </x:c>
      <x:c r="H419" s="15" t="str">
        <x:v>EFT payment</x:v>
      </x:c>
      <x:c r="I419" s="15" t="str">
        <x:v>High</x:v>
      </x:c>
      <x:c r="J419" s="15" t="str">
        <x:v>eml_ALL_currentac__512781 (2).zip &gt; eml5currentac__512781.zip / FNB _-) R6008.00 paid from Current a_c..512781 @ Smartapp. Ref.Kruger Safari 1686. 11Mar 13_50.eml</x:v>
      </x:c>
    </x:row>
    <x:row r="420">
      <x:c r="A420" s="34" t="n">
        <x:v>46093.47361111111</x:v>
      </x:c>
      <x:c r="B420" s="15" t="str">
        <x:v>Superspar Komatipoor</x:v>
      </x:c>
      <x:c r="C420" s="15" t="str">
        <x:v>R1102.67 reserved for purchase @ Superspar Komatipoor from Current a/c..512781 using card..2924. Avail R53186. 12Mar 11:22</x:v>
      </x:c>
      <x:c r="D420" s="38" t="n">
        <x:v>1102.67</x:v>
      </x:c>
      <x:c r="E420" s="15" t="str">
        <x:v>ZAR</x:v>
      </x:c>
      <x:c r="F420" s="15" t="str">
        <x:v>Current a/c..512781 / card..2924</x:v>
      </x:c>
      <x:c r="G420" s="15" t="str">
        <x:v>Supplier payments</x:v>
      </x:c>
      <x:c r="H420" s="15" t="str">
        <x:v>Card purchase</x:v>
      </x:c>
      <x:c r="I420" s="15" t="str">
        <x:v>High</x:v>
      </x:c>
      <x:c r="J420" s="15" t="str">
        <x:v>eml_ALL_currentac__512781 (2).zip &gt; eml5currentac__512781.zip / FNB _-) R1102.67 reserved for purchase @ Superspar Komatipoor from Current a_c..512781 using card..2924. 12Mar 11_22.eml</x:v>
      </x:c>
    </x:row>
    <x:row r="421">
      <x:c r="A421" s="34" t="n">
        <x:v>46093.67083333333</x:v>
      </x:c>
      <x:c r="B421" s="15" t="str">
        <x:v>Royal Bush 3798</x:v>
      </x:c>
      <x:c r="C421" s="15" t="str">
        <x:v>R4240.00 paid from Current a/c..512781 @ Smartapp. Avail R57806. Ref.Royal Bush 3798. 12Mar 16:06</x:v>
      </x:c>
      <x:c r="D421" s="38" t="n">
        <x:v>4240</x:v>
      </x:c>
      <x:c r="E421" s="15" t="str">
        <x:v>ZAR</x:v>
      </x:c>
      <x:c r="F421" s="15" t="str">
        <x:v>Current a/c..512781</x:v>
      </x:c>
      <x:c r="G421" s="15" t="str">
        <x:v>Supplier payments</x:v>
      </x:c>
      <x:c r="H421" s="15" t="str">
        <x:v>EFT payment</x:v>
      </x:c>
      <x:c r="I421" s="15" t="str">
        <x:v>High</x:v>
      </x:c>
      <x:c r="J421" s="15" t="str">
        <x:v>eml_ALL_currentac__512781 (2).zip &gt; eml5currentac__512781.zip / FNB _-) R4240.00 paid from Current a_c..512781 @ Smartapp. Ref.Royal Bush 3798. 12Mar 16_06.eml</x:v>
      </x:c>
    </x:row>
    <x:row r="422">
      <x:c r="A422" s="34" t="n">
        <x:v>46093.67222222222</x:v>
      </x:c>
      <x:c r="B422" s="15" t="str">
        <x:v>Kruger Safari 1687</x:v>
      </x:c>
      <x:c r="C422" s="15" t="str">
        <x:v>R4506.00 paid from Current a/c..512781 @ Smartapp. Avail R53292. Ref.Kruger Safari 1687. 12Mar 16:08</x:v>
      </x:c>
      <x:c r="D422" s="38" t="n">
        <x:v>4506</x:v>
      </x:c>
      <x:c r="E422" s="15" t="str">
        <x:v>ZAR</x:v>
      </x:c>
      <x:c r="F422" s="15" t="str">
        <x:v>Current a/c..512781</x:v>
      </x:c>
      <x:c r="G422" s="15" t="str">
        <x:v>Supplier payments</x:v>
      </x:c>
      <x:c r="H422" s="15" t="str">
        <x:v>EFT payment</x:v>
      </x:c>
      <x:c r="I422" s="15" t="str">
        <x:v>High</x:v>
      </x:c>
      <x:c r="J422" s="15" t="str">
        <x:v>eml_ALL_currentac__512781 (2).zip &gt; eml5currentac__512781.zip / FNB _-) R4506.00 paid from Current a_c..512781 @ Smartapp. Ref.Kruger Safari 1687. 12Mar 16_08.eml</x:v>
      </x:c>
    </x:row>
    <x:row r="423">
      <x:c r="A423" s="34" t="n">
        <x:v>46094.16180555556</x:v>
      </x:c>
      <x:c r="B423" s="15" t="str">
        <x:v>Salary- Feb</x:v>
      </x:c>
      <x:c r="C423" s="15" t="str">
        <x:v>R5000.00 paid from Current a/c..512781 @ Smartapp. Avail R48275. Ref.Salary- Feb. 13Mar 03:53</x:v>
      </x:c>
      <x:c r="D423" s="38" t="n">
        <x:v>5000</x:v>
      </x:c>
      <x:c r="E423" s="15" t="str">
        <x:v>ZAR</x:v>
      </x:c>
      <x:c r="F423" s="15" t="str">
        <x:v>Current a/c..512781</x:v>
      </x:c>
      <x:c r="G423" s="15" t="str">
        <x:v>Salary / wages</x:v>
      </x:c>
      <x:c r="H423" s="15" t="str">
        <x:v>EFT payment</x:v>
      </x:c>
      <x:c r="I423" s="15" t="str">
        <x:v>High</x:v>
      </x:c>
      <x:c r="J423" s="15" t="str">
        <x:v>eml_ALL_currentac__512781 (2).zip &gt; eml5currentac__512781.zip / FNB _-) R5000.00 paid from Current a_c..512781 @ Smartapp. Ref.Salary- Feb. 13Mar 03_53.eml</x:v>
      </x:c>
    </x:row>
    <x:row r="424">
      <x:c r="A424" s="34" t="n">
        <x:v>46094.58888888889</x:v>
      </x:c>
      <x:c r="B424" s="15" t="str">
        <x:v>Sakkie Wages</x:v>
      </x:c>
      <x:c r="C424" s="15" t="str">
        <x:v>R2500.00 paid from Current a/c..512781 @ Smartapp. Avail R45767. Ref.Sakkie Wages. 13Mar 14:08</x:v>
      </x:c>
      <x:c r="D424" s="38" t="n">
        <x:v>2500</x:v>
      </x:c>
      <x:c r="E424" s="15" t="str">
        <x:v>ZAR</x:v>
      </x:c>
      <x:c r="F424" s="15" t="str">
        <x:v>Current a/c..512781</x:v>
      </x:c>
      <x:c r="G424" s="15" t="str">
        <x:v>Salary / wages</x:v>
      </x:c>
      <x:c r="H424" s="15" t="str">
        <x:v>EFT payment</x:v>
      </x:c>
      <x:c r="I424" s="15" t="str">
        <x:v>High</x:v>
      </x:c>
      <x:c r="J424" s="15" t="str">
        <x:v>eml_ALL_currentac__512781 (2).zip &gt; eml5currentac__512781.zip / FNB _-) R2500.00 paid from Current a_c..512781 @ Smartapp. Ref.Sakkie Wages. 13Mar 14_08.eml</x:v>
      </x:c>
    </x:row>
    <x:row r="425">
      <x:c r="A425" s="34" t="n">
        <x:v>46095.524305555555</x:v>
      </x:c>
      <x:c r="B425" s="15" t="str">
        <x:v>Sqsp* Websit</x:v>
      </x:c>
      <x:c r="C425" s="15" t="str">
        <x:v>R636.02 reserved for purchase @ Sqsp* Websit from Current a/c..512781 using card..2924. Avail R45131. 14Mar 12:35</x:v>
      </x:c>
      <x:c r="D425" s="38" t="n">
        <x:v>636.02</x:v>
      </x:c>
      <x:c r="E425" s="15" t="str">
        <x:v>ZAR</x:v>
      </x:c>
      <x:c r="F425" s="15" t="str">
        <x:v>Current a/c..512781 / card..2924</x:v>
      </x:c>
      <x:c r="G425" s="15" t="str">
        <x:v>Software / subscriptions</x:v>
      </x:c>
      <x:c r="H425" s="15" t="str">
        <x:v>Card purchase</x:v>
      </x:c>
      <x:c r="I425" s="15" t="str">
        <x:v>High</x:v>
      </x:c>
      <x:c r="J425" s="15" t="str">
        <x:v>eml_ALL_currentac__512781 (2).zip &gt; eml5currentac__512781.zip / FNB _-) R636.02 reserved for purchase @ Sqsp_ Websit from Current a_c..512781 using card..2924. 14Mar 12_35.eml</x:v>
      </x:c>
    </x:row>
    <x:row r="426">
      <x:c r="A426" s="34" t="n">
        <x:v>46095.58263888889</x:v>
      </x:c>
      <x:c r="B426" s="15" t="str">
        <x:v>Ingwe Supermarket</x:v>
      </x:c>
      <x:c r="C426" s="15" t="str">
        <x:v>R264.32 reserved for purchase @ Ingwe Supermarket from Current a/c..512781 using card..2924. Avail R44866. 14Mar 13:59</x:v>
      </x:c>
      <x:c r="D426" s="38" t="n">
        <x:v>264.32</x:v>
      </x:c>
      <x:c r="E426" s="15" t="str">
        <x:v>ZAR</x:v>
      </x:c>
      <x:c r="F426" s="15" t="str">
        <x:v>Current a/c..512781 / card..2924</x:v>
      </x:c>
      <x:c r="G426" s="15" t="str">
        <x:v>Card spend</x:v>
      </x:c>
      <x:c r="H426" s="15" t="str">
        <x:v>Card purchase</x:v>
      </x:c>
      <x:c r="I426" s="15" t="str">
        <x:v>High</x:v>
      </x:c>
      <x:c r="J426" s="15" t="str">
        <x:v>eml_ALL_currentac__512781 (2).zip &gt; eml5currentac__512781.zip / FNB _-) R264.32 reserved for purchase @ Ingwe Supermarket from Current a_c..512781 using card..2924. 14Mar 13_59.eml</x:v>
      </x:c>
    </x:row>
    <x:row r="427">
      <x:c r="A427" s="34" t="n">
        <x:v>46096.410416666666</x:v>
      </x:c>
      <x:c r="B427" s="15" t="str">
        <x:v>Marlothi Petrol Stat</x:v>
      </x:c>
      <x:c r="C427" s="15" t="str">
        <x:v>R200.00 reserved for purchase @ Marlothi Petrol Stat from Current a/c..512781 using card..2924. Avail R44666. 15Mar 09:51</x:v>
      </x:c>
      <x:c r="D427" s="38" t="n">
        <x:v>200</x:v>
      </x:c>
      <x:c r="E427" s="15" t="str">
        <x:v>ZAR</x:v>
      </x:c>
      <x:c r="F427" s="15" t="str">
        <x:v>Current a/c..512781 / card..2924</x:v>
      </x:c>
      <x:c r="G427" s="15" t="str">
        <x:v>Fuel / transport</x:v>
      </x:c>
      <x:c r="H427" s="15" t="str">
        <x:v>Card purchase</x:v>
      </x:c>
      <x:c r="I427" s="15" t="str">
        <x:v>High</x:v>
      </x:c>
      <x:c r="J427" s="15" t="str">
        <x:v>eml_ALL_currentac__512781 (2).zip &gt; eml5currentac__512781.zip / FNB _-) R200.00 reserved for purchase @ Marlothi Petrol Stat from Current a_c..512781 using card..2924. 15Mar 09_51.eml</x:v>
      </x:c>
    </x:row>
    <x:row r="428">
      <x:c r="A428" s="34" t="n">
        <x:v>46096.43472222222</x:v>
      </x:c>
      <x:c r="B428" s="15" t="str">
        <x:v>Buco Komatipoort 116</x:v>
      </x:c>
      <x:c r="C428" s="15" t="str">
        <x:v>R153.99 reserved for purchase @ Buco Komatipoort 116 from Current a/c..512781 using card..2924. Avail R44512. 15Mar 10:26</x:v>
      </x:c>
      <x:c r="D428" s="38" t="n">
        <x:v>153.99</x:v>
      </x:c>
      <x:c r="E428" s="15" t="str">
        <x:v>ZAR</x:v>
      </x:c>
      <x:c r="F428" s="15" t="str">
        <x:v>Current a/c..512781 / card..2924</x:v>
      </x:c>
      <x:c r="G428" s="15" t="str">
        <x:v>Supplier payments</x:v>
      </x:c>
      <x:c r="H428" s="15" t="str">
        <x:v>Card purchase</x:v>
      </x:c>
      <x:c r="I428" s="15" t="str">
        <x:v>High</x:v>
      </x:c>
      <x:c r="J428" s="15" t="str">
        <x:v>eml_ALL_currentac__512781 (2).zip &gt; eml5currentac__512781.zip / FNB _-) R153.99 reserved for purchase @ Buco Komatipoort 116 from Current a_c..512781 using card..2924. 15Mar 10_26.eml</x:v>
      </x:c>
    </x:row>
    <x:row r="429">
      <x:c r="A429" s="34" t="n">
        <x:v>46096.46319444444</x:v>
      </x:c>
      <x:c r="B429" s="15" t="str">
        <x:v>Electricity 14503572</x:v>
      </x:c>
      <x:c r="C429" s="15" t="str">
        <x:v>R150.00 paid from Current a/c..512781 @ Smartapp. Avail R44362. Ref.Electricity 14503572. 15Mar 11:07</x:v>
      </x:c>
      <x:c r="D429" s="38" t="n">
        <x:v>150</x:v>
      </x:c>
      <x:c r="E429" s="15" t="str">
        <x:v>ZAR</x:v>
      </x:c>
      <x:c r="F429" s="15" t="str">
        <x:v>Current a/c..512781</x:v>
      </x:c>
      <x:c r="G429" s="15" t="str">
        <x:v>Telecom / utilities</x:v>
      </x:c>
      <x:c r="H429" s="15" t="str">
        <x:v>EFT payment</x:v>
      </x:c>
      <x:c r="I429" s="15" t="str">
        <x:v>High</x:v>
      </x:c>
      <x:c r="J429" s="15" t="str">
        <x:v>eml_ALL_currentac__512781 (2).zip &gt; eml5currentac__512781.zip / FNB _-) R150.00 paid from Current a_c..512781 @ Smartapp. Ref.Electricity 14503572. 15Mar 11_07.eml</x:v>
      </x:c>
    </x:row>
    <x:row r="430">
      <x:c r="A430" s="34" t="n">
        <x:v>46096.46388888889</x:v>
      </x:c>
      <x:c r="B430" s="15" t="str">
        <x:v>Superspar Komatipoor</x:v>
      </x:c>
      <x:c r="C430" s="15" t="str">
        <x:v>R877.76 reserved for purchase @ Superspar Komatipoor from Current a/c..512781 using card..2924. Avail R43485. 15Mar 11:08</x:v>
      </x:c>
      <x:c r="D430" s="38" t="n">
        <x:v>877.76</x:v>
      </x:c>
      <x:c r="E430" s="15" t="str">
        <x:v>ZAR</x:v>
      </x:c>
      <x:c r="F430" s="15" t="str">
        <x:v>Current a/c..512781 / card..2924</x:v>
      </x:c>
      <x:c r="G430" s="15" t="str">
        <x:v>Supplier payments</x:v>
      </x:c>
      <x:c r="H430" s="15" t="str">
        <x:v>Card purchase</x:v>
      </x:c>
      <x:c r="I430" s="15" t="str">
        <x:v>High</x:v>
      </x:c>
      <x:c r="J430" s="15" t="str">
        <x:v>eml_ALL_currentac__512781 (2).zip &gt; eml5currentac__512781.zip / FNB _-) R877.76 reserved for purchase @ Superspar Komatipoor from Current a_c..512781 using card..2924. 15Mar 11_08.eml</x:v>
      </x:c>
    </x:row>
    <x:row r="431">
      <x:c r="A431" s="34" t="n">
        <x:v>46097.50625</x:v>
      </x:c>
      <x:c r="B431" s="15" t="str">
        <x:v>Electricity 14503572</x:v>
      </x:c>
      <x:c r="C431" s="15" t="str">
        <x:v>R150.00 paid from Current a/c..512781 @ Smartapp. Avail R43287. Ref.Electricity 14503572. 16Mar 12:09</x:v>
      </x:c>
      <x:c r="D431" s="38" t="n">
        <x:v>150</x:v>
      </x:c>
      <x:c r="E431" s="15" t="str">
        <x:v>ZAR</x:v>
      </x:c>
      <x:c r="F431" s="15" t="str">
        <x:v>Current a/c..512781</x:v>
      </x:c>
      <x:c r="G431" s="15" t="str">
        <x:v>Telecom / utilities</x:v>
      </x:c>
      <x:c r="H431" s="15" t="str">
        <x:v>EFT payment</x:v>
      </x:c>
      <x:c r="I431" s="15" t="str">
        <x:v>High</x:v>
      </x:c>
      <x:c r="J431" s="15" t="str">
        <x:v>eml_ALL_currentac__512781 (2).zip &gt; eml5currentac__512781.zip / FNB _-) R150.00 paid from Current a_c..512781 @ Smartapp. Ref.Electricity 14503572. 16Mar 12_09.eml</x:v>
      </x:c>
    </x:row>
    <x:row r="432">
      <x:c r="A432" s="34" t="n">
        <x:v>46097.71666666667</x:v>
      </x:c>
      <x:c r="B432" s="15" t="str">
        <x:v>City Of Capetown</x:v>
      </x:c>
      <x:c r="C432" s="15" t="str">
        <x:v>R4835.36 paid from Current a/c..512781 @ Smartapp. Avail R38287. Ref.City Of Capetown. 16Mar 17:12</x:v>
      </x:c>
      <x:c r="D432" s="38" t="n">
        <x:v>4835.36</x:v>
      </x:c>
      <x:c r="E432" s="15" t="str">
        <x:v>ZAR</x:v>
      </x:c>
      <x:c r="F432" s="15" t="str">
        <x:v>Current a/c..512781</x:v>
      </x:c>
      <x:c r="G432" s="15" t="str">
        <x:v>Supplier payments</x:v>
      </x:c>
      <x:c r="H432" s="15" t="str">
        <x:v>EFT payment</x:v>
      </x:c>
      <x:c r="I432" s="15" t="str">
        <x:v>High</x:v>
      </x:c>
      <x:c r="J432" s="15" t="str">
        <x:v>eml_ALL_currentac__512781 (2).zip &gt; eml5currentac__512781.zip / FNB _-) R4835.36 paid from Current a_c..512781 @ Smartapp. Ref.City Of Capetown. 16Mar 17_12.eml</x:v>
      </x:c>
    </x:row>
    <x:row r="433">
      <x:c r="A433" s="34" t="n">
        <x:v>46097.75555555556</x:v>
      </x:c>
      <x:c r="B433" s="15" t="str">
        <x:v>Electricity 04294887</x:v>
      </x:c>
      <x:c r="C433" s="15" t="str">
        <x:v>R500.00 paid from Current a/c..512781 @ Smartapp. Avail R37784. Ref.Electricity 04294887. 16Mar 18:08</x:v>
      </x:c>
      <x:c r="D433" s="38" t="n">
        <x:v>500</x:v>
      </x:c>
      <x:c r="E433" s="15" t="str">
        <x:v>ZAR</x:v>
      </x:c>
      <x:c r="F433" s="15" t="str">
        <x:v>Current a/c..512781</x:v>
      </x:c>
      <x:c r="G433" s="15" t="str">
        <x:v>Telecom / utilities</x:v>
      </x:c>
      <x:c r="H433" s="15" t="str">
        <x:v>EFT payment</x:v>
      </x:c>
      <x:c r="I433" s="15" t="str">
        <x:v>High</x:v>
      </x:c>
      <x:c r="J433" s="15" t="str">
        <x:v>eml_ALL_currentac__512781 (2).zip &gt; eml5currentac__512781.zip / FNB _-) R500.00 paid from Current a_c..512781 @ Smartapp. Ref.Electricity 04294887. 16Mar 18_08.eml</x:v>
      </x:c>
    </x:row>
    <x:row r="434">
      <x:c r="A434" s="34" t="n">
        <x:v>46098.43263888889</x:v>
      </x:c>
      <x:c r="B434" s="15" t="str">
        <x:v>Paystack *zoho Co</x:v>
      </x:c>
      <x:c r="C434" s="15" t="str">
        <x:v>R228.85 reserved for purchase @ Paystack *zoho Co from Current a/c..512781 using card..2924. Avail R37540. 17Mar 10:23</x:v>
      </x:c>
      <x:c r="D434" s="38" t="n">
        <x:v>228.85</x:v>
      </x:c>
      <x:c r="E434" s="15" t="str">
        <x:v>ZAR</x:v>
      </x:c>
      <x:c r="F434" s="15" t="str">
        <x:v>Current a/c..512781 / card..2924</x:v>
      </x:c>
      <x:c r="G434" s="15" t="str">
        <x:v>Software / subscriptions</x:v>
      </x:c>
      <x:c r="H434" s="15" t="str">
        <x:v>Card purchase</x:v>
      </x:c>
      <x:c r="I434" s="15" t="str">
        <x:v>High</x:v>
      </x:c>
      <x:c r="J434" s="15" t="str">
        <x:v>eml_ALL_currentac__512781 (2).zip &gt; eml5currentac__512781.zip / FNB _-) R228.85 reserved for purchase @ Paystack _zoho Co from Current a_c..512781 using card..2924. 17Mar 10_23.eml</x:v>
      </x:c>
    </x:row>
    <x:row r="435">
      <x:c r="A435" s="34" t="n">
        <x:v>46098.535416666666</x:v>
      </x:c>
      <x:c r="B435" s="15" t="str">
        <x:v>Savemor Marloth</x:v>
      </x:c>
      <x:c r="C435" s="15" t="str">
        <x:v>R318.29 reserved for purchase @ Savemor Marloth from Current a/c..512781 using card..2924. Avail R37222. 17Mar 12:51</x:v>
      </x:c>
      <x:c r="D435" s="38" t="n">
        <x:v>318.29</x:v>
      </x:c>
      <x:c r="E435" s="15" t="str">
        <x:v>ZAR</x:v>
      </x:c>
      <x:c r="F435" s="15" t="str">
        <x:v>Current a/c..512781 / card..2924</x:v>
      </x:c>
      <x:c r="G435" s="15" t="str">
        <x:v>Supplier payments</x:v>
      </x:c>
      <x:c r="H435" s="15" t="str">
        <x:v>Card purchase</x:v>
      </x:c>
      <x:c r="I435" s="15" t="str">
        <x:v>High</x:v>
      </x:c>
      <x:c r="J435" s="15" t="str">
        <x:v>eml_ALL_currentac__512781 (2).zip &gt; eml5currentac__512781.zip / FNB _-) R318.29 reserved for purchase @ Savemor Marloth from Current a_c..512781 using card..2924. 17Mar 12_51.eml</x:v>
      </x:c>
    </x:row>
    <x:row r="436">
      <x:c r="A436" s="34" t="n">
        <x:v>46098.53958333333</x:v>
      </x:c>
      <x:c r="B436" s="15" t="str">
        <x:v>Savemor Marloth Liqu</x:v>
      </x:c>
      <x:c r="C436" s="15" t="str">
        <x:v>R219.97 reserved for purchase @ Savemor Marloth Liqu from Current a/c..512781 using card..2924. Avail R37002. 17Mar 12:57</x:v>
      </x:c>
      <x:c r="D436" s="38" t="n">
        <x:v>219.97</x:v>
      </x:c>
      <x:c r="E436" s="15" t="str">
        <x:v>ZAR</x:v>
      </x:c>
      <x:c r="F436" s="15" t="str">
        <x:v>Current a/c..512781 / card..2924</x:v>
      </x:c>
      <x:c r="G436" s="15" t="str">
        <x:v>Meals / restaurants / entertainment</x:v>
      </x:c>
      <x:c r="H436" s="15" t="str">
        <x:v>Card purchase</x:v>
      </x:c>
      <x:c r="I436" s="15" t="str">
        <x:v>High</x:v>
      </x:c>
      <x:c r="J436" s="15" t="str">
        <x:v>eml_ALL_currentac__512781 (2).zip &gt; eml5currentac__512781.zip / FNB _-) R219.97 reserved for purchase @ Savemor Marloth Liqu from Current a_c..512781 using card..2924. 17Mar 12_57.eml</x:v>
      </x:c>
    </x:row>
    <x:row r="437">
      <x:c r="A437" s="34" t="n">
        <x:v>46098.55138888889</x:v>
      </x:c>
      <x:c r="B437" s="15" t="str">
        <x:v>At Wild Butchery 133</x:v>
      </x:c>
      <x:c r="C437" s="15" t="str">
        <x:v>R148.25 reserved for purchase @ At Wild Butchery 133 from Current a/c..512781 using card..2924. Avail R36854. 17Mar 13:14</x:v>
      </x:c>
      <x:c r="D437" s="38" t="n">
        <x:v>148.25</x:v>
      </x:c>
      <x:c r="E437" s="15" t="str">
        <x:v>ZAR</x:v>
      </x:c>
      <x:c r="F437" s="15" t="str">
        <x:v>Current a/c..512781 / card..2924</x:v>
      </x:c>
      <x:c r="G437" s="15" t="str">
        <x:v>Supplier payments</x:v>
      </x:c>
      <x:c r="H437" s="15" t="str">
        <x:v>Card purchase</x:v>
      </x:c>
      <x:c r="I437" s="15" t="str">
        <x:v>High</x:v>
      </x:c>
      <x:c r="J437" s="15" t="str">
        <x:v>eml_ALL_currentac__512781 (2).zip &gt; eml5currentac__512781.zip / FNB _-) R148.25 reserved for purchase @ At Wild Butchery 133 from Current a_c..512781 using card..2924. 17Mar 13_14.eml</x:v>
      </x:c>
    </x:row>
    <x:row r="438">
      <x:c r="A438" s="34" t="n">
        <x:v>46098.589583333334</x:v>
      </x:c>
      <x:c r="B438" s="15" t="str">
        <x:v>Dinner Box 108599</x:v>
      </x:c>
      <x:c r="C438" s="15" t="str">
        <x:v>R1801.00 paid from Current a/c..512781 @ Smartapp. Avail R35050. Ref.Dinner Box 108599. 17Mar 14:09</x:v>
      </x:c>
      <x:c r="D438" s="38" t="n">
        <x:v>1801</x:v>
      </x:c>
      <x:c r="E438" s="15" t="str">
        <x:v>ZAR</x:v>
      </x:c>
      <x:c r="F438" s="15" t="str">
        <x:v>Current a/c..512781</x:v>
      </x:c>
      <x:c r="G438" s="15" t="str">
        <x:v>Meals / restaurants / entertainment</x:v>
      </x:c>
      <x:c r="H438" s="15" t="str">
        <x:v>EFT payment</x:v>
      </x:c>
      <x:c r="I438" s="15" t="str">
        <x:v>High</x:v>
      </x:c>
      <x:c r="J438" s="15" t="str">
        <x:v>eml_ALL_currentac__512781 (2).zip &gt; eml4currentac__512781.zip / FNB _-) R1801.00 paid from Current a_c..512781 @ Smartapp. Ref.Dinner Box 108599. 17Mar 14_09.eml</x:v>
      </x:c>
    </x:row>
    <x:row r="439">
      <x:c r="A439" s="34" t="n">
        <x:v>46099.77847222222</x:v>
      </x:c>
      <x:c r="B439" s="15" t="str">
        <x:v>The Tin Shack</x:v>
      </x:c>
      <x:c r="C439" s="15" t="str">
        <x:v>R204.00 reserved for purchase @ The Tin Shack from Current a/c..512781 using card..2924. Avail R34752. 18Mar 18:41</x:v>
      </x:c>
      <x:c r="D439" s="38" t="n">
        <x:v>204</x:v>
      </x:c>
      <x:c r="E439" s="15" t="str">
        <x:v>ZAR</x:v>
      </x:c>
      <x:c r="F439" s="15" t="str">
        <x:v>Current a/c..512781 / card..2924</x:v>
      </x:c>
      <x:c r="G439" s="15" t="str">
        <x:v>Meals / restaurants / entertainment</x:v>
      </x:c>
      <x:c r="H439" s="15" t="str">
        <x:v>Card purchase</x:v>
      </x:c>
      <x:c r="I439" s="15" t="str">
        <x:v>High</x:v>
      </x:c>
      <x:c r="J439" s="15" t="str">
        <x:v>eml_ALL_currentac__512781 (2).zip &gt; eml4currentac__512781.zip / FNB _-) R204.00 reserved for purchase @ The Tin Shack from Current a_c..512781 using card..2924. 18Mar 18_41.eml</x:v>
      </x:c>
    </x:row>
    <x:row r="440">
      <x:c r="A440" s="34" t="n">
        <x:v>46099.79236111111</x:v>
      </x:c>
      <x:c r="B440" s="15" t="str">
        <x:v>Cf Moto Saf - Inv 2</x:v>
      </x:c>
      <x:c r="C440" s="15" t="str">
        <x:v>R1292.00 paid from Current a/c..512781 @ Smartapp. Avail R33452. Ref.Cf Moto Saf - Inv 2. 18Mar 19:01</x:v>
      </x:c>
      <x:c r="D440" s="38" t="n">
        <x:v>1292</x:v>
      </x:c>
      <x:c r="E440" s="15" t="str">
        <x:v>ZAR</x:v>
      </x:c>
      <x:c r="F440" s="15" t="str">
        <x:v>Current a/c..512781</x:v>
      </x:c>
      <x:c r="G440" s="15" t="str">
        <x:v>Supplier payments</x:v>
      </x:c>
      <x:c r="H440" s="15" t="str">
        <x:v>EFT payment</x:v>
      </x:c>
      <x:c r="I440" s="15" t="str">
        <x:v>High</x:v>
      </x:c>
      <x:c r="J440" s="15" t="str">
        <x:v>eml_ALL_currentac__512781 (2).zip &gt; eml4currentac__512781.zip / FNB _-) R1292.00 paid from Current a_c..512781 @ Smartapp. Ref.Cf Moto Saf - Inv 2. 18Mar 19_01.eml</x:v>
      </x:c>
    </x:row>
    <x:row r="441">
      <x:c r="A441" s="34" t="n">
        <x:v>46100.45138888889</x:v>
      </x:c>
      <x:c r="B441" s="15" t="str">
        <x:v>Superspar Komatipoor</x:v>
      </x:c>
      <x:c r="C441" s="15" t="str">
        <x:v>R1069.68 reserved for purchase @ Superspar Komatipoor from Current a/c..512781 using card..2924. Avail R39186. 19Mar 10:50</x:v>
      </x:c>
      <x:c r="D441" s="38" t="n">
        <x:v>1069.68</x:v>
      </x:c>
      <x:c r="E441" s="15" t="str">
        <x:v>ZAR</x:v>
      </x:c>
      <x:c r="F441" s="15" t="str">
        <x:v>Current a/c..512781 / card..2924</x:v>
      </x:c>
      <x:c r="G441" s="15" t="str">
        <x:v>Supplier payments</x:v>
      </x:c>
      <x:c r="H441" s="15" t="str">
        <x:v>Card purchase</x:v>
      </x:c>
      <x:c r="I441" s="15" t="str">
        <x:v>High</x:v>
      </x:c>
      <x:c r="J441" s="15" t="str">
        <x:v>eml_ALL_currentac__512781 (2).zip &gt; eml4currentac__512781.zip / FNB _-) R1069.68 reserved for purchase @ Superspar Komatipoor from Current a_c..512781 using card..2924. 19Mar 10_50.eml</x:v>
      </x:c>
    </x:row>
    <x:row r="442">
      <x:c r="A442" s="34" t="n">
        <x:v>46101.62569444445</x:v>
      </x:c>
      <x:c r="B442" s="15" t="str">
        <x:v>Savemor Marloth</x:v>
      </x:c>
      <x:c r="C442" s="15" t="str">
        <x:v>R130.97 reserved for purchase @ Savemor Marloth from Current a/c..512781 using card..2924. Avail R38964. 20Mar 15:01</x:v>
      </x:c>
      <x:c r="D442" s="38" t="n">
        <x:v>130.97</x:v>
      </x:c>
      <x:c r="E442" s="15" t="str">
        <x:v>ZAR</x:v>
      </x:c>
      <x:c r="F442" s="15" t="str">
        <x:v>Current a/c..512781 / card..2924</x:v>
      </x:c>
      <x:c r="G442" s="15" t="str">
        <x:v>Supplier payments</x:v>
      </x:c>
      <x:c r="H442" s="15" t="str">
        <x:v>Card purchase</x:v>
      </x:c>
      <x:c r="I442" s="15" t="str">
        <x:v>High</x:v>
      </x:c>
      <x:c r="J442" s="15" t="str">
        <x:v>eml_ALL_currentac__512781 (2).zip &gt; eml4currentac__512781.zip / FNB _-) R130.97 reserved for purchase @ Savemor Marloth from Current a_c..512781 using card..2924. 20Mar 15_01.eml</x:v>
      </x:c>
    </x:row>
    <x:row r="443">
      <x:c r="A443" s="34" t="n">
        <x:v>46101.629166666666</x:v>
      </x:c>
      <x:c r="B443" s="15" t="str">
        <x:v>Marlothi Petrol Stat</x:v>
      </x:c>
      <x:c r="C443" s="15" t="str">
        <x:v>R200.00 reserved for purchase @ Marlothi Petrol Stat from Current a/c..512781 using card..2924. Avail R38764. 20Mar 15:06</x:v>
      </x:c>
      <x:c r="D443" s="38" t="n">
        <x:v>200</x:v>
      </x:c>
      <x:c r="E443" s="15" t="str">
        <x:v>ZAR</x:v>
      </x:c>
      <x:c r="F443" s="15" t="str">
        <x:v>Current a/c..512781 / card..2924</x:v>
      </x:c>
      <x:c r="G443" s="15" t="str">
        <x:v>Fuel / transport</x:v>
      </x:c>
      <x:c r="H443" s="15" t="str">
        <x:v>Card purchase</x:v>
      </x:c>
      <x:c r="I443" s="15" t="str">
        <x:v>High</x:v>
      </x:c>
      <x:c r="J443" s="15" t="str">
        <x:v>eml_ALL_currentac__512781 (2).zip &gt; eml4currentac__512781.zip / FNB _-) R200.00 reserved for purchase @ Marlothi Petrol Stat from Current a_c..512781 using card..2924. 20Mar 15_06.eml</x:v>
      </x:c>
    </x:row>
    <x:row r="444">
      <x:c r="A444" s="34" t="n">
        <x:v>46102.479166666664</x:v>
      </x:c>
      <x:c r="B444" s="15" t="str">
        <x:v>Superspar Komatipoor</x:v>
      </x:c>
      <x:c r="C444" s="15" t="str">
        <x:v>R365.96 reserved for purchase @ Superspar Komatipoor from Current a/c..512781 using card..2924. Avail R38343. 21Mar 11:30</x:v>
      </x:c>
      <x:c r="D444" s="38" t="n">
        <x:v>365.96</x:v>
      </x:c>
      <x:c r="E444" s="15" t="str">
        <x:v>ZAR</x:v>
      </x:c>
      <x:c r="F444" s="15" t="str">
        <x:v>Current a/c..512781 / card..2924</x:v>
      </x:c>
      <x:c r="G444" s="15" t="str">
        <x:v>Supplier payments</x:v>
      </x:c>
      <x:c r="H444" s="15" t="str">
        <x:v>Card purchase</x:v>
      </x:c>
      <x:c r="I444" s="15" t="str">
        <x:v>High</x:v>
      </x:c>
      <x:c r="J444" s="15" t="str">
        <x:v>eml_ALL_currentac__512781 (2).zip &gt; eml4currentac__512781.zip / FNB _-) R365.96 reserved for purchase @ Superspar Komatipoor from Current a_c..512781 using card..2924. 21Mar 11_30.eml</x:v>
      </x:c>
    </x:row>
    <x:row r="445">
      <x:c r="A445" s="34" t="n">
        <x:v>46102.65416666667</x:v>
      </x:c>
      <x:c r="B445" s="15" t="str">
        <x:v>Kruger Safari 1688</x:v>
      </x:c>
      <x:c r="C445" s="15" t="str">
        <x:v>R2929.00 paid from Current a/c..512781 @ Smartapp. Avail R35411. Ref.Kruger Safari 1688. 21Mar 15:42</x:v>
      </x:c>
      <x:c r="D445" s="38" t="n">
        <x:v>2929</x:v>
      </x:c>
      <x:c r="E445" s="15" t="str">
        <x:v>ZAR</x:v>
      </x:c>
      <x:c r="F445" s="15" t="str">
        <x:v>Current a/c..512781</x:v>
      </x:c>
      <x:c r="G445" s="15" t="str">
        <x:v>Supplier payments</x:v>
      </x:c>
      <x:c r="H445" s="15" t="str">
        <x:v>EFT payment</x:v>
      </x:c>
      <x:c r="I445" s="15" t="str">
        <x:v>High</x:v>
      </x:c>
      <x:c r="J445" s="15" t="str">
        <x:v>eml_ALL_currentac__512781 (2).zip &gt; eml4currentac__512781.zip / FNB _-) R2929.00 paid from Current a_c..512781 @ Smartapp. Ref.Kruger Safari 1688. 21Mar 15_42.eml</x:v>
      </x:c>
    </x:row>
    <x:row r="446">
      <x:c r="A446" s="34" t="n">
        <x:v>46104.51458333333</x:v>
      </x:c>
      <x:c r="B446" s="15" t="str">
        <x:v>Electricity 04294887</x:v>
      </x:c>
      <x:c r="C446" s="15" t="str">
        <x:v>R500.00 paid from Current a/c..512781 @ Smartapp. Avail R34908. Ref.Electricity 04294887. 23Mar 12:21</x:v>
      </x:c>
      <x:c r="D446" s="38" t="n">
        <x:v>500</x:v>
      </x:c>
      <x:c r="E446" s="15" t="str">
        <x:v>ZAR</x:v>
      </x:c>
      <x:c r="F446" s="15" t="str">
        <x:v>Current a/c..512781</x:v>
      </x:c>
      <x:c r="G446" s="15" t="str">
        <x:v>Telecom / utilities</x:v>
      </x:c>
      <x:c r="H446" s="15" t="str">
        <x:v>EFT payment</x:v>
      </x:c>
      <x:c r="I446" s="15" t="str">
        <x:v>High</x:v>
      </x:c>
      <x:c r="J446" s="15" t="str">
        <x:v>eml_ALL_currentac__512781 (2).zip &gt; eml4currentac__512781.zip / FNB _-) R500.00 paid from Current a_c..512781 @ Smartapp. Ref.Electricity 04294887. 23Mar 12_21.eml</x:v>
      </x:c>
    </x:row>
    <x:row r="447">
      <x:c r="A447" s="34" t="n">
        <x:v>46104.68125</x:v>
      </x:c>
      <x:c r="B447" s="15" t="str">
        <x:v>Superspar Komatipoor</x:v>
      </x:c>
      <x:c r="C447" s="15" t="str">
        <x:v>R668.69 reserved for purchase @ Superspar Komatipoor from Current a/c..512781 using card..2924. Avail R39377. 23Mar 16:21</x:v>
      </x:c>
      <x:c r="D447" s="38" t="n">
        <x:v>668.69</x:v>
      </x:c>
      <x:c r="E447" s="15" t="str">
        <x:v>ZAR</x:v>
      </x:c>
      <x:c r="F447" s="15" t="str">
        <x:v>Current a/c..512781 / card..2924</x:v>
      </x:c>
      <x:c r="G447" s="15" t="str">
        <x:v>Supplier payments</x:v>
      </x:c>
      <x:c r="H447" s="15" t="str">
        <x:v>Card purchase</x:v>
      </x:c>
      <x:c r="I447" s="15" t="str">
        <x:v>High</x:v>
      </x:c>
      <x:c r="J447" s="15" t="str">
        <x:v>eml_ALL_currentac__512781 (2).zip &gt; eml4currentac__512781.zip / FNB _-) R668.69 reserved for purchase @ Superspar Komatipoor from Current a_c..512781 using card..2924. 23Mar 16_21.eml</x:v>
      </x:c>
    </x:row>
    <x:row r="448">
      <x:c r="A448" s="34" t="n">
        <x:v>46105.49722222222</x:v>
      </x:c>
      <x:c r="B448" s="15" t="str">
        <x:v>Dam Staff</x:v>
      </x:c>
      <x:c r="C448" s="15" t="str">
        <x:v>R1000.00 paid from Current a/c..512781 @ Smartapp. Avail R38360. Ref.Dam Staff. 24Mar 11:56</x:v>
      </x:c>
      <x:c r="D448" s="38" t="n">
        <x:v>1000</x:v>
      </x:c>
      <x:c r="E448" s="15" t="str">
        <x:v>ZAR</x:v>
      </x:c>
      <x:c r="F448" s="15" t="str">
        <x:v>Current a/c..512781</x:v>
      </x:c>
      <x:c r="G448" s="15" t="str">
        <x:v>Salary / wages</x:v>
      </x:c>
      <x:c r="H448" s="15" t="str">
        <x:v>EFT payment</x:v>
      </x:c>
      <x:c r="I448" s="15" t="str">
        <x:v>High</x:v>
      </x:c>
      <x:c r="J448" s="15" t="str">
        <x:v>eml_ALL_currentac__512781 (2).zip &gt; eml4currentac__512781.zip / FNB _-) R1000.00 paid from Current a_c..512781 @ Smartapp. Ref.Dam Staff. 24Mar 11_56.eml</x:v>
      </x:c>
    </x:row>
    <x:row r="449">
      <x:c r="A449" s="34" t="n">
        <x:v>46105.63611111111</x:v>
      </x:c>
      <x:c r="B449" s="15" t="str">
        <x:v>Savemor Marloth</x:v>
      </x:c>
      <x:c r="C449" s="15" t="str">
        <x:v>R153.97 reserved for purchase @ Savemor Marloth from Current a/c..512781 using card..2924. Avail R38206. 24Mar 15:16</x:v>
      </x:c>
      <x:c r="D449" s="38" t="n">
        <x:v>153.97</x:v>
      </x:c>
      <x:c r="E449" s="15" t="str">
        <x:v>ZAR</x:v>
      </x:c>
      <x:c r="F449" s="15" t="str">
        <x:v>Current a/c..512781 / card..2924</x:v>
      </x:c>
      <x:c r="G449" s="15" t="str">
        <x:v>Supplier payments</x:v>
      </x:c>
      <x:c r="H449" s="15" t="str">
        <x:v>Card purchase</x:v>
      </x:c>
      <x:c r="I449" s="15" t="str">
        <x:v>High</x:v>
      </x:c>
      <x:c r="J449" s="15" t="str">
        <x:v>eml_ALL_currentac__512781 (2).zip &gt; eml4currentac__512781.zip / FNB _-) R153.97 reserved for purchase @ Savemor Marloth from Current a_c..512781 using card..2924. 24Mar 15_16.eml</x:v>
      </x:c>
    </x:row>
    <x:row r="450">
      <x:c r="A450" s="34" t="n">
        <x:v>46105.864583333336</x:v>
      </x:c>
      <x:c r="B450" s="15" t="str">
        <x:v>Electricity 14503572</x:v>
      </x:c>
      <x:c r="C450" s="15" t="str">
        <x:v>R150.00 paid from Current a/c..512781 @ Smartapp. Avail R38054. Ref.Electricity 14503572. 24Mar 20:45</x:v>
      </x:c>
      <x:c r="D450" s="38" t="n">
        <x:v>150</x:v>
      </x:c>
      <x:c r="E450" s="15" t="str">
        <x:v>ZAR</x:v>
      </x:c>
      <x:c r="F450" s="15" t="str">
        <x:v>Current a/c..512781</x:v>
      </x:c>
      <x:c r="G450" s="15" t="str">
        <x:v>Telecom / utilities</x:v>
      </x:c>
      <x:c r="H450" s="15" t="str">
        <x:v>EFT payment</x:v>
      </x:c>
      <x:c r="I450" s="15" t="str">
        <x:v>High</x:v>
      </x:c>
      <x:c r="J450" s="15" t="str">
        <x:v>eml_ALL_currentac__512781 (2).zip &gt; eml4currentac__512781.zip / FNB _-) R150.00 paid from Current a_c..512781 @ Smartapp. Ref.Electricity 14503572. 24Mar 20_45.eml</x:v>
      </x:c>
    </x:row>
    <x:row r="451">
      <x:c r="A451" s="34" t="n">
        <x:v>46106.475</x:v>
      </x:c>
      <x:c r="B451" s="15" t="str">
        <x:v>Waterkloof Gas 11080</x:v>
      </x:c>
      <x:c r="C451" s="15" t="str">
        <x:v>R1565.00 paid from Current a/c..512781 @ Smartapp. Avail R36486. Ref.Waterkloof Gas 11080. 25Mar 11:24</x:v>
      </x:c>
      <x:c r="D451" s="38" t="n">
        <x:v>1565</x:v>
      </x:c>
      <x:c r="E451" s="15" t="str">
        <x:v>ZAR</x:v>
      </x:c>
      <x:c r="F451" s="15" t="str">
        <x:v>Current a/c..512781</x:v>
      </x:c>
      <x:c r="G451" s="15" t="str">
        <x:v>Supplier payments</x:v>
      </x:c>
      <x:c r="H451" s="15" t="str">
        <x:v>EFT payment</x:v>
      </x:c>
      <x:c r="I451" s="15" t="str">
        <x:v>High</x:v>
      </x:c>
      <x:c r="J451" s="15" t="str">
        <x:v>eml_ALL_currentac__512781 (2).zip &gt; eml4currentac__512781.zip / FNB _-) R1565.00 paid from Current a_c..512781 @ Smartapp. Ref.Waterkloof Gas 11080. 25Mar 11_24.eml</x:v>
      </x:c>
    </x:row>
    <x:row r="452">
      <x:c r="A452" s="34" t="n">
        <x:v>46106.48333333333</x:v>
      </x:c>
      <x:c r="B452" s="15" t="str">
        <x:v>Pep Home 5771 Komati</x:v>
      </x:c>
      <x:c r="C452" s="15" t="str">
        <x:v>R292.96 reserved for purchase @ Pep Home 5771 Komati from Current a/c..512781 using card..2924. Avail R36193. 25Mar 11:36</x:v>
      </x:c>
      <x:c r="D452" s="38" t="n">
        <x:v>292.96</x:v>
      </x:c>
      <x:c r="E452" s="15" t="str">
        <x:v>ZAR</x:v>
      </x:c>
      <x:c r="F452" s="15" t="str">
        <x:v>Current a/c..512781 / card..2924</x:v>
      </x:c>
      <x:c r="G452" s="15" t="str">
        <x:v>Supplier payments</x:v>
      </x:c>
      <x:c r="H452" s="15" t="str">
        <x:v>Card purchase</x:v>
      </x:c>
      <x:c r="I452" s="15" t="str">
        <x:v>High</x:v>
      </x:c>
      <x:c r="J452" s="15" t="str">
        <x:v>eml_ALL_currentac__512781 (2).zip &gt; eml4currentac__512781.zip / FNB _-) R292.96 reserved for purchase @ Pep Home 5771 Komati from Current a_c..512781 using card..2924. 25Mar 11_36.eml</x:v>
      </x:c>
    </x:row>
    <x:row r="453">
      <x:c r="A453" s="34" t="n">
        <x:v>46106.48819444444</x:v>
      </x:c>
      <x:c r="B453" s="15" t="str">
        <x:v>Pep Home 5771 Komati</x:v>
      </x:c>
      <x:c r="C453" s="15" t="str">
        <x:v>R119.97 reserved for purchase @ Pep Home 5771 Komati from Current a/c..512781 using card..2924. Avail R36073. 25Mar 11:43</x:v>
      </x:c>
      <x:c r="D453" s="38" t="n">
        <x:v>119.97</x:v>
      </x:c>
      <x:c r="E453" s="15" t="str">
        <x:v>ZAR</x:v>
      </x:c>
      <x:c r="F453" s="15" t="str">
        <x:v>Current a/c..512781 / card..2924</x:v>
      </x:c>
      <x:c r="G453" s="15" t="str">
        <x:v>Supplier payments</x:v>
      </x:c>
      <x:c r="H453" s="15" t="str">
        <x:v>Card purchase</x:v>
      </x:c>
      <x:c r="I453" s="15" t="str">
        <x:v>High</x:v>
      </x:c>
      <x:c r="J453" s="15" t="str">
        <x:v>eml_ALL_currentac__512781 (2).zip &gt; eml4currentac__512781.zip / FNB _-) R119.97 reserved for purchase @ Pep Home 5771 Komati from Current a_c..512781 using card..2924. 25Mar 11_43.eml</x:v>
      </x:c>
    </x:row>
    <x:row r="454">
      <x:c r="A454" s="34" t="n">
        <x:v>46106.53402777778</x:v>
      </x:c>
      <x:c r="B454" s="15" t="str">
        <x:v>Superspar Komatipoor</x:v>
      </x:c>
      <x:c r="C454" s="15" t="str">
        <x:v>R1730.48 reserved for purchase @ Superspar Komatipoor from Current a/c..512781 using card..2924. Avail R34343. 25Mar 12:49</x:v>
      </x:c>
      <x:c r="D454" s="38" t="n">
        <x:v>1730.48</x:v>
      </x:c>
      <x:c r="E454" s="15" t="str">
        <x:v>ZAR</x:v>
      </x:c>
      <x:c r="F454" s="15" t="str">
        <x:v>Current a/c..512781 / card..2924</x:v>
      </x:c>
      <x:c r="G454" s="15" t="str">
        <x:v>Supplier payments</x:v>
      </x:c>
      <x:c r="H454" s="15" t="str">
        <x:v>Card purchase</x:v>
      </x:c>
      <x:c r="I454" s="15" t="str">
        <x:v>High</x:v>
      </x:c>
      <x:c r="J454" s="15" t="str">
        <x:v>eml_ALL_currentac__512781 (2).zip &gt; eml4currentac__512781.zip / FNB _-) R1730.48 reserved for purchase @ Superspar Komatipoor from Current a_c..512781 using card..2924. 25Mar 12_49.eml</x:v>
      </x:c>
    </x:row>
    <x:row r="455">
      <x:c r="A455" s="34" t="n">
        <x:v>46106.566666666666</x:v>
      </x:c>
      <x:c r="B455" s="15" t="str">
        <x:v>Mascor Komatipoort F</x:v>
      </x:c>
      <x:c r="C455" s="15" t="str">
        <x:v>R200.00 reserved for purchase @ Mascor Komatipoort F from Current a/c..512781 using card..2924. Avail R34143. 25Mar 13:36</x:v>
      </x:c>
      <x:c r="D455" s="38" t="n">
        <x:v>200</x:v>
      </x:c>
      <x:c r="E455" s="15" t="str">
        <x:v>ZAR</x:v>
      </x:c>
      <x:c r="F455" s="15" t="str">
        <x:v>Current a/c..512781 / card..2924</x:v>
      </x:c>
      <x:c r="G455" s="15" t="str">
        <x:v>Card spend</x:v>
      </x:c>
      <x:c r="H455" s="15" t="str">
        <x:v>Card purchase</x:v>
      </x:c>
      <x:c r="I455" s="15" t="str">
        <x:v>High</x:v>
      </x:c>
      <x:c r="J455" s="15" t="str">
        <x:v>eml_ALL_currentac__512781 (2).zip &gt; eml4currentac__512781.zip / FNB _-) R200.00 reserved for purchase @ Mascor Komatipoort F from Current a_c..512781 using card..2924. 25Mar 13_36.eml</x:v>
      </x:c>
    </x:row>
    <x:row r="456">
      <x:c r="A456" s="34" t="n">
        <x:v>46106.575694444444</x:v>
      </x:c>
      <x:c r="B456" s="15" t="str">
        <x:v>Oasis Water Komatipo</x:v>
      </x:c>
      <x:c r="C456" s="15" t="str">
        <x:v>R240.20 reserved for purchase @ Oasis Water Komatipo from Current a/c..512781 using card..2924. Avail R33903. 25Mar 13:49</x:v>
      </x:c>
      <x:c r="D456" s="38" t="n">
        <x:v>240.2</x:v>
      </x:c>
      <x:c r="E456" s="15" t="str">
        <x:v>ZAR</x:v>
      </x:c>
      <x:c r="F456" s="15" t="str">
        <x:v>Current a/c..512781 / card..2924</x:v>
      </x:c>
      <x:c r="G456" s="15" t="str">
        <x:v>Supplier payments</x:v>
      </x:c>
      <x:c r="H456" s="15" t="str">
        <x:v>Card purchase</x:v>
      </x:c>
      <x:c r="I456" s="15" t="str">
        <x:v>High</x:v>
      </x:c>
      <x:c r="J456" s="15" t="str">
        <x:v>eml_ALL_currentac__512781 (2).zip &gt; eml4currentac__512781.zip / FNB _-) R240.20 reserved for purchase @ Oasis Water Komatipo from Current a_c..512781 using card..2924. 25Mar 13_49.eml</x:v>
      </x:c>
    </x:row>
    <x:row r="457">
      <x:c r="A457" s="34" t="n">
        <x:v>46106.58263888889</x:v>
      </x:c>
      <x:c r="B457" s="15" t="str">
        <x:v>Oasis Water Komatipo</x:v>
      </x:c>
      <x:c r="C457" s="15" t="str">
        <x:v>R112.80 reserved for purchase @ Oasis Water Komatipo from Current a/c..512781 using card..2924. Avail R33790. 25Mar 13:59</x:v>
      </x:c>
      <x:c r="D457" s="38" t="n">
        <x:v>112.8</x:v>
      </x:c>
      <x:c r="E457" s="15" t="str">
        <x:v>ZAR</x:v>
      </x:c>
      <x:c r="F457" s="15" t="str">
        <x:v>Current a/c..512781 / card..2924</x:v>
      </x:c>
      <x:c r="G457" s="15" t="str">
        <x:v>Supplier payments</x:v>
      </x:c>
      <x:c r="H457" s="15" t="str">
        <x:v>Card purchase</x:v>
      </x:c>
      <x:c r="I457" s="15" t="str">
        <x:v>High</x:v>
      </x:c>
      <x:c r="J457" s="15" t="str">
        <x:v>eml_ALL_currentac__512781 (2).zip &gt; eml4currentac__512781.zip / FNB _-) R112.80 reserved for purchase @ Oasis Water Komatipo from Current a_c..512781 using card..2924. 25Mar 13_59.eml</x:v>
      </x:c>
    </x:row>
    <x:row r="458">
      <x:c r="A458" s="34" t="n">
        <x:v>46107.308333333334</x:v>
      </x:c>
      <x:c r="B458" s="15" t="str">
        <x:v>Electricity 14503572</x:v>
      </x:c>
      <x:c r="C458" s="15" t="str">
        <x:v>R150.00 paid from Current a/c..512781 @ Smartapp. Avail R33553. Ref.Electricity 14503572. 26Mar 07:24</x:v>
      </x:c>
      <x:c r="D458" s="38" t="n">
        <x:v>150</x:v>
      </x:c>
      <x:c r="E458" s="15" t="str">
        <x:v>ZAR</x:v>
      </x:c>
      <x:c r="F458" s="15" t="str">
        <x:v>Current a/c..512781</x:v>
      </x:c>
      <x:c r="G458" s="15" t="str">
        <x:v>Telecom / utilities</x:v>
      </x:c>
      <x:c r="H458" s="15" t="str">
        <x:v>EFT payment</x:v>
      </x:c>
      <x:c r="I458" s="15" t="str">
        <x:v>High</x:v>
      </x:c>
      <x:c r="J458" s="15" t="str">
        <x:v>eml_ALL_currentac__512781 (2).zip &gt; eml4currentac__512781.zip / FNB _-) R150.00 paid from Current a_c..512781 @ Smartapp. Ref.Electricity 14503572. 26Mar 07_24.eml</x:v>
      </x:c>
    </x:row>
    <x:row r="459">
      <x:c r="A459" s="34" t="n">
        <x:v>46107.59097222222</x:v>
      </x:c>
      <x:c r="B459" s="15" t="str">
        <x:v>Jabula Lodge 73</x:v>
      </x:c>
      <x:c r="C459" s="15" t="str">
        <x:v>R150.00 reserved for purchase @ Jabula Lodge 73 from Current a/c..512781 using card..2924. Avail R46293. 26Mar 14:11</x:v>
      </x:c>
      <x:c r="D459" s="38" t="n">
        <x:v>150</x:v>
      </x:c>
      <x:c r="E459" s="15" t="str">
        <x:v>ZAR</x:v>
      </x:c>
      <x:c r="F459" s="15" t="str">
        <x:v>Current a/c..512781 / card..2924</x:v>
      </x:c>
      <x:c r="G459" s="15" t="str">
        <x:v>Accommodation / hotels</x:v>
      </x:c>
      <x:c r="H459" s="15" t="str">
        <x:v>Card purchase</x:v>
      </x:c>
      <x:c r="I459" s="15" t="str">
        <x:v>High</x:v>
      </x:c>
      <x:c r="J459" s="15" t="str">
        <x:v>eml_ALL_currentac__512781 (2).zip &gt; eml4currentac__512781.zip / FNB _-) R150.00 reserved for purchase @ Jabula Lodge 73 from Current a_c..512781 using card..2924. 26Mar 14_11.eml</x:v>
      </x:c>
    </x:row>
    <x:row r="460">
      <x:c r="A460" s="34" t="n">
        <x:v>46107.606944444444</x:v>
      </x:c>
      <x:c r="B460" s="15" t="str">
        <x:v>Savemor Marloth Liqu</x:v>
      </x:c>
      <x:c r="C460" s="15" t="str">
        <x:v>R265.96 reserved for purchase @ Savemor Marloth Liqu from Current a/c..512781 using card..2924. Avail R46027. 26Mar 14:34</x:v>
      </x:c>
      <x:c r="D460" s="38" t="n">
        <x:v>265.96</x:v>
      </x:c>
      <x:c r="E460" s="15" t="str">
        <x:v>ZAR</x:v>
      </x:c>
      <x:c r="F460" s="15" t="str">
        <x:v>Current a/c..512781 / card..2924</x:v>
      </x:c>
      <x:c r="G460" s="15" t="str">
        <x:v>Meals / restaurants / entertainment</x:v>
      </x:c>
      <x:c r="H460" s="15" t="str">
        <x:v>Card purchase</x:v>
      </x:c>
      <x:c r="I460" s="15" t="str">
        <x:v>High</x:v>
      </x:c>
      <x:c r="J460" s="15" t="str">
        <x:v>eml_ALL_currentac__512781 (2).zip &gt; eml4currentac__512781.zip / FNB _-) R265.96 reserved for purchase @ Savemor Marloth Liqu from Current a_c..512781 using card..2924. 26Mar 14_34.eml</x:v>
      </x:c>
    </x:row>
    <x:row r="461">
      <x:c r="A461" s="34" t="n">
        <x:v>46107.626388888886</x:v>
      </x:c>
      <x:c r="B461" s="15" t="str">
        <x:v>Toppies Hardware 66</x:v>
      </x:c>
      <x:c r="C461" s="15" t="str">
        <x:v>R200.01 reserved for purchase @ Toppies Hardware 66 from Current a/c..512781 using card..2924. Avail R45827. 26Mar 15:02</x:v>
      </x:c>
      <x:c r="D461" s="38" t="n">
        <x:v>200.01</x:v>
      </x:c>
      <x:c r="E461" s="15" t="str">
        <x:v>ZAR</x:v>
      </x:c>
      <x:c r="F461" s="15" t="str">
        <x:v>Current a/c..512781 / card..2924</x:v>
      </x:c>
      <x:c r="G461" s="15" t="str">
        <x:v>Supplier payments</x:v>
      </x:c>
      <x:c r="H461" s="15" t="str">
        <x:v>Card purchase</x:v>
      </x:c>
      <x:c r="I461" s="15" t="str">
        <x:v>High</x:v>
      </x:c>
      <x:c r="J461" s="15" t="str">
        <x:v>eml_ALL_currentac__512781 (2).zip &gt; eml4currentac__512781.zip / FNB _-) R200.01 reserved for purchase @ Toppies Hardware 66 from Current a_c..512781 using card..2924. 26Mar 15_02.eml</x:v>
      </x:c>
    </x:row>
    <x:row r="462">
      <x:c r="A462" s="34" t="n">
        <x:v>46108.52777777778</x:v>
      </x:c>
      <x:c r="B462" s="15" t="str">
        <x:v>Superspar Komatipoor</x:v>
      </x:c>
      <x:c r="C462" s="15" t="str">
        <x:v>R842.37 reserved for purchase @ Superspar Komatipoor from Current a/c..512781 using card..2924. Avail R44981. 27Mar 12:40</x:v>
      </x:c>
      <x:c r="D462" s="38" t="n">
        <x:v>842.37</x:v>
      </x:c>
      <x:c r="E462" s="15" t="str">
        <x:v>ZAR</x:v>
      </x:c>
      <x:c r="F462" s="15" t="str">
        <x:v>Current a/c..512781 / card..2924</x:v>
      </x:c>
      <x:c r="G462" s="15" t="str">
        <x:v>Supplier payments</x:v>
      </x:c>
      <x:c r="H462" s="15" t="str">
        <x:v>Card purchase</x:v>
      </x:c>
      <x:c r="I462" s="15" t="str">
        <x:v>High</x:v>
      </x:c>
      <x:c r="J462" s="15" t="str">
        <x:v>eml_ALL_currentac__512781 (2).zip &gt; eml4currentac__512781.zip / FNB _-) R842.37 reserved for purchase @ Superspar Komatipoor from Current a_c..512781 using card..2924. 27Mar 12_40.eml</x:v>
      </x:c>
    </x:row>
    <x:row r="463">
      <x:c r="A463" s="34" t="n">
        <x:v>46108.53194444445</x:v>
      </x:c>
      <x:c r="B463" s="15" t="str">
        <x:v>Superspar Komatipoor</x:v>
      </x:c>
      <x:c r="C463" s="15" t="str">
        <x:v>R450.00 reserved for purchase @ Superspar Komatipoor from Current a/c..512781 using card..2924. Avail R44531. 27Mar 12:46</x:v>
      </x:c>
      <x:c r="D463" s="38" t="n">
        <x:v>450</x:v>
      </x:c>
      <x:c r="E463" s="15" t="str">
        <x:v>ZAR</x:v>
      </x:c>
      <x:c r="F463" s="15" t="str">
        <x:v>Current a/c..512781 / card..2924</x:v>
      </x:c>
      <x:c r="G463" s="15" t="str">
        <x:v>Supplier payments</x:v>
      </x:c>
      <x:c r="H463" s="15" t="str">
        <x:v>Card purchase</x:v>
      </x:c>
      <x:c r="I463" s="15" t="str">
        <x:v>High</x:v>
      </x:c>
      <x:c r="J463" s="15" t="str">
        <x:v>eml_ALL_currentac__512781 (2).zip &gt; eml4currentac__512781.zip / FNB _-) R450.00 reserved for purchase @ Superspar Komatipoor from Current a_c..512781 using card..2924. 27Mar 12_46.eml</x:v>
      </x:c>
    </x:row>
    <x:row r="464">
      <x:c r="A464" s="34" t="n">
        <x:v>46108.595138888886</x:v>
      </x:c>
      <x:c r="B464" s="15" t="str">
        <x:v>Electricity 04294887</x:v>
      </x:c>
      <x:c r="C464" s="15" t="str">
        <x:v>R500.00 paid from Current a/c..512781 @ Smartapp. Avail R44028. Ref.Electricity 04294887. 27Mar 14:17</x:v>
      </x:c>
      <x:c r="D464" s="38" t="n">
        <x:v>500</x:v>
      </x:c>
      <x:c r="E464" s="15" t="str">
        <x:v>ZAR</x:v>
      </x:c>
      <x:c r="F464" s="15" t="str">
        <x:v>Current a/c..512781</x:v>
      </x:c>
      <x:c r="G464" s="15" t="str">
        <x:v>Telecom / utilities</x:v>
      </x:c>
      <x:c r="H464" s="15" t="str">
        <x:v>EFT payment</x:v>
      </x:c>
      <x:c r="I464" s="15" t="str">
        <x:v>High</x:v>
      </x:c>
      <x:c r="J464" s="15" t="str">
        <x:v>eml_ALL_currentac__512781 (2).zip &gt; eml4currentac__512781.zip / FNB _-) R500.00 paid from Current a_c..512781 @ Smartapp. Ref.Electricity 04294887. 27Mar 14_17.eml</x:v>
      </x:c>
    </x:row>
    <x:row r="465">
      <x:c r="A465" s="34" t="n">
        <x:v>46109.521527777775</x:v>
      </x:c>
      <x:c r="B465" s="15" t="str">
        <x:v>Sakkie Wages</x:v>
      </x:c>
      <x:c r="C465" s="15" t="str">
        <x:v>R2500.00 paid from Current a/c..512781 @ Smartapp. Avail R41505. Ref.Sakkie Wages. 28Mar 12:31</x:v>
      </x:c>
      <x:c r="D465" s="38" t="n">
        <x:v>2500</x:v>
      </x:c>
      <x:c r="E465" s="15" t="str">
        <x:v>ZAR</x:v>
      </x:c>
      <x:c r="F465" s="15" t="str">
        <x:v>Current a/c..512781</x:v>
      </x:c>
      <x:c r="G465" s="15" t="str">
        <x:v>Salary / wages</x:v>
      </x:c>
      <x:c r="H465" s="15" t="str">
        <x:v>EFT payment</x:v>
      </x:c>
      <x:c r="I465" s="15" t="str">
        <x:v>High</x:v>
      </x:c>
      <x:c r="J465" s="15" t="str">
        <x:v>eml_ALL_currentac__512781 (2).zip &gt; eml4currentac__512781.zip / FNB _-) R2500.00 paid from Current a_c..512781 @ Smartapp. Ref.Sakkie Wages. 28Mar 12_31.eml</x:v>
      </x:c>
    </x:row>
    <x:row r="466">
      <x:c r="A466" s="34" t="n">
        <x:v>46109.77916666667</x:v>
      </x:c>
      <x:c r="B466" s="15" t="str">
        <x:v>Amazing Kruger</x:v>
      </x:c>
      <x:c r="C466" s="15" t="str">
        <x:v>R240.00 reserved for purchase @ Amazing Kruger from Current a/c..512781 using card..2924. Avail R41218. 28Mar 18:42</x:v>
      </x:c>
      <x:c r="D466" s="38" t="n">
        <x:v>240</x:v>
      </x:c>
      <x:c r="E466" s="15" t="str">
        <x:v>ZAR</x:v>
      </x:c>
      <x:c r="F466" s="15" t="str">
        <x:v>Current a/c..512781 / card..2924</x:v>
      </x:c>
      <x:c r="G466" s="15" t="str">
        <x:v>Card spend</x:v>
      </x:c>
      <x:c r="H466" s="15" t="str">
        <x:v>Card purchase</x:v>
      </x:c>
      <x:c r="I466" s="15" t="str">
        <x:v>High</x:v>
      </x:c>
      <x:c r="J466" s="15" t="str">
        <x:v>eml_ALL_currentac__512781 (2).zip &gt; eml4currentac__512781.zip / FNB _-) R240.00 reserved for purchase @ Amazing Kruger from Current a_c..512781 using card..2924. 28Mar 18_42.eml</x:v>
      </x:c>
    </x:row>
    <x:row r="467">
      <x:c r="A467" s="34" t="n">
        <x:v>46110.53611111111</x:v>
      </x:c>
      <x:c r="B467" s="15" t="str">
        <x:v>Marlothi Petrol Stat</x:v>
      </x:c>
      <x:c r="C467" s="15" t="str">
        <x:v>R724.38 reserved for purchase @ Marlothi Petrol Stat from Current a/c..512781 using card..2924. Avail R40478. 29Mar 12:52</x:v>
      </x:c>
      <x:c r="D467" s="38" t="n">
        <x:v>724.38</x:v>
      </x:c>
      <x:c r="E467" s="15" t="str">
        <x:v>ZAR</x:v>
      </x:c>
      <x:c r="F467" s="15" t="str">
        <x:v>Current a/c..512781 / card..2924</x:v>
      </x:c>
      <x:c r="G467" s="15" t="str">
        <x:v>Fuel / transport</x:v>
      </x:c>
      <x:c r="H467" s="15" t="str">
        <x:v>Card purchase</x:v>
      </x:c>
      <x:c r="I467" s="15" t="str">
        <x:v>High</x:v>
      </x:c>
      <x:c r="J467" s="15" t="str">
        <x:v>eml_ALL_currentac__512781 (2).zip &gt; eml4currentac__512781.zip / FNB _-) R724.38 reserved for purchase @ Marlothi Petrol Stat from Current a_c..512781 using card..2924. 29Mar 12_52.eml</x:v>
      </x:c>
    </x:row>
    <x:row r="468">
      <x:c r="A468" s="34" t="n">
        <x:v>46110.75069444445</x:v>
      </x:c>
      <x:c r="B468" s="15" t="str">
        <x:v>The Tin Shack</x:v>
      </x:c>
      <x:c r="C468" s="15" t="str">
        <x:v>R250.00 reserved for purchase @ The Tin Shack from Current a/c..512781 using card..2924. Avail R40163. 29Mar 18:01</x:v>
      </x:c>
      <x:c r="D468" s="38" t="n">
        <x:v>250</x:v>
      </x:c>
      <x:c r="E468" s="15" t="str">
        <x:v>ZAR</x:v>
      </x:c>
      <x:c r="F468" s="15" t="str">
        <x:v>Current a/c..512781 / card..2924</x:v>
      </x:c>
      <x:c r="G468" s="15" t="str">
        <x:v>Meals / restaurants / entertainment</x:v>
      </x:c>
      <x:c r="H468" s="15" t="str">
        <x:v>Card purchase</x:v>
      </x:c>
      <x:c r="I468" s="15" t="str">
        <x:v>High</x:v>
      </x:c>
      <x:c r="J468" s="15" t="str">
        <x:v>eml_ALL_currentac__512781 (2).zip &gt; eml4currentac__512781.zip / FNB _-) R250.00 reserved for purchase @ The Tin Shack from Current a_c..512781 using card..2924. 29Mar 18_01.eml</x:v>
      </x:c>
    </x:row>
    <x:row r="469">
      <x:c r="A469" s="34" t="n">
        <x:v>46111.38888888889</x:v>
      </x:c>
      <x:c r="B469" s="15" t="str">
        <x:v>Lebombo Wash 03/30</x:v>
      </x:c>
      <x:c r="C469" s="15" t="str">
        <x:v>R1500.00 paid from Current a/c..512781 @ Smartapp. Avail R38655. Ref.Lebombo Wash 03/30. 30Mar 09:20</x:v>
      </x:c>
      <x:c r="D469" s="38" t="n">
        <x:v>1500</x:v>
      </x:c>
      <x:c r="E469" s="15" t="str">
        <x:v>ZAR</x:v>
      </x:c>
      <x:c r="F469" s="15" t="str">
        <x:v>Current a/c..512781</x:v>
      </x:c>
      <x:c r="G469" s="15" t="str">
        <x:v>Supplier payments</x:v>
      </x:c>
      <x:c r="H469" s="15" t="str">
        <x:v>EFT payment</x:v>
      </x:c>
      <x:c r="I469" s="15" t="str">
        <x:v>High</x:v>
      </x:c>
      <x:c r="J469" s="15" t="str">
        <x:v>eml_ALL_currentac__512781 (2).zip &gt; eml4currentac__512781.zip / FNB _-) R1500.00 paid from Current a_c..512781 @ Smartapp. Ref.Lebombo Wash 03_30. 30Mar 09_20.eml</x:v>
      </x:c>
    </x:row>
    <x:row r="470">
      <x:c r="A470" s="34" t="n">
        <x:v>46111.49513888889</x:v>
      </x:c>
      <x:c r="B470" s="15" t="str">
        <x:v>Bon Express 8018</x:v>
      </x:c>
      <x:c r="C470" s="15" t="str">
        <x:v>R142.08 paid from Current a/c..512781 @ Smartapp. Avail R38505. Ref.Bon Express 8018. 30Mar 11:53</x:v>
      </x:c>
      <x:c r="D470" s="38" t="n">
        <x:v>142.08</x:v>
      </x:c>
      <x:c r="E470" s="15" t="str">
        <x:v>ZAR</x:v>
      </x:c>
      <x:c r="F470" s="15" t="str">
        <x:v>Current a/c..512781</x:v>
      </x:c>
      <x:c r="G470" s="15" t="str">
        <x:v>Supplier payments</x:v>
      </x:c>
      <x:c r="H470" s="15" t="str">
        <x:v>EFT payment</x:v>
      </x:c>
      <x:c r="I470" s="15" t="str">
        <x:v>High</x:v>
      </x:c>
      <x:c r="J470" s="15" t="str">
        <x:v>eml_ALL_currentac__512781 (2).zip &gt; eml4currentac__512781.zip / FNB _-) R142.08 paid from Current a_c..512781 @ Smartapp. Ref.Bon Express 8018. 30Mar 11_53.eml</x:v>
      </x:c>
    </x:row>
    <x:row r="471">
      <x:c r="A471" s="34" t="n">
        <x:v>46111.631944444445</x:v>
      </x:c>
      <x:c r="B471" s="15" t="str">
        <x:v>Savemor Marloth</x:v>
      </x:c>
      <x:c r="C471" s="15" t="str">
        <x:v>R105.61 reserved for purchase @ Savemor Marloth from Current a/c..512781 using card..2924. Avail R72094. 30Mar 15:10</x:v>
      </x:c>
      <x:c r="D471" s="38" t="n">
        <x:v>105.61</x:v>
      </x:c>
      <x:c r="E471" s="15" t="str">
        <x:v>ZAR</x:v>
      </x:c>
      <x:c r="F471" s="15" t="str">
        <x:v>Current a/c..512781 / card..2924</x:v>
      </x:c>
      <x:c r="G471" s="15" t="str">
        <x:v>Supplier payments</x:v>
      </x:c>
      <x:c r="H471" s="15" t="str">
        <x:v>Card purchase</x:v>
      </x:c>
      <x:c r="I471" s="15" t="str">
        <x:v>High</x:v>
      </x:c>
      <x:c r="J471" s="15" t="str">
        <x:v>eml_ALL_currentac__512781 (2).zip &gt; eml4currentac__512781.zip / FNB _-) R105.61 reserved for purchase @ Savemor Marloth from Current a_c..512781 using card..2924. 30Mar 15_10.eml</x:v>
      </x:c>
    </x:row>
    <x:row r="472">
      <x:c r="A472" s="34" t="n">
        <x:v>46112.37569444445</x:v>
      </x:c>
      <x:c r="B472" s="15" t="str">
        <x:v>Kpci - C1736 April</x:v>
      </x:c>
      <x:c r="C472" s="15" t="str">
        <x:v>R500.00 paid from Current a/c..512781 @ Smartapp. Avail R71576. Ref.Kpci - C1736 April. 31Mar 09:01</x:v>
      </x:c>
      <x:c r="D472" s="38" t="n">
        <x:v>500</x:v>
      </x:c>
      <x:c r="E472" s="15" t="str">
        <x:v>ZAR</x:v>
      </x:c>
      <x:c r="F472" s="15" t="str">
        <x:v>Current a/c..512781</x:v>
      </x:c>
      <x:c r="G472" s="15" t="str">
        <x:v>Supplier payments</x:v>
      </x:c>
      <x:c r="H472" s="15" t="str">
        <x:v>EFT payment</x:v>
      </x:c>
      <x:c r="I472" s="15" t="str">
        <x:v>High</x:v>
      </x:c>
      <x:c r="J472" s="15" t="str">
        <x:v>eml_ALL_currentac__512781 (2).zip &gt; eml4currentac__512781.zip / FNB _-) R500.00 paid from Current a_c..512781 @ Smartapp. Ref.Kpci - C1736 April. 31Mar 09_01.eml</x:v>
      </x:c>
    </x:row>
    <x:row r="473">
      <x:c r="A473" s="34" t="n">
        <x:v>46112.38125</x:v>
      </x:c>
      <x:c r="B473" s="15" t="str">
        <x:v>Kruger Safari 1689</x:v>
      </x:c>
      <x:c r="C473" s="15" t="str">
        <x:v>R2929.00 paid from Current a/c..512781 @ Smartapp. Avail R68644. Ref.Kruger Safari 1689. 31Mar 09:09</x:v>
      </x:c>
      <x:c r="D473" s="38" t="n">
        <x:v>2929</x:v>
      </x:c>
      <x:c r="E473" s="15" t="str">
        <x:v>ZAR</x:v>
      </x:c>
      <x:c r="F473" s="15" t="str">
        <x:v>Current a/c..512781</x:v>
      </x:c>
      <x:c r="G473" s="15" t="str">
        <x:v>Supplier payments</x:v>
      </x:c>
      <x:c r="H473" s="15" t="str">
        <x:v>EFT payment</x:v>
      </x:c>
      <x:c r="I473" s="15" t="str">
        <x:v>High</x:v>
      </x:c>
      <x:c r="J473" s="15" t="str">
        <x:v>eml_ALL_currentac__512781 (2).zip &gt; eml4currentac__512781.zip / FNB _-) R2929.00 paid from Current a_c..512781 @ Smartapp. Ref.Kruger Safari 1689. 31Mar 09_09.eml</x:v>
      </x:c>
    </x:row>
    <x:row r="474">
      <x:c r="A474" s="34" t="n">
        <x:v>46112.39513888889</x:v>
      </x:c>
      <x:c r="B474" s="15" t="str">
        <x:v>Royal Bush 3766</x:v>
      </x:c>
      <x:c r="C474" s="15" t="str">
        <x:v>R8480.00 paid from Current a/c..512781 @ Smartapp. Avail R60156. Ref.Royal Bush 3766. 31Mar 09:29</x:v>
      </x:c>
      <x:c r="D474" s="38" t="n">
        <x:v>8480</x:v>
      </x:c>
      <x:c r="E474" s="15" t="str">
        <x:v>ZAR</x:v>
      </x:c>
      <x:c r="F474" s="15" t="str">
        <x:v>Current a/c..512781</x:v>
      </x:c>
      <x:c r="G474" s="15" t="str">
        <x:v>Supplier payments</x:v>
      </x:c>
      <x:c r="H474" s="15" t="str">
        <x:v>EFT payment</x:v>
      </x:c>
      <x:c r="I474" s="15" t="str">
        <x:v>High</x:v>
      </x:c>
      <x:c r="J474" s="15" t="str">
        <x:v>eml_ALL_currentac__512781 (2).zip &gt; eml4currentac__512781.zip / FNB _-) R8480.00 paid from Current a_c..512781 @ Smartapp. Ref.Royal Bush 3766. 31Mar 09_29.eml</x:v>
      </x:c>
    </x:row>
    <x:row r="475">
      <x:c r="A475" s="34" t="n">
        <x:v>46112.57361111111</x:v>
      </x:c>
      <x:c r="B475" s="15" t="str">
        <x:v>Superspar Komatipoor</x:v>
      </x:c>
      <x:c r="C475" s="15" t="str">
        <x:v>R973.88 reserved for purchase @ Superspar Komatipoor from Current a/c..512781 using card..2924. Avail R59183. 31Mar 13:46</x:v>
      </x:c>
      <x:c r="D475" s="38" t="n">
        <x:v>973.88</x:v>
      </x:c>
      <x:c r="E475" s="15" t="str">
        <x:v>ZAR</x:v>
      </x:c>
      <x:c r="F475" s="15" t="str">
        <x:v>Current a/c..512781 / card..2924</x:v>
      </x:c>
      <x:c r="G475" s="15" t="str">
        <x:v>Supplier payments</x:v>
      </x:c>
      <x:c r="H475" s="15" t="str">
        <x:v>Card purchase</x:v>
      </x:c>
      <x:c r="I475" s="15" t="str">
        <x:v>High</x:v>
      </x:c>
      <x:c r="J475" s="15" t="str">
        <x:v>eml_ALL_currentac__512781 (2).zip &gt; eml4currentac__512781.zip / FNB _-) R973.88 reserved for purchase @ Superspar Komatipoor from Current a_c..512781 using card..2924. 31Mar 13_46.eml</x:v>
      </x:c>
    </x:row>
    <x:row r="476">
      <x:c r="A476" s="34" t="n">
        <x:v>46112.575694444444</x:v>
      </x:c>
      <x:c r="B476" s="15" t="str">
        <x:v>Electricity 14503572</x:v>
      </x:c>
      <x:c r="C476" s="15" t="str">
        <x:v>R150.00 paid from Current a/c..512781 @ Smartapp. Avail R59031. Ref.Electricity 14503572. 31Mar 13:49</x:v>
      </x:c>
      <x:c r="D476" s="38" t="n">
        <x:v>150</x:v>
      </x:c>
      <x:c r="E476" s="15" t="str">
        <x:v>ZAR</x:v>
      </x:c>
      <x:c r="F476" s="15" t="str">
        <x:v>Current a/c..512781</x:v>
      </x:c>
      <x:c r="G476" s="15" t="str">
        <x:v>Telecom / utilities</x:v>
      </x:c>
      <x:c r="H476" s="15" t="str">
        <x:v>EFT payment</x:v>
      </x:c>
      <x:c r="I476" s="15" t="str">
        <x:v>High</x:v>
      </x:c>
      <x:c r="J476" s="15" t="str">
        <x:v>eml_ALL_currentac__512781 (2).zip &gt; eml4currentac__512781.zip / FNB _-) R150.00 paid from Current a_c..512781 @ Smartapp. Ref.Electricity 14503572. 31Mar 13_49.eml</x:v>
      </x:c>
    </x:row>
    <x:row r="477">
      <x:c r="A477" s="34" t="n">
        <x:v>46113.39513888889</x:v>
      </x:c>
      <x:c r="B477" s="15" t="str">
        <x:v>Kruger Safari 1690</x:v>
      </x:c>
      <x:c r="C477" s="15" t="str">
        <x:v>R2037.00 paid from Current a/c..512781 @ Smartapp. Avail R40819. Ref.Kruger Safari 1690. 1Apr 09:29</x:v>
      </x:c>
      <x:c r="D477" s="38" t="n">
        <x:v>2037</x:v>
      </x:c>
      <x:c r="E477" s="15" t="str">
        <x:v>ZAR</x:v>
      </x:c>
      <x:c r="F477" s="15" t="str">
        <x:v>Current a/c..512781</x:v>
      </x:c>
      <x:c r="G477" s="15" t="str">
        <x:v>Supplier payments</x:v>
      </x:c>
      <x:c r="H477" s="15" t="str">
        <x:v>EFT payment</x:v>
      </x:c>
      <x:c r="I477" s="15" t="str">
        <x:v>High</x:v>
      </x:c>
      <x:c r="J477" s="15" t="str">
        <x:v>eml_ALL_currentac__512781 (2).zip &gt; eml4currentac__512781.zip / FNB _-) R2037.00 paid from Current a_c..512781 @ Smartapp. Ref.Kruger Safari 1690.  1Apr 09_29.eml</x:v>
      </x:c>
    </x:row>
    <x:row r="478">
      <x:c r="A478" s="34" t="n">
        <x:v>46113.395833333336</x:v>
      </x:c>
      <x:c r="B478" s="15" t="str">
        <x:v>Staff Salary</x:v>
      </x:c>
      <x:c r="C478" s="15" t="str">
        <x:v>R12000.00 paid from Current a/c..512781 @ Gen Ph. Avail R16789. Ref.Staff Salary. 1Apr 09:30</x:v>
      </x:c>
      <x:c r="D478" s="38" t="n">
        <x:v>12000</x:v>
      </x:c>
      <x:c r="E478" s="15" t="str">
        <x:v>ZAR</x:v>
      </x:c>
      <x:c r="F478" s="15" t="str">
        <x:v>Current a/c..512781</x:v>
      </x:c>
      <x:c r="G478" s="15" t="str">
        <x:v>Salary / wages</x:v>
      </x:c>
      <x:c r="H478" s="15" t="str">
        <x:v>EFT payment</x:v>
      </x:c>
      <x:c r="I478" s="15" t="str">
        <x:v>High</x:v>
      </x:c>
      <x:c r="J478" s="15" t="str">
        <x:v>eml_ALL_currentac__512781 (2).zip &gt; eml4currentac__512781.zip / FNB _-) R12000.00 paid from Current a_c..512781 @ Gen Ph. Ref.Staff Salary.  1Apr 09_30.eml</x:v>
      </x:c>
    </x:row>
    <x:row r="479">
      <x:c r="A479" s="34" t="n">
        <x:v>46113.395833333336</x:v>
      </x:c>
      <x:c r="B479" s="15" t="str">
        <x:v>Staff Salary</x:v>
      </x:c>
      <x:c r="C479" s="15" t="str">
        <x:v>R12000.00 paid from Current a/c..512781 @ Gen Ph. Avail R28804. Ref.Staff Salary. 1Apr 09:30</x:v>
      </x:c>
      <x:c r="D479" s="38" t="n">
        <x:v>12000</x:v>
      </x:c>
      <x:c r="E479" s="15" t="str">
        <x:v>ZAR</x:v>
      </x:c>
      <x:c r="F479" s="15" t="str">
        <x:v>Current a/c..512781</x:v>
      </x:c>
      <x:c r="G479" s="15" t="str">
        <x:v>Salary / wages</x:v>
      </x:c>
      <x:c r="H479" s="15" t="str">
        <x:v>EFT payment</x:v>
      </x:c>
      <x:c r="I479" s="15" t="str">
        <x:v>High</x:v>
      </x:c>
      <x:c r="J479" s="15" t="str">
        <x:v>eml_ALL_currentac__512781 (2).zip &gt; eml4currentac__512781.zip / FNB _-) R12000.00 paid from Current a_c..512781 @ Gen Ph. Ref.Staff Salary.  1Apr 09_30_1.eml</x:v>
      </x:c>
    </x:row>
    <x:row r="480">
      <x:c r="A480" s="34" t="n">
        <x:v>46113.39722222222</x:v>
      </x:c>
      <x:c r="B480" s="15" t="str">
        <x:v>Nb N992820</x:v>
      </x:c>
      <x:c r="C480" s="15" t="str">
        <x:v>R759.00 paid from Current a/c..512781 @ Smartapp. Avail R16030. Ref.Nb N992820. 1Apr 09:32</x:v>
      </x:c>
      <x:c r="D480" s="38" t="n">
        <x:v>759</x:v>
      </x:c>
      <x:c r="E480" s="15" t="str">
        <x:v>ZAR</x:v>
      </x:c>
      <x:c r="F480" s="15" t="str">
        <x:v>Current a/c..512781</x:v>
      </x:c>
      <x:c r="G480" s="15" t="str">
        <x:v>Supplier payments</x:v>
      </x:c>
      <x:c r="H480" s="15" t="str">
        <x:v>EFT payment</x:v>
      </x:c>
      <x:c r="I480" s="15" t="str">
        <x:v>High</x:v>
      </x:c>
      <x:c r="J480" s="15" t="str">
        <x:v>eml_ALL_currentac__512781 (2).zip &gt; eml4currentac__512781.zip / FNB _-) R759.00 paid from Current a_c..512781 @ Smartapp. Ref.Nb N992820.  1Apr 09_32.eml</x:v>
      </x:c>
    </x:row>
    <x:row r="481">
      <x:c r="A481" s="34" t="n">
        <x:v>46113.39791666667</x:v>
      </x:c>
      <x:c r="B481" s="15" t="str">
        <x:v>Staff Salary</x:v>
      </x:c>
      <x:c r="C481" s="15" t="str">
        <x:v>R3000.00 paid from Current a/c..512781 @ Smartapp. Avail R13027. Ref.Staff Salary. 1Apr 09:33</x:v>
      </x:c>
      <x:c r="D481" s="38" t="n">
        <x:v>3000</x:v>
      </x:c>
      <x:c r="E481" s="15" t="str">
        <x:v>ZAR</x:v>
      </x:c>
      <x:c r="F481" s="15" t="str">
        <x:v>Current a/c..512781</x:v>
      </x:c>
      <x:c r="G481" s="15" t="str">
        <x:v>Salary / wages</x:v>
      </x:c>
      <x:c r="H481" s="15" t="str">
        <x:v>EFT payment</x:v>
      </x:c>
      <x:c r="I481" s="15" t="str">
        <x:v>High</x:v>
      </x:c>
      <x:c r="J481" s="15" t="str">
        <x:v>eml_ALL_currentac__512781 (2).zip &gt; eml4currentac__512781.zip / FNB _-) R3000.00 paid from Current a_c..512781 @ Smartapp. Ref.Staff Salary.  1Apr 09_33.eml</x:v>
      </x:c>
    </x:row>
    <x:row r="482">
      <x:c r="A482" s="34" t="n">
        <x:v>46113.42013888889</x:v>
      </x:c>
      <x:c r="B482" s="15" t="str">
        <x:v>Dinner Box 109255</x:v>
      </x:c>
      <x:c r="C482" s="15" t="str">
        <x:v>R1482.00 paid from Current a/c..512781 @ Smartapp. Avail R11542. Ref.Dinner Box 109255. 1Apr 10:05</x:v>
      </x:c>
      <x:c r="D482" s="38" t="n">
        <x:v>1482</x:v>
      </x:c>
      <x:c r="E482" s="15" t="str">
        <x:v>ZAR</x:v>
      </x:c>
      <x:c r="F482" s="15" t="str">
        <x:v>Current a/c..512781</x:v>
      </x:c>
      <x:c r="G482" s="15" t="str">
        <x:v>Meals / restaurants / entertainment</x:v>
      </x:c>
      <x:c r="H482" s="15" t="str">
        <x:v>EFT payment</x:v>
      </x:c>
      <x:c r="I482" s="15" t="str">
        <x:v>High</x:v>
      </x:c>
      <x:c r="J482" s="15" t="str">
        <x:v>eml_ALL_currentac__512781 (2).zip &gt; eml4currentac__512781.zip / FNB _-) R1482.00 paid from Current a_c..512781 @ Smartapp. Ref.Dinner Box 109255.  1Apr 10_05.eml</x:v>
      </x:c>
    </x:row>
    <x:row r="483">
      <x:c r="A483" s="34" t="n">
        <x:v>46113.427083333336</x:v>
      </x:c>
      <x:c r="B483" s="15" t="str">
        <x:v>Bon Express 008072</x:v>
      </x:c>
      <x:c r="C483" s="15" t="str">
        <x:v>R284.17 paid from Current a/c..512781 @ Smartapp. Avail R11258. Ref.Bon Express 008072. 1Apr 10:15</x:v>
      </x:c>
      <x:c r="D483" s="38" t="n">
        <x:v>284.17</x:v>
      </x:c>
      <x:c r="E483" s="15" t="str">
        <x:v>ZAR</x:v>
      </x:c>
      <x:c r="F483" s="15" t="str">
        <x:v>Current a/c..512781</x:v>
      </x:c>
      <x:c r="G483" s="15" t="str">
        <x:v>Supplier payments</x:v>
      </x:c>
      <x:c r="H483" s="15" t="str">
        <x:v>EFT payment</x:v>
      </x:c>
      <x:c r="I483" s="15" t="str">
        <x:v>High</x:v>
      </x:c>
      <x:c r="J483" s="15" t="str">
        <x:v>eml_ALL_currentac__512781 (2).zip &gt; eml4currentac__512781.zip / FNB _-) R284.17 paid from Current a_c..512781 @ Smartapp. Ref.Bon Express 008072.  1Apr 10_15.eml</x:v>
      </x:c>
    </x:row>
    <x:row r="484">
      <x:c r="A484" s="34" t="n">
        <x:v>46113.57083333333</x:v>
      </x:c>
      <x:c r="B484" s="15" t="str">
        <x:v>Shoprite Komatipoort</x:v>
      </x:c>
      <x:c r="C484" s="15" t="str">
        <x:v>R1486.59 reserved for purchase @ Shoprite Komatipoort from Current a/c..512781 using card..2924. Avail R9771. 1Apr 13:42</x:v>
      </x:c>
      <x:c r="D484" s="38" t="n">
        <x:v>1486.59</x:v>
      </x:c>
      <x:c r="E484" s="15" t="str">
        <x:v>ZAR</x:v>
      </x:c>
      <x:c r="F484" s="15" t="str">
        <x:v>Current a/c..512781 / card..2924</x:v>
      </x:c>
      <x:c r="G484" s="15" t="str">
        <x:v>Supplier payments</x:v>
      </x:c>
      <x:c r="H484" s="15" t="str">
        <x:v>Card purchase</x:v>
      </x:c>
      <x:c r="I484" s="15" t="str">
        <x:v>High</x:v>
      </x:c>
      <x:c r="J484" s="15" t="str">
        <x:v>eml_ALL_currentac__512781 (2).zip &gt; eml4currentac__512781.zip / FNB _-) R1486.59 reserved for purchase @ Shoprite Komatipoort from Current a_c..512781 using card..2924.  1Apr 13_42.eml</x:v>
      </x:c>
    </x:row>
    <x:row r="485">
      <x:c r="A485" s="34" t="n">
        <x:v>46113.583333333336</x:v>
      </x:c>
      <x:c r="B485" s="15" t="str">
        <x:v>Lebombo Butchery</x:v>
      </x:c>
      <x:c r="C485" s="15" t="str">
        <x:v>R122.30 reserved for purchase @ Lebombo Butchery from Current a/c..512781 using card..2924. Avail R9649. 1Apr 14:00</x:v>
      </x:c>
      <x:c r="D485" s="38" t="n">
        <x:v>122.3</x:v>
      </x:c>
      <x:c r="E485" s="15" t="str">
        <x:v>ZAR</x:v>
      </x:c>
      <x:c r="F485" s="15" t="str">
        <x:v>Current a/c..512781 / card..2924</x:v>
      </x:c>
      <x:c r="G485" s="15" t="str">
        <x:v>Supplier payments</x:v>
      </x:c>
      <x:c r="H485" s="15" t="str">
        <x:v>Card purchase</x:v>
      </x:c>
      <x:c r="I485" s="15" t="str">
        <x:v>High</x:v>
      </x:c>
      <x:c r="J485" s="15" t="str">
        <x:v>eml_ALL_currentac__512781 (2).zip &gt; eml4currentac__512781.zip / FNB _-) R122.30 reserved for purchase @ Lebombo Butchery from Current a_c..512781 using card..2924.  1Apr 14_00.eml</x:v>
      </x:c>
    </x:row>
    <x:row r="486">
      <x:c r="A486" s="34" t="n">
        <x:v>46114.15138888889</x:v>
      </x:c>
      <x:c r="B486" s="15" t="str">
        <x:v>Staff</x:v>
      </x:c>
      <x:c r="C486" s="15" t="str">
        <x:v>R2000.00 paid from Current a/c..512781 @ Smartapp. Avail R7646. Ref.Staff. 2Apr 03:38</x:v>
      </x:c>
      <x:c r="D486" s="38" t="n">
        <x:v>2000</x:v>
      </x:c>
      <x:c r="E486" s="15" t="str">
        <x:v>ZAR</x:v>
      </x:c>
      <x:c r="F486" s="15" t="str">
        <x:v>Current a/c..512781</x:v>
      </x:c>
      <x:c r="G486" s="15" t="str">
        <x:v>Salary / wages</x:v>
      </x:c>
      <x:c r="H486" s="15" t="str">
        <x:v>EFT payment</x:v>
      </x:c>
      <x:c r="I486" s="15" t="str">
        <x:v>High</x:v>
      </x:c>
      <x:c r="J486" s="15" t="str">
        <x:v>eml_ALL_currentac__512781 (2).zip &gt; eml4currentac__512781.zip / FNB _-) R2000.00 paid from Current a_c..512781 @ Smartapp. Ref.Staff.  2Apr 03_38.eml</x:v>
      </x:c>
    </x:row>
    <x:row r="487">
      <x:c r="A487" s="34" t="n">
        <x:v>46114.228472222225</x:v>
      </x:c>
      <x:c r="B487" s="15" t="str">
        <x:v>Staff</x:v>
      </x:c>
      <x:c r="C487" s="15" t="str">
        <x:v>R2000.00 paid from Current a/c..512781 @ Smartapp. Avail R5643. Ref.Staff. 2Apr 05:29</x:v>
      </x:c>
      <x:c r="D487" s="38" t="n">
        <x:v>2000</x:v>
      </x:c>
      <x:c r="E487" s="15" t="str">
        <x:v>ZAR</x:v>
      </x:c>
      <x:c r="F487" s="15" t="str">
        <x:v>Current a/c..512781</x:v>
      </x:c>
      <x:c r="G487" s="15" t="str">
        <x:v>Salary / wages</x:v>
      </x:c>
      <x:c r="H487" s="15" t="str">
        <x:v>EFT payment</x:v>
      </x:c>
      <x:c r="I487" s="15" t="str">
        <x:v>High</x:v>
      </x:c>
      <x:c r="J487" s="15" t="str">
        <x:v>eml_ALL_currentac__512781 (2).zip &gt; eml4currentac__512781.zip / FNB _-) R2000.00 paid from Current a_c..512781 @ Smartapp. Ref.Staff.  2Apr 05_29.eml</x:v>
      </x:c>
    </x:row>
    <x:row r="488">
      <x:c r="A488" s="34" t="n">
        <x:v>46114.501388888886</x:v>
      </x:c>
      <x:c r="B488" s="15" t="str">
        <x:v>Woolworths</x:v>
      </x:c>
      <x:c r="C488" s="15" t="str">
        <x:v>R1137.33 reserved for purchase @ Woolworths from Current a/c..512781 using card..2924. Avail R28540. 2Apr 12:02</x:v>
      </x:c>
      <x:c r="D488" s="38" t="n">
        <x:v>1137.33</x:v>
      </x:c>
      <x:c r="E488" s="15" t="str">
        <x:v>ZAR</x:v>
      </x:c>
      <x:c r="F488" s="15" t="str">
        <x:v>Current a/c..512781 / card..2924</x:v>
      </x:c>
      <x:c r="G488" s="15" t="str">
        <x:v>Supplier payments</x:v>
      </x:c>
      <x:c r="H488" s="15" t="str">
        <x:v>Card purchase</x:v>
      </x:c>
      <x:c r="I488" s="15" t="str">
        <x:v>High</x:v>
      </x:c>
      <x:c r="J488" s="15" t="str">
        <x:v>eml_ALL_currentac__512781 (2).zip &gt; eml4currentac__512781.zip / FNB _-) R1137.33 reserved for purchase @ Woolworths from Current a_c..512781 using card..2924.  2Apr 12_02.eml</x:v>
      </x:c>
    </x:row>
    <x:row r="489">
      <x:c r="A489" s="34" t="n">
        <x:v>46114.55972222222</x:v>
      </x:c>
      <x:c r="B489" s="15" t="str">
        <x:v>Superspar Malelane</x:v>
      </x:c>
      <x:c r="C489" s="15" t="str">
        <x:v>R918.06 reserved for purchase @ Superspar Malelane from Current a/c..512781 using card..2924. Avail R27622. 2Apr 13:26</x:v>
      </x:c>
      <x:c r="D489" s="38" t="n">
        <x:v>918.06</x:v>
      </x:c>
      <x:c r="E489" s="15" t="str">
        <x:v>ZAR</x:v>
      </x:c>
      <x:c r="F489" s="15" t="str">
        <x:v>Current a/c..512781 / card..2924</x:v>
      </x:c>
      <x:c r="G489" s="15" t="str">
        <x:v>Supplier payments</x:v>
      </x:c>
      <x:c r="H489" s="15" t="str">
        <x:v>Card purchase</x:v>
      </x:c>
      <x:c r="I489" s="15" t="str">
        <x:v>High</x:v>
      </x:c>
      <x:c r="J489" s="15" t="str">
        <x:v>eml_ALL_currentac__512781 (2).zip &gt; eml4currentac__512781.zip / FNB _-) R918.06 reserved for purchase @ Superspar Malelane from Current a_c..512781 using card..2924.  2Apr 13_26.eml</x:v>
      </x:c>
    </x:row>
    <x:row r="490">
      <x:c r="A490" s="34" t="n">
        <x:v>46114.57361111111</x:v>
      </x:c>
      <x:c r="B490" s="15" t="str">
        <x:v>Oasis Water Malelane</x:v>
      </x:c>
      <x:c r="C490" s="15" t="str">
        <x:v>R254.20 reserved for purchase @ Oasis Water Malelane from Current a/c..512781 using card..2924. Avail R27285. 2Apr 13:46</x:v>
      </x:c>
      <x:c r="D490" s="38" t="n">
        <x:v>254.2</x:v>
      </x:c>
      <x:c r="E490" s="15" t="str">
        <x:v>ZAR</x:v>
      </x:c>
      <x:c r="F490" s="15" t="str">
        <x:v>Current a/c..512781 / card..2924</x:v>
      </x:c>
      <x:c r="G490" s="15" t="str">
        <x:v>Supplier payments</x:v>
      </x:c>
      <x:c r="H490" s="15" t="str">
        <x:v>Card purchase</x:v>
      </x:c>
      <x:c r="I490" s="15" t="str">
        <x:v>High</x:v>
      </x:c>
      <x:c r="J490" s="15" t="str">
        <x:v>eml_ALL_currentac__512781 (2).zip &gt; eml4currentac__512781.zip / FNB _-) R254.20 reserved for purchase @ Oasis Water Malelane from Current a_c..512781 using card..2924.  2Apr 13_46.eml</x:v>
      </x:c>
    </x:row>
    <x:row r="491">
      <x:c r="A491" s="34" t="n">
        <x:v>46114.68541666667</x:v>
      </x:c>
      <x:c r="B491" s="15" t="str">
        <x:v>Electricity 04294887</x:v>
      </x:c>
      <x:c r="C491" s="15" t="str">
        <x:v>R500.00 paid from Current a/c..512781 @ Smartapp. Avail R26785. Ref.Electricity 04294887. 2Apr 16:27</x:v>
      </x:c>
      <x:c r="D491" s="38" t="n">
        <x:v>500</x:v>
      </x:c>
      <x:c r="E491" s="15" t="str">
        <x:v>ZAR</x:v>
      </x:c>
      <x:c r="F491" s="15" t="str">
        <x:v>Current a/c..512781</x:v>
      </x:c>
      <x:c r="G491" s="15" t="str">
        <x:v>Telecom / utilities</x:v>
      </x:c>
      <x:c r="H491" s="15" t="str">
        <x:v>EFT payment</x:v>
      </x:c>
      <x:c r="I491" s="15" t="str">
        <x:v>High</x:v>
      </x:c>
      <x:c r="J491" s="15" t="str">
        <x:v>eml_ALL_currentac__512781 (2).zip &gt; eml4currentac__512781.zip / FNB _-) R500.00 paid from Current a_c..512781 @ Smartapp. Ref.Electricity 04294887.  2Apr 16_27.eml</x:v>
      </x:c>
    </x:row>
    <x:row r="492">
      <x:c r="A492" s="34" t="n">
        <x:v>46114.73125</x:v>
      </x:c>
      <x:c r="B492" s="15" t="str">
        <x:v>The Tin Shack</x:v>
      </x:c>
      <x:c r="C492" s="15" t="str">
        <x:v>R500.00 reserved for purchase @ The Tin Shack from Current a/c..512781 using card..2924. Avail R26285. 2Apr 17:33</x:v>
      </x:c>
      <x:c r="D492" s="38" t="n">
        <x:v>500</x:v>
      </x:c>
      <x:c r="E492" s="15" t="str">
        <x:v>ZAR</x:v>
      </x:c>
      <x:c r="F492" s="15" t="str">
        <x:v>Current a/c..512781 / card..2924</x:v>
      </x:c>
      <x:c r="G492" s="15" t="str">
        <x:v>Meals / restaurants / entertainment</x:v>
      </x:c>
      <x:c r="H492" s="15" t="str">
        <x:v>Card purchase</x:v>
      </x:c>
      <x:c r="I492" s="15" t="str">
        <x:v>High</x:v>
      </x:c>
      <x:c r="J492" s="15" t="str">
        <x:v>eml_ALL_currentac__512781 (2).zip &gt; eml4currentac__512781.zip / FNB _-) R500.00 reserved for purchase @ The Tin Shack from Current a_c..512781 using card..2924.  2Apr 17_33.eml</x:v>
      </x:c>
    </x:row>
    <x:row r="493">
      <x:c r="A493" s="34" t="n">
        <x:v>46115.44236111111</x:v>
      </x:c>
      <x:c r="B493" s="15" t="str">
        <x:v>Savemor Marloth</x:v>
      </x:c>
      <x:c r="C493" s="15" t="str">
        <x:v>R329.96 reserved for purchase @ Savemor Marloth from Current a/c..512781 using card..2924. Avail R25954. 3Apr 10:37</x:v>
      </x:c>
      <x:c r="D493" s="38" t="n">
        <x:v>329.96</x:v>
      </x:c>
      <x:c r="E493" s="15" t="str">
        <x:v>ZAR</x:v>
      </x:c>
      <x:c r="F493" s="15" t="str">
        <x:v>Current a/c..512781 / card..2924</x:v>
      </x:c>
      <x:c r="G493" s="15" t="str">
        <x:v>Supplier payments</x:v>
      </x:c>
      <x:c r="H493" s="15" t="str">
        <x:v>Card purchase</x:v>
      </x:c>
      <x:c r="I493" s="15" t="str">
        <x:v>High</x:v>
      </x:c>
      <x:c r="J493" s="15" t="str">
        <x:v>eml_ALL_currentac__512781 (2).zip &gt; eml4currentac__512781.zip / FNB _-) R329.96 reserved for purchase @ Savemor Marloth from Current a_c..512781 using card..2924.  3Apr 10_37.eml</x:v>
      </x:c>
    </x:row>
    <x:row r="494">
      <x:c r="A494" s="34" t="n">
        <x:v>46115.868055555555</x:v>
      </x:c>
      <x:c r="B494" s="15" t="str">
        <x:v>Yoco *k2025744041</x:v>
      </x:c>
      <x:c r="C494" s="15" t="str">
        <x:v>R335.00 reserved for purchase @ Yoco *k2025744041 from Current a/c..512781 using card..2924. Avail R25619. 3Apr 20:50</x:v>
      </x:c>
      <x:c r="D494" s="38" t="n">
        <x:v>335</x:v>
      </x:c>
      <x:c r="E494" s="15" t="str">
        <x:v>ZAR</x:v>
      </x:c>
      <x:c r="F494" s="15" t="str">
        <x:v>Current a/c..512781 / card..2924</x:v>
      </x:c>
      <x:c r="G494" s="15" t="str">
        <x:v>Card spend</x:v>
      </x:c>
      <x:c r="H494" s="15" t="str">
        <x:v>Card purchase</x:v>
      </x:c>
      <x:c r="I494" s="15" t="str">
        <x:v>High</x:v>
      </x:c>
      <x:c r="J494" s="15" t="str">
        <x:v>eml_ALL_currentac__512781 (2).zip &gt; eml4currentac__512781.zip / FNB _-) R335.00 reserved for purchase @ Yoco _k2025744041 from Current a_c..512781 using card..2924.  3Apr 20_50.eml</x:v>
      </x:c>
    </x:row>
    <x:row r="495">
      <x:c r="A495" s="34" t="n">
        <x:v>46116.50486111111</x:v>
      </x:c>
      <x:c r="B495" s="15" t="str">
        <x:v>Woolworths</x:v>
      </x:c>
      <x:c r="C495" s="15" t="str">
        <x:v>R736.86 reserved for purchase @ Woolworths from Current a/c..512781 using card..2924. Avail R25109. 4Apr 12:07</x:v>
      </x:c>
      <x:c r="D495" s="38" t="n">
        <x:v>736.86</x:v>
      </x:c>
      <x:c r="E495" s="15" t="str">
        <x:v>ZAR</x:v>
      </x:c>
      <x:c r="F495" s="15" t="str">
        <x:v>Current a/c..512781 / card..2924</x:v>
      </x:c>
      <x:c r="G495" s="15" t="str">
        <x:v>Supplier payments</x:v>
      </x:c>
      <x:c r="H495" s="15" t="str">
        <x:v>Card purchase</x:v>
      </x:c>
      <x:c r="I495" s="15" t="str">
        <x:v>High</x:v>
      </x:c>
      <x:c r="J495" s="15" t="str">
        <x:v>eml_ALL_currentac__512781 (2).zip &gt; eml4currentac__512781.zip / FNB _-) R736.86 reserved for purchase @ Woolworths from Current a_c..512781 using card..2924.  4Apr 12_07.eml</x:v>
      </x:c>
    </x:row>
    <x:row r="496">
      <x:c r="A496" s="34" t="n">
        <x:v>46116.53611111111</x:v>
      </x:c>
      <x:c r="B496" s="15" t="str">
        <x:v>Superspar Malelane</x:v>
      </x:c>
      <x:c r="C496" s="15" t="str">
        <x:v>R731.35 reserved for purchase @ Superspar Malelane from Current a/c..512781 using card..2924. Avail R24377. 4Apr 12:52</x:v>
      </x:c>
      <x:c r="D496" s="38" t="n">
        <x:v>731.35</x:v>
      </x:c>
      <x:c r="E496" s="15" t="str">
        <x:v>ZAR</x:v>
      </x:c>
      <x:c r="F496" s="15" t="str">
        <x:v>Current a/c..512781 / card..2924</x:v>
      </x:c>
      <x:c r="G496" s="15" t="str">
        <x:v>Supplier payments</x:v>
      </x:c>
      <x:c r="H496" s="15" t="str">
        <x:v>Card purchase</x:v>
      </x:c>
      <x:c r="I496" s="15" t="str">
        <x:v>High</x:v>
      </x:c>
      <x:c r="J496" s="15" t="str">
        <x:v>eml_ALL_currentac__512781 (2).zip &gt; eml4currentac__512781.zip / FNB _-) R731.35 reserved for purchase @ Superspar Malelane from Current a_c..512781 using card..2924.  4Apr 12_52.eml</x:v>
      </x:c>
    </x:row>
    <x:row r="497">
      <x:c r="A497" s="34" t="n">
        <x:v>46116.600694444445</x:v>
      </x:c>
      <x:c r="B497" s="15" t="str">
        <x:v>Sakkie Wages</x:v>
      </x:c>
      <x:c r="C497" s="15" t="str">
        <x:v>R250.00 paid from Current a/c..512781 @ Smartapp. Avail R24127. Ref.Sakkie Wages. 4Apr 14:25</x:v>
      </x:c>
      <x:c r="D497" s="38" t="n">
        <x:v>250</x:v>
      </x:c>
      <x:c r="E497" s="15" t="str">
        <x:v>ZAR</x:v>
      </x:c>
      <x:c r="F497" s="15" t="str">
        <x:v>Current a/c..512781</x:v>
      </x:c>
      <x:c r="G497" s="15" t="str">
        <x:v>Salary / wages</x:v>
      </x:c>
      <x:c r="H497" s="15" t="str">
        <x:v>EFT payment</x:v>
      </x:c>
      <x:c r="I497" s="15" t="str">
        <x:v>High</x:v>
      </x:c>
      <x:c r="J497" s="15" t="str">
        <x:v>eml_ALL_currentac__512781 (2).zip &gt; eml4currentac__512781.zip / FNB _-) R250.00 paid from Current a_c..512781 @ Smartapp. Ref.Sakkie Wages.  4Apr 14_25.eml</x:v>
      </x:c>
    </x:row>
    <x:row r="498">
      <x:c r="A498" s="34" t="n">
        <x:v>46117.50763888889</x:v>
      </x:c>
      <x:c r="B498" s="15" t="str">
        <x:v>Atmh11960000001</x:v>
      </x:c>
      <x:c r="C498" s="15" t="str">
        <x:v>R400.00 withdrawn from Current a/c..512781 using card..2924 @ Atmh11960000001. Avail R23668. 5Apr 12:11</x:v>
      </x:c>
      <x:c r="D498" s="38" t="n">
        <x:v>400</x:v>
      </x:c>
      <x:c r="E498" s="15" t="str">
        <x:v>ZAR</x:v>
      </x:c>
      <x:c r="F498" s="15" t="str">
        <x:v>Current a/c..512781 / card..2924</x:v>
      </x:c>
      <x:c r="G498" s="15" t="str">
        <x:v>Cash withdrawal</x:v>
      </x:c>
      <x:c r="H498" s="15" t="str">
        <x:v>ATM / cash withdrawal</x:v>
      </x:c>
      <x:c r="I498" s="15" t="str">
        <x:v>High</x:v>
      </x:c>
      <x:c r="J498" s="15" t="str">
        <x:v>eml_ALL_currentac__512781 (2).zip &gt; eml4currentac__512781.zip / FNB _-) R400.00 withdrawn from Current a_c..512781 using card..2924 @ Atmh11960000001.  5Apr 12_11.eml</x:v>
      </x:c>
    </x:row>
    <x:row r="499">
      <x:c r="A499" s="34" t="n">
        <x:v>46118.53055555555</x:v>
      </x:c>
      <x:c r="B499" s="15" t="str">
        <x:v>Savemor Marloth</x:v>
      </x:c>
      <x:c r="C499" s="15" t="str">
        <x:v>R169.96 reserved for purchase @ Savemor Marloth from Current a/c..512781 using card..2924. Avail R23498. 6Apr 12:44</x:v>
      </x:c>
      <x:c r="D499" s="38" t="n">
        <x:v>169.96</x:v>
      </x:c>
      <x:c r="E499" s="15" t="str">
        <x:v>ZAR</x:v>
      </x:c>
      <x:c r="F499" s="15" t="str">
        <x:v>Current a/c..512781 / card..2924</x:v>
      </x:c>
      <x:c r="G499" s="15" t="str">
        <x:v>Supplier payments</x:v>
      </x:c>
      <x:c r="H499" s="15" t="str">
        <x:v>Card purchase</x:v>
      </x:c>
      <x:c r="I499" s="15" t="str">
        <x:v>High</x:v>
      </x:c>
      <x:c r="J499" s="15" t="str">
        <x:v>eml_ALL_currentac__512781 (2).zip &gt; eml4currentac__512781.zip / FNB _-) R169.96 reserved for purchase @ Savemor Marloth from Current a_c..512781 using card..2924.  6Apr 12_44.eml</x:v>
      </x:c>
    </x:row>
    <x:row r="500">
      <x:c r="A500" s="34" t="n">
        <x:v>46119.552777777775</x:v>
      </x:c>
      <x:c r="B500" s="15" t="str">
        <x:v>Pep Home 5771 Komati</x:v>
      </x:c>
      <x:c r="C500" s="15" t="str">
        <x:v>R129.61 reserved for purchase @ Pep Home 5771 Komati from Current a/c..512781 using card..2924. Avail R23057. 7Apr 13:16</x:v>
      </x:c>
      <x:c r="D500" s="38" t="n">
        <x:v>129.61</x:v>
      </x:c>
      <x:c r="E500" s="15" t="str">
        <x:v>ZAR</x:v>
      </x:c>
      <x:c r="F500" s="15" t="str">
        <x:v>Current a/c..512781 / card..2924</x:v>
      </x:c>
      <x:c r="G500" s="15" t="str">
        <x:v>Supplier payments</x:v>
      </x:c>
      <x:c r="H500" s="15" t="str">
        <x:v>Card purchase</x:v>
      </x:c>
      <x:c r="I500" s="15" t="str">
        <x:v>High</x:v>
      </x:c>
      <x:c r="J500" s="15" t="str">
        <x:v>eml_ALL_currentac__512781 (2).zip &gt; eml4currentac__512781.zip / FNB _-) R129.61 reserved for purchase @ Pep Home 5771 Komati from Current a_c..512781 using card..2924.  7Apr 13_16.eml</x:v>
      </x:c>
    </x:row>
    <x:row r="501">
      <x:c r="A501" s="34" t="n">
        <x:v>46119.59444444445</x:v>
      </x:c>
      <x:c r="B501" s="15" t="str">
        <x:v>Superspar Komatipoor</x:v>
      </x:c>
      <x:c r="C501" s="15" t="str">
        <x:v>R1285.78 reserved for purchase @ Superspar Komatipoor from Current a/c..512781 using card..2924. Avail R49457. 7Apr 14:16</x:v>
      </x:c>
      <x:c r="D501" s="38" t="n">
        <x:v>1285.78</x:v>
      </x:c>
      <x:c r="E501" s="15" t="str">
        <x:v>ZAR</x:v>
      </x:c>
      <x:c r="F501" s="15" t="str">
        <x:v>Current a/c..512781 / card..2924</x:v>
      </x:c>
      <x:c r="G501" s="15" t="str">
        <x:v>Supplier payments</x:v>
      </x:c>
      <x:c r="H501" s="15" t="str">
        <x:v>Card purchase</x:v>
      </x:c>
      <x:c r="I501" s="15" t="str">
        <x:v>High</x:v>
      </x:c>
      <x:c r="J501" s="15" t="str">
        <x:v>eml_ALL_currentac__512781 (2).zip &gt; eml4currentac__512781.zip / FNB _-) R1285.78 reserved for purchase @ Superspar Komatipoor from Current a_c..512781 using card..2924.  7Apr 14_16.eml</x:v>
      </x:c>
    </x:row>
    <x:row r="502">
      <x:c r="A502" s="34" t="n">
        <x:v>46119.600694444445</x:v>
      </x:c>
      <x:c r="B502" s="15" t="str">
        <x:v>The Crazy Store Koma</x:v>
      </x:c>
      <x:c r="C502" s="15" t="str">
        <x:v>R164.89 reserved for purchase @ The Crazy Store Koma from Current a/c..512781 using card..2924. Avail R49292. 7Apr 14:25</x:v>
      </x:c>
      <x:c r="D502" s="38" t="n">
        <x:v>164.89</x:v>
      </x:c>
      <x:c r="E502" s="15" t="str">
        <x:v>ZAR</x:v>
      </x:c>
      <x:c r="F502" s="15" t="str">
        <x:v>Current a/c..512781 / card..2924</x:v>
      </x:c>
      <x:c r="G502" s="15" t="str">
        <x:v>Card spend</x:v>
      </x:c>
      <x:c r="H502" s="15" t="str">
        <x:v>Card purchase</x:v>
      </x:c>
      <x:c r="I502" s="15" t="str">
        <x:v>High</x:v>
      </x:c>
      <x:c r="J502" s="15" t="str">
        <x:v>eml_ALL_currentac__512781 (2).zip &gt; eml4currentac__512781.zip / FNB _-) R164.89 reserved for purchase @ The Crazy Store Koma from Current a_c..512781 using card..2924.  7Apr 14_25.eml</x:v>
      </x:c>
    </x:row>
    <x:row r="503">
      <x:c r="A503" s="34" t="n">
        <x:v>46119.68819444445</x:v>
      </x:c>
      <x:c r="B503" s="15" t="str">
        <x:v>Royal Bush 3783</x:v>
      </x:c>
      <x:c r="C503" s="15" t="str">
        <x:v>R4240.00 paid from Current a/c..512781 @ Smartapp. Avail R45044. Ref.Royal Bush 3783. 7Apr 16:31</x:v>
      </x:c>
      <x:c r="D503" s="38" t="n">
        <x:v>4240</x:v>
      </x:c>
      <x:c r="E503" s="15" t="str">
        <x:v>ZAR</x:v>
      </x:c>
      <x:c r="F503" s="15" t="str">
        <x:v>Current a/c..512781</x:v>
      </x:c>
      <x:c r="G503" s="15" t="str">
        <x:v>Supplier payments</x:v>
      </x:c>
      <x:c r="H503" s="15" t="str">
        <x:v>EFT payment</x:v>
      </x:c>
      <x:c r="I503" s="15" t="str">
        <x:v>High</x:v>
      </x:c>
      <x:c r="J503" s="15" t="str">
        <x:v>eml_ALL_currentac__512781 (2).zip &gt; eml4currentac__512781.zip / FNB _-) R4240.00 paid from Current a_c..512781 @ Smartapp. Ref.Royal Bush 3783.  7Apr 16_31.eml</x:v>
      </x:c>
    </x:row>
    <x:row r="504">
      <x:c r="A504" s="34" t="n">
        <x:v>46119.69236111111</x:v>
      </x:c>
      <x:c r="B504" s="15" t="str">
        <x:v>Kruger Safari 1691</x:v>
      </x:c>
      <x:c r="C504" s="15" t="str">
        <x:v>R9176.00 paid from Current a/c..512781 @ Smartapp. Avail R35860. Ref.Kruger Safari 1691. 7Apr 16:37</x:v>
      </x:c>
      <x:c r="D504" s="38" t="n">
        <x:v>9176</x:v>
      </x:c>
      <x:c r="E504" s="15" t="str">
        <x:v>ZAR</x:v>
      </x:c>
      <x:c r="F504" s="15" t="str">
        <x:v>Current a/c..512781</x:v>
      </x:c>
      <x:c r="G504" s="15" t="str">
        <x:v>Supplier payments</x:v>
      </x:c>
      <x:c r="H504" s="15" t="str">
        <x:v>EFT payment</x:v>
      </x:c>
      <x:c r="I504" s="15" t="str">
        <x:v>High</x:v>
      </x:c>
      <x:c r="J504" s="15" t="str">
        <x:v>eml_ALL_currentac__512781 (2).zip &gt; eml4currentac__512781.zip / FNB _-) R9176.00 paid from Current a_c..512781 @ Smartapp. Ref.Kruger Safari 1691.  7Apr 16_37.eml</x:v>
      </x:c>
    </x:row>
    <x:row r="505">
      <x:c r="A505" s="34" t="n">
        <x:v>46119.69305555556</x:v>
      </x:c>
      <x:c r="B505" s="15" t="str">
        <x:v>Staff</x:v>
      </x:c>
      <x:c r="C505" s="15" t="str">
        <x:v>R5000.00 paid from Current a/c..512781 @ Smartapp. Avail R30857. Ref.Staff. 7Apr 16:38</x:v>
      </x:c>
      <x:c r="D505" s="38" t="n">
        <x:v>5000</x:v>
      </x:c>
      <x:c r="E505" s="15" t="str">
        <x:v>ZAR</x:v>
      </x:c>
      <x:c r="F505" s="15" t="str">
        <x:v>Current a/c..512781</x:v>
      </x:c>
      <x:c r="G505" s="15" t="str">
        <x:v>Salary / wages</x:v>
      </x:c>
      <x:c r="H505" s="15" t="str">
        <x:v>EFT payment</x:v>
      </x:c>
      <x:c r="I505" s="15" t="str">
        <x:v>High</x:v>
      </x:c>
      <x:c r="J505" s="15" t="str">
        <x:v>eml_ALL_currentac__512781 (2).zip &gt; eml4currentac__512781.zip / FNB _-) R5000.00 paid from Current a_c..512781 @ Smartapp. Ref.Staff.  7Apr 16_38.eml</x:v>
      </x:c>
    </x:row>
    <x:row r="506">
      <x:c r="A506" s="34" t="n">
        <x:v>46119.75902777778</x:v>
      </x:c>
      <x:c r="B506" s="15" t="str">
        <x:v>Electricity 04294887</x:v>
      </x:c>
      <x:c r="C506" s="15" t="str">
        <x:v>R500.00 paid from Current a/c..512781 @ Smartapp. Avail R30354. Ref.Electricity 04294887. 7Apr 18:13</x:v>
      </x:c>
      <x:c r="D506" s="38" t="n">
        <x:v>500</x:v>
      </x:c>
      <x:c r="E506" s="15" t="str">
        <x:v>ZAR</x:v>
      </x:c>
      <x:c r="F506" s="15" t="str">
        <x:v>Current a/c..512781</x:v>
      </x:c>
      <x:c r="G506" s="15" t="str">
        <x:v>Telecom / utilities</x:v>
      </x:c>
      <x:c r="H506" s="15" t="str">
        <x:v>EFT payment</x:v>
      </x:c>
      <x:c r="I506" s="15" t="str">
        <x:v>High</x:v>
      </x:c>
      <x:c r="J506" s="15" t="str">
        <x:v>eml_ALL_currentac__512781 (2).zip &gt; eml4currentac__512781.zip / FNB _-) R500.00 paid from Current a_c..512781 @ Smartapp. Ref.Electricity 04294887.  7Apr 18_13.eml</x:v>
      </x:c>
    </x:row>
    <x:row r="507">
      <x:c r="A507" s="34" t="n">
        <x:v>46121.05347222222</x:v>
      </x:c>
      <x:c r="B507" s="15" t="str">
        <x:v>African Sky</x:v>
      </x:c>
      <x:c r="C507" s="15" t="str">
        <x:v>R5000.00 paid from Current a/c..512781 @ Gen Ph. Avail R34292. Ref.African Sky. 9Apr 01:17</x:v>
      </x:c>
      <x:c r="D507" s="38" t="n">
        <x:v>5000</x:v>
      </x:c>
      <x:c r="E507" s="15" t="str">
        <x:v>ZAR</x:v>
      </x:c>
      <x:c r="F507" s="15" t="str">
        <x:v>Current a/c..512781</x:v>
      </x:c>
      <x:c r="G507" s="15" t="str">
        <x:v>Supplier payments</x:v>
      </x:c>
      <x:c r="H507" s="15" t="str">
        <x:v>EFT payment</x:v>
      </x:c>
      <x:c r="I507" s="15" t="str">
        <x:v>High</x:v>
      </x:c>
      <x:c r="J507" s="15" t="str">
        <x:v>eml_ALL_currentac__512781 (2).zip &gt; eml4currentac__512781.zip / FNB _-) R5000.00 paid from Current a_c..512781 @ Gen Ph. Ref.African Sky.  9Apr 01_17.eml</x:v>
      </x:c>
    </x:row>
    <x:row r="508">
      <x:c r="A508" s="34" t="n">
        <x:v>46121.15277777778</x:v>
      </x:c>
      <x:c r="B508" s="15" t="str">
        <x:v>Staff</x:v>
      </x:c>
      <x:c r="C508" s="15" t="str">
        <x:v>R4000.00 paid from Current a/c..512781 @ Smartapp. Avail R30289. Ref.Staff. 9Apr 03:40</x:v>
      </x:c>
      <x:c r="D508" s="38" t="n">
        <x:v>4000</x:v>
      </x:c>
      <x:c r="E508" s="15" t="str">
        <x:v>ZAR</x:v>
      </x:c>
      <x:c r="F508" s="15" t="str">
        <x:v>Current a/c..512781</x:v>
      </x:c>
      <x:c r="G508" s="15" t="str">
        <x:v>Salary / wages</x:v>
      </x:c>
      <x:c r="H508" s="15" t="str">
        <x:v>EFT payment</x:v>
      </x:c>
      <x:c r="I508" s="15" t="str">
        <x:v>High</x:v>
      </x:c>
      <x:c r="J508" s="15" t="str">
        <x:v>eml_ALL_currentac__512781 (2).zip &gt; eml4currentac__512781.zip / FNB _-) R4000.00 paid from Current a_c..512781 @ Smartapp. Ref.Staff.  9Apr 03_40.eml</x:v>
      </x:c>
    </x:row>
    <x:row r="509">
      <x:c r="A509" s="34" t="n">
        <x:v>46121.580555555556</x:v>
      </x:c>
      <x:c r="B509" s="15" t="str">
        <x:v>Superspar Komatipoor</x:v>
      </x:c>
      <x:c r="C509" s="15" t="str">
        <x:v>R905.75 reserved for purchase @ Superspar Komatipoor from Current a/c..512781 using card..2924. Avail R73206. 9Apr 13:56</x:v>
      </x:c>
      <x:c r="D509" s="38" t="n">
        <x:v>905.75</x:v>
      </x:c>
      <x:c r="E509" s="15" t="str">
        <x:v>ZAR</x:v>
      </x:c>
      <x:c r="F509" s="15" t="str">
        <x:v>Current a/c..512781 / card..2924</x:v>
      </x:c>
      <x:c r="G509" s="15" t="str">
        <x:v>Supplier payments</x:v>
      </x:c>
      <x:c r="H509" s="15" t="str">
        <x:v>Card purchase</x:v>
      </x:c>
      <x:c r="I509" s="15" t="str">
        <x:v>High</x:v>
      </x:c>
      <x:c r="J509" s="15" t="str">
        <x:v>eml_ALL_currentac__512781 (2).zip &gt; eml4currentac__512781.zip / FNB _-) R905.75 reserved for purchase @ Superspar Komatipoor from Current a_c..512781 using card..2924.  9Apr 13_56.eml</x:v>
      </x:c>
    </x:row>
    <x:row r="510">
      <x:c r="A510" s="34" t="n">
        <x:v>46121.59930555556</x:v>
      </x:c>
      <x:c r="B510" s="15" t="str">
        <x:v>Oasis Water Komatipo</x:v>
      </x:c>
      <x:c r="C510" s="15" t="str">
        <x:v>R235.20 reserved for purchase @ Oasis Water Komatipo from Current a/c..512781 using card..2924. Avail R72971. 9Apr 14:23</x:v>
      </x:c>
      <x:c r="D510" s="38" t="n">
        <x:v>235.2</x:v>
      </x:c>
      <x:c r="E510" s="15" t="str">
        <x:v>ZAR</x:v>
      </x:c>
      <x:c r="F510" s="15" t="str">
        <x:v>Current a/c..512781 / card..2924</x:v>
      </x:c>
      <x:c r="G510" s="15" t="str">
        <x:v>Supplier payments</x:v>
      </x:c>
      <x:c r="H510" s="15" t="str">
        <x:v>Card purchase</x:v>
      </x:c>
      <x:c r="I510" s="15" t="str">
        <x:v>High</x:v>
      </x:c>
      <x:c r="J510" s="15" t="str">
        <x:v>eml_ALL_currentac__512781 (2).zip &gt; eml4currentac__512781.zip / FNB _-) R235.20 reserved for purchase @ Oasis Water Komatipo from Current a_c..512781 using card..2924.  9Apr 14_23.eml</x:v>
      </x:c>
    </x:row>
    <x:row r="511">
      <x:c r="A511" s="34" t="n">
        <x:v>46121.691666666666</x:v>
      </x:c>
      <x:c r="B511" s="15" t="str">
        <x:v>Electricity 14503572</x:v>
      </x:c>
      <x:c r="C511" s="15" t="str">
        <x:v>R150.00 paid from Current a/c..512781 @ Smartapp. Avail R72809. Ref.Electricity 14503572. 9Apr 16:36</x:v>
      </x:c>
      <x:c r="D511" s="38" t="n">
        <x:v>150</x:v>
      </x:c>
      <x:c r="E511" s="15" t="str">
        <x:v>ZAR</x:v>
      </x:c>
      <x:c r="F511" s="15" t="str">
        <x:v>Current a/c..512781</x:v>
      </x:c>
      <x:c r="G511" s="15" t="str">
        <x:v>Telecom / utilities</x:v>
      </x:c>
      <x:c r="H511" s="15" t="str">
        <x:v>EFT payment</x:v>
      </x:c>
      <x:c r="I511" s="15" t="str">
        <x:v>High</x:v>
      </x:c>
      <x:c r="J511" s="15" t="str">
        <x:v>eml_ALL_currentac__512781 (2).zip &gt; eml4currentac__512781.zip / FNB _-) R150.00 paid from Current a_c..512781 @ Smartapp. Ref.Electricity 14503572.  9Apr 16_36.eml</x:v>
      </x:c>
    </x:row>
    <x:row r="512">
      <x:c r="A512" s="34" t="n">
        <x:v>46122.4875</x:v>
      </x:c>
      <x:c r="B512" s="15" t="str">
        <x:v>Kruger Safari 1693</x:v>
      </x:c>
      <x:c r="C512" s="15" t="str">
        <x:v>R2929.00 paid from Current a/c..512781 @ Smartapp. Avail R78702. Ref.Kruger Safari 1693. 10Apr 11:42</x:v>
      </x:c>
      <x:c r="D512" s="38" t="n">
        <x:v>2929</x:v>
      </x:c>
      <x:c r="E512" s="15" t="str">
        <x:v>ZAR</x:v>
      </x:c>
      <x:c r="F512" s="15" t="str">
        <x:v>Current a/c..512781</x:v>
      </x:c>
      <x:c r="G512" s="15" t="str">
        <x:v>Supplier payments</x:v>
      </x:c>
      <x:c r="H512" s="15" t="str">
        <x:v>EFT payment</x:v>
      </x:c>
      <x:c r="I512" s="15" t="str">
        <x:v>High</x:v>
      </x:c>
      <x:c r="J512" s="15" t="str">
        <x:v>eml_ALL_currentac__512781 (2).zip &gt; eml4currentac__512781.zip / FNB _-) R2929.00 paid from Current a_c..512781 @ Smartapp. Ref.Kruger Safari 1693. 10Apr 11_42.eml</x:v>
      </x:c>
    </x:row>
    <x:row r="513">
      <x:c r="A513" s="34" t="n">
        <x:v>46122.49097222222</x:v>
      </x:c>
      <x:c r="B513" s="15" t="str">
        <x:v>Muncipality Bigbay</x:v>
      </x:c>
      <x:c r="C513" s="15" t="str">
        <x:v>R1500.00 paid from Current a/c..512781 @ Smartapp. Avail R77199. Ref.Muncipality Bigbay. 10Apr 11:47</x:v>
      </x:c>
      <x:c r="D513" s="38" t="n">
        <x:v>1500</x:v>
      </x:c>
      <x:c r="E513" s="15" t="str">
        <x:v>ZAR</x:v>
      </x:c>
      <x:c r="F513" s="15" t="str">
        <x:v>Current a/c..512781</x:v>
      </x:c>
      <x:c r="G513" s="15" t="str">
        <x:v>Supplier payments</x:v>
      </x:c>
      <x:c r="H513" s="15" t="str">
        <x:v>EFT payment</x:v>
      </x:c>
      <x:c r="I513" s="15" t="str">
        <x:v>High</x:v>
      </x:c>
      <x:c r="J513" s="15" t="str">
        <x:v>eml_ALL_currentac__512781 (2).zip &gt; eml4currentac__512781.zip / FNB _-) R1500.00 paid from Current a_c..512781 @ Smartapp. Ref.Muncipality Bigbay. 10Apr 11_47.eml</x:v>
      </x:c>
    </x:row>
    <x:row r="514">
      <x:c r="A514" s="34" t="n">
        <x:v>46122.604166666664</x:v>
      </x:c>
      <x:c r="B514" s="15" t="str">
        <x:v>Sakkie Wages</x:v>
      </x:c>
      <x:c r="C514" s="15" t="str">
        <x:v>R2500.00 paid from Current a/c..512781 @ Smartapp. Avail R104278. Ref.Sakkie Wages. 10Apr 14:30</x:v>
      </x:c>
      <x:c r="D514" s="38" t="n">
        <x:v>2500</x:v>
      </x:c>
      <x:c r="E514" s="15" t="str">
        <x:v>ZAR</x:v>
      </x:c>
      <x:c r="F514" s="15" t="str">
        <x:v>Current a/c..512781</x:v>
      </x:c>
      <x:c r="G514" s="15" t="str">
        <x:v>Salary / wages</x:v>
      </x:c>
      <x:c r="H514" s="15" t="str">
        <x:v>EFT payment</x:v>
      </x:c>
      <x:c r="I514" s="15" t="str">
        <x:v>High</x:v>
      </x:c>
      <x:c r="J514" s="15" t="str">
        <x:v>eml_ALL_currentac__512781 (2).zip &gt; eml4currentac__512781.zip / FNB _-) R2500.00 paid from Current a_c..512781 @ Smartapp. Ref.Sakkie Wages. 10Apr 14_30.eml</x:v>
      </x:c>
    </x:row>
    <x:row r="515">
      <x:c r="A515" s="34" t="n">
        <x:v>46122.60555555556</x:v>
      </x:c>
      <x:c r="B515" s="15" t="str">
        <x:v>Salary</x:v>
      </x:c>
      <x:c r="C515" s="15" t="str">
        <x:v>R5000.00 paid from Current a/c..512781 @ Smartapp. Avail R99275. Ref.Salary. 10Apr 14:32</x:v>
      </x:c>
      <x:c r="D515" s="38" t="n">
        <x:v>5000</x:v>
      </x:c>
      <x:c r="E515" s="15" t="str">
        <x:v>ZAR</x:v>
      </x:c>
      <x:c r="F515" s="15" t="str">
        <x:v>Current a/c..512781</x:v>
      </x:c>
      <x:c r="G515" s="15" t="str">
        <x:v>Salary / wages</x:v>
      </x:c>
      <x:c r="H515" s="15" t="str">
        <x:v>EFT payment</x:v>
      </x:c>
      <x:c r="I515" s="15" t="str">
        <x:v>High</x:v>
      </x:c>
      <x:c r="J515" s="15" t="str">
        <x:v>eml_ALL_currentac__512781 (2).zip &gt; eml4currentac__512781.zip / FNB _-) R5000.00 paid from Current a_c..512781 @ Smartapp. Ref.Salary. 10Apr 14_32.eml</x:v>
      </x:c>
    </x:row>
    <x:row r="516">
      <x:c r="A516" s="34" t="n">
        <x:v>46122.77569444444</x:v>
      </x:c>
      <x:c r="B516" s="15" t="str">
        <x:v>The Tin Shack</x:v>
      </x:c>
      <x:c r="C516" s="15" t="str">
        <x:v>R210.00 reserved for purchase @ The Tin Shack from Current a/c..512781 using card..2924. Avail R99065. 10Apr 18:37</x:v>
      </x:c>
      <x:c r="D516" s="38" t="n">
        <x:v>210</x:v>
      </x:c>
      <x:c r="E516" s="15" t="str">
        <x:v>ZAR</x:v>
      </x:c>
      <x:c r="F516" s="15" t="str">
        <x:v>Current a/c..512781 / card..2924</x:v>
      </x:c>
      <x:c r="G516" s="15" t="str">
        <x:v>Meals / restaurants / entertainment</x:v>
      </x:c>
      <x:c r="H516" s="15" t="str">
        <x:v>Card purchase</x:v>
      </x:c>
      <x:c r="I516" s="15" t="str">
        <x:v>High</x:v>
      </x:c>
      <x:c r="J516" s="15" t="str">
        <x:v>eml_ALL_currentac__512781 (2).zip &gt; eml4currentac__512781.zip / FNB _-) R210.00 reserved for purchase @ The Tin Shack from Current a_c..512781 using card..2924. 10Apr 18_37.eml</x:v>
      </x:c>
    </x:row>
    <x:row r="517">
      <x:c r="A517" s="34" t="n">
        <x:v>46123.46388888889</x:v>
      </x:c>
      <x:c r="B517" s="15" t="str">
        <x:v>Buco Komatipoort 116</x:v>
      </x:c>
      <x:c r="C517" s="15" t="str">
        <x:v>R174.98 reserved for purchase @ Buco Komatipoort 116 from Current a/c..512781 using card..2924. Avail R98886. 11Apr 11:08</x:v>
      </x:c>
      <x:c r="D517" s="38" t="n">
        <x:v>174.98</x:v>
      </x:c>
      <x:c r="E517" s="15" t="str">
        <x:v>ZAR</x:v>
      </x:c>
      <x:c r="F517" s="15" t="str">
        <x:v>Current a/c..512781 / card..2924</x:v>
      </x:c>
      <x:c r="G517" s="15" t="str">
        <x:v>Supplier payments</x:v>
      </x:c>
      <x:c r="H517" s="15" t="str">
        <x:v>Card purchase</x:v>
      </x:c>
      <x:c r="I517" s="15" t="str">
        <x:v>High</x:v>
      </x:c>
      <x:c r="J517" s="15" t="str">
        <x:v>eml_ALL_currentac__512781 (2).zip &gt; eml4currentac__512781.zip / FNB _-) R174.98 reserved for purchase @ Buco Komatipoort 116 from Current a_c..512781 using card..2924. 11Apr 11_08.eml</x:v>
      </x:c>
    </x:row>
    <x:row r="518">
      <x:c r="A518" s="34" t="n">
        <x:v>46123.49097222222</x:v>
      </x:c>
      <x:c r="B518" s="15" t="str">
        <x:v>Superspar Komatipoor</x:v>
      </x:c>
      <x:c r="C518" s="15" t="str">
        <x:v>R534.31 reserved for purchase @ Superspar Komatipoor from Current a/c..512781 using card..2924. Avail R98352. 11Apr 11:47</x:v>
      </x:c>
      <x:c r="D518" s="38" t="n">
        <x:v>534.31</x:v>
      </x:c>
      <x:c r="E518" s="15" t="str">
        <x:v>ZAR</x:v>
      </x:c>
      <x:c r="F518" s="15" t="str">
        <x:v>Current a/c..512781 / card..2924</x:v>
      </x:c>
      <x:c r="G518" s="15" t="str">
        <x:v>Supplier payments</x:v>
      </x:c>
      <x:c r="H518" s="15" t="str">
        <x:v>Card purchase</x:v>
      </x:c>
      <x:c r="I518" s="15" t="str">
        <x:v>High</x:v>
      </x:c>
      <x:c r="J518" s="15" t="str">
        <x:v>eml_ALL_currentac__512781 (2).zip &gt; eml4currentac__512781.zip / FNB _-) R534.31 reserved for purchase @ Superspar Komatipoor from Current a_c..512781 using card..2924. 11Apr 11_47.eml</x:v>
      </x:c>
    </x:row>
    <x:row r="519">
      <x:c r="A519" s="34" t="n">
        <x:v>46123.501388888886</x:v>
      </x:c>
      <x:c r="B519" s="15" t="str">
        <x:v>Komati Pharmacy</x:v>
      </x:c>
      <x:c r="C519" s="15" t="str">
        <x:v>R138.49 reserved for purchase @ Komati Pharmacy from Current a/c..512781 using card..2924. Avail R98213. 11Apr 12:02</x:v>
      </x:c>
      <x:c r="D519" s="38" t="n">
        <x:v>138.49</x:v>
      </x:c>
      <x:c r="E519" s="15" t="str">
        <x:v>ZAR</x:v>
      </x:c>
      <x:c r="F519" s="15" t="str">
        <x:v>Current a/c..512781 / card..2924</x:v>
      </x:c>
      <x:c r="G519" s="15" t="str">
        <x:v>Supplier payments</x:v>
      </x:c>
      <x:c r="H519" s="15" t="str">
        <x:v>Card purchase</x:v>
      </x:c>
      <x:c r="I519" s="15" t="str">
        <x:v>High</x:v>
      </x:c>
      <x:c r="J519" s="15" t="str">
        <x:v>eml_ALL_currentac__512781 (2).zip &gt; eml4currentac__512781.zip / FNB _-) R138.49 reserved for purchase @ Komati Pharmacy from Current a_c..512781 using card..2924. 11Apr 12_02.eml</x:v>
      </x:c>
    </x:row>
    <x:row r="520">
      <x:c r="A520" s="34" t="n">
        <x:v>46123.50625</x:v>
      </x:c>
      <x:c r="B520" s="15" t="str">
        <x:v>Tops Komatipoort</x:v>
      </x:c>
      <x:c r="C520" s="15" t="str">
        <x:v>R214.96 reserved for purchase @ Tops Komatipoort from Current a/c..512781 using card..2924. Avail R97998. 11Apr 12:09</x:v>
      </x:c>
      <x:c r="D520" s="38" t="n">
        <x:v>214.96</x:v>
      </x:c>
      <x:c r="E520" s="15" t="str">
        <x:v>ZAR</x:v>
      </x:c>
      <x:c r="F520" s="15" t="str">
        <x:v>Current a/c..512781 / card..2924</x:v>
      </x:c>
      <x:c r="G520" s="15" t="str">
        <x:v>Meals / restaurants / entertainment</x:v>
      </x:c>
      <x:c r="H520" s="15" t="str">
        <x:v>Card purchase</x:v>
      </x:c>
      <x:c r="I520" s="15" t="str">
        <x:v>High</x:v>
      </x:c>
      <x:c r="J520" s="15" t="str">
        <x:v>eml_ALL_currentac__512781 (2).zip &gt; eml4currentac__512781.zip / FNB _-) R214.96 reserved for purchase @ Tops Komatipoort from Current a_c..512781 using card..2924. 11Apr 12_09.eml</x:v>
      </x:c>
    </x:row>
    <x:row r="521">
      <x:c r="A521" s="34" t="n">
        <x:v>46123.513194444444</x:v>
      </x:c>
      <x:c r="B521" s="15" t="str">
        <x:v>Ae Komatipoort</x:v>
      </x:c>
      <x:c r="C521" s="15" t="str">
        <x:v>R200.00 reserved for purchase @ Ae Komatipoort from Current a/c..512781 using card..2924. Avail R97798. 11Apr 12:19</x:v>
      </x:c>
      <x:c r="D521" s="38" t="n">
        <x:v>200</x:v>
      </x:c>
      <x:c r="E521" s="15" t="str">
        <x:v>ZAR</x:v>
      </x:c>
      <x:c r="F521" s="15" t="str">
        <x:v>Current a/c..512781 / card..2924</x:v>
      </x:c>
      <x:c r="G521" s="15" t="str">
        <x:v>Card spend</x:v>
      </x:c>
      <x:c r="H521" s="15" t="str">
        <x:v>Card purchase</x:v>
      </x:c>
      <x:c r="I521" s="15" t="str">
        <x:v>High</x:v>
      </x:c>
      <x:c r="J521" s="15" t="str">
        <x:v>eml_ALL_currentac__512781 (2).zip &gt; eml3currentac__512781.zip / FNB _-) R200.00 reserved for purchase @ Ae Komatipoort from Current a_c..512781 using card..2924. 11Apr 12_19.eml</x:v>
      </x:c>
    </x:row>
    <x:row r="522">
      <x:c r="A522" s="34" t="n">
        <x:v>46123.58541666667</x:v>
      </x:c>
      <x:c r="B522" s="15" t="str">
        <x:v>Cf Moto Saf - Inv 3</x:v>
      </x:c>
      <x:c r="C522" s="15" t="str">
        <x:v>R372.00 paid from Current a/c..512781 @ Smartapp. Avail R97418. Ref.Cf Moto Saf - Inv 3. 11Apr 14:03</x:v>
      </x:c>
      <x:c r="D522" s="38" t="n">
        <x:v>372</x:v>
      </x:c>
      <x:c r="E522" s="15" t="str">
        <x:v>ZAR</x:v>
      </x:c>
      <x:c r="F522" s="15" t="str">
        <x:v>Current a/c..512781</x:v>
      </x:c>
      <x:c r="G522" s="15" t="str">
        <x:v>Supplier payments</x:v>
      </x:c>
      <x:c r="H522" s="15" t="str">
        <x:v>EFT payment</x:v>
      </x:c>
      <x:c r="I522" s="15" t="str">
        <x:v>High</x:v>
      </x:c>
      <x:c r="J522" s="15" t="str">
        <x:v>eml_ALL_currentac__512781 (2).zip &gt; eml3currentac__512781.zip / FNB _-) R372.00 paid from Current a_c..512781 @ Smartapp. Ref.Cf Moto Saf - Inv 3. 11Apr 14_03.eml</x:v>
      </x:c>
    </x:row>
    <x:row r="523">
      <x:c r="A523" s="34" t="n">
        <x:v>46124.54027777778</x:v>
      </x:c>
      <x:c r="B523" s="15" t="str">
        <x:v>Atmh11960000001</x:v>
      </x:c>
      <x:c r="C523" s="15" t="str">
        <x:v>R550.00 withdrawn from Current a/c..512781 using card..2924 @ Atmh11960000001. Avail R96868. 12Apr 12:58</x:v>
      </x:c>
      <x:c r="D523" s="38" t="n">
        <x:v>550</x:v>
      </x:c>
      <x:c r="E523" s="15" t="str">
        <x:v>ZAR</x:v>
      </x:c>
      <x:c r="F523" s="15" t="str">
        <x:v>Current a/c..512781 / card..2924</x:v>
      </x:c>
      <x:c r="G523" s="15" t="str">
        <x:v>Cash withdrawal</x:v>
      </x:c>
      <x:c r="H523" s="15" t="str">
        <x:v>ATM / cash withdrawal</x:v>
      </x:c>
      <x:c r="I523" s="15" t="str">
        <x:v>High</x:v>
      </x:c>
      <x:c r="J523" s="15" t="str">
        <x:v>eml_ALL_currentac__512781 (2).zip &gt; eml3currentac__512781.zip / FNB _-) R550.00 withdrawn from Current a_c..512781 using card..2924 @ Atmh11960000001. 12Apr 12_58.eml</x:v>
      </x:c>
    </x:row>
    <x:row r="524">
      <x:c r="A524" s="34" t="n">
        <x:v>46124.6125</x:v>
      </x:c>
      <x:c r="B524" s="15" t="str">
        <x:v>Openai *chatgpt Subscr+14</x:v>
      </x:c>
      <x:c r="C524" s="15" t="str">
        <x:v>R399.00 reserved for purchase @ Openai *chatgpt Subscr+14 from Current a/c..512781 using card..0104. Avail R96469. 12Apr 14:42</x:v>
      </x:c>
      <x:c r="D524" s="38" t="n">
        <x:v>399</x:v>
      </x:c>
      <x:c r="E524" s="15" t="str">
        <x:v>ZAR</x:v>
      </x:c>
      <x:c r="F524" s="15" t="str">
        <x:v>Current a/c..512781 / card..0104</x:v>
      </x:c>
      <x:c r="G524" s="15" t="str">
        <x:v>Software / subscriptions</x:v>
      </x:c>
      <x:c r="H524" s="15" t="str">
        <x:v>Card purchase</x:v>
      </x:c>
      <x:c r="I524" s="15" t="str">
        <x:v>High</x:v>
      </x:c>
      <x:c r="J524" s="15" t="str">
        <x:v>eml_ALL_currentac__512781 (2).zip &gt; eml3currentac__512781.zip / FNB _-) R399.00 reserved for purchase @ Openai _chatgpt Subscr+14 from Current a_c..512781 using card..0104. 12Apr 14_42.eml</x:v>
      </x:c>
    </x:row>
    <x:row r="525">
      <x:c r="A525" s="34" t="n">
        <x:v>46125.56736111111</x:v>
      </x:c>
      <x:c r="B525" s="15" t="str">
        <x:v>Kruger Safari 1694</x:v>
      </x:c>
      <x:c r="C525" s="15" t="str">
        <x:v>R3274.00 paid from Current a/c..512781 @ Smartapp. Avail R93140. Ref.Kruger Safari 1694. 13Apr 13:37</x:v>
      </x:c>
      <x:c r="D525" s="38" t="n">
        <x:v>3274</x:v>
      </x:c>
      <x:c r="E525" s="15" t="str">
        <x:v>ZAR</x:v>
      </x:c>
      <x:c r="F525" s="15" t="str">
        <x:v>Current a/c..512781</x:v>
      </x:c>
      <x:c r="G525" s="15" t="str">
        <x:v>Supplier payments</x:v>
      </x:c>
      <x:c r="H525" s="15" t="str">
        <x:v>EFT payment</x:v>
      </x:c>
      <x:c r="I525" s="15" t="str">
        <x:v>High</x:v>
      </x:c>
      <x:c r="J525" s="15" t="str">
        <x:v>eml_ALL_currentac__512781 (2).zip &gt; eml3currentac__512781.zip / FNB _-) R3274.00 paid from Current a_c..512781 @ Smartapp. Ref.Kruger Safari 1694. 13Apr 13_37.eml</x:v>
      </x:c>
    </x:row>
    <x:row r="526">
      <x:c r="A526" s="34" t="n">
        <x:v>46125.84930555556</x:v>
      </x:c>
      <x:c r="B526" s="15" t="str">
        <x:v>Electricity 14503572</x:v>
      </x:c>
      <x:c r="C526" s="15" t="str">
        <x:v>R150.00 paid from Current a/c..512781 @ Smartapp. Avail R92913. Ref.Electricity 14503572. 13Apr 20:23</x:v>
      </x:c>
      <x:c r="D526" s="38" t="n">
        <x:v>150</x:v>
      </x:c>
      <x:c r="E526" s="15" t="str">
        <x:v>ZAR</x:v>
      </x:c>
      <x:c r="F526" s="15" t="str">
        <x:v>Current a/c..512781</x:v>
      </x:c>
      <x:c r="G526" s="15" t="str">
        <x:v>Telecom / utilities</x:v>
      </x:c>
      <x:c r="H526" s="15" t="str">
        <x:v>EFT payment</x:v>
      </x:c>
      <x:c r="I526" s="15" t="str">
        <x:v>High</x:v>
      </x:c>
      <x:c r="J526" s="15" t="str">
        <x:v>eml_ALL_currentac__512781 (2).zip &gt; eml3currentac__512781.zip / FNB _-) R150.00 paid from Current a_c..512781 @ Smartapp. Ref.Electricity 14503572. 13Apr 20_23.eml</x:v>
      </x:c>
    </x:row>
    <x:row r="527">
      <x:c r="A527" s="34" t="n">
        <x:v>46126.37222222222</x:v>
      </x:c>
      <x:c r="B527" s="15" t="str">
        <x:v>Electricity 04294887</x:v>
      </x:c>
      <x:c r="C527" s="15" t="str">
        <x:v>R500.00 paid from Current a/c..512781 @ Smartapp. Avail R92378. Ref.Electricity 04294887. 14Apr 08:56</x:v>
      </x:c>
      <x:c r="D527" s="38" t="n">
        <x:v>500</x:v>
      </x:c>
      <x:c r="E527" s="15" t="str">
        <x:v>ZAR</x:v>
      </x:c>
      <x:c r="F527" s="15" t="str">
        <x:v>Current a/c..512781</x:v>
      </x:c>
      <x:c r="G527" s="15" t="str">
        <x:v>Telecom / utilities</x:v>
      </x:c>
      <x:c r="H527" s="15" t="str">
        <x:v>EFT payment</x:v>
      </x:c>
      <x:c r="I527" s="15" t="str">
        <x:v>High</x:v>
      </x:c>
      <x:c r="J527" s="15" t="str">
        <x:v>eml_ALL_currentac__512781 (2).zip &gt; eml3currentac__512781.zip / FNB _-) R500.00 paid from Current a_c..512781 @ Smartapp. Ref.Electricity 04294887. 14Apr 08_56.eml</x:v>
      </x:c>
    </x:row>
    <x:row r="528">
      <x:c r="A528" s="34" t="n">
        <x:v>46126.50555555556</x:v>
      </x:c>
      <x:c r="B528" s="15" t="str">
        <x:v>Sqsp* Websit</x:v>
      </x:c>
      <x:c r="C528" s="15" t="str">
        <x:v>R632.48 reserved for purchase @ Sqsp* Websit from Current a/c..512781 using card..2924. Avail R91746. 14Apr 12:08</x:v>
      </x:c>
      <x:c r="D528" s="38" t="n">
        <x:v>632.48</x:v>
      </x:c>
      <x:c r="E528" s="15" t="str">
        <x:v>ZAR</x:v>
      </x:c>
      <x:c r="F528" s="15" t="str">
        <x:v>Current a/c..512781 / card..2924</x:v>
      </x:c>
      <x:c r="G528" s="15" t="str">
        <x:v>Software / subscriptions</x:v>
      </x:c>
      <x:c r="H528" s="15" t="str">
        <x:v>Card purchase</x:v>
      </x:c>
      <x:c r="I528" s="15" t="str">
        <x:v>High</x:v>
      </x:c>
      <x:c r="J528" s="15" t="str">
        <x:v>eml_ALL_currentac__512781 (2).zip &gt; eml3currentac__512781.zip / FNB _-) R632.48 reserved for purchase @ Sqsp_ Websit from Current a_c..512781 using card..2924. 14Apr 12_08.eml</x:v>
      </x:c>
    </x:row>
    <x:row r="529">
      <x:c r="A529" s="34" t="n">
        <x:v>46126.55138888889</x:v>
      </x:c>
      <x:c r="B529" s="15" t="str">
        <x:v>Superspar Komatipoor</x:v>
      </x:c>
      <x:c r="C529" s="15" t="str">
        <x:v>R1416.72 reserved for purchase @ Superspar Komatipoor from Current a/c..512781 using card..2924. Avail R90329. 14Apr 13:14</x:v>
      </x:c>
      <x:c r="D529" s="38" t="n">
        <x:v>1416.72</x:v>
      </x:c>
      <x:c r="E529" s="15" t="str">
        <x:v>ZAR</x:v>
      </x:c>
      <x:c r="F529" s="15" t="str">
        <x:v>Current a/c..512781 / card..2924</x:v>
      </x:c>
      <x:c r="G529" s="15" t="str">
        <x:v>Supplier payments</x:v>
      </x:c>
      <x:c r="H529" s="15" t="str">
        <x:v>Card purchase</x:v>
      </x:c>
      <x:c r="I529" s="15" t="str">
        <x:v>High</x:v>
      </x:c>
      <x:c r="J529" s="15" t="str">
        <x:v>eml_ALL_currentac__512781 (2).zip &gt; eml3currentac__512781.zip / FNB _-) R1416.72 reserved for purchase @ Superspar Komatipoor from Current a_c..512781 using card..2924. 14Apr 13_14.eml</x:v>
      </x:c>
    </x:row>
    <x:row r="530">
      <x:c r="A530" s="34" t="n">
        <x:v>46126.57083333333</x:v>
      </x:c>
      <x:c r="B530" s="15" t="str">
        <x:v>Buco Komatipoort 116</x:v>
      </x:c>
      <x:c r="C530" s="15" t="str">
        <x:v>R252.74 reserved for purchase @ Buco Komatipoort 116 from Current a/c..512781 using card..2924. Avail R90076. 14Apr 13:42</x:v>
      </x:c>
      <x:c r="D530" s="38" t="n">
        <x:v>252.74</x:v>
      </x:c>
      <x:c r="E530" s="15" t="str">
        <x:v>ZAR</x:v>
      </x:c>
      <x:c r="F530" s="15" t="str">
        <x:v>Current a/c..512781 / card..2924</x:v>
      </x:c>
      <x:c r="G530" s="15" t="str">
        <x:v>Supplier payments</x:v>
      </x:c>
      <x:c r="H530" s="15" t="str">
        <x:v>Card purchase</x:v>
      </x:c>
      <x:c r="I530" s="15" t="str">
        <x:v>High</x:v>
      </x:c>
      <x:c r="J530" s="15" t="str">
        <x:v>eml_ALL_currentac__512781 (2).zip &gt; eml3currentac__512781.zip / FNB _-) R252.74 reserved for purchase @ Buco Komatipoort 116 from Current a_c..512781 using card..2924. 14Apr 13_42.eml</x:v>
      </x:c>
    </x:row>
    <x:row r="531">
      <x:c r="A531" s="34" t="n">
        <x:v>46127.39027777778</x:v>
      </x:c>
      <x:c r="B531" s="15" t="str">
        <x:v>Electricity 14503572</x:v>
      </x:c>
      <x:c r="C531" s="15" t="str">
        <x:v>R150.00 paid from Current a/c..512781 @ Smartapp. Avail R99038. Ref.Electricity 14503572. 15Apr 09:22</x:v>
      </x:c>
      <x:c r="D531" s="38" t="n">
        <x:v>150</x:v>
      </x:c>
      <x:c r="E531" s="15" t="str">
        <x:v>ZAR</x:v>
      </x:c>
      <x:c r="F531" s="15" t="str">
        <x:v>Current a/c..512781</x:v>
      </x:c>
      <x:c r="G531" s="15" t="str">
        <x:v>Telecom / utilities</x:v>
      </x:c>
      <x:c r="H531" s="15" t="str">
        <x:v>EFT payment</x:v>
      </x:c>
      <x:c r="I531" s="15" t="str">
        <x:v>High</x:v>
      </x:c>
      <x:c r="J531" s="15" t="str">
        <x:v>eml_ALL_currentac__512781 (2).zip &gt; eml3currentac__512781.zip / FNB _-) R150.00 paid from Current a_c..512781 @ Smartapp. Ref.Electricity 14503572. 15Apr 09_22.eml</x:v>
      </x:c>
    </x:row>
    <x:row r="532">
      <x:c r="A532" s="34" t="n">
        <x:v>46127.42222222222</x:v>
      </x:c>
      <x:c r="B532" s="15" t="str">
        <x:v>Printing Signboard</x:v>
      </x:c>
      <x:c r="C532" s="15" t="str">
        <x:v>R600.00 paid from Current a/c..512781 @ Smartapp. Avail R98435. Ref.Printing Signboard. 15Apr 10:08</x:v>
      </x:c>
      <x:c r="D532" s="38" t="n">
        <x:v>600</x:v>
      </x:c>
      <x:c r="E532" s="15" t="str">
        <x:v>ZAR</x:v>
      </x:c>
      <x:c r="F532" s="15" t="str">
        <x:v>Current a/c..512781</x:v>
      </x:c>
      <x:c r="G532" s="15" t="str">
        <x:v>Supplier payments</x:v>
      </x:c>
      <x:c r="H532" s="15" t="str">
        <x:v>EFT payment</x:v>
      </x:c>
      <x:c r="I532" s="15" t="str">
        <x:v>High</x:v>
      </x:c>
      <x:c r="J532" s="15" t="str">
        <x:v>eml_ALL_currentac__512781 (2).zip &gt; eml3currentac__512781.zip / FNB _-) R600.00 paid from Current a_c..512781 @ Smartapp. Ref.Printing Signboard. 15Apr 10_08.eml</x:v>
      </x:c>
    </x:row>
    <x:row r="533">
      <x:c r="A533" s="34" t="n">
        <x:v>46127.427083333336</x:v>
      </x:c>
      <x:c r="B533" s="15" t="str">
        <x:v>Printing Signboard</x:v>
      </x:c>
      <x:c r="C533" s="15" t="str">
        <x:v>R1200.00 paid from Current a/c..512781 @ Gen Ph. Avail R97830. Ref.Printing Signboard. 15Apr 10:15</x:v>
      </x:c>
      <x:c r="D533" s="38" t="n">
        <x:v>1200</x:v>
      </x:c>
      <x:c r="E533" s="15" t="str">
        <x:v>ZAR</x:v>
      </x:c>
      <x:c r="F533" s="15" t="str">
        <x:v>Current a/c..512781</x:v>
      </x:c>
      <x:c r="G533" s="15" t="str">
        <x:v>Supplier payments</x:v>
      </x:c>
      <x:c r="H533" s="15" t="str">
        <x:v>EFT payment</x:v>
      </x:c>
      <x:c r="I533" s="15" t="str">
        <x:v>High</x:v>
      </x:c>
      <x:c r="J533" s="15" t="str">
        <x:v>eml_ALL_currentac__512781 (2).zip &gt; eml3currentac__512781.zip / FNB _-) R1200.00 paid from Current a_c..512781 @ Gen Ph. Ref.Printing Signboard. 15Apr 10_15.eml</x:v>
      </x:c>
    </x:row>
    <x:row r="534">
      <x:c r="A534" s="34" t="n">
        <x:v>46127.629166666666</x:v>
      </x:c>
      <x:c r="B534" s="15" t="str">
        <x:v>Savemor Marloth</x:v>
      </x:c>
      <x:c r="C534" s="15" t="str">
        <x:v>R118.57 reserved for purchase @ Savemor Marloth from Current a/c..512781 using card..2924. Avail R97711. 15Apr 15:06</x:v>
      </x:c>
      <x:c r="D534" s="38" t="n">
        <x:v>118.57</x:v>
      </x:c>
      <x:c r="E534" s="15" t="str">
        <x:v>ZAR</x:v>
      </x:c>
      <x:c r="F534" s="15" t="str">
        <x:v>Current a/c..512781 / card..2924</x:v>
      </x:c>
      <x:c r="G534" s="15" t="str">
        <x:v>Supplier payments</x:v>
      </x:c>
      <x:c r="H534" s="15" t="str">
        <x:v>Card purchase</x:v>
      </x:c>
      <x:c r="I534" s="15" t="str">
        <x:v>High</x:v>
      </x:c>
      <x:c r="J534" s="15" t="str">
        <x:v>eml_ALL_currentac__512781 (2).zip &gt; eml3currentac__512781.zip / FNB _-) R118.57 reserved for purchase @ Savemor Marloth from Current a_c..512781 using card..2924. 15Apr 15_06.eml</x:v>
      </x:c>
    </x:row>
    <x:row r="535">
      <x:c r="A535" s="34" t="n">
        <x:v>46128.37777777778</x:v>
      </x:c>
      <x:c r="B535" s="15" t="str">
        <x:v>Lebombo Washing Mach</x:v>
      </x:c>
      <x:c r="C535" s="15" t="str">
        <x:v>R1250.00 paid from Current a/c..512781 @ Smartapp. Avail R101272. Ref.Lebombo Washing Mach. 16Apr 09:04</x:v>
      </x:c>
      <x:c r="D535" s="38" t="n">
        <x:v>1250</x:v>
      </x:c>
      <x:c r="E535" s="15" t="str">
        <x:v>ZAR</x:v>
      </x:c>
      <x:c r="F535" s="15" t="str">
        <x:v>Current a/c..512781</x:v>
      </x:c>
      <x:c r="G535" s="15" t="str">
        <x:v>Supplier payments</x:v>
      </x:c>
      <x:c r="H535" s="15" t="str">
        <x:v>EFT payment</x:v>
      </x:c>
      <x:c r="I535" s="15" t="str">
        <x:v>High</x:v>
      </x:c>
      <x:c r="J535" s="15" t="str">
        <x:v>eml_ALL_currentac__512781 (2).zip &gt; eml3currentac__512781.zip / FNB _-) R1250.00 paid from Current a_c..512781 @ Smartapp. Ref.Lebombo Washing Mach. 16Apr 09_04.eml</x:v>
      </x:c>
    </x:row>
    <x:row r="536">
      <x:c r="A536" s="34" t="n">
        <x:v>46128.618055555555</x:v>
      </x:c>
      <x:c r="B536" s="15" t="str">
        <x:v>Marlothi Petrol Stat</x:v>
      </x:c>
      <x:c r="C536" s="15" t="str">
        <x:v>R200.00 reserved for purchase @ Marlothi Petrol Stat from Current a/c..512781 using card..2924. Avail R101072. 16Apr 14:50</x:v>
      </x:c>
      <x:c r="D536" s="38" t="n">
        <x:v>200</x:v>
      </x:c>
      <x:c r="E536" s="15" t="str">
        <x:v>ZAR</x:v>
      </x:c>
      <x:c r="F536" s="15" t="str">
        <x:v>Current a/c..512781 / card..2924</x:v>
      </x:c>
      <x:c r="G536" s="15" t="str">
        <x:v>Fuel / transport</x:v>
      </x:c>
      <x:c r="H536" s="15" t="str">
        <x:v>Card purchase</x:v>
      </x:c>
      <x:c r="I536" s="15" t="str">
        <x:v>High</x:v>
      </x:c>
      <x:c r="J536" s="15" t="str">
        <x:v>eml_ALL_currentac__512781 (2).zip &gt; eml3currentac__512781.zip / FNB _-) R200.00 reserved for purchase @ Marlothi Petrol Stat from Current a_c..512781 using card..2924. 16Apr 14_50.eml</x:v>
      </x:c>
    </x:row>
    <x:row r="537">
      <x:c r="A537" s="34" t="n">
        <x:v>46129.25763888889</x:v>
      </x:c>
      <x:c r="B537" s="15" t="str">
        <x:v>Electricity 14503572</x:v>
      </x:c>
      <x:c r="C537" s="15" t="str">
        <x:v>R150.00 paid from Current a/c..512781 @ Smartapp. Avail R100877. Ref.Electricity 14503572. 17Apr 06:11</x:v>
      </x:c>
      <x:c r="D537" s="38" t="n">
        <x:v>150</x:v>
      </x:c>
      <x:c r="E537" s="15" t="str">
        <x:v>ZAR</x:v>
      </x:c>
      <x:c r="F537" s="15" t="str">
        <x:v>Current a/c..512781</x:v>
      </x:c>
      <x:c r="G537" s="15" t="str">
        <x:v>Telecom / utilities</x:v>
      </x:c>
      <x:c r="H537" s="15" t="str">
        <x:v>EFT payment</x:v>
      </x:c>
      <x:c r="I537" s="15" t="str">
        <x:v>High</x:v>
      </x:c>
      <x:c r="J537" s="15" t="str">
        <x:v>eml_ALL_currentac__512781 (2).zip &gt; eml3currentac__512781.zip / FNB _-) R150.00 paid from Current a_c..512781 @ Smartapp. Ref.Electricity 14503572. 17Apr 06_11.eml</x:v>
      </x:c>
    </x:row>
    <x:row r="538">
      <x:c r="A538" s="34" t="n">
        <x:v>46129.44375</x:v>
      </x:c>
      <x:c r="B538" s="15" t="str">
        <x:v>Paystack *zoho Co</x:v>
      </x:c>
      <x:c r="C538" s="15" t="str">
        <x:v>R228.85 reserved for purchase @ Paystack *zoho Co from Current a/c..512781 using card..2924. Avail R100649. 17Apr 10:39</x:v>
      </x:c>
      <x:c r="D538" s="38" t="n">
        <x:v>228.85</x:v>
      </x:c>
      <x:c r="E538" s="15" t="str">
        <x:v>ZAR</x:v>
      </x:c>
      <x:c r="F538" s="15" t="str">
        <x:v>Current a/c..512781 / card..2924</x:v>
      </x:c>
      <x:c r="G538" s="15" t="str">
        <x:v>Software / subscriptions</x:v>
      </x:c>
      <x:c r="H538" s="15" t="str">
        <x:v>Card purchase</x:v>
      </x:c>
      <x:c r="I538" s="15" t="str">
        <x:v>High</x:v>
      </x:c>
      <x:c r="J538" s="15" t="str">
        <x:v>eml_ALL_currentac__512781 (2).zip &gt; eml3currentac__512781.zip / FNB _-) R228.85 reserved for purchase @ Paystack _zoho Co from Current a_c..512781 using card..2924. 17Apr 10_39.eml</x:v>
      </x:c>
    </x:row>
    <x:row r="539">
      <x:c r="A539" s="34" t="n">
        <x:v>46129.51458333333</x:v>
      </x:c>
      <x:c r="B539" s="15" t="str">
        <x:v>Car</x:v>
      </x:c>
      <x:c r="C539" s="15" t="str">
        <x:v>R5000.00 paid from Current a/c..512781 @ Smartapp. Avail R95641. Ref.Car. 17Apr 12:21</x:v>
      </x:c>
      <x:c r="D539" s="38" t="n">
        <x:v>5000</x:v>
      </x:c>
      <x:c r="E539" s="15" t="str">
        <x:v>ZAR</x:v>
      </x:c>
      <x:c r="F539" s="15" t="str">
        <x:v>Current a/c..512781</x:v>
      </x:c>
      <x:c r="G539" s="15" t="str">
        <x:v>Supplier payments</x:v>
      </x:c>
      <x:c r="H539" s="15" t="str">
        <x:v>EFT payment</x:v>
      </x:c>
      <x:c r="I539" s="15" t="str">
        <x:v>High</x:v>
      </x:c>
      <x:c r="J539" s="15" t="str">
        <x:v>eml_ALL_currentac__512781 (2).zip &gt; eml3currentac__512781.zip / FNB _-) R5000.00 paid from Current a_c..512781 @ Smartapp. Ref.Car. 17Apr 12_21.eml</x:v>
      </x:c>
    </x:row>
    <x:row r="540">
      <x:c r="A540" s="34" t="n">
        <x:v>46129.93402777778</x:v>
      </x:c>
      <x:c r="B540" s="15" t="str">
        <x:v>Openai *chatgpt Subscr+14</x:v>
      </x:c>
      <x:c r="C540" s="15" t="str">
        <x:v>R1511.34 reserved for purchase @ Openai *chatgpt Subscr+14 from Current a/c..512781 using card..0104. Avail R94129. 17Apr 22:25</x:v>
      </x:c>
      <x:c r="D540" s="38" t="n">
        <x:v>1511.34</x:v>
      </x:c>
      <x:c r="E540" s="15" t="str">
        <x:v>ZAR</x:v>
      </x:c>
      <x:c r="F540" s="15" t="str">
        <x:v>Current a/c..512781 / card..0104</x:v>
      </x:c>
      <x:c r="G540" s="15" t="str">
        <x:v>Software / subscriptions</x:v>
      </x:c>
      <x:c r="H540" s="15" t="str">
        <x:v>Card purchase</x:v>
      </x:c>
      <x:c r="I540" s="15" t="str">
        <x:v>High</x:v>
      </x:c>
      <x:c r="J540" s="15" t="str">
        <x:v>eml_ALL_currentac__512781 (2).zip &gt; eml3currentac__512781.zip / FNB _-) R1511.34 reserved for purchase @ Openai _chatgpt Subscr+14 from Current a_c..512781 using card..0104. 17Apr 22_25.eml</x:v>
      </x:c>
    </x:row>
    <x:row r="541">
      <x:c r="A541" s="34" t="n">
        <x:v>46130.47638888889</x:v>
      </x:c>
      <x:c r="B541" s="15" t="str">
        <x:v>Buco Komatipoort 116</x:v>
      </x:c>
      <x:c r="C541" s="15" t="str">
        <x:v>R579.00 reserved for purchase @ Buco Komatipoort 116 from Current a/c..512781 using card..2924. Avail R99633. 18Apr 11:26</x:v>
      </x:c>
      <x:c r="D541" s="38" t="n">
        <x:v>579</x:v>
      </x:c>
      <x:c r="E541" s="15" t="str">
        <x:v>ZAR</x:v>
      </x:c>
      <x:c r="F541" s="15" t="str">
        <x:v>Current a/c..512781 / card..2924</x:v>
      </x:c>
      <x:c r="G541" s="15" t="str">
        <x:v>Supplier payments</x:v>
      </x:c>
      <x:c r="H541" s="15" t="str">
        <x:v>Card purchase</x:v>
      </x:c>
      <x:c r="I541" s="15" t="str">
        <x:v>High</x:v>
      </x:c>
      <x:c r="J541" s="15" t="str">
        <x:v>eml_ALL_currentac__512781 (2).zip &gt; eml3currentac__512781.zip / FNB _-) R579.00 reserved for purchase @ Buco Komatipoort 116 from Current a_c..512781 using card..2924. 18Apr 11_26.eml</x:v>
      </x:c>
    </x:row>
    <x:row r="542">
      <x:c r="A542" s="34" t="n">
        <x:v>46130.509722222225</x:v>
      </x:c>
      <x:c r="B542" s="15" t="str">
        <x:v>Superspar Komatipoor</x:v>
      </x:c>
      <x:c r="C542" s="15" t="str">
        <x:v>R1093.90 reserved for purchase @ Superspar Komatipoor from Current a/c..512781 using card..2924. Avail R98539. 18Apr 12:14</x:v>
      </x:c>
      <x:c r="D542" s="38" t="n">
        <x:v>1093.9</x:v>
      </x:c>
      <x:c r="E542" s="15" t="str">
        <x:v>ZAR</x:v>
      </x:c>
      <x:c r="F542" s="15" t="str">
        <x:v>Current a/c..512781 / card..2924</x:v>
      </x:c>
      <x:c r="G542" s="15" t="str">
        <x:v>Supplier payments</x:v>
      </x:c>
      <x:c r="H542" s="15" t="str">
        <x:v>Card purchase</x:v>
      </x:c>
      <x:c r="I542" s="15" t="str">
        <x:v>High</x:v>
      </x:c>
      <x:c r="J542" s="15" t="str">
        <x:v>eml_ALL_currentac__512781 (2).zip &gt; eml3currentac__512781.zip / FNB _-) R1093.90 reserved for purchase @ Superspar Komatipoor from Current a_c..512781 using card..2924. 18Apr 12_14.eml</x:v>
      </x:c>
    </x:row>
    <x:row r="543">
      <x:c r="A543" s="34" t="n">
        <x:v>46131.555555555555</x:v>
      </x:c>
      <x:c r="B543" s="15" t="str">
        <x:v>Savemor Marloth</x:v>
      </x:c>
      <x:c r="C543" s="15" t="str">
        <x:v>R329.98 reserved for purchase @ Savemor Marloth from Current a/c..512781 using card..2924. Avail R98209. 19Apr 13:20</x:v>
      </x:c>
      <x:c r="D543" s="38" t="n">
        <x:v>329.98</x:v>
      </x:c>
      <x:c r="E543" s="15" t="str">
        <x:v>ZAR</x:v>
      </x:c>
      <x:c r="F543" s="15" t="str">
        <x:v>Current a/c..512781 / card..2924</x:v>
      </x:c>
      <x:c r="G543" s="15" t="str">
        <x:v>Supplier payments</x:v>
      </x:c>
      <x:c r="H543" s="15" t="str">
        <x:v>Card purchase</x:v>
      </x:c>
      <x:c r="I543" s="15" t="str">
        <x:v>High</x:v>
      </x:c>
      <x:c r="J543" s="15" t="str">
        <x:v>eml_ALL_currentac__512781 (2).zip &gt; eml3currentac__512781.zip / FNB _-) R329.98 reserved for purchase @ Savemor Marloth from Current a_c..512781 using card..2924. 19Apr 13_20.eml</x:v>
      </x:c>
    </x:row>
    <x:row r="544">
      <x:c r="A544" s="34" t="n">
        <x:v>46132.854166666664</x:v>
      </x:c>
      <x:c r="B544" s="15" t="str">
        <x:v>Electricity 14503572</x:v>
      </x:c>
      <x:c r="C544" s="15" t="str">
        <x:v>R150.00 paid from Current a/c..512781 @ Smartapp. Avail R71512. Ref.Electricity 14503572. 20Apr 20:30</x:v>
      </x:c>
      <x:c r="D544" s="38" t="n">
        <x:v>150</x:v>
      </x:c>
      <x:c r="E544" s="15" t="str">
        <x:v>ZAR</x:v>
      </x:c>
      <x:c r="F544" s="15" t="str">
        <x:v>Current a/c..512781</x:v>
      </x:c>
      <x:c r="G544" s="15" t="str">
        <x:v>Telecom / utilities</x:v>
      </x:c>
      <x:c r="H544" s="15" t="str">
        <x:v>EFT payment</x:v>
      </x:c>
      <x:c r="I544" s="15" t="str">
        <x:v>High</x:v>
      </x:c>
      <x:c r="J544" s="15" t="str">
        <x:v>eml_ALL_currentac__512781 (2).zip &gt; eml3currentac__512781.zip / FNB _-) R150.00 paid from Current a_c..512781 @ Smartapp. Ref.Electricity 14503572. 20Apr 20_30.eml</x:v>
      </x:c>
    </x:row>
    <x:row r="545">
      <x:c r="A545" s="34" t="n">
        <x:v>46132.927083333336</x:v>
      </x:c>
      <x:c r="B545" s="15" t="str">
        <x:v>Electricity 14503572</x:v>
      </x:c>
      <x:c r="C545" s="15" t="str">
        <x:v>R150.00 paid from Current a/c..512781 @ Smartapp. Avail R71362. Ref.Electricity 14503572. 20Apr 22:15</x:v>
      </x:c>
      <x:c r="D545" s="38" t="n">
        <x:v>150</x:v>
      </x:c>
      <x:c r="E545" s="15" t="str">
        <x:v>ZAR</x:v>
      </x:c>
      <x:c r="F545" s="15" t="str">
        <x:v>Current a/c..512781</x:v>
      </x:c>
      <x:c r="G545" s="15" t="str">
        <x:v>Telecom / utilities</x:v>
      </x:c>
      <x:c r="H545" s="15" t="str">
        <x:v>EFT payment</x:v>
      </x:c>
      <x:c r="I545" s="15" t="str">
        <x:v>High</x:v>
      </x:c>
      <x:c r="J545" s="15" t="str">
        <x:v>eml_ALL_currentac__512781 (2).zip &gt; eml3currentac__512781.zip / FNB _-) R150.00 paid from Current a_c..512781 @ Smartapp. Ref.Electricity 14503572. 20Apr 22_15.eml</x:v>
      </x:c>
    </x:row>
    <x:row r="546">
      <x:c r="A546" s="34" t="n">
        <x:v>46133.39444444444</x:v>
      </x:c>
      <x:c r="B546" s="15" t="str">
        <x:v>Toppies Hardware 66</x:v>
      </x:c>
      <x:c r="C546" s="15" t="str">
        <x:v>R2015.02 reserved for purchase @ Toppies Hardware 66 from Current a/c..512781 using card..2924. Avail R69340. 21Apr 09:28</x:v>
      </x:c>
      <x:c r="D546" s="38" t="n">
        <x:v>2015.02</x:v>
      </x:c>
      <x:c r="E546" s="15" t="str">
        <x:v>ZAR</x:v>
      </x:c>
      <x:c r="F546" s="15" t="str">
        <x:v>Current a/c..512781 / card..2924</x:v>
      </x:c>
      <x:c r="G546" s="15" t="str">
        <x:v>Supplier payments</x:v>
      </x:c>
      <x:c r="H546" s="15" t="str">
        <x:v>Card purchase</x:v>
      </x:c>
      <x:c r="I546" s="15" t="str">
        <x:v>High</x:v>
      </x:c>
      <x:c r="J546" s="15" t="str">
        <x:v>eml_ALL_currentac__512781 (2).zip &gt; eml3currentac__512781.zip / FNB _-) R2015.02 reserved for purchase @ Toppies Hardware 66 from Current a_c..512781 using card..2924. 21Apr 09_28.eml</x:v>
      </x:c>
    </x:row>
    <x:row r="547">
      <x:c r="A547" s="34" t="n">
        <x:v>46133.498611111114</x:v>
      </x:c>
      <x:c r="B547" s="15" t="str">
        <x:v>Superspar Komatipoor</x:v>
      </x:c>
      <x:c r="C547" s="15" t="str">
        <x:v>R1854.99 reserved for purchase @ Superspar Komatipoor from Current a/c..512781 using card..2924. Avail R67485. 21Apr 11:58</x:v>
      </x:c>
      <x:c r="D547" s="38" t="n">
        <x:v>1854.99</x:v>
      </x:c>
      <x:c r="E547" s="15" t="str">
        <x:v>ZAR</x:v>
      </x:c>
      <x:c r="F547" s="15" t="str">
        <x:v>Current a/c..512781 / card..2924</x:v>
      </x:c>
      <x:c r="G547" s="15" t="str">
        <x:v>Supplier payments</x:v>
      </x:c>
      <x:c r="H547" s="15" t="str">
        <x:v>Card purchase</x:v>
      </x:c>
      <x:c r="I547" s="15" t="str">
        <x:v>High</x:v>
      </x:c>
      <x:c r="J547" s="15" t="str">
        <x:v>eml_ALL_currentac__512781 (2).zip &gt; eml3currentac__512781.zip / FNB _-) R1854.99 reserved for purchase @ Superspar Komatipoor from Current a_c..512781 using card..2924. 21Apr 11_58.eml</x:v>
      </x:c>
    </x:row>
    <x:row r="548">
      <x:c r="A548" s="34" t="n">
        <x:v>46133.50347222222</x:v>
      </x:c>
      <x:c r="B548" s="15" t="str">
        <x:v>Tops Komatipoort</x:v>
      </x:c>
      <x:c r="C548" s="15" t="str">
        <x:v>R194.97 reserved for purchase @ Tops Komatipoort from Current a/c..512781 using card..2924. Avail R67290. 21Apr 12:05</x:v>
      </x:c>
      <x:c r="D548" s="38" t="n">
        <x:v>194.97</x:v>
      </x:c>
      <x:c r="E548" s="15" t="str">
        <x:v>ZAR</x:v>
      </x:c>
      <x:c r="F548" s="15" t="str">
        <x:v>Current a/c..512781 / card..2924</x:v>
      </x:c>
      <x:c r="G548" s="15" t="str">
        <x:v>Meals / restaurants / entertainment</x:v>
      </x:c>
      <x:c r="H548" s="15" t="str">
        <x:v>Card purchase</x:v>
      </x:c>
      <x:c r="I548" s="15" t="str">
        <x:v>High</x:v>
      </x:c>
      <x:c r="J548" s="15" t="str">
        <x:v>eml_ALL_currentac__512781 (2).zip &gt; eml3currentac__512781.zip / FNB _-) R194.97 reserved for purchase @ Tops Komatipoort from Current a_c..512781 using card..2924. 21Apr 12_05.eml</x:v>
      </x:c>
    </x:row>
    <x:row r="549">
      <x:c r="A549" s="34" t="n">
        <x:v>46133.67222222222</x:v>
      </x:c>
      <x:c r="B549" s="15" t="str">
        <x:v>Lebombo Washing Mach</x:v>
      </x:c>
      <x:c r="C549" s="15" t="str">
        <x:v>R550.00 paid from Current a/c..512781 @ Smartapp. Avail R66682. Ref.Lebombo Washing Mach. 21Apr 16:08</x:v>
      </x:c>
      <x:c r="D549" s="38" t="n">
        <x:v>550</x:v>
      </x:c>
      <x:c r="E549" s="15" t="str">
        <x:v>ZAR</x:v>
      </x:c>
      <x:c r="F549" s="15" t="str">
        <x:v>Current a/c..512781</x:v>
      </x:c>
      <x:c r="G549" s="15" t="str">
        <x:v>Supplier payments</x:v>
      </x:c>
      <x:c r="H549" s="15" t="str">
        <x:v>EFT payment</x:v>
      </x:c>
      <x:c r="I549" s="15" t="str">
        <x:v>High</x:v>
      </x:c>
      <x:c r="J549" s="15" t="str">
        <x:v>eml_ALL_currentac__512781 (2).zip &gt; eml3currentac__512781.zip / FNB _-) R550.00 paid from Current a_c..512781 @ Smartapp. Ref.Lebombo Washing Mach. 21Apr 16_08.eml</x:v>
      </x:c>
    </x:row>
    <x:row r="550">
      <x:c r="A550" s="34" t="n">
        <x:v>46134.38680555556</x:v>
      </x:c>
      <x:c r="B550" s="15" t="str">
        <x:v>Deon"s Diy 19/04</x:v>
      </x:c>
      <x:c r="C550" s="15" t="str">
        <x:v>R850.00 paid from Current a/c..512781 @ Smartapp. Avail R65820. Ref.Deon"s Diy 19/04. 22Apr 09:17</x:v>
      </x:c>
      <x:c r="D550" s="38" t="n">
        <x:v>850</x:v>
      </x:c>
      <x:c r="E550" s="15" t="str">
        <x:v>ZAR</x:v>
      </x:c>
      <x:c r="F550" s="15" t="str">
        <x:v>Current a/c..512781</x:v>
      </x:c>
      <x:c r="G550" s="15" t="str">
        <x:v>Supplier payments</x:v>
      </x:c>
      <x:c r="H550" s="15" t="str">
        <x:v>EFT payment</x:v>
      </x:c>
      <x:c r="I550" s="15" t="str">
        <x:v>High</x:v>
      </x:c>
      <x:c r="J550" s="15" t="str">
        <x:v>eml_ALL_currentac__512781 (2).zip &gt; eml3currentac__512781.zip / FNB _-) R850.00 paid from Current a_c..512781 @ Smartapp. Ref.Deon_s Diy 19_04. 22Apr 09_17.eml</x:v>
      </x:c>
    </x:row>
    <x:row r="551">
      <x:c r="A551" s="34" t="n">
        <x:v>46134.388194444444</x:v>
      </x:c>
      <x:c r="B551" s="15" t="str">
        <x:v>Kruger Safari 1695</x:v>
      </x:c>
      <x:c r="C551" s="15" t="str">
        <x:v>R3966.60 paid from Current a/c..512781 @ Smartapp. Avail R61851. Ref.Kruger Safari 1695. 22Apr 09:19</x:v>
      </x:c>
      <x:c r="D551" s="38" t="n">
        <x:v>3966.6</x:v>
      </x:c>
      <x:c r="E551" s="15" t="str">
        <x:v>ZAR</x:v>
      </x:c>
      <x:c r="F551" s="15" t="str">
        <x:v>Current a/c..512781</x:v>
      </x:c>
      <x:c r="G551" s="15" t="str">
        <x:v>Supplier payments</x:v>
      </x:c>
      <x:c r="H551" s="15" t="str">
        <x:v>EFT payment</x:v>
      </x:c>
      <x:c r="I551" s="15" t="str">
        <x:v>High</x:v>
      </x:c>
      <x:c r="J551" s="15" t="str">
        <x:v>eml_ALL_currentac__512781 (2).zip &gt; eml3currentac__512781.zip / FNB _-) R3966.60 paid from Current a_c..512781 @ Smartapp. Ref.Kruger Safari 1695. 22Apr 09_19.eml</x:v>
      </x:c>
    </x:row>
    <x:row r="552">
      <x:c r="A552" s="34" t="n">
        <x:v>46134.38888888889</x:v>
      </x:c>
      <x:c r="B552" s="15" t="str">
        <x:v>Stratton Prop Mng</x:v>
      </x:c>
      <x:c r="C552" s="15" t="str">
        <x:v>R7656.01 paid from Current a/c..512781 @ Smartapp. Avail R54187. Ref.Stratton Prop Mng. 22Apr 09:20</x:v>
      </x:c>
      <x:c r="D552" s="38" t="n">
        <x:v>7656.01</x:v>
      </x:c>
      <x:c r="E552" s="15" t="str">
        <x:v>ZAR</x:v>
      </x:c>
      <x:c r="F552" s="15" t="str">
        <x:v>Current a/c..512781</x:v>
      </x:c>
      <x:c r="G552" s="15" t="str">
        <x:v>Supplier payments</x:v>
      </x:c>
      <x:c r="H552" s="15" t="str">
        <x:v>EFT payment</x:v>
      </x:c>
      <x:c r="I552" s="15" t="str">
        <x:v>High</x:v>
      </x:c>
      <x:c r="J552" s="15" t="str">
        <x:v>eml_ALL_currentac__512781 (2).zip &gt; eml3currentac__512781.zip / FNB _-) R7656.01 paid from Current a_c..512781 @ Smartapp. Ref.Stratton Prop Mng. 22Apr 09_20.eml</x:v>
      </x:c>
    </x:row>
    <x:row r="553">
      <x:c r="A553" s="34" t="n">
        <x:v>46134.63333333333</x:v>
      </x:c>
      <x:c r="B553" s="15" t="str">
        <x:v>Savemor Marloth</x:v>
      </x:c>
      <x:c r="C553" s="15" t="str">
        <x:v>R333.37 reserved for purchase @ Savemor Marloth from Current a/c..512781 using card..2924. Avail R53853. 22Apr 15:12</x:v>
      </x:c>
      <x:c r="D553" s="38" t="n">
        <x:v>333.37</x:v>
      </x:c>
      <x:c r="E553" s="15" t="str">
        <x:v>ZAR</x:v>
      </x:c>
      <x:c r="F553" s="15" t="str">
        <x:v>Current a/c..512781 / card..2924</x:v>
      </x:c>
      <x:c r="G553" s="15" t="str">
        <x:v>Supplier payments</x:v>
      </x:c>
      <x:c r="H553" s="15" t="str">
        <x:v>Card purchase</x:v>
      </x:c>
      <x:c r="I553" s="15" t="str">
        <x:v>High</x:v>
      </x:c>
      <x:c r="J553" s="15" t="str">
        <x:v>eml_ALL_currentac__512781 (2).zip &gt; eml3currentac__512781.zip / FNB _-) R333.37 reserved for purchase @ Savemor Marloth from Current a_c..512781 using card..2924. 22Apr 15_12.eml</x:v>
      </x:c>
    </x:row>
    <x:row r="554">
      <x:c r="A554" s="34" t="n">
        <x:v>46134.64791666667</x:v>
      </x:c>
      <x:c r="B554" s="15" t="str">
        <x:v>Marlothi Petrol Stat</x:v>
      </x:c>
      <x:c r="C554" s="15" t="str">
        <x:v>R200.00 reserved for purchase @ Marlothi Petrol Stat from Current a/c..512781 using card..2924. Avail R53653. 22Apr 15:33</x:v>
      </x:c>
      <x:c r="D554" s="38" t="n">
        <x:v>200</x:v>
      </x:c>
      <x:c r="E554" s="15" t="str">
        <x:v>ZAR</x:v>
      </x:c>
      <x:c r="F554" s="15" t="str">
        <x:v>Current a/c..512781 / card..2924</x:v>
      </x:c>
      <x:c r="G554" s="15" t="str">
        <x:v>Fuel / transport</x:v>
      </x:c>
      <x:c r="H554" s="15" t="str">
        <x:v>Card purchase</x:v>
      </x:c>
      <x:c r="I554" s="15" t="str">
        <x:v>High</x:v>
      </x:c>
      <x:c r="J554" s="15" t="str">
        <x:v>eml_ALL_currentac__512781 (2).zip &gt; eml3currentac__512781.zip / FNB _-) R200.00 reserved for purchase @ Marlothi Petrol Stat from Current a_c..512781 using card..2924. 22Apr 15_33.eml</x:v>
      </x:c>
    </x:row>
    <x:row r="555">
      <x:c r="A555" s="34" t="n">
        <x:v>46134.72222222222</x:v>
      </x:c>
      <x:c r="B555" s="15" t="str">
        <x:v>Electricity 04294887</x:v>
      </x:c>
      <x:c r="C555" s="15" t="str">
        <x:v>R500.00 paid from Current a/c..512781 @ Smartapp. Avail R53151. Ref.Electricity 04294887. 22Apr 17:20</x:v>
      </x:c>
      <x:c r="D555" s="38" t="n">
        <x:v>500</x:v>
      </x:c>
      <x:c r="E555" s="15" t="str">
        <x:v>ZAR</x:v>
      </x:c>
      <x:c r="F555" s="15" t="str">
        <x:v>Current a/c..512781</x:v>
      </x:c>
      <x:c r="G555" s="15" t="str">
        <x:v>Telecom / utilities</x:v>
      </x:c>
      <x:c r="H555" s="15" t="str">
        <x:v>EFT payment</x:v>
      </x:c>
      <x:c r="I555" s="15" t="str">
        <x:v>High</x:v>
      </x:c>
      <x:c r="J555" s="15" t="str">
        <x:v>eml_ALL_currentac__512781 (2).zip &gt; eml3currentac__512781.zip / FNB _-) R500.00 paid from Current a_c..512781 @ Smartapp. Ref.Electricity 04294887. 22Apr 17_20.eml</x:v>
      </x:c>
    </x:row>
    <x:row r="556">
      <x:c r="A556" s="34" t="n">
        <x:v>46134.7375</x:v>
      </x:c>
      <x:c r="B556" s="15" t="str">
        <x:v>Electricity 04294887</x:v>
      </x:c>
      <x:c r="C556" s="15" t="str">
        <x:v>R500.00 paid from Current a/c..512781 @ Smartapp. Avail R53151. Ref.Electricity 04294887. 22Apr 17:42</x:v>
      </x:c>
      <x:c r="D556" s="38" t="n">
        <x:v>500</x:v>
      </x:c>
      <x:c r="E556" s="15" t="str">
        <x:v>ZAR</x:v>
      </x:c>
      <x:c r="F556" s="15" t="str">
        <x:v>Current a/c..512781</x:v>
      </x:c>
      <x:c r="G556" s="15" t="str">
        <x:v>Telecom / utilities</x:v>
      </x:c>
      <x:c r="H556" s="15" t="str">
        <x:v>EFT payment</x:v>
      </x:c>
      <x:c r="I556" s="15" t="str">
        <x:v>High</x:v>
      </x:c>
      <x:c r="J556" s="15" t="str">
        <x:v>eml_ALL_currentac__512781 (2).zip &gt; eml3currentac__512781.zip / FNB _-) R500.00 paid from Current a_c..512781 @ Smartapp. Ref.Electricity 04294887. 22Apr 17_42.eml</x:v>
      </x:c>
    </x:row>
    <x:row r="557">
      <x:c r="A557" s="34" t="n">
        <x:v>46135.51527777778</x:v>
      </x:c>
      <x:c r="B557" s="15" t="str">
        <x:v>Shoprite Komatipoort</x:v>
      </x:c>
      <x:c r="C557" s="15" t="str">
        <x:v>R831.04 reserved for purchase @ Shoprite Komatipoort from Current a/c..512781 using card..2924. Avail R59600. 23Apr 12:22</x:v>
      </x:c>
      <x:c r="D557" s="38" t="n">
        <x:v>831.04</x:v>
      </x:c>
      <x:c r="E557" s="15" t="str">
        <x:v>ZAR</x:v>
      </x:c>
      <x:c r="F557" s="15" t="str">
        <x:v>Current a/c..512781 / card..2924</x:v>
      </x:c>
      <x:c r="G557" s="15" t="str">
        <x:v>Supplier payments</x:v>
      </x:c>
      <x:c r="H557" s="15" t="str">
        <x:v>Card purchase</x:v>
      </x:c>
      <x:c r="I557" s="15" t="str">
        <x:v>High</x:v>
      </x:c>
      <x:c r="J557" s="15" t="str">
        <x:v>eml_ALL_currentac__512781 (2).zip &gt; eml3currentac__512781.zip / FNB _-) R831.04 reserved for purchase @ Shoprite Komatipoort from Current a_c..512781 using card..2924. 23Apr 12_22.eml</x:v>
      </x:c>
    </x:row>
    <x:row r="558">
      <x:c r="A558" s="34" t="n">
        <x:v>46135.51597222222</x:v>
      </x:c>
      <x:c r="B558" s="15" t="str">
        <x:v>Car Deposit</x:v>
      </x:c>
      <x:c r="C558" s="15" t="str">
        <x:v>R5000.00 paid from Current a/c..512781 @ Smartapp. Avail R54592. Ref.Car Deposit. 23Apr 12:23</x:v>
      </x:c>
      <x:c r="D558" s="38" t="n">
        <x:v>5000</x:v>
      </x:c>
      <x:c r="E558" s="15" t="str">
        <x:v>ZAR</x:v>
      </x:c>
      <x:c r="F558" s="15" t="str">
        <x:v>Current a/c..512781</x:v>
      </x:c>
      <x:c r="G558" s="15" t="str">
        <x:v>Supplier payments</x:v>
      </x:c>
      <x:c r="H558" s="15" t="str">
        <x:v>EFT payment</x:v>
      </x:c>
      <x:c r="I558" s="15" t="str">
        <x:v>High</x:v>
      </x:c>
      <x:c r="J558" s="15" t="str">
        <x:v>eml_ALL_currentac__512781 (2).zip &gt; eml3currentac__512781.zip / FNB _-) R5000.00 paid from Current a_c..512781 @ Smartapp. Ref.Car Deposit. 23Apr 12_23.eml</x:v>
      </x:c>
    </x:row>
    <x:row r="559">
      <x:c r="A559" s="34" t="n">
        <x:v>46135.527083333334</x:v>
      </x:c>
      <x:c r="B559" s="15" t="str">
        <x:v>Agrico Pty Ltd</x:v>
      </x:c>
      <x:c r="C559" s="15" t="str">
        <x:v>R304.29 reserved for purchase @ Agrico Pty Ltd from Current a/c..512781 using card..2924. Avail R54288. 23Apr 12:39</x:v>
      </x:c>
      <x:c r="D559" s="38" t="n">
        <x:v>304.29</x:v>
      </x:c>
      <x:c r="E559" s="15" t="str">
        <x:v>ZAR</x:v>
      </x:c>
      <x:c r="F559" s="15" t="str">
        <x:v>Current a/c..512781 / card..2924</x:v>
      </x:c>
      <x:c r="G559" s="15" t="str">
        <x:v>Supplier payments</x:v>
      </x:c>
      <x:c r="H559" s="15" t="str">
        <x:v>Card purchase</x:v>
      </x:c>
      <x:c r="I559" s="15" t="str">
        <x:v>High</x:v>
      </x:c>
      <x:c r="J559" s="15" t="str">
        <x:v>eml_ALL_currentac__512781 (2).zip &gt; eml3currentac__512781.zip / FNB _-) R304.29 reserved for purchase @ Agrico Pty Ltd from Current a_c..512781 using card..2924. 23Apr 12_39.eml</x:v>
      </x:c>
    </x:row>
    <x:row r="560">
      <x:c r="A560" s="34" t="n">
        <x:v>46135.56319444445</x:v>
      </x:c>
      <x:c r="B560" s="15" t="str">
        <x:v>Tops Komatipoort</x:v>
      </x:c>
      <x:c r="C560" s="15" t="str">
        <x:v>R273.99 reserved for purchase @ Tops Komatipoort from Current a/c..512781 using card..2924. Avail R53459. 23Apr 13:31</x:v>
      </x:c>
      <x:c r="D560" s="38" t="n">
        <x:v>273.99</x:v>
      </x:c>
      <x:c r="E560" s="15" t="str">
        <x:v>ZAR</x:v>
      </x:c>
      <x:c r="F560" s="15" t="str">
        <x:v>Current a/c..512781 / card..2924</x:v>
      </x:c>
      <x:c r="G560" s="15" t="str">
        <x:v>Meals / restaurants / entertainment</x:v>
      </x:c>
      <x:c r="H560" s="15" t="str">
        <x:v>Card purchase</x:v>
      </x:c>
      <x:c r="I560" s="15" t="str">
        <x:v>High</x:v>
      </x:c>
      <x:c r="J560" s="15" t="str">
        <x:v>eml_ALL_currentac__512781 (2).zip &gt; eml3currentac__512781.zip / FNB _-) R273.99 reserved for purchase @ Tops Komatipoort from Current a_c..512781 using card..2924. 23Apr 13_31.eml</x:v>
      </x:c>
    </x:row>
    <x:row r="561">
      <x:c r="A561" s="34" t="n">
        <x:v>46135.83611111111</x:v>
      </x:c>
      <x:c r="B561" s="15" t="str">
        <x:v>The Tin Shack</x:v>
      </x:c>
      <x:c r="C561" s="15" t="str">
        <x:v>R503.00 reserved for purchase @ The Tin Shack from Current a/c..512781 using card..2924. Avail R52956. 23Apr 20:04</x:v>
      </x:c>
      <x:c r="D561" s="38" t="n">
        <x:v>503</x:v>
      </x:c>
      <x:c r="E561" s="15" t="str">
        <x:v>ZAR</x:v>
      </x:c>
      <x:c r="F561" s="15" t="str">
        <x:v>Current a/c..512781 / card..2924</x:v>
      </x:c>
      <x:c r="G561" s="15" t="str">
        <x:v>Meals / restaurants / entertainment</x:v>
      </x:c>
      <x:c r="H561" s="15" t="str">
        <x:v>Card purchase</x:v>
      </x:c>
      <x:c r="I561" s="15" t="str">
        <x:v>High</x:v>
      </x:c>
      <x:c r="J561" s="15" t="str">
        <x:v>eml_ALL_currentac__512781 (2).zip &gt; eml3currentac__512781.zip / FNB _-) R503.00 reserved for purchase @ The Tin Shack from Current a_c..512781 using card..2924. 23Apr 20_04.eml</x:v>
      </x:c>
    </x:row>
    <x:row r="562">
      <x:c r="A562" s="34" t="n">
        <x:v>46136.62291666667</x:v>
      </x:c>
      <x:c r="B562" s="15" t="str">
        <x:v>Savemor Marloth</x:v>
      </x:c>
      <x:c r="C562" s="15" t="str">
        <x:v>R269.99 reserved for purchase @ Savemor Marloth from Current a/c..512781 using card..2924. Avail R52659. 24Apr 14:57</x:v>
      </x:c>
      <x:c r="D562" s="38" t="n">
        <x:v>269.99</x:v>
      </x:c>
      <x:c r="E562" s="15" t="str">
        <x:v>ZAR</x:v>
      </x:c>
      <x:c r="F562" s="15" t="str">
        <x:v>Current a/c..512781 / card..2924</x:v>
      </x:c>
      <x:c r="G562" s="15" t="str">
        <x:v>Supplier payments</x:v>
      </x:c>
      <x:c r="H562" s="15" t="str">
        <x:v>Card purchase</x:v>
      </x:c>
      <x:c r="I562" s="15" t="str">
        <x:v>High</x:v>
      </x:c>
      <x:c r="J562" s="15" t="str">
        <x:v>eml_ALL_currentac__512781 (2).zip &gt; eml3currentac__512781.zip / FNB _-) R269.99 reserved for purchase @ Savemor Marloth from Current a_c..512781 using card..2924. 24Apr 14_57.eml</x:v>
      </x:c>
    </x:row>
    <x:row r="563">
      <x:c r="A563" s="34" t="n">
        <x:v>46136.73055555556</x:v>
      </x:c>
      <x:c r="B563" s="15" t="str">
        <x:v>Sakkie Wages</x:v>
      </x:c>
      <x:c r="C563" s="15" t="str">
        <x:v>R2500.00 paid from Current a/c..512781 @ Smartapp. Avail R50151. Ref.Sakkie Wages. 24Apr 17:32</x:v>
      </x:c>
      <x:c r="D563" s="38" t="n">
        <x:v>2500</x:v>
      </x:c>
      <x:c r="E563" s="15" t="str">
        <x:v>ZAR</x:v>
      </x:c>
      <x:c r="F563" s="15" t="str">
        <x:v>Current a/c..512781</x:v>
      </x:c>
      <x:c r="G563" s="15" t="str">
        <x:v>Salary / wages</x:v>
      </x:c>
      <x:c r="H563" s="15" t="str">
        <x:v>EFT payment</x:v>
      </x:c>
      <x:c r="I563" s="15" t="str">
        <x:v>High</x:v>
      </x:c>
      <x:c r="J563" s="15" t="str">
        <x:v>eml_ALL_currentac__512781 (2).zip &gt; eml3currentac__512781.zip / FNB _-) R2500.00 paid from Current a_c..512781 @ Smartapp. Ref.Sakkie Wages. 24Apr 17_32.eml</x:v>
      </x:c>
    </x:row>
    <x:row r="564">
      <x:c r="A564" s="34" t="n">
        <x:v>46137.493055555555</x:v>
      </x:c>
      <x:c r="B564" s="15" t="str">
        <x:v>Shoprite Komatipoort</x:v>
      </x:c>
      <x:c r="C564" s="15" t="str">
        <x:v>R523.48 reserved for purchase @ Shoprite Komatipoort from Current a/c..512781 using card..2924. Avail R49611. 25Apr 11:50</x:v>
      </x:c>
      <x:c r="D564" s="38" t="n">
        <x:v>523.48</x:v>
      </x:c>
      <x:c r="E564" s="15" t="str">
        <x:v>ZAR</x:v>
      </x:c>
      <x:c r="F564" s="15" t="str">
        <x:v>Current a/c..512781 / card..2924</x:v>
      </x:c>
      <x:c r="G564" s="15" t="str">
        <x:v>Supplier payments</x:v>
      </x:c>
      <x:c r="H564" s="15" t="str">
        <x:v>Card purchase</x:v>
      </x:c>
      <x:c r="I564" s="15" t="str">
        <x:v>High</x:v>
      </x:c>
      <x:c r="J564" s="15" t="str">
        <x:v>eml_ALL_currentac__512781 (2).zip &gt; eml3currentac__512781.zip / FNB _-) R523.48 reserved for purchase @ Shoprite Komatipoort from Current a_c..512781 using card..2924. 25Apr 11_50.eml</x:v>
      </x:c>
    </x:row>
    <x:row r="565">
      <x:c r="A565" s="34" t="n">
        <x:v>46137.51875</x:v>
      </x:c>
      <x:c r="B565" s="15" t="str">
        <x:v>Superspar Komatipoor</x:v>
      </x:c>
      <x:c r="C565" s="15" t="str">
        <x:v>R431.53 reserved for purchase @ Superspar Komatipoor from Current a/c..512781 using card..2924. Avail R49179. 25Apr 12:27</x:v>
      </x:c>
      <x:c r="D565" s="38" t="n">
        <x:v>431.53</x:v>
      </x:c>
      <x:c r="E565" s="15" t="str">
        <x:v>ZAR</x:v>
      </x:c>
      <x:c r="F565" s="15" t="str">
        <x:v>Current a/c..512781 / card..2924</x:v>
      </x:c>
      <x:c r="G565" s="15" t="str">
        <x:v>Supplier payments</x:v>
      </x:c>
      <x:c r="H565" s="15" t="str">
        <x:v>Card purchase</x:v>
      </x:c>
      <x:c r="I565" s="15" t="str">
        <x:v>High</x:v>
      </x:c>
      <x:c r="J565" s="15" t="str">
        <x:v>eml_ALL_currentac__512781 (2).zip &gt; eml3currentac__512781.zip / FNB _-) R431.53 reserved for purchase @ Superspar Komatipoor from Current a_c..512781 using card..2924. 25Apr 12_27.eml</x:v>
      </x:c>
    </x:row>
    <x:row r="566">
      <x:c r="A566" s="34" t="n">
        <x:v>46137.52777777778</x:v>
      </x:c>
      <x:c r="B566" s="15" t="str">
        <x:v>The Crazy Store Koma</x:v>
      </x:c>
      <x:c r="C566" s="15" t="str">
        <x:v>R267.86 reserved for purchase @ The Crazy Store Koma from Current a/c..512781 using card..2924. Avail R48912. 25Apr 12:40</x:v>
      </x:c>
      <x:c r="D566" s="38" t="n">
        <x:v>267.86</x:v>
      </x:c>
      <x:c r="E566" s="15" t="str">
        <x:v>ZAR</x:v>
      </x:c>
      <x:c r="F566" s="15" t="str">
        <x:v>Current a/c..512781 / card..2924</x:v>
      </x:c>
      <x:c r="G566" s="15" t="str">
        <x:v>Card spend</x:v>
      </x:c>
      <x:c r="H566" s="15" t="str">
        <x:v>Card purchase</x:v>
      </x:c>
      <x:c r="I566" s="15" t="str">
        <x:v>High</x:v>
      </x:c>
      <x:c r="J566" s="15" t="str">
        <x:v>eml_ALL_currentac__512781 (2).zip &gt; eml3currentac__512781.zip / FNB _-) R267.86 reserved for purchase @ The Crazy Store Koma from Current a_c..512781 using card..2924. 25Apr 12_40.eml</x:v>
      </x:c>
    </x:row>
    <x:row r="567">
      <x:c r="A567" s="34" t="n">
        <x:v>46137.53055555555</x:v>
      </x:c>
      <x:c r="B567" s="15" t="str">
        <x:v>Tops Komatipoort</x:v>
      </x:c>
      <x:c r="C567" s="15" t="str">
        <x:v>R241.46 reserved for purchase @ Tops Komatipoort from Current a/c..512781 using card..2924. Avail R48670. 25Apr 12:44</x:v>
      </x:c>
      <x:c r="D567" s="38" t="n">
        <x:v>241.46</x:v>
      </x:c>
      <x:c r="E567" s="15" t="str">
        <x:v>ZAR</x:v>
      </x:c>
      <x:c r="F567" s="15" t="str">
        <x:v>Current a/c..512781 / card..2924</x:v>
      </x:c>
      <x:c r="G567" s="15" t="str">
        <x:v>Meals / restaurants / entertainment</x:v>
      </x:c>
      <x:c r="H567" s="15" t="str">
        <x:v>Card purchase</x:v>
      </x:c>
      <x:c r="I567" s="15" t="str">
        <x:v>High</x:v>
      </x:c>
      <x:c r="J567" s="15" t="str">
        <x:v>eml_ALL_currentac__512781 (2).zip &gt; eml3currentac__512781.zip / FNB _-) R241.46 reserved for purchase @ Tops Komatipoort from Current a_c..512781 using card..2924. 25Apr 12_44.eml</x:v>
      </x:c>
    </x:row>
    <x:row r="568">
      <x:c r="A568" s="34" t="n">
        <x:v>46137.729166666664</x:v>
      </x:c>
      <x:c r="B568" s="15" t="str">
        <x:v>Savemor Marloth</x:v>
      </x:c>
      <x:c r="C568" s="15" t="str">
        <x:v>R102.95 reserved for purchase @ Savemor Marloth from Current a/c..512781 using card..2924. Avail R48567. 25Apr 17:30</x:v>
      </x:c>
      <x:c r="D568" s="38" t="n">
        <x:v>102.95</x:v>
      </x:c>
      <x:c r="E568" s="15" t="str">
        <x:v>ZAR</x:v>
      </x:c>
      <x:c r="F568" s="15" t="str">
        <x:v>Current a/c..512781 / card..2924</x:v>
      </x:c>
      <x:c r="G568" s="15" t="str">
        <x:v>Supplier payments</x:v>
      </x:c>
      <x:c r="H568" s="15" t="str">
        <x:v>Card purchase</x:v>
      </x:c>
      <x:c r="I568" s="15" t="str">
        <x:v>High</x:v>
      </x:c>
      <x:c r="J568" s="15" t="str">
        <x:v>eml_ALL_currentac__512781 (2).zip &gt; eml3currentac__512781.zip / FNB _-) R102.95 reserved for purchase @ Savemor Marloth from Current a_c..512781 using card..2924. 25Apr 17_30.eml</x:v>
      </x:c>
    </x:row>
    <x:row r="569">
      <x:c r="A569" s="34" t="n">
        <x:v>46138.55902777778</x:v>
      </x:c>
      <x:c r="B569" s="15" t="str">
        <x:v>Savemor Marloth</x:v>
      </x:c>
      <x:c r="C569" s="15" t="str">
        <x:v>R616.97 reserved for purchase @ Savemor Marloth from Current a/c..512781 using card..2924. Avail R47881. 26Apr 13:25</x:v>
      </x:c>
      <x:c r="D569" s="38" t="n">
        <x:v>616.97</x:v>
      </x:c>
      <x:c r="E569" s="15" t="str">
        <x:v>ZAR</x:v>
      </x:c>
      <x:c r="F569" s="15" t="str">
        <x:v>Current a/c..512781 / card..2924</x:v>
      </x:c>
      <x:c r="G569" s="15" t="str">
        <x:v>Supplier payments</x:v>
      </x:c>
      <x:c r="H569" s="15" t="str">
        <x:v>Card purchase</x:v>
      </x:c>
      <x:c r="I569" s="15" t="str">
        <x:v>High</x:v>
      </x:c>
      <x:c r="J569" s="15" t="str">
        <x:v>eml_ALL_currentac__512781 (2).zip &gt; eml3currentac__512781.zip / FNB _-) R616.97 reserved for purchase @ Savemor Marloth from Current a_c..512781 using card..2924. 26Apr 13_25.eml</x:v>
      </x:c>
    </x:row>
    <x:row r="570">
      <x:c r="A570" s="34" t="n">
        <x:v>46139.30347222222</x:v>
      </x:c>
      <x:c r="B570" s="15" t="str">
        <x:v>Marlothi Petrol Stat</x:v>
      </x:c>
      <x:c r="C570" s="15" t="str">
        <x:v>R200.00 reserved for purchase @ Marlothi Petrol Stat from Current a/c..512781 using card..2924. Avail R47681. 27Apr 07:17</x:v>
      </x:c>
      <x:c r="D570" s="38" t="n">
        <x:v>200</x:v>
      </x:c>
      <x:c r="E570" s="15" t="str">
        <x:v>ZAR</x:v>
      </x:c>
      <x:c r="F570" s="15" t="str">
        <x:v>Current a/c..512781 / card..2924</x:v>
      </x:c>
      <x:c r="G570" s="15" t="str">
        <x:v>Fuel / transport</x:v>
      </x:c>
      <x:c r="H570" s="15" t="str">
        <x:v>Card purchase</x:v>
      </x:c>
      <x:c r="I570" s="15" t="str">
        <x:v>High</x:v>
      </x:c>
      <x:c r="J570" s="15" t="str">
        <x:v>eml_ALL_currentac__512781 (2).zip &gt; eml3currentac__512781.zip / FNB _-) R200.00 reserved for purchase @ Marlothi Petrol Stat from Current a_c..512781 using card..2924. 27Apr 07_17.eml</x:v>
      </x:c>
    </x:row>
    <x:row r="571">
      <x:c r="A571" s="34" t="n">
        <x:v>46140.563888888886</x:v>
      </x:c>
      <x:c r="B571" s="15" t="str">
        <x:v>Superspar Komatipoor</x:v>
      </x:c>
      <x:c r="C571" s="15" t="str">
        <x:v>R567.74 reserved for purchase @ Superspar Komatipoor from Current a/c..512781 using card..2924. Avail R71454. 28Apr 13:32</x:v>
      </x:c>
      <x:c r="D571" s="38" t="n">
        <x:v>567.74</x:v>
      </x:c>
      <x:c r="E571" s="15" t="str">
        <x:v>ZAR</x:v>
      </x:c>
      <x:c r="F571" s="15" t="str">
        <x:v>Current a/c..512781 / card..2924</x:v>
      </x:c>
      <x:c r="G571" s="15" t="str">
        <x:v>Supplier payments</x:v>
      </x:c>
      <x:c r="H571" s="15" t="str">
        <x:v>Card purchase</x:v>
      </x:c>
      <x:c r="I571" s="15" t="str">
        <x:v>High</x:v>
      </x:c>
      <x:c r="J571" s="15" t="str">
        <x:v>eml_ALL_currentac__512781 (2).zip &gt; eml3currentac__512781.zip / FNB _-) R567.74 reserved for purchase @ Superspar Komatipoor from Current a_c..512781 using card..2924. 28Apr 13_32.eml</x:v>
      </x:c>
    </x:row>
    <x:row r="572">
      <x:c r="A572" s="34" t="n">
        <x:v>46140.592361111114</x:v>
      </x:c>
      <x:c r="B572" s="15" t="str">
        <x:v>Shoprite Komatipoort</x:v>
      </x:c>
      <x:c r="C572" s="15" t="str">
        <x:v>R177.07 reserved for purchase @ Shoprite Komatipoort from Current a/c..512781 using card..2924. Avail R73472. 28Apr 14:13</x:v>
      </x:c>
      <x:c r="D572" s="38" t="n">
        <x:v>177.07</x:v>
      </x:c>
      <x:c r="E572" s="15" t="str">
        <x:v>ZAR</x:v>
      </x:c>
      <x:c r="F572" s="15" t="str">
        <x:v>Current a/c..512781 / card..2924</x:v>
      </x:c>
      <x:c r="G572" s="15" t="str">
        <x:v>Supplier payments</x:v>
      </x:c>
      <x:c r="H572" s="15" t="str">
        <x:v>Card purchase</x:v>
      </x:c>
      <x:c r="I572" s="15" t="str">
        <x:v>High</x:v>
      </x:c>
      <x:c r="J572" s="15" t="str">
        <x:v>eml_ALL_currentac__512781 (2).zip &gt; eml3currentac__512781.zip / FNB _-) R177.07 reserved for purchase @ Shoprite Komatipoort from Current a_c..512781 using card..2924. 28Apr 14_13.eml</x:v>
      </x:c>
    </x:row>
    <x:row r="573">
      <x:c r="A573" s="34" t="n">
        <x:v>46140.603472222225</x:v>
      </x:c>
      <x:c r="B573" s="15" t="str">
        <x:v>Yoco *locksmart Pt</x:v>
      </x:c>
      <x:c r="C573" s="15" t="str">
        <x:v>R125.00 reserved for purchase @ Yoco *locksmart Pt from Current a/c..512781 using card..2924. Avail R73347. 28Apr 14:29</x:v>
      </x:c>
      <x:c r="D573" s="38" t="n">
        <x:v>125</x:v>
      </x:c>
      <x:c r="E573" s="15" t="str">
        <x:v>ZAR</x:v>
      </x:c>
      <x:c r="F573" s="15" t="str">
        <x:v>Current a/c..512781 / card..2924</x:v>
      </x:c>
      <x:c r="G573" s="15" t="str">
        <x:v>Card spend</x:v>
      </x:c>
      <x:c r="H573" s="15" t="str">
        <x:v>Card purchase</x:v>
      </x:c>
      <x:c r="I573" s="15" t="str">
        <x:v>High</x:v>
      </x:c>
      <x:c r="J573" s="15" t="str">
        <x:v>eml_ALL_currentac__512781 (2).zip &gt; eml3currentac__512781.zip / FNB _-) R125.00 reserved for purchase @ Yoco _locksmart Pt from Current a_c..512781 using card..2924. 28Apr 14_29.eml</x:v>
      </x:c>
    </x:row>
    <x:row r="574">
      <x:c r="A574" s="34" t="n">
        <x:v>46141.419444444444</x:v>
      </x:c>
      <x:c r="B574" s="15" t="str">
        <x:v>Bon Express 008267</x:v>
      </x:c>
      <x:c r="C574" s="15" t="str">
        <x:v>R142.08 paid from Current a/c..512781 @ Smartapp. Avail R73172. Ref.Bon Express 008267. 29Apr 10:04</x:v>
      </x:c>
      <x:c r="D574" s="38" t="n">
        <x:v>142.08</x:v>
      </x:c>
      <x:c r="E574" s="15" t="str">
        <x:v>ZAR</x:v>
      </x:c>
      <x:c r="F574" s="15" t="str">
        <x:v>Current a/c..512781</x:v>
      </x:c>
      <x:c r="G574" s="15" t="str">
        <x:v>Supplier payments</x:v>
      </x:c>
      <x:c r="H574" s="15" t="str">
        <x:v>EFT payment</x:v>
      </x:c>
      <x:c r="I574" s="15" t="str">
        <x:v>High</x:v>
      </x:c>
      <x:c r="J574" s="15" t="str">
        <x:v>eml_ALL_currentac__512781 (2).zip &gt; eml3currentac__512781.zip / FNB _-) R142.08 paid from Current a_c..512781 @ Smartapp. Ref.Bon Express 008267. 29Apr 10_04.eml</x:v>
      </x:c>
    </x:row>
    <x:row r="575">
      <x:c r="A575" s="34" t="n">
        <x:v>46141.46319444444</x:v>
      </x:c>
      <x:c r="B575" s="15" t="str">
        <x:v>Smartapp</x:v>
      </x:c>
      <x:c r="C575" s="15" t="str">
        <x:v>R200.00 paid from Current a/c..512781 @ Smartapp. Avail R72919. 29Apr 11:07</x:v>
      </x:c>
      <x:c r="D575" s="38" t="n">
        <x:v>200</x:v>
      </x:c>
      <x:c r="E575" s="15" t="str">
        <x:v>ZAR</x:v>
      </x:c>
      <x:c r="F575" s="15" t="str">
        <x:v>Current a/c..512781</x:v>
      </x:c>
      <x:c r="G575" s="15" t="str">
        <x:v>Supplier payments</x:v>
      </x:c>
      <x:c r="H575" s="15" t="str">
        <x:v>EFT payment</x:v>
      </x:c>
      <x:c r="I575" s="15" t="str">
        <x:v>High</x:v>
      </x:c>
      <x:c r="J575" s="15" t="str">
        <x:v>eml_ALL_currentac__512781 (2).zip &gt; eml3currentac__512781.zip / FNB _-) R200.00 paid from Current a_c..512781 @ Smartapp. 29Apr 11_07.eml</x:v>
      </x:c>
    </x:row>
    <x:row r="576">
      <x:c r="A576" s="34" t="n">
        <x:v>46141.540972222225</x:v>
      </x:c>
      <x:c r="B576" s="15" t="str">
        <x:v>Toppies Hardware 66</x:v>
      </x:c>
      <x:c r="C576" s="15" t="str">
        <x:v>R189.98 reserved for purchase @ Toppies Hardware 66 from Current a/c..512781 using card..2924. Avail R72729. 29Apr 12:59</x:v>
      </x:c>
      <x:c r="D576" s="38" t="n">
        <x:v>189.98</x:v>
      </x:c>
      <x:c r="E576" s="15" t="str">
        <x:v>ZAR</x:v>
      </x:c>
      <x:c r="F576" s="15" t="str">
        <x:v>Current a/c..512781 / card..2924</x:v>
      </x:c>
      <x:c r="G576" s="15" t="str">
        <x:v>Supplier payments</x:v>
      </x:c>
      <x:c r="H576" s="15" t="str">
        <x:v>Card purchase</x:v>
      </x:c>
      <x:c r="I576" s="15" t="str">
        <x:v>High</x:v>
      </x:c>
      <x:c r="J576" s="15" t="str">
        <x:v>eml_ALL_currentac__512781 (2).zip &gt; eml3currentac__512781.zip / FNB _-) R189.98 reserved for purchase @ Toppies Hardware 66 from Current a_c..512781 using card..2924. 29Apr 12_59.eml</x:v>
      </x:c>
    </x:row>
    <x:row r="577">
      <x:c r="A577" s="34" t="n">
        <x:v>46141.64513888889</x:v>
      </x:c>
      <x:c r="B577" s="15" t="str">
        <x:v>Savemor Marloth</x:v>
      </x:c>
      <x:c r="C577" s="15" t="str">
        <x:v>R283.98 reserved for purchase @ Savemor Marloth from Current a/c..512781 using card..2924. Avail R91477. 29Apr 15:29</x:v>
      </x:c>
      <x:c r="D577" s="38" t="n">
        <x:v>283.98</x:v>
      </x:c>
      <x:c r="E577" s="15" t="str">
        <x:v>ZAR</x:v>
      </x:c>
      <x:c r="F577" s="15" t="str">
        <x:v>Current a/c..512781 / card..2924</x:v>
      </x:c>
      <x:c r="G577" s="15" t="str">
        <x:v>Supplier payments</x:v>
      </x:c>
      <x:c r="H577" s="15" t="str">
        <x:v>Card purchase</x:v>
      </x:c>
      <x:c r="I577" s="15" t="str">
        <x:v>High</x:v>
      </x:c>
      <x:c r="J577" s="15" t="str">
        <x:v>eml_ALL_currentac__512781 (2).zip &gt; eml3currentac__512781.zip / FNB _-) R283.98 reserved for purchase @ Savemor Marloth from Current a_c..512781 using card..2924. 29Apr 15_29.eml</x:v>
      </x:c>
    </x:row>
    <x:row r="578">
      <x:c r="A578" s="34" t="n">
        <x:v>46141.67291666667</x:v>
      </x:c>
      <x:c r="B578" s="15" t="str">
        <x:v>Kruger Safari 1696</x:v>
      </x:c>
      <x:c r="C578" s="15" t="str">
        <x:v>R3454.60 paid from Current a/c..512781 @ Smartapp. Avail R88014. Ref.Kruger Safari 1696. 29Apr 16:09</x:v>
      </x:c>
      <x:c r="D578" s="38" t="n">
        <x:v>3454.6</x:v>
      </x:c>
      <x:c r="E578" s="15" t="str">
        <x:v>ZAR</x:v>
      </x:c>
      <x:c r="F578" s="15" t="str">
        <x:v>Current a/c..512781</x:v>
      </x:c>
      <x:c r="G578" s="15" t="str">
        <x:v>Supplier payments</x:v>
      </x:c>
      <x:c r="H578" s="15" t="str">
        <x:v>EFT payment</x:v>
      </x:c>
      <x:c r="I578" s="15" t="str">
        <x:v>High</x:v>
      </x:c>
      <x:c r="J578" s="15" t="str">
        <x:v>eml_ALL_currentac__512781 (2).zip &gt; eml3currentac__512781.zip / FNB _-) R3454.60 paid from Current a_c..512781 @ Smartapp. Ref.Kruger Safari 1696. 29Apr 16_09.eml</x:v>
      </x:c>
    </x:row>
    <x:row r="579">
      <x:c r="A579" s="34" t="n">
        <x:v>46141.69861111111</x:v>
      </x:c>
      <x:c r="B579" s="15" t="str">
        <x:v>Electricity 04294887</x:v>
      </x:c>
      <x:c r="C579" s="15" t="str">
        <x:v>R500.00 paid from Current a/c..512781 @ Smartapp. Avail R87512. Ref.Electricity 04294887. 29Apr 16:46</x:v>
      </x:c>
      <x:c r="D579" s="38" t="n">
        <x:v>500</x:v>
      </x:c>
      <x:c r="E579" s="15" t="str">
        <x:v>ZAR</x:v>
      </x:c>
      <x:c r="F579" s="15" t="str">
        <x:v>Current a/c..512781</x:v>
      </x:c>
      <x:c r="G579" s="15" t="str">
        <x:v>Telecom / utilities</x:v>
      </x:c>
      <x:c r="H579" s="15" t="str">
        <x:v>EFT payment</x:v>
      </x:c>
      <x:c r="I579" s="15" t="str">
        <x:v>High</x:v>
      </x:c>
      <x:c r="J579" s="15" t="str">
        <x:v>eml_ALL_currentac__512781 (2).zip &gt; eml3currentac__512781.zip / FNB _-) R500.00 paid from Current a_c..512781 @ Smartapp. Ref.Electricity 04294887. 29Apr 16_46.eml</x:v>
      </x:c>
    </x:row>
    <x:row r="580">
      <x:c r="A580" s="34" t="n">
        <x:v>46142.495833333334</x:v>
      </x:c>
      <x:c r="B580" s="15" t="str">
        <x:v>Pep 5668 Malelane</x:v>
      </x:c>
      <x:c r="C580" s="15" t="str">
        <x:v>R428.98 reserved for purchase @ Pep 5668 Malelane from Current a/c..512781 using card..2924. Avail R102108. 30Apr 11:54</x:v>
      </x:c>
      <x:c r="D580" s="38" t="n">
        <x:v>428.98</x:v>
      </x:c>
      <x:c r="E580" s="15" t="str">
        <x:v>ZAR</x:v>
      </x:c>
      <x:c r="F580" s="15" t="str">
        <x:v>Current a/c..512781 / card..2924</x:v>
      </x:c>
      <x:c r="G580" s="15" t="str">
        <x:v>Supplier payments</x:v>
      </x:c>
      <x:c r="H580" s="15" t="str">
        <x:v>Card purchase</x:v>
      </x:c>
      <x:c r="I580" s="15" t="str">
        <x:v>High</x:v>
      </x:c>
      <x:c r="J580" s="15" t="str">
        <x:v>eml_ALL_currentac__512781 (2).zip &gt; eml3currentac__512781.zip / FNB _-) R428.98 reserved for purchase @ Pep 5668 Malelane from Current a_c..512781 using card..2924. 30Apr 11_54.eml</x:v>
      </x:c>
    </x:row>
    <x:row r="581">
      <x:c r="A581" s="34" t="n">
        <x:v>46142.49930555555</x:v>
      </x:c>
      <x:c r="B581" s="15" t="str">
        <x:v>Dinner Box 110658</x:v>
      </x:c>
      <x:c r="C581" s="15" t="str">
        <x:v>R1541.00 paid from Current a/c..512781 @ Smartapp. Avail R100564. Ref.Dinner Box 110658. 30Apr 11:59</x:v>
      </x:c>
      <x:c r="D581" s="38" t="n">
        <x:v>1541</x:v>
      </x:c>
      <x:c r="E581" s="15" t="str">
        <x:v>ZAR</x:v>
      </x:c>
      <x:c r="F581" s="15" t="str">
        <x:v>Current a/c..512781</x:v>
      </x:c>
      <x:c r="G581" s="15" t="str">
        <x:v>Meals / restaurants / entertainment</x:v>
      </x:c>
      <x:c r="H581" s="15" t="str">
        <x:v>EFT payment</x:v>
      </x:c>
      <x:c r="I581" s="15" t="str">
        <x:v>High</x:v>
      </x:c>
      <x:c r="J581" s="15" t="str">
        <x:v>eml_ALL_currentac__512781 (2).zip &gt; eml3currentac__512781.zip / FNB _-) R1541.00 paid from Current a_c..512781 @ Smartapp. Ref.Dinner Box 110658. 30Apr 11_59.eml</x:v>
      </x:c>
    </x:row>
    <x:row r="582">
      <x:c r="A582" s="34" t="n">
        <x:v>46142.54236111111</x:v>
      </x:c>
      <x:c r="B582" s="15" t="str">
        <x:v>Shoprite Malelane</x:v>
      </x:c>
      <x:c r="C582" s="15" t="str">
        <x:v>R668.78 reserved for purchase @ Shoprite Malelane from Current a/c..512781 using card..2924. Avail R73395. 30Apr 13:01</x:v>
      </x:c>
      <x:c r="D582" s="38" t="n">
        <x:v>668.78</x:v>
      </x:c>
      <x:c r="E582" s="15" t="str">
        <x:v>ZAR</x:v>
      </x:c>
      <x:c r="F582" s="15" t="str">
        <x:v>Current a/c..512781 / card..2924</x:v>
      </x:c>
      <x:c r="G582" s="15" t="str">
        <x:v>Supplier payments</x:v>
      </x:c>
      <x:c r="H582" s="15" t="str">
        <x:v>Card purchase</x:v>
      </x:c>
      <x:c r="I582" s="15" t="str">
        <x:v>High</x:v>
      </x:c>
      <x:c r="J582" s="15" t="str">
        <x:v>eml_ALL_currentac__512781 (2).zip &gt; eml3currentac__512781.zip / FNB _-) R668.78 reserved for purchase @ Shoprite Malelane from Current a_c..512781 using card..2924. 30Apr 13_01.eml</x:v>
      </x:c>
    </x:row>
    <x:row r="583">
      <x:c r="A583" s="34" t="n">
        <x:v>46142.56736111111</x:v>
      </x:c>
      <x:c r="B583" s="15" t="str">
        <x:v>Woolworths</x:v>
      </x:c>
      <x:c r="C583" s="15" t="str">
        <x:v>R1098.88 reserved for purchase @ Woolworths from Current a/c..512781 using card..2924. Avail R72296. 30Apr 13:37</x:v>
      </x:c>
      <x:c r="D583" s="38" t="n">
        <x:v>1098.88</x:v>
      </x:c>
      <x:c r="E583" s="15" t="str">
        <x:v>ZAR</x:v>
      </x:c>
      <x:c r="F583" s="15" t="str">
        <x:v>Current a/c..512781 / card..2924</x:v>
      </x:c>
      <x:c r="G583" s="15" t="str">
        <x:v>Supplier payments</x:v>
      </x:c>
      <x:c r="H583" s="15" t="str">
        <x:v>Card purchase</x:v>
      </x:c>
      <x:c r="I583" s="15" t="str">
        <x:v>High</x:v>
      </x:c>
      <x:c r="J583" s="15" t="str">
        <x:v>eml_ALL_currentac__512781 (2).zip &gt; eml3currentac__512781.zip / FNB _-) R1098.88 reserved for purchase @ Woolworths from Current a_c..512781 using card..2924. 30Apr 13_37.eml</x:v>
      </x:c>
    </x:row>
    <x:row r="584">
      <x:c r="A584" s="34" t="n">
        <x:v>46142.60138888889</x:v>
      </x:c>
      <x:c r="B584" s="15" t="str">
        <x:v>Superspar Malelane</x:v>
      </x:c>
      <x:c r="C584" s="15" t="str">
        <x:v>R1022.89 reserved for purchase @ Superspar Malelane from Current a/c..512781 using card..2924. Avail R71273. 30Apr 14:26</x:v>
      </x:c>
      <x:c r="D584" s="38" t="n">
        <x:v>1022.89</x:v>
      </x:c>
      <x:c r="E584" s="15" t="str">
        <x:v>ZAR</x:v>
      </x:c>
      <x:c r="F584" s="15" t="str">
        <x:v>Current a/c..512781 / card..2924</x:v>
      </x:c>
      <x:c r="G584" s="15" t="str">
        <x:v>Supplier payments</x:v>
      </x:c>
      <x:c r="H584" s="15" t="str">
        <x:v>Card purchase</x:v>
      </x:c>
      <x:c r="I584" s="15" t="str">
        <x:v>High</x:v>
      </x:c>
      <x:c r="J584" s="15" t="str">
        <x:v>eml_ALL_currentac__512781 (2).zip &gt; eml3currentac__512781.zip / FNB _-) R1022.89 reserved for purchase @ Superspar Malelane from Current a_c..512781 using card..2924. 30Apr 14_26.eml</x:v>
      </x:c>
    </x:row>
    <x:row r="585">
      <x:c r="A585" s="34" t="n">
        <x:v>46142.618055555555</x:v>
      </x:c>
      <x:c r="B585" s="15" t="str">
        <x:v>Tops Malelane</x:v>
      </x:c>
      <x:c r="C585" s="15" t="str">
        <x:v>R721.96 reserved for purchase @ Tops Malelane from Current a/c..512781 using card..2924. Avail R70551. 30Apr 14:50</x:v>
      </x:c>
      <x:c r="D585" s="38" t="n">
        <x:v>721.96</x:v>
      </x:c>
      <x:c r="E585" s="15" t="str">
        <x:v>ZAR</x:v>
      </x:c>
      <x:c r="F585" s="15" t="str">
        <x:v>Current a/c..512781 / card..2924</x:v>
      </x:c>
      <x:c r="G585" s="15" t="str">
        <x:v>Meals / restaurants / entertainment</x:v>
      </x:c>
      <x:c r="H585" s="15" t="str">
        <x:v>Card purchase</x:v>
      </x:c>
      <x:c r="I585" s="15" t="str">
        <x:v>High</x:v>
      </x:c>
      <x:c r="J585" s="15" t="str">
        <x:v>eml_ALL_currentac__512781 (2).zip &gt; eml3currentac__512781.zip / FNB _-) R721.96 reserved for purchase @ Tops Malelane from Current a_c..512781 using card..2924. 30Apr 14_50.eml</x:v>
      </x:c>
    </x:row>
    <x:row r="586">
      <x:c r="A586" s="34" t="n">
        <x:v>46142.64861111111</x:v>
      </x:c>
      <x:c r="B586" s="15" t="str">
        <x:v>Engen Hectorspruit</x:v>
      </x:c>
      <x:c r="C586" s="15" t="str">
        <x:v>R200.00 reserved for purchase @ Engen Hectorspruit from Current a/c..512781 using card..2924. Avail R70251. 30Apr 15:34</x:v>
      </x:c>
      <x:c r="D586" s="38" t="n">
        <x:v>200</x:v>
      </x:c>
      <x:c r="E586" s="15" t="str">
        <x:v>ZAR</x:v>
      </x:c>
      <x:c r="F586" s="15" t="str">
        <x:v>Current a/c..512781 / card..2924</x:v>
      </x:c>
      <x:c r="G586" s="15" t="str">
        <x:v>Fuel / transport</x:v>
      </x:c>
      <x:c r="H586" s="15" t="str">
        <x:v>Card purchase</x:v>
      </x:c>
      <x:c r="I586" s="15" t="str">
        <x:v>High</x:v>
      </x:c>
      <x:c r="J586" s="15" t="str">
        <x:v>eml_ALL_currentac__512781 (2).zip &gt; eml3currentac__512781.zip / FNB _-) R200.00 reserved for purchase @ Engen Hectorspruit from Current a_c..512781 using card..2924. 30Apr 15_34.eml</x:v>
      </x:c>
    </x:row>
    <x:row r="587">
      <x:c r="A587" s="34" t="n">
        <x:v>46143.37777777778</x:v>
      </x:c>
      <x:c r="B587" s="15" t="str">
        <x:v>Staff Salary</x:v>
      </x:c>
      <x:c r="C587" s="15" t="str">
        <x:v>R12000.00 paid from Current a/c..512781 @ Gen Ph. Avail R46098. Ref.Staff Salary. 1May 09:04</x:v>
      </x:c>
      <x:c r="D587" s="38" t="n">
        <x:v>12000</x:v>
      </x:c>
      <x:c r="E587" s="15" t="str">
        <x:v>ZAR</x:v>
      </x:c>
      <x:c r="F587" s="15" t="str">
        <x:v>Current a/c..512781</x:v>
      </x:c>
      <x:c r="G587" s="15" t="str">
        <x:v>Salary / wages</x:v>
      </x:c>
      <x:c r="H587" s="15" t="str">
        <x:v>EFT payment</x:v>
      </x:c>
      <x:c r="I587" s="15" t="str">
        <x:v>High</x:v>
      </x:c>
      <x:c r="J587" s="15" t="str">
        <x:v>eml_ALL_currentac__512781 (2).zip &gt; eml3currentac__512781.zip / FNB _-) R12000.00 paid from Current a_c..512781 @ Gen Ph. Ref.Staff Salary.  1May 09_04.eml</x:v>
      </x:c>
    </x:row>
    <x:row r="588">
      <x:c r="A588" s="34" t="n">
        <x:v>46143.37777777778</x:v>
      </x:c>
      <x:c r="B588" s="15" t="str">
        <x:v>Staff Salary</x:v>
      </x:c>
      <x:c r="C588" s="15" t="str">
        <x:v>R12000.00 paid from Current a/c..512781 @ Gen Ph. Avail R58113. Ref.Staff Salary. 1May 09:04</x:v>
      </x:c>
      <x:c r="D588" s="38" t="n">
        <x:v>12000</x:v>
      </x:c>
      <x:c r="E588" s="15" t="str">
        <x:v>ZAR</x:v>
      </x:c>
      <x:c r="F588" s="15" t="str">
        <x:v>Current a/c..512781</x:v>
      </x:c>
      <x:c r="G588" s="15" t="str">
        <x:v>Salary / wages</x:v>
      </x:c>
      <x:c r="H588" s="15" t="str">
        <x:v>EFT payment</x:v>
      </x:c>
      <x:c r="I588" s="15" t="str">
        <x:v>High</x:v>
      </x:c>
      <x:c r="J588" s="15" t="str">
        <x:v>eml_ALL_currentac__512781 (2).zip &gt; eml3currentac__512781.zip / FNB _-) R12000.00 paid from Current a_c..512781 @ Gen Ph. Ref.Staff Salary.  1May 09_04_1.eml</x:v>
      </x:c>
    </x:row>
    <x:row r="589">
      <x:c r="A589" s="34" t="n">
        <x:v>46143.37847222222</x:v>
      </x:c>
      <x:c r="B589" s="15" t="str">
        <x:v>Nb N992820</x:v>
      </x:c>
      <x:c r="C589" s="15" t="str">
        <x:v>R759.00 paid from Current a/c..512781 @ Smartapp. Avail R45339. Ref.Nb N992820. 1May 09:05</x:v>
      </x:c>
      <x:c r="D589" s="38" t="n">
        <x:v>759</x:v>
      </x:c>
      <x:c r="E589" s="15" t="str">
        <x:v>ZAR</x:v>
      </x:c>
      <x:c r="F589" s="15" t="str">
        <x:v>Current a/c..512781</x:v>
      </x:c>
      <x:c r="G589" s="15" t="str">
        <x:v>Supplier payments</x:v>
      </x:c>
      <x:c r="H589" s="15" t="str">
        <x:v>EFT payment</x:v>
      </x:c>
      <x:c r="I589" s="15" t="str">
        <x:v>High</x:v>
      </x:c>
      <x:c r="J589" s="15" t="str">
        <x:v>eml_ALL_currentac__512781 (2).zip &gt; eml3currentac__512781.zip / FNB _-) R759.00 paid from Current a_c..512781 @ Smartapp. Ref.Nb N992820.  1May 09_05.eml</x:v>
      </x:c>
    </x:row>
    <x:row r="590">
      <x:c r="A590" s="34" t="n">
        <x:v>46143.379166666666</x:v>
      </x:c>
      <x:c r="B590" s="15" t="str">
        <x:v>Kpci - C1736</x:v>
      </x:c>
      <x:c r="C590" s="15" t="str">
        <x:v>R500.00 paid from Current a/c..512781 @ Smartapp. Avail R44839. Ref.Kpci - C1736. 1May 09:06</x:v>
      </x:c>
      <x:c r="D590" s="38" t="n">
        <x:v>500</x:v>
      </x:c>
      <x:c r="E590" s="15" t="str">
        <x:v>ZAR</x:v>
      </x:c>
      <x:c r="F590" s="15" t="str">
        <x:v>Current a/c..512781</x:v>
      </x:c>
      <x:c r="G590" s="15" t="str">
        <x:v>Supplier payments</x:v>
      </x:c>
      <x:c r="H590" s="15" t="str">
        <x:v>EFT payment</x:v>
      </x:c>
      <x:c r="I590" s="15" t="str">
        <x:v>High</x:v>
      </x:c>
      <x:c r="J590" s="15" t="str">
        <x:v>eml_ALL_currentac__512781 (2).zip &gt; eml3currentac__512781.zip / FNB _-) R500.00 paid from Current a_c..512781 @ Smartapp. Ref.Kpci - C1736.  1May 09_06.eml</x:v>
      </x:c>
    </x:row>
    <x:row r="591">
      <x:c r="A591" s="34" t="n">
        <x:v>46143.55069444444</x:v>
      </x:c>
      <x:c r="B591" s="15" t="str">
        <x:v>Savemor Marloth</x:v>
      </x:c>
      <x:c r="C591" s="15" t="str">
        <x:v>R112.77 reserved for purchase @ Savemor Marloth from Current a/c..512781 using card..2924. Avail R44727. 1May 13:13</x:v>
      </x:c>
      <x:c r="D591" s="38" t="n">
        <x:v>112.77</x:v>
      </x:c>
      <x:c r="E591" s="15" t="str">
        <x:v>ZAR</x:v>
      </x:c>
      <x:c r="F591" s="15" t="str">
        <x:v>Current a/c..512781 / card..2924</x:v>
      </x:c>
      <x:c r="G591" s="15" t="str">
        <x:v>Supplier payments</x:v>
      </x:c>
      <x:c r="H591" s="15" t="str">
        <x:v>Card purchase</x:v>
      </x:c>
      <x:c r="I591" s="15" t="str">
        <x:v>High</x:v>
      </x:c>
      <x:c r="J591" s="15" t="str">
        <x:v>eml_ALL_currentac__512781 (2).zip &gt; eml3currentac__512781.zip / FNB _-) R112.77 reserved for purchase @ Savemor Marloth from Current a_c..512781 using card..2924.  1May 13_13.eml</x:v>
      </x:c>
    </x:row>
    <x:row r="592">
      <x:c r="A592" s="34" t="n">
        <x:v>46144.51944444444</x:v>
      </x:c>
      <x:c r="B592" s="15" t="str">
        <x:v>Komati Pharmacy</x:v>
      </x:c>
      <x:c r="C592" s="15" t="str">
        <x:v>R267.50 reserved for purchase @ Komati Pharmacy from Current a/c..512781 using card..2924. Avail R44459. 2May 12:28</x:v>
      </x:c>
      <x:c r="D592" s="38" t="n">
        <x:v>267.5</x:v>
      </x:c>
      <x:c r="E592" s="15" t="str">
        <x:v>ZAR</x:v>
      </x:c>
      <x:c r="F592" s="15" t="str">
        <x:v>Current a/c..512781 / card..2924</x:v>
      </x:c>
      <x:c r="G592" s="15" t="str">
        <x:v>Supplier payments</x:v>
      </x:c>
      <x:c r="H592" s="15" t="str">
        <x:v>Card purchase</x:v>
      </x:c>
      <x:c r="I592" s="15" t="str">
        <x:v>High</x:v>
      </x:c>
      <x:c r="J592" s="15" t="str">
        <x:v>eml_ALL_currentac__512781 (2).zip &gt; eml3currentac__512781.zip / FNB _-) R267.50 reserved for purchase @ Komati Pharmacy from Current a_c..512781 using card..2924.  2May 12_28.eml</x:v>
      </x:c>
    </x:row>
    <x:row r="593">
      <x:c r="A593" s="34" t="n">
        <x:v>46144.54722222222</x:v>
      </x:c>
      <x:c r="B593" s="15" t="str">
        <x:v>Superspar Komatipoor</x:v>
      </x:c>
      <x:c r="C593" s="15" t="str">
        <x:v>R856.06 reserved for purchase @ Superspar Komatipoor from Current a/c..512781 using card..2924. Avail R43603. 2May 13:08</x:v>
      </x:c>
      <x:c r="D593" s="38" t="n">
        <x:v>856.06</x:v>
      </x:c>
      <x:c r="E593" s="15" t="str">
        <x:v>ZAR</x:v>
      </x:c>
      <x:c r="F593" s="15" t="str">
        <x:v>Current a/c..512781 / card..2924</x:v>
      </x:c>
      <x:c r="G593" s="15" t="str">
        <x:v>Supplier payments</x:v>
      </x:c>
      <x:c r="H593" s="15" t="str">
        <x:v>Card purchase</x:v>
      </x:c>
      <x:c r="I593" s="15" t="str">
        <x:v>High</x:v>
      </x:c>
      <x:c r="J593" s="15" t="str">
        <x:v>eml_ALL_currentac__512781 (2).zip &gt; eml3currentac__512781.zip / FNB _-) R856.06 reserved for purchase @ Superspar Komatipoor from Current a_c..512781 using card..2924.  2May 13_08.eml</x:v>
      </x:c>
    </x:row>
    <x:row r="594">
      <x:c r="A594" s="34" t="n">
        <x:v>46144.55138888889</x:v>
      </x:c>
      <x:c r="B594" s="15" t="str">
        <x:v>Tops Komatipoort</x:v>
      </x:c>
      <x:c r="C594" s="15" t="str">
        <x:v>R269.99 reserved for purchase @ Tops Komatipoort from Current a/c..512781 using card..2924. Avail R43333. 2May 13:14</x:v>
      </x:c>
      <x:c r="D594" s="38" t="n">
        <x:v>269.99</x:v>
      </x:c>
      <x:c r="E594" s="15" t="str">
        <x:v>ZAR</x:v>
      </x:c>
      <x:c r="F594" s="15" t="str">
        <x:v>Current a/c..512781 / card..2924</x:v>
      </x:c>
      <x:c r="G594" s="15" t="str">
        <x:v>Meals / restaurants / entertainment</x:v>
      </x:c>
      <x:c r="H594" s="15" t="str">
        <x:v>Card purchase</x:v>
      </x:c>
      <x:c r="I594" s="15" t="str">
        <x:v>High</x:v>
      </x:c>
      <x:c r="J594" s="15" t="str">
        <x:v>eml_ALL_currentac__512781 (2).zip &gt; eml3currentac__512781.zip / FNB _-) R269.99 reserved for purchase @ Tops Komatipoort from Current a_c..512781 using card..2924.  2May 13_14.eml</x:v>
      </x:c>
    </x:row>
    <x:row r="595">
      <x:c r="A595" s="34" t="n">
        <x:v>46144.566666666666</x:v>
      </x:c>
      <x:c r="B595" s="15" t="str">
        <x:v>Pep Home 5771 Komati</x:v>
      </x:c>
      <x:c r="C595" s="15" t="str">
        <x:v>R211.94 reserved for purchase @ Pep Home 5771 Komati from Current a/c..512781 using card..2924. Avail R43121. 2May 13:36</x:v>
      </x:c>
      <x:c r="D595" s="38" t="n">
        <x:v>211.94</x:v>
      </x:c>
      <x:c r="E595" s="15" t="str">
        <x:v>ZAR</x:v>
      </x:c>
      <x:c r="F595" s="15" t="str">
        <x:v>Current a/c..512781 / card..2924</x:v>
      </x:c>
      <x:c r="G595" s="15" t="str">
        <x:v>Supplier payments</x:v>
      </x:c>
      <x:c r="H595" s="15" t="str">
        <x:v>Card purchase</x:v>
      </x:c>
      <x:c r="I595" s="15" t="str">
        <x:v>High</x:v>
      </x:c>
      <x:c r="J595" s="15" t="str">
        <x:v>eml_ALL_currentac__512781 (2).zip &gt; eml3currentac__512781.zip / FNB _-) R211.94 reserved for purchase @ Pep Home 5771 Komati from Current a_c..512781 using card..2924.  2May 13_36.eml</x:v>
      </x:c>
    </x:row>
    <x:row r="596">
      <x:c r="A596" s="34" t="n">
        <x:v>46144.67222222222</x:v>
      </x:c>
      <x:c r="B596" s="15" t="str">
        <x:v>Ac De Jager Vleis</x:v>
      </x:c>
      <x:c r="C596" s="15" t="str">
        <x:v>R1805.86 paid from Current a/c..512781 @ Smartapp. Avail R41315. Ref.Ac De Jager Vleis. 2May 16:08</x:v>
      </x:c>
      <x:c r="D596" s="38" t="n">
        <x:v>1805.86</x:v>
      </x:c>
      <x:c r="E596" s="15" t="str">
        <x:v>ZAR</x:v>
      </x:c>
      <x:c r="F596" s="15" t="str">
        <x:v>Current a/c..512781</x:v>
      </x:c>
      <x:c r="G596" s="15" t="str">
        <x:v>Supplier payments</x:v>
      </x:c>
      <x:c r="H596" s="15" t="str">
        <x:v>EFT payment</x:v>
      </x:c>
      <x:c r="I596" s="15" t="str">
        <x:v>High</x:v>
      </x:c>
      <x:c r="J596" s="15" t="str">
        <x:v>eml_ALL_currentac__512781 (2).zip &gt; eml3currentac__512781.zip / FNB _-) R1805.86 paid from Current a_c..512781 @ Smartapp. Ref.Ac De Jager Vleis.  2May 16_08.eml</x:v>
      </x:c>
    </x:row>
    <x:row r="597">
      <x:c r="A597" s="34" t="n">
        <x:v>46144.77847222222</x:v>
      </x:c>
      <x:c r="B597" s="15" t="str">
        <x:v>Yoco *k2025744041</x:v>
      </x:c>
      <x:c r="C597" s="15" t="str">
        <x:v>R320.00 reserved for purchase @ Yoco *k2025744041 from Current a/c..512781 using card..2924. Avail R40995. 2May 18:41</x:v>
      </x:c>
      <x:c r="D597" s="38" t="n">
        <x:v>320</x:v>
      </x:c>
      <x:c r="E597" s="15" t="str">
        <x:v>ZAR</x:v>
      </x:c>
      <x:c r="F597" s="15" t="str">
        <x:v>Current a/c..512781 / card..2924</x:v>
      </x:c>
      <x:c r="G597" s="15" t="str">
        <x:v>Card spend</x:v>
      </x:c>
      <x:c r="H597" s="15" t="str">
        <x:v>Card purchase</x:v>
      </x:c>
      <x:c r="I597" s="15" t="str">
        <x:v>High</x:v>
      </x:c>
      <x:c r="J597" s="15" t="str">
        <x:v>eml_ALL_currentac__512781 (2).zip &gt; eml3currentac__512781.zip / FNB _-) R320.00 reserved for purchase @ Yoco _k2025744041 from Current a_c..512781 using card..2924.  2May 18_41.eml</x:v>
      </x:c>
    </x:row>
    <x:row r="598">
      <x:c r="A598" s="34" t="n">
        <x:v>46146.31319444445</x:v>
      </x:c>
      <x:c r="B598" s="15" t="str">
        <x:v>Electricity 14503572</x:v>
      </x:c>
      <x:c r="C598" s="15" t="str">
        <x:v>R150.00 paid from Current a/c..512781 @ Smartapp. Avail R40771. Ref.Electricity 14503572. 4May 07:31</x:v>
      </x:c>
      <x:c r="D598" s="38" t="n">
        <x:v>150</x:v>
      </x:c>
      <x:c r="E598" s="15" t="str">
        <x:v>ZAR</x:v>
      </x:c>
      <x:c r="F598" s="15" t="str">
        <x:v>Current a/c..512781</x:v>
      </x:c>
      <x:c r="G598" s="15" t="str">
        <x:v>Telecom / utilities</x:v>
      </x:c>
      <x:c r="H598" s="15" t="str">
        <x:v>EFT payment</x:v>
      </x:c>
      <x:c r="I598" s="15" t="str">
        <x:v>High</x:v>
      </x:c>
      <x:c r="J598" s="15" t="str">
        <x:v>eml_ALL_currentac__512781 (2).zip &gt; eml3currentac__512781.zip / FNB _-) R150.00 paid from Current a_c..512781 @ Smartapp. Ref.Electricity 14503572.  4May 07_31.eml</x:v>
      </x:c>
    </x:row>
    <x:row r="599">
      <x:c r="A599" s="34" t="n">
        <x:v>46146.62847222222</x:v>
      </x:c>
      <x:c r="B599" s="15" t="str">
        <x:v>Marlothi Petrol Stat</x:v>
      </x:c>
      <x:c r="C599" s="15" t="str">
        <x:v>R400.00 reserved for purchase @ Marlothi Petrol Stat from Current a/c..512781 using card..2924. Avail R72013. 4May 15:05</x:v>
      </x:c>
      <x:c r="D599" s="38" t="n">
        <x:v>400</x:v>
      </x:c>
      <x:c r="E599" s="15" t="str">
        <x:v>ZAR</x:v>
      </x:c>
      <x:c r="F599" s="15" t="str">
        <x:v>Current a/c..512781 / card..2924</x:v>
      </x:c>
      <x:c r="G599" s="15" t="str">
        <x:v>Fuel / transport</x:v>
      </x:c>
      <x:c r="H599" s="15" t="str">
        <x:v>Card purchase</x:v>
      </x:c>
      <x:c r="I599" s="15" t="str">
        <x:v>High</x:v>
      </x:c>
      <x:c r="J599" s="15" t="str">
        <x:v>eml_ALL_currentac__512781 (2).zip &gt; eml3currentac__512781.zip / FNB _-) R400.00 reserved for purchase @ Marlothi Petrol Stat from Current a_c..512781 using card..2924.  4May 15_05.eml</x:v>
      </x:c>
    </x:row>
    <x:row r="600">
      <x:c r="A600" s="34" t="n">
        <x:v>46146.65277777778</x:v>
      </x:c>
      <x:c r="B600" s="15" t="str">
        <x:v>Salary</x:v>
      </x:c>
      <x:c r="C600" s="15" t="str">
        <x:v>R6000.00 paid from Current a/c..512781 @ Smartapp. Avail R66010. Ref.Salary. 4May 15:40</x:v>
      </x:c>
      <x:c r="D600" s="38" t="n">
        <x:v>6000</x:v>
      </x:c>
      <x:c r="E600" s="15" t="str">
        <x:v>ZAR</x:v>
      </x:c>
      <x:c r="F600" s="15" t="str">
        <x:v>Current a/c..512781</x:v>
      </x:c>
      <x:c r="G600" s="15" t="str">
        <x:v>Salary / wages</x:v>
      </x:c>
      <x:c r="H600" s="15" t="str">
        <x:v>EFT payment</x:v>
      </x:c>
      <x:c r="I600" s="15" t="str">
        <x:v>High</x:v>
      </x:c>
      <x:c r="J600" s="15" t="str">
        <x:v>eml_ALL_currentac__512781 (2).zip &gt; eml3currentac__512781.zip / FNB _-) R6000.00 paid from Current a_c..512781 @ Smartapp. Ref.Salary.  4May 15_40.eml</x:v>
      </x:c>
    </x:row>
    <x:row r="601">
      <x:c r="A601" s="34" t="n">
        <x:v>46147.379166666666</x:v>
      </x:c>
      <x:c r="B601" s="15" t="str">
        <x:v>Electricity 14503572</x:v>
      </x:c>
      <x:c r="C601" s="15" t="str">
        <x:v>R150.00 paid from Current a/c..512781 @ Smartapp. Avail R65858. Ref.Electricity 14503572. 5May 09:06</x:v>
      </x:c>
      <x:c r="D601" s="38" t="n">
        <x:v>150</x:v>
      </x:c>
      <x:c r="E601" s="15" t="str">
        <x:v>ZAR</x:v>
      </x:c>
      <x:c r="F601" s="15" t="str">
        <x:v>Current a/c..512781</x:v>
      </x:c>
      <x:c r="G601" s="15" t="str">
        <x:v>Telecom / utilities</x:v>
      </x:c>
      <x:c r="H601" s="15" t="str">
        <x:v>EFT payment</x:v>
      </x:c>
      <x:c r="I601" s="15" t="str">
        <x:v>High</x:v>
      </x:c>
      <x:c r="J601" s="15" t="str">
        <x:v>eml_ALL_currentac__512781 (2).zip &gt; eml3currentac__512781.zip / FNB _-) R150.00 paid from Current a_c..512781 @ Smartapp. Ref.Electricity 14503572.  5May 09_06.eml</x:v>
      </x:c>
    </x:row>
    <x:row r="602">
      <x:c r="A602" s="34" t="n">
        <x:v>46147.45138888889</x:v>
      </x:c>
      <x:c r="B602" s="15" t="str">
        <x:v>Kruger Safari 1697</x:v>
      </x:c>
      <x:c r="C602" s="15" t="str">
        <x:v>R13128.00 paid from Current a/c..512781 @ Smartapp. Avail R52722. Ref.Kruger Safari 1697. 5May 10:50</x:v>
      </x:c>
      <x:c r="D602" s="38" t="n">
        <x:v>13128</x:v>
      </x:c>
      <x:c r="E602" s="15" t="str">
        <x:v>ZAR</x:v>
      </x:c>
      <x:c r="F602" s="15" t="str">
        <x:v>Current a/c..512781</x:v>
      </x:c>
      <x:c r="G602" s="15" t="str">
        <x:v>Supplier payments</x:v>
      </x:c>
      <x:c r="H602" s="15" t="str">
        <x:v>EFT payment</x:v>
      </x:c>
      <x:c r="I602" s="15" t="str">
        <x:v>High</x:v>
      </x:c>
      <x:c r="J602" s="15" t="str">
        <x:v>eml_ALL_currentac__512781 (2).zip &gt; eml3currentac__512781.zip / FNB _-) R13128.00 paid from Current a_c..512781 @ Smartapp. Ref.Kruger Safari 1697.  5May 10_50.eml</x:v>
      </x:c>
    </x:row>
    <x:row r="603">
      <x:c r="A603" s="34" t="n">
        <x:v>46147.45208333333</x:v>
      </x:c>
      <x:c r="B603" s="15" t="str">
        <x:v>Royal Bush 3945</x:v>
      </x:c>
      <x:c r="C603" s="15" t="str">
        <x:v>R8480.00 paid from Current a/c..512781 @ Smartapp. Avail R44234. Ref.Royal Bush 3945. 5May 10:51</x:v>
      </x:c>
      <x:c r="D603" s="38" t="n">
        <x:v>8480</x:v>
      </x:c>
      <x:c r="E603" s="15" t="str">
        <x:v>ZAR</x:v>
      </x:c>
      <x:c r="F603" s="15" t="str">
        <x:v>Current a/c..512781</x:v>
      </x:c>
      <x:c r="G603" s="15" t="str">
        <x:v>Supplier payments</x:v>
      </x:c>
      <x:c r="H603" s="15" t="str">
        <x:v>EFT payment</x:v>
      </x:c>
      <x:c r="I603" s="15" t="str">
        <x:v>High</x:v>
      </x:c>
      <x:c r="J603" s="15" t="str">
        <x:v>eml_ALL_currentac__512781 (2).zip &gt; eml3currentac__512781.zip / FNB _-) R8480.00 paid from Current a_c..512781 @ Smartapp. Ref.Royal Bush 3945.  5May 10_51.eml</x:v>
      </x:c>
    </x:row>
    <x:row r="604">
      <x:c r="A604" s="34" t="n">
        <x:v>46147.55625</x:v>
      </x:c>
      <x:c r="B604" s="15" t="str">
        <x:v>Ingwe Supermarket146</x:v>
      </x:c>
      <x:c r="C604" s="15" t="str">
        <x:v>R131.99 reserved for purchase @ Ingwe Supermarket146 from Current a/c..512781 using card..2924. Avail R44102. 5May 13:21</x:v>
      </x:c>
      <x:c r="D604" s="38" t="n">
        <x:v>131.99</x:v>
      </x:c>
      <x:c r="E604" s="15" t="str">
        <x:v>ZAR</x:v>
      </x:c>
      <x:c r="F604" s="15" t="str">
        <x:v>Current a/c..512781 / card..2924</x:v>
      </x:c>
      <x:c r="G604" s="15" t="str">
        <x:v>Card spend</x:v>
      </x:c>
      <x:c r="H604" s="15" t="str">
        <x:v>Card purchase</x:v>
      </x:c>
      <x:c r="I604" s="15" t="str">
        <x:v>High</x:v>
      </x:c>
      <x:c r="J604" s="15" t="str">
        <x:v>eml_ALL_currentac__512781 (2).zip &gt; eml3currentac__512781.zip / FNB _-) R131.99 reserved for purchase @ Ingwe Supermarket146 from Current a_c..512781 using card..2924.  5May 13_21.eml</x:v>
      </x:c>
    </x:row>
    <x:row r="605">
      <x:c r="A605" s="34" t="n">
        <x:v>46147.635416666664</x:v>
      </x:c>
      <x:c r="B605" s="15" t="str">
        <x:v>Marlothi Petrol Stat</x:v>
      </x:c>
      <x:c r="C605" s="15" t="str">
        <x:v>R475.72 reserved for purchase @ Marlothi Petrol Stat from Current a/c..512781 using card..2924. Avail R43626. 5May 15:15</x:v>
      </x:c>
      <x:c r="D605" s="38" t="n">
        <x:v>475.72</x:v>
      </x:c>
      <x:c r="E605" s="15" t="str">
        <x:v>ZAR</x:v>
      </x:c>
      <x:c r="F605" s="15" t="str">
        <x:v>Current a/c..512781 / card..2924</x:v>
      </x:c>
      <x:c r="G605" s="15" t="str">
        <x:v>Fuel / transport</x:v>
      </x:c>
      <x:c r="H605" s="15" t="str">
        <x:v>Card purchase</x:v>
      </x:c>
      <x:c r="I605" s="15" t="str">
        <x:v>High</x:v>
      </x:c>
      <x:c r="J605" s="15" t="str">
        <x:v>eml_ALL_currentac__512781 (2).zip &gt; eml2currentac__512781.zip / FNB _-) R475.72 reserved for purchase @ Marlothi Petrol Stat from Current a_c..512781 using card..2924.  5May 15_15.eml</x:v>
      </x:c>
    </x:row>
    <x:row r="606">
      <x:c r="A606" s="34" t="n">
        <x:v>46148.64166666667</x:v>
      </x:c>
      <x:c r="B606" s="15" t="str">
        <x:v>Savemor Marloth</x:v>
      </x:c>
      <x:c r="C606" s="15" t="str">
        <x:v>R239.03 reserved for purchase @ Savemor Marloth from Current a/c..512781 using card..2924. Avail R43315. 6May 15:24</x:v>
      </x:c>
      <x:c r="D606" s="38" t="n">
        <x:v>239.03</x:v>
      </x:c>
      <x:c r="E606" s="15" t="str">
        <x:v>ZAR</x:v>
      </x:c>
      <x:c r="F606" s="15" t="str">
        <x:v>Current a/c..512781 / card..2924</x:v>
      </x:c>
      <x:c r="G606" s="15" t="str">
        <x:v>Supplier payments</x:v>
      </x:c>
      <x:c r="H606" s="15" t="str">
        <x:v>Card purchase</x:v>
      </x:c>
      <x:c r="I606" s="15" t="str">
        <x:v>High</x:v>
      </x:c>
      <x:c r="J606" s="15" t="str">
        <x:v>eml_ALL_currentac__512781 (2).zip &gt; eml2currentac__512781.zip / FNB _-) R239.03 reserved for purchase @ Savemor Marloth from Current a_c..512781 using card..2924.  6May 15_24.eml</x:v>
      </x:c>
    </x:row>
    <x:row r="607">
      <x:c r="A607" s="34" t="n">
        <x:v>46149.49375</x:v>
      </x:c>
      <x:c r="B607" s="15" t="str">
        <x:v>Sk Transfer 0194</x:v>
      </x:c>
      <x:c r="C607" s="15" t="str">
        <x:v>R2200.00 paid from Current a/c..512781 @ Smartapp. Avail R58530. Ref.Sk Transfer 0194. 7May 11:51</x:v>
      </x:c>
      <x:c r="D607" s="38" t="n">
        <x:v>2200</x:v>
      </x:c>
      <x:c r="E607" s="15" t="str">
        <x:v>ZAR</x:v>
      </x:c>
      <x:c r="F607" s="15" t="str">
        <x:v>Current a/c..512781</x:v>
      </x:c>
      <x:c r="G607" s="15" t="str">
        <x:v>Supplier payments</x:v>
      </x:c>
      <x:c r="H607" s="15" t="str">
        <x:v>EFT payment</x:v>
      </x:c>
      <x:c r="I607" s="15" t="str">
        <x:v>High</x:v>
      </x:c>
      <x:c r="J607" s="15" t="str">
        <x:v>eml_ALL_currentac__512781 (2).zip &gt; eml2currentac__512781.zip / FNB _-) R2200.00 paid from Current a_c..512781 @ Smartapp. Ref.Sk Transfer 0194.  7May 11_51.eml</x:v>
      </x:c>
    </x:row>
    <x:row r="608">
      <x:c r="A608" s="34" t="n">
        <x:v>46149.55</x:v>
      </x:c>
      <x:c r="B608" s="15" t="str">
        <x:v>Shoprite Komatipoort</x:v>
      </x:c>
      <x:c r="C608" s="15" t="str">
        <x:v>R834.37 reserved for purchase @ Shoprite Komatipoort from Current a/c..512781 using card..2924. Avail R57695. 7May 13:12</x:v>
      </x:c>
      <x:c r="D608" s="38" t="n">
        <x:v>834.37</x:v>
      </x:c>
      <x:c r="E608" s="15" t="str">
        <x:v>ZAR</x:v>
      </x:c>
      <x:c r="F608" s="15" t="str">
        <x:v>Current a/c..512781 / card..2924</x:v>
      </x:c>
      <x:c r="G608" s="15" t="str">
        <x:v>Supplier payments</x:v>
      </x:c>
      <x:c r="H608" s="15" t="str">
        <x:v>Card purchase</x:v>
      </x:c>
      <x:c r="I608" s="15" t="str">
        <x:v>High</x:v>
      </x:c>
      <x:c r="J608" s="15" t="str">
        <x:v>eml_ALL_currentac__512781 (2).zip &gt; eml2currentac__512781.zip / FNB _-) R834.37 reserved for purchase @ Shoprite Komatipoort from Current a_c..512781 using card..2924.  7May 13_12.eml</x:v>
      </x:c>
    </x:row>
    <x:row r="609">
      <x:c r="A609" s="34" t="n">
        <x:v>46149.57986111111</x:v>
      </x:c>
      <x:c r="B609" s="15" t="str">
        <x:v>Pep Home 5771 Komati</x:v>
      </x:c>
      <x:c r="C609" s="15" t="str">
        <x:v>R570.86 reserved for purchase @ Pep Home 5771 Komati from Current a/c..512781 using card..2924. Avail R57124. 7May 13:55</x:v>
      </x:c>
      <x:c r="D609" s="38" t="n">
        <x:v>570.86</x:v>
      </x:c>
      <x:c r="E609" s="15" t="str">
        <x:v>ZAR</x:v>
      </x:c>
      <x:c r="F609" s="15" t="str">
        <x:v>Current a/c..512781 / card..2924</x:v>
      </x:c>
      <x:c r="G609" s="15" t="str">
        <x:v>Supplier payments</x:v>
      </x:c>
      <x:c r="H609" s="15" t="str">
        <x:v>Card purchase</x:v>
      </x:c>
      <x:c r="I609" s="15" t="str">
        <x:v>High</x:v>
      </x:c>
      <x:c r="J609" s="15" t="str">
        <x:v>eml_ALL_currentac__512781 (2).zip &gt; eml2currentac__512781.zip / FNB _-) R570.86 reserved for purchase @ Pep Home 5771 Komati from Current a_c..512781 using card..2924.  7May 13_55.eml</x:v>
      </x:c>
    </x:row>
    <x:row r="610">
      <x:c r="A610" s="34" t="n">
        <x:v>46149.62847222222</x:v>
      </x:c>
      <x:c r="B610" s="15" t="str">
        <x:v>Superspar Komatipoor</x:v>
      </x:c>
      <x:c r="C610" s="15" t="str">
        <x:v>R969.81 reserved for purchase @ Superspar Komatipoor from Current a/c..512781 using card..2924. Avail R56154. 7May 15:05</x:v>
      </x:c>
      <x:c r="D610" s="38" t="n">
        <x:v>969.81</x:v>
      </x:c>
      <x:c r="E610" s="15" t="str">
        <x:v>ZAR</x:v>
      </x:c>
      <x:c r="F610" s="15" t="str">
        <x:v>Current a/c..512781 / card..2924</x:v>
      </x:c>
      <x:c r="G610" s="15" t="str">
        <x:v>Supplier payments</x:v>
      </x:c>
      <x:c r="H610" s="15" t="str">
        <x:v>Card purchase</x:v>
      </x:c>
      <x:c r="I610" s="15" t="str">
        <x:v>High</x:v>
      </x:c>
      <x:c r="J610" s="15" t="str">
        <x:v>eml_ALL_currentac__512781 (2).zip &gt; eml2currentac__512781.zip / FNB _-) R969.81 reserved for purchase @ Superspar Komatipoor from Current a_c..512781 using card..2924.  7May 15_05.eml</x:v>
      </x:c>
    </x:row>
    <x:row r="611">
      <x:c r="A611" s="34" t="n">
        <x:v>46149.78402777778</x:v>
      </x:c>
      <x:c r="B611" s="15" t="str">
        <x:v>Electricity 04294887</x:v>
      </x:c>
      <x:c r="C611" s="15" t="str">
        <x:v>R500.00 paid from Current a/c..512781 @ Smartapp. Avail R55652. Ref.Electricity 04294887. 7May 18:49</x:v>
      </x:c>
      <x:c r="D611" s="38" t="n">
        <x:v>500</x:v>
      </x:c>
      <x:c r="E611" s="15" t="str">
        <x:v>ZAR</x:v>
      </x:c>
      <x:c r="F611" s="15" t="str">
        <x:v>Current a/c..512781</x:v>
      </x:c>
      <x:c r="G611" s="15" t="str">
        <x:v>Telecom / utilities</x:v>
      </x:c>
      <x:c r="H611" s="15" t="str">
        <x:v>EFT payment</x:v>
      </x:c>
      <x:c r="I611" s="15" t="str">
        <x:v>High</x:v>
      </x:c>
      <x:c r="J611" s="15" t="str">
        <x:v>eml_ALL_currentac__512781 (2).zip &gt; eml2currentac__512781.zip / FNB _-) R500.00 paid from Current a_c..512781 @ Smartapp. Ref.Electricity 04294887.  7May 18_49.eml</x:v>
      </x:c>
    </x:row>
    <x:row r="612">
      <x:c r="A612" s="34" t="n">
        <x:v>46150.30347222222</x:v>
      </x:c>
      <x:c r="B612" s="15" t="str">
        <x:v>Electricity 14503572</x:v>
      </x:c>
      <x:c r="C612" s="15" t="str">
        <x:v>R150.00 paid from Current a/c..512781 @ Smartapp. Avail R55493. Ref.Electricity 14503572. 8May 07:17</x:v>
      </x:c>
      <x:c r="D612" s="38" t="n">
        <x:v>150</x:v>
      </x:c>
      <x:c r="E612" s="15" t="str">
        <x:v>ZAR</x:v>
      </x:c>
      <x:c r="F612" s="15" t="str">
        <x:v>Current a/c..512781</x:v>
      </x:c>
      <x:c r="G612" s="15" t="str">
        <x:v>Telecom / utilities</x:v>
      </x:c>
      <x:c r="H612" s="15" t="str">
        <x:v>EFT payment</x:v>
      </x:c>
      <x:c r="I612" s="15" t="str">
        <x:v>High</x:v>
      </x:c>
      <x:c r="J612" s="15" t="str">
        <x:v>eml_ALL_currentac__512781 (2).zip &gt; eml2currentac__512781.zip / FNB _-) R150.00 paid from Current a_c..512781 @ Smartapp. Ref.Electricity 14503572.  8May 07_17.eml</x:v>
      </x:c>
    </x:row>
    <x:row r="613">
      <x:c r="A613" s="34" t="n">
        <x:v>46150.50625</x:v>
      </x:c>
      <x:c r="B613" s="15" t="str">
        <x:v>Send Peter Carpentor</x:v>
      </x:c>
      <x:c r="C613" s="15" t="str">
        <x:v>R800.00 paid from Current a/c..512781 @ Smartapp. Avail R54670. Ref.Send Peter Carpentor. 8May 12:09</x:v>
      </x:c>
      <x:c r="D613" s="38" t="n">
        <x:v>800</x:v>
      </x:c>
      <x:c r="E613" s="15" t="str">
        <x:v>ZAR</x:v>
      </x:c>
      <x:c r="F613" s="15" t="str">
        <x:v>Current a/c..512781</x:v>
      </x:c>
      <x:c r="G613" s="15" t="str">
        <x:v>Supplier payments</x:v>
      </x:c>
      <x:c r="H613" s="15" t="str">
        <x:v>EFT payment</x:v>
      </x:c>
      <x:c r="I613" s="15" t="str">
        <x:v>High</x:v>
      </x:c>
      <x:c r="J613" s="15" t="str">
        <x:v>eml_ALL_currentac__512781 (2).zip &gt; eml2currentac__512781.zip / FNB _-) R800.00 paid from Current a_c..512781 @ Smartapp. Ref.Send Peter Carpentor.  8May 12_09.eml</x:v>
      </x:c>
    </x:row>
    <x:row r="614">
      <x:c r="A614" s="34" t="n">
        <x:v>46150.73402777778</x:v>
      </x:c>
      <x:c r="B614" s="15" t="str">
        <x:v>Sakkie Wages</x:v>
      </x:c>
      <x:c r="C614" s="15" t="str">
        <x:v>R2500.00 paid from Current a/c..512781 @ Smartapp. Avail R52162. Ref.Sakkie Wages. 8May 17:37</x:v>
      </x:c>
      <x:c r="D614" s="38" t="n">
        <x:v>2500</x:v>
      </x:c>
      <x:c r="E614" s="15" t="str">
        <x:v>ZAR</x:v>
      </x:c>
      <x:c r="F614" s="15" t="str">
        <x:v>Current a/c..512781</x:v>
      </x:c>
      <x:c r="G614" s="15" t="str">
        <x:v>Salary / wages</x:v>
      </x:c>
      <x:c r="H614" s="15" t="str">
        <x:v>EFT payment</x:v>
      </x:c>
      <x:c r="I614" s="15" t="str">
        <x:v>High</x:v>
      </x:c>
      <x:c r="J614" s="15" t="str">
        <x:v>eml_ALL_currentac__512781 (2).zip &gt; eml2currentac__512781.zip / FNB _-) R2500.00 paid from Current a_c..512781 @ Smartapp. Ref.Sakkie Wages.  8May 17_37.eml</x:v>
      </x:c>
    </x:row>
    <x:row r="615">
      <x:c r="A615" s="34" t="n">
        <x:v>46151.61111111111</x:v>
      </x:c>
      <x:c r="B615" s="15" t="str">
        <x:v>Superspar Komatipoor</x:v>
      </x:c>
      <x:c r="C615" s="15" t="str">
        <x:v>R1601.05 reserved for purchase @ Superspar Komatipoor from Current a/c..512781 using card..2924. Avail R52198. 9May 14:40</x:v>
      </x:c>
      <x:c r="D615" s="38" t="n">
        <x:v>1601.05</x:v>
      </x:c>
      <x:c r="E615" s="15" t="str">
        <x:v>ZAR</x:v>
      </x:c>
      <x:c r="F615" s="15" t="str">
        <x:v>Current a/c..512781 / card..2924</x:v>
      </x:c>
      <x:c r="G615" s="15" t="str">
        <x:v>Supplier payments</x:v>
      </x:c>
      <x:c r="H615" s="15" t="str">
        <x:v>Card purchase</x:v>
      </x:c>
      <x:c r="I615" s="15" t="str">
        <x:v>High</x:v>
      </x:c>
      <x:c r="J615" s="15" t="str">
        <x:v>eml_ALL_currentac__512781 (2).zip &gt; eml2currentac__512781.zip / FNB _-) R1601.05 reserved for purchase @ Superspar Komatipoor from Current a_c..512781 using card..2924.  9May 14_40.eml</x:v>
      </x:c>
    </x:row>
    <x:row r="616">
      <x:c r="A616" s="34" t="n">
        <x:v>46153.40347222222</x:v>
      </x:c>
      <x:c r="B616" s="15" t="str">
        <x:v>Bon Express 008340</x:v>
      </x:c>
      <x:c r="C616" s="15" t="str">
        <x:v>R345.40 paid from Current a/c..512781 @ Smartapp. Avail R51797. Ref.Bon Express 008340. 11May 09:41</x:v>
      </x:c>
      <x:c r="D616" s="38" t="n">
        <x:v>345.4</x:v>
      </x:c>
      <x:c r="E616" s="15" t="str">
        <x:v>ZAR</x:v>
      </x:c>
      <x:c r="F616" s="15" t="str">
        <x:v>Current a/c..512781</x:v>
      </x:c>
      <x:c r="G616" s="15" t="str">
        <x:v>Supplier payments</x:v>
      </x:c>
      <x:c r="H616" s="15" t="str">
        <x:v>EFT payment</x:v>
      </x:c>
      <x:c r="I616" s="15" t="str">
        <x:v>High</x:v>
      </x:c>
      <x:c r="J616" s="15" t="str">
        <x:v>eml_ALL_currentac__512781 (2).zip &gt; eml2currentac__512781.zip / FNB _-) R345.40 paid from Current a_c..512781 @ Smartapp. Ref.Bon Express 008340. 11May 09_41.eml</x:v>
      </x:c>
    </x:row>
    <x:row r="617">
      <x:c r="A617" s="34" t="n">
        <x:v>46153.544444444444</x:v>
      </x:c>
      <x:c r="B617" s="15" t="str">
        <x:v>Salary</x:v>
      </x:c>
      <x:c r="C617" s="15" t="str">
        <x:v>R4000.00 paid from Current a/c..512781 @ Smartapp. Avail R45794. Ref.Salary. 11May 13:04</x:v>
      </x:c>
      <x:c r="D617" s="38" t="n">
        <x:v>4000</x:v>
      </x:c>
      <x:c r="E617" s="15" t="str">
        <x:v>ZAR</x:v>
      </x:c>
      <x:c r="F617" s="15" t="str">
        <x:v>Current a/c..512781</x:v>
      </x:c>
      <x:c r="G617" s="15" t="str">
        <x:v>Salary / wages</x:v>
      </x:c>
      <x:c r="H617" s="15" t="str">
        <x:v>EFT payment</x:v>
      </x:c>
      <x:c r="I617" s="15" t="str">
        <x:v>High</x:v>
      </x:c>
      <x:c r="J617" s="15" t="str">
        <x:v>eml_ALL_currentac__512781 (2).zip &gt; eml2currentac__512781.zip / FNB _-) R4000.00 paid from Current a_c..512781 @ Smartapp. Ref.Salary. 11May 13_04.eml</x:v>
      </x:c>
    </x:row>
    <x:row r="618">
      <x:c r="A618" s="34" t="n">
        <x:v>46153.615277777775</x:v>
      </x:c>
      <x:c r="B618" s="15" t="str">
        <x:v>Send Donald Bus</x:v>
      </x:c>
      <x:c r="C618" s="15" t="str">
        <x:v>R1500.00 paid from Current a/c..512781 @ Smartapp. Avail R43253. Ref.Send Donald Bus. 11May 14:46</x:v>
      </x:c>
      <x:c r="D618" s="38" t="n">
        <x:v>1500</x:v>
      </x:c>
      <x:c r="E618" s="15" t="str">
        <x:v>ZAR</x:v>
      </x:c>
      <x:c r="F618" s="15" t="str">
        <x:v>Current a/c..512781</x:v>
      </x:c>
      <x:c r="G618" s="15" t="str">
        <x:v>Supplier payments</x:v>
      </x:c>
      <x:c r="H618" s="15" t="str">
        <x:v>EFT payment</x:v>
      </x:c>
      <x:c r="I618" s="15" t="str">
        <x:v>High</x:v>
      </x:c>
      <x:c r="J618" s="15" t="str">
        <x:v>eml_ALL_currentac__512781 (2).zip &gt; eml2currentac__512781.zip / FNB _-) R1500.00 paid from Current a_c..512781 @ Smartapp. Ref.Send Donald Bus. 11May 14_46.eml</x:v>
      </x:c>
    </x:row>
    <x:row r="619">
      <x:c r="A619" s="34" t="n">
        <x:v>46153.65902777778</x:v>
      </x:c>
      <x:c r="B619" s="15" t="str">
        <x:v>Send Donald Bus</x:v>
      </x:c>
      <x:c r="C619" s="15" t="str">
        <x:v>R1500.00 paid from Current a/c..512781 @ Smartapp. Avail R43193. Ref.Send Donald Bus. 11May 15:49</x:v>
      </x:c>
      <x:c r="D619" s="38" t="n">
        <x:v>1500</x:v>
      </x:c>
      <x:c r="E619" s="15" t="str">
        <x:v>ZAR</x:v>
      </x:c>
      <x:c r="F619" s="15" t="str">
        <x:v>Current a/c..512781</x:v>
      </x:c>
      <x:c r="G619" s="15" t="str">
        <x:v>Supplier payments</x:v>
      </x:c>
      <x:c r="H619" s="15" t="str">
        <x:v>EFT payment</x:v>
      </x:c>
      <x:c r="I619" s="15" t="str">
        <x:v>High</x:v>
      </x:c>
      <x:c r="J619" s="15" t="str">
        <x:v>eml_ALL_currentac__512781 (2).zip &gt; eml2currentac__512781.zip / FNB _-) R1500.00 paid from Current a_c..512781 @ Smartapp. Ref.Send Donald Bus. 11May 15_49.eml</x:v>
      </x:c>
    </x:row>
    <x:row r="620">
      <x:c r="A620" s="34" t="n">
        <x:v>46154.52638888889</x:v>
      </x:c>
      <x:c r="B620" s="15" t="str">
        <x:v>Smartapp</x:v>
      </x:c>
      <x:c r="C620" s="15" t="str">
        <x:v>R200.00 paid from Current a/c..512781 @ Smartapp. Avail R42990. 12May 12:38</x:v>
      </x:c>
      <x:c r="D620" s="38" t="n">
        <x:v>200</x:v>
      </x:c>
      <x:c r="E620" s="15" t="str">
        <x:v>ZAR</x:v>
      </x:c>
      <x:c r="F620" s="15" t="str">
        <x:v>Current a/c..512781</x:v>
      </x:c>
      <x:c r="G620" s="15" t="str">
        <x:v>Supplier payments</x:v>
      </x:c>
      <x:c r="H620" s="15" t="str">
        <x:v>EFT payment</x:v>
      </x:c>
      <x:c r="I620" s="15" t="str">
        <x:v>High</x:v>
      </x:c>
      <x:c r="J620" s="15" t="str">
        <x:v>eml_ALL_currentac__512781 (2).zip &gt; eml2currentac__512781.zip / FNB _-) R200.00 paid from Current a_c..512781 @ Smartapp. 12May 12_38.eml</x:v>
      </x:c>
    </x:row>
    <x:row r="621">
      <x:c r="A621" s="34" t="n">
        <x:v>46155.39097222222</x:v>
      </x:c>
      <x:c r="B621" s="15" t="str">
        <x:v>Sk Transfer 0202</x:v>
      </x:c>
      <x:c r="C621" s="15" t="str">
        <x:v>R2200.00 paid from Current a/c..512781 @ Smartapp. Avail R40775. Ref.Sk Transfer 0202. 13May 09:23</x:v>
      </x:c>
      <x:c r="D621" s="38" t="n">
        <x:v>2200</x:v>
      </x:c>
      <x:c r="E621" s="15" t="str">
        <x:v>ZAR</x:v>
      </x:c>
      <x:c r="F621" s="15" t="str">
        <x:v>Current a/c..512781</x:v>
      </x:c>
      <x:c r="G621" s="15" t="str">
        <x:v>Supplier payments</x:v>
      </x:c>
      <x:c r="H621" s="15" t="str">
        <x:v>EFT payment</x:v>
      </x:c>
      <x:c r="I621" s="15" t="str">
        <x:v>High</x:v>
      </x:c>
      <x:c r="J621" s="15" t="str">
        <x:v>eml_ALL_currentac__512781 (2).zip &gt; eml2currentac__512781.zip / FNB _-) R2200.00 paid from Current a_c..512781 @ Smartapp. Ref.Sk Transfer 0202. 13May 09_23.eml</x:v>
      </x:c>
    </x:row>
    <x:row r="622">
      <x:c r="A622" s="34" t="n">
        <x:v>46155.40277777778</x:v>
      </x:c>
      <x:c r="B622" s="15" t="str">
        <x:v>Electricity 14503572</x:v>
      </x:c>
      <x:c r="C622" s="15" t="str">
        <x:v>R150.00 paid from Current a/c..512781 @ Smartapp. Avail R40624. Ref.Electricity 14503572. 13May 09:40</x:v>
      </x:c>
      <x:c r="D622" s="38" t="n">
        <x:v>150</x:v>
      </x:c>
      <x:c r="E622" s="15" t="str">
        <x:v>ZAR</x:v>
      </x:c>
      <x:c r="F622" s="15" t="str">
        <x:v>Current a/c..512781</x:v>
      </x:c>
      <x:c r="G622" s="15" t="str">
        <x:v>Telecom / utilities</x:v>
      </x:c>
      <x:c r="H622" s="15" t="str">
        <x:v>EFT payment</x:v>
      </x:c>
      <x:c r="I622" s="15" t="str">
        <x:v>High</x:v>
      </x:c>
      <x:c r="J622" s="15" t="str">
        <x:v>eml_ALL_currentac__512781 (2).zip &gt; eml2currentac__512781.zip / FNB _-) R150.00 paid from Current a_c..512781 @ Smartapp. Ref.Electricity 14503572. 13May 09_40.eml</x:v>
      </x:c>
    </x:row>
    <x:row r="623">
      <x:c r="A623" s="34" t="n">
        <x:v>46155.404861111114</x:v>
      </x:c>
      <x:c r="B623" s="15" t="str">
        <x:v>Send Tyron Bos</x:v>
      </x:c>
      <x:c r="C623" s="15" t="str">
        <x:v>R1000.00 paid from Current a/c..512781 @ Smartapp. Avail R39595. Ref.Send Tyron Bos. 13May 09:43</x:v>
      </x:c>
      <x:c r="D623" s="38" t="n">
        <x:v>1000</x:v>
      </x:c>
      <x:c r="E623" s="15" t="str">
        <x:v>ZAR</x:v>
      </x:c>
      <x:c r="F623" s="15" t="str">
        <x:v>Current a/c..512781</x:v>
      </x:c>
      <x:c r="G623" s="15" t="str">
        <x:v>Supplier payments</x:v>
      </x:c>
      <x:c r="H623" s="15" t="str">
        <x:v>EFT payment</x:v>
      </x:c>
      <x:c r="I623" s="15" t="str">
        <x:v>High</x:v>
      </x:c>
      <x:c r="J623" s="15" t="str">
        <x:v>eml_ALL_currentac__512781 (2).zip &gt; eml2currentac__512781.zip / FNB _-) R1000.00 paid from Current a_c..512781 @ Smartapp. Ref.Send Tyron Bos. 13May 09_43.eml</x:v>
      </x:c>
    </x:row>
    <x:row r="624">
      <x:c r="A624" s="34" t="n">
        <x:v>46155.493055555555</x:v>
      </x:c>
      <x:c r="B624" s="15" t="str">
        <x:v>Shoprite Malelane</x:v>
      </x:c>
      <x:c r="C624" s="15" t="str">
        <x:v>R687.78 reserved for purchase @ Shoprite Malelane from Current a/c..512781 using card..2924. Avail R38908. 13May 11:50</x:v>
      </x:c>
      <x:c r="D624" s="38" t="n">
        <x:v>687.78</x:v>
      </x:c>
      <x:c r="E624" s="15" t="str">
        <x:v>ZAR</x:v>
      </x:c>
      <x:c r="F624" s="15" t="str">
        <x:v>Current a/c..512781 / card..2924</x:v>
      </x:c>
      <x:c r="G624" s="15" t="str">
        <x:v>Supplier payments</x:v>
      </x:c>
      <x:c r="H624" s="15" t="str">
        <x:v>Card purchase</x:v>
      </x:c>
      <x:c r="I624" s="15" t="str">
        <x:v>High</x:v>
      </x:c>
      <x:c r="J624" s="15" t="str">
        <x:v>eml_ALL_currentac__512781 (2).zip &gt; eml2currentac__512781.zip / FNB _-) R687.78 reserved for purchase @ Shoprite Malelane from Current a_c..512781 using card..2924. 13May 11_50.eml</x:v>
      </x:c>
    </x:row>
    <x:row r="625">
      <x:c r="A625" s="34" t="n">
        <x:v>46155.572222222225</x:v>
      </x:c>
      <x:c r="B625" s="15" t="str">
        <x:v>Superspar Malelane</x:v>
      </x:c>
      <x:c r="C625" s="15" t="str">
        <x:v>R534.02 reserved for purchase @ Superspar Malelane from Current a/c..512781 using card..2924. Avail R38374. 13May 13:44</x:v>
      </x:c>
      <x:c r="D625" s="38" t="n">
        <x:v>534.02</x:v>
      </x:c>
      <x:c r="E625" s="15" t="str">
        <x:v>ZAR</x:v>
      </x:c>
      <x:c r="F625" s="15" t="str">
        <x:v>Current a/c..512781 / card..2924</x:v>
      </x:c>
      <x:c r="G625" s="15" t="str">
        <x:v>Supplier payments</x:v>
      </x:c>
      <x:c r="H625" s="15" t="str">
        <x:v>Card purchase</x:v>
      </x:c>
      <x:c r="I625" s="15" t="str">
        <x:v>High</x:v>
      </x:c>
      <x:c r="J625" s="15" t="str">
        <x:v>eml_ALL_currentac__512781 (2).zip &gt; eml2currentac__512781.zip / FNB _-) R534.02 reserved for purchase @ Superspar Malelane from Current a_c..512781 using card..2924. 13May 13_44.eml</x:v>
      </x:c>
    </x:row>
    <x:row r="626">
      <x:c r="A626" s="34" t="n">
        <x:v>46155.58125</x:v>
      </x:c>
      <x:c r="B626" s="15" t="str">
        <x:v>Oasis Water Malelane</x:v>
      </x:c>
      <x:c r="C626" s="15" t="str">
        <x:v>R259.20 reserved for purchase @ Oasis Water Malelane from Current a/c..512781 using card..2924. Avail R38114. 13May 13:57</x:v>
      </x:c>
      <x:c r="D626" s="38" t="n">
        <x:v>259.2</x:v>
      </x:c>
      <x:c r="E626" s="15" t="str">
        <x:v>ZAR</x:v>
      </x:c>
      <x:c r="F626" s="15" t="str">
        <x:v>Current a/c..512781 / card..2924</x:v>
      </x:c>
      <x:c r="G626" s="15" t="str">
        <x:v>Supplier payments</x:v>
      </x:c>
      <x:c r="H626" s="15" t="str">
        <x:v>Card purchase</x:v>
      </x:c>
      <x:c r="I626" s="15" t="str">
        <x:v>High</x:v>
      </x:c>
      <x:c r="J626" s="15" t="str">
        <x:v>eml_ALL_currentac__512781 (2).zip &gt; eml2currentac__512781.zip / FNB _-) R259.20 reserved for purchase @ Oasis Water Malelane from Current a_c..512781 using card..2924. 13May 13_57.eml</x:v>
      </x:c>
    </x:row>
    <x:row r="627">
      <x:c r="A627" s="34" t="n">
        <x:v>46155.88958333333</x:v>
      </x:c>
      <x:c r="B627" s="15" t="str">
        <x:v>Moment_*dstv Joh</x:v>
      </x:c>
      <x:c r="C627" s="15" t="str">
        <x:v>R676.45 reserved for purchase @ Moment_*dstv Joh from Current a/c..512781 using card..0104. Avail R15749. 13May 21:21</x:v>
      </x:c>
      <x:c r="D627" s="38" t="n">
        <x:v>676.45</x:v>
      </x:c>
      <x:c r="E627" s="15" t="str">
        <x:v>ZAR</x:v>
      </x:c>
      <x:c r="F627" s="15" t="str">
        <x:v>Current a/c..512781 / card..0104</x:v>
      </x:c>
      <x:c r="G627" s="15" t="str">
        <x:v>Card spend</x:v>
      </x:c>
      <x:c r="H627" s="15" t="str">
        <x:v>Card purchase</x:v>
      </x:c>
      <x:c r="I627" s="15" t="str">
        <x:v>High</x:v>
      </x:c>
      <x:c r="J627" s="15" t="str">
        <x:v>eml_ALL_currentac__512781 (2).zip &gt; eml2currentac__512781.zip / FNB _-) R676.45 reserved for purchase @ Moment__dstv Joh from Current a_c..512781 using card..0104. 13May 21_21.eml</x:v>
      </x:c>
    </x:row>
    <x:row r="628">
      <x:c r="A628" s="34" t="n">
        <x:v>46156.524305555555</x:v>
      </x:c>
      <x:c r="B628" s="15" t="str">
        <x:v>Sqsp* Websit</x:v>
      </x:c>
      <x:c r="C628" s="15" t="str">
        <x:v>R634.15 reserved for purchase @ Sqsp* Websit from Current a/c..512781 using card..2924. Avail R13715. 14May 12:35</x:v>
      </x:c>
      <x:c r="D628" s="38" t="n">
        <x:v>634.15</x:v>
      </x:c>
      <x:c r="E628" s="15" t="str">
        <x:v>ZAR</x:v>
      </x:c>
      <x:c r="F628" s="15" t="str">
        <x:v>Current a/c..512781 / card..2924</x:v>
      </x:c>
      <x:c r="G628" s="15" t="str">
        <x:v>Software / subscriptions</x:v>
      </x:c>
      <x:c r="H628" s="15" t="str">
        <x:v>Card purchase</x:v>
      </x:c>
      <x:c r="I628" s="15" t="str">
        <x:v>High</x:v>
      </x:c>
      <x:c r="J628" s="15" t="str">
        <x:v>eml_ALL_currentac__512781 (2).zip &gt; eml2currentac__512781.zip / FNB _-) R634.15 reserved for purchase @ Sqsp_ Websit from Current a_c..512781 using card..2924. 14May 12_35.eml</x:v>
      </x:c>
    </x:row>
    <x:row r="629">
      <x:c r="A629" s="34" t="n">
        <x:v>46156.62847222222</x:v>
      </x:c>
      <x:c r="B629" s="15" t="str">
        <x:v>Savemor Marloth</x:v>
      </x:c>
      <x:c r="C629" s="15" t="str">
        <x:v>R180.75 reserved for purchase @ Savemor Marloth from Current a/c..512781 using card..2924. Avail R13534. 14May 15:05</x:v>
      </x:c>
      <x:c r="D629" s="38" t="n">
        <x:v>180.75</x:v>
      </x:c>
      <x:c r="E629" s="15" t="str">
        <x:v>ZAR</x:v>
      </x:c>
      <x:c r="F629" s="15" t="str">
        <x:v>Current a/c..512781 / card..2924</x:v>
      </x:c>
      <x:c r="G629" s="15" t="str">
        <x:v>Supplier payments</x:v>
      </x:c>
      <x:c r="H629" s="15" t="str">
        <x:v>Card purchase</x:v>
      </x:c>
      <x:c r="I629" s="15" t="str">
        <x:v>High</x:v>
      </x:c>
      <x:c r="J629" s="15" t="str">
        <x:v>eml_ALL_currentac__512781 (2).zip &gt; eml2currentac__512781.zip / FNB _-) R180.75 reserved for purchase @ Savemor Marloth from Current a_c..512781 using card..2924. 14May 15_05.eml</x:v>
      </x:c>
    </x:row>
    <x:row r="630">
      <x:c r="A630" s="34" t="n">
        <x:v>46156.677777777775</x:v>
      </x:c>
      <x:c r="B630" s="15" t="str">
        <x:v>Cm Coetzee Wage</x:v>
      </x:c>
      <x:c r="C630" s="15" t="str">
        <x:v>R1500.00 paid from Current a/c..512781 @ Smartapp. Avail R12026. Ref.Cm Coetzee Wage. 14May 16:16</x:v>
      </x:c>
      <x:c r="D630" s="38" t="n">
        <x:v>1500</x:v>
      </x:c>
      <x:c r="E630" s="15" t="str">
        <x:v>ZAR</x:v>
      </x:c>
      <x:c r="F630" s="15" t="str">
        <x:v>Current a/c..512781</x:v>
      </x:c>
      <x:c r="G630" s="15" t="str">
        <x:v>Salary / wages</x:v>
      </x:c>
      <x:c r="H630" s="15" t="str">
        <x:v>EFT payment</x:v>
      </x:c>
      <x:c r="I630" s="15" t="str">
        <x:v>High</x:v>
      </x:c>
      <x:c r="J630" s="15" t="str">
        <x:v>eml_ALL_currentac__512781 (2).zip &gt; eml2currentac__512781.zip / FNB _-) R1500.00 paid from Current a_c..512781 @ Smartapp. Ref.Cm Coetzee Wage. 14May 16_16.eml</x:v>
      </x:c>
    </x:row>
    <x:row r="631">
      <x:c r="A631" s="34" t="n">
        <x:v>46157.345138888886</x:v>
      </x:c>
      <x:c r="B631" s="15" t="str">
        <x:v>Electricity 14503572</x:v>
      </x:c>
      <x:c r="C631" s="15" t="str">
        <x:v>R150.00 paid from Current a/c..512781 @ Smartapp. Avail R11874. Ref.Electricity 14503572. 15May 08:17</x:v>
      </x:c>
      <x:c r="D631" s="38" t="n">
        <x:v>150</x:v>
      </x:c>
      <x:c r="E631" s="15" t="str">
        <x:v>ZAR</x:v>
      </x:c>
      <x:c r="F631" s="15" t="str">
        <x:v>Current a/c..512781</x:v>
      </x:c>
      <x:c r="G631" s="15" t="str">
        <x:v>Telecom / utilities</x:v>
      </x:c>
      <x:c r="H631" s="15" t="str">
        <x:v>EFT payment</x:v>
      </x:c>
      <x:c r="I631" s="15" t="str">
        <x:v>High</x:v>
      </x:c>
      <x:c r="J631" s="15" t="str">
        <x:v>eml_ALL_currentac__512781 (2).zip &gt; eml2currentac__512781.zip / FNB _-) R150.00 paid from Current a_c..512781 @ Smartapp. Ref.Electricity 14503572. 15May 08_17.eml</x:v>
      </x:c>
    </x:row>
    <x:row r="632">
      <x:c r="A632" s="34" t="n">
        <x:v>46157.34930555556</x:v>
      </x:c>
      <x:c r="B632" s="15" t="str">
        <x:v>Salary</x:v>
      </x:c>
      <x:c r="C632" s="15" t="str">
        <x:v>R2000.00 paid from Current a/c..512781 @ Smartapp. Avail R23374. Ref.Salary. 15May 08:23</x:v>
      </x:c>
      <x:c r="D632" s="38" t="n">
        <x:v>2000</x:v>
      </x:c>
      <x:c r="E632" s="15" t="str">
        <x:v>ZAR</x:v>
      </x:c>
      <x:c r="F632" s="15" t="str">
        <x:v>Current a/c..512781</x:v>
      </x:c>
      <x:c r="G632" s="15" t="str">
        <x:v>Salary / wages</x:v>
      </x:c>
      <x:c r="H632" s="15" t="str">
        <x:v>EFT payment</x:v>
      </x:c>
      <x:c r="I632" s="15" t="str">
        <x:v>High</x:v>
      </x:c>
      <x:c r="J632" s="15" t="str">
        <x:v>eml_ALL_currentac__512781 (2).zip &gt; eml2currentac__512781.zip / FNB _-) R2000.00 paid from Current a_c..512781 @ Smartapp. Ref.Salary. 15May 08_23.eml</x:v>
      </x:c>
    </x:row>
    <x:row r="633">
      <x:c r="A633" s="34" t="n">
        <x:v>46158.458333333336</x:v>
      </x:c>
      <x:c r="B633" s="15" t="str">
        <x:v>Superspar Komatipoor</x:v>
      </x:c>
      <x:c r="C633" s="15" t="str">
        <x:v>R1084.09 reserved for purchase @ Superspar Komatipoor from Current a/c..512781 using card..2924. Avail R22646. 16May 11:00</x:v>
      </x:c>
      <x:c r="D633" s="38" t="n">
        <x:v>1084.09</x:v>
      </x:c>
      <x:c r="E633" s="15" t="str">
        <x:v>ZAR</x:v>
      </x:c>
      <x:c r="F633" s="15" t="str">
        <x:v>Current a/c..512781 / card..2924</x:v>
      </x:c>
      <x:c r="G633" s="15" t="str">
        <x:v>Supplier payments</x:v>
      </x:c>
      <x:c r="H633" s="15" t="str">
        <x:v>Card purchase</x:v>
      </x:c>
      <x:c r="I633" s="15" t="str">
        <x:v>High</x:v>
      </x:c>
      <x:c r="J633" s="15" t="str">
        <x:v>eml_ALL_currentac__512781 (2).zip &gt; eml2currentac__512781.zip / FNB _-) R1084.09 reserved for purchase @ Superspar Komatipoor from Current a_c..512781 using card..2924. 16May 11_00.eml</x:v>
      </x:c>
    </x:row>
    <x:row r="634">
      <x:c r="A634" s="34" t="n">
        <x:v>46158.61111111111</x:v>
      </x:c>
      <x:c r="B634" s="15" t="str">
        <x:v>Send Tyron Bos</x:v>
      </x:c>
      <x:c r="C634" s="15" t="str">
        <x:v>R1000.00 paid from Current a/c..512781 @ Smartapp. Avail R21618. Ref.Send Tyron Bos. 16May 14:40</x:v>
      </x:c>
      <x:c r="D634" s="38" t="n">
        <x:v>1000</x:v>
      </x:c>
      <x:c r="E634" s="15" t="str">
        <x:v>ZAR</x:v>
      </x:c>
      <x:c r="F634" s="15" t="str">
        <x:v>Current a/c..512781</x:v>
      </x:c>
      <x:c r="G634" s="15" t="str">
        <x:v>Supplier payments</x:v>
      </x:c>
      <x:c r="H634" s="15" t="str">
        <x:v>EFT payment</x:v>
      </x:c>
      <x:c r="I634" s="15" t="str">
        <x:v>High</x:v>
      </x:c>
      <x:c r="J634" s="15" t="str">
        <x:v>eml_ALL_currentac__512781 (2).zip &gt; eml2currentac__512781.zip / FNB _-) R1000.00 paid from Current a_c..512781 @ Smartapp. Ref.Send Tyron Bos. 16May 14_40.eml</x:v>
      </x:c>
    </x:row>
    <x:row r="635">
      <x:c r="A635" s="34" t="n">
        <x:v>46158.77916666667</x:v>
      </x:c>
      <x:c r="B635" s="15" t="str">
        <x:v>Electricity 14503572</x:v>
      </x:c>
      <x:c r="C635" s="15" t="str">
        <x:v>R150.00 paid from Current a/c..512781 @ Smartapp. Avail R21467. Ref.Electricity 14503572. 16May 18:42</x:v>
      </x:c>
      <x:c r="D635" s="38" t="n">
        <x:v>150</x:v>
      </x:c>
      <x:c r="E635" s="15" t="str">
        <x:v>ZAR</x:v>
      </x:c>
      <x:c r="F635" s="15" t="str">
        <x:v>Current a/c..512781</x:v>
      </x:c>
      <x:c r="G635" s="15" t="str">
        <x:v>Telecom / utilities</x:v>
      </x:c>
      <x:c r="H635" s="15" t="str">
        <x:v>EFT payment</x:v>
      </x:c>
      <x:c r="I635" s="15" t="str">
        <x:v>High</x:v>
      </x:c>
      <x:c r="J635" s="15" t="str">
        <x:v>eml_ALL_currentac__512781 (2).zip &gt; eml2currentac__512781.zip / FNB _-) R150.00 paid from Current a_c..512781 @ Smartapp. Ref.Electricity 14503572. 16May 18_42.eml</x:v>
      </x:c>
    </x:row>
    <x:row r="636">
      <x:c r="A636" s="34" t="n">
        <x:v>46159.43472222222</x:v>
      </x:c>
      <x:c r="B636" s="15" t="str">
        <x:v>Paystack *zoho Co</x:v>
      </x:c>
      <x:c r="C636" s="15" t="str">
        <x:v>R228.85 reserved for purchase @ Paystack *zoho Co from Current a/c..512781 using card..2924. Avail R21238. 17May 10:26</x:v>
      </x:c>
      <x:c r="D636" s="38" t="n">
        <x:v>228.85</x:v>
      </x:c>
      <x:c r="E636" s="15" t="str">
        <x:v>ZAR</x:v>
      </x:c>
      <x:c r="F636" s="15" t="str">
        <x:v>Current a/c..512781 / card..2924</x:v>
      </x:c>
      <x:c r="G636" s="15" t="str">
        <x:v>Software / subscriptions</x:v>
      </x:c>
      <x:c r="H636" s="15" t="str">
        <x:v>Card purchase</x:v>
      </x:c>
      <x:c r="I636" s="15" t="str">
        <x:v>High</x:v>
      </x:c>
      <x:c r="J636" s="15" t="str">
        <x:v>eml_ALL_currentac__512781 (2).zip &gt; eml2currentac__512781.zip / FNB _-) R228.85 reserved for purchase @ Paystack _zoho Co from Current a_c..512781 using card..2924. 17May 10_26.eml</x:v>
      </x:c>
    </x:row>
    <x:row r="637">
      <x:c r="A637" s="34" t="n">
        <x:v>46159.529861111114</x:v>
      </x:c>
      <x:c r="B637" s="15" t="str">
        <x:v>Staff</x:v>
      </x:c>
      <x:c r="C637" s="15" t="str">
        <x:v>R1000.00 paid from Current a/c..512781 @ Smartapp. Avail R20238. Ref.Staff. 17May 12:43</x:v>
      </x:c>
      <x:c r="D637" s="38" t="n">
        <x:v>1000</x:v>
      </x:c>
      <x:c r="E637" s="15" t="str">
        <x:v>ZAR</x:v>
      </x:c>
      <x:c r="F637" s="15" t="str">
        <x:v>Current a/c..512781</x:v>
      </x:c>
      <x:c r="G637" s="15" t="str">
        <x:v>Salary / wages</x:v>
      </x:c>
      <x:c r="H637" s="15" t="str">
        <x:v>EFT payment</x:v>
      </x:c>
      <x:c r="I637" s="15" t="str">
        <x:v>High</x:v>
      </x:c>
      <x:c r="J637" s="15" t="str">
        <x:v>eml_ALL_currentac__512781 (2).zip &gt; eml2currentac__512781.zip / FNB _-) R1000.00 paid from Current a_c..512781 @ Smartapp. Ref.Staff. 17May 12_43.eml</x:v>
      </x:c>
    </x:row>
    <x:row r="638">
      <x:c r="A638" s="34" t="n">
        <x:v>46159.64166666667</x:v>
      </x:c>
      <x:c r="B638" s="15" t="str">
        <x:v>Giraffe Pub And Gril</x:v>
      </x:c>
      <x:c r="C638" s="15" t="str">
        <x:v>R600.00 reserved for purchase @ Giraffe Pub And Gril from Current a/c..512781 using card..2924. Avail R19589. 17May 15:24</x:v>
      </x:c>
      <x:c r="D638" s="38" t="n">
        <x:v>600</x:v>
      </x:c>
      <x:c r="E638" s="15" t="str">
        <x:v>ZAR</x:v>
      </x:c>
      <x:c r="F638" s="15" t="str">
        <x:v>Current a/c..512781 / card..2924</x:v>
      </x:c>
      <x:c r="G638" s="15" t="str">
        <x:v>Meals / restaurants / entertainment</x:v>
      </x:c>
      <x:c r="H638" s="15" t="str">
        <x:v>Card purchase</x:v>
      </x:c>
      <x:c r="I638" s="15" t="str">
        <x:v>High</x:v>
      </x:c>
      <x:c r="J638" s="15" t="str">
        <x:v>eml_ALL_currentac__512781 (2).zip &gt; eml2currentac__512781.zip / FNB _-) R600.00 reserved for purchase @ Giraffe Pub And Gril from Current a_c..512781 using card..2924. 17May 15_24.eml</x:v>
      </x:c>
    </x:row>
    <x:row r="639">
      <x:c r="A639" s="34" t="n">
        <x:v>46159.97638888889</x:v>
      </x:c>
      <x:c r="B639" s="15" t="str">
        <x:v>Openai *chatgpt Subscr+14</x:v>
      </x:c>
      <x:c r="C639" s="15" t="str">
        <x:v>R149.00 reserved for purchase @ Openai *chatgpt Subscr+14 from Current a/c..512781 using card..0104. Avail R19440. 17May 23:26</x:v>
      </x:c>
      <x:c r="D639" s="38" t="n">
        <x:v>149</x:v>
      </x:c>
      <x:c r="E639" s="15" t="str">
        <x:v>ZAR</x:v>
      </x:c>
      <x:c r="F639" s="15" t="str">
        <x:v>Current a/c..512781 / card..0104</x:v>
      </x:c>
      <x:c r="G639" s="15" t="str">
        <x:v>Software / subscriptions</x:v>
      </x:c>
      <x:c r="H639" s="15" t="str">
        <x:v>Card purchase</x:v>
      </x:c>
      <x:c r="I639" s="15" t="str">
        <x:v>High</x:v>
      </x:c>
      <x:c r="J639" s="15" t="str">
        <x:v>eml_ALL_currentac__512781 (2).zip &gt; eml2currentac__512781.zip / FNB _-) R149.00 reserved for purchase @ Openai _chatgpt Subscr+14 from Current a_c..512781 using card..0104. 17May 23_26.eml</x:v>
      </x:c>
    </x:row>
    <x:row r="640">
      <x:c r="A640" s="34" t="n">
        <x:v>46160.46597222222</x:v>
      </x:c>
      <x:c r="B640" s="15" t="str">
        <x:v>Car</x:v>
      </x:c>
      <x:c r="C640" s="15" t="str">
        <x:v>R5000.00 paid from Current a/c..512781 @ Smartapp. Avail R14432. Ref.Car. 18May 11:11</x:v>
      </x:c>
      <x:c r="D640" s="38" t="n">
        <x:v>5000</x:v>
      </x:c>
      <x:c r="E640" s="15" t="str">
        <x:v>ZAR</x:v>
      </x:c>
      <x:c r="F640" s="15" t="str">
        <x:v>Current a/c..512781</x:v>
      </x:c>
      <x:c r="G640" s="15" t="str">
        <x:v>Supplier payments</x:v>
      </x:c>
      <x:c r="H640" s="15" t="str">
        <x:v>EFT payment</x:v>
      </x:c>
      <x:c r="I640" s="15" t="str">
        <x:v>High</x:v>
      </x:c>
      <x:c r="J640" s="15" t="str">
        <x:v>eml_ALL_currentac__512781 (2).zip &gt; eml2currentac__512781.zip / FNB _-) R5000.00 paid from Current a_c..512781 @ Smartapp. Ref.Car. 18May 11_11.eml</x:v>
      </x:c>
    </x:row>
    <x:row r="641">
      <x:c r="A641" s="34" t="n">
        <x:v>46160.5625</x:v>
      </x:c>
      <x:c r="B641" s="15" t="str">
        <x:v>Superspar Komatipoor</x:v>
      </x:c>
      <x:c r="C641" s="15" t="str">
        <x:v>R1017.17 reserved for purchase @ Superspar Komatipoor from Current a/c..512781 using card..2924. Avail R13414. 18May 13:30</x:v>
      </x:c>
      <x:c r="D641" s="38" t="n">
        <x:v>1017.17</x:v>
      </x:c>
      <x:c r="E641" s="15" t="str">
        <x:v>ZAR</x:v>
      </x:c>
      <x:c r="F641" s="15" t="str">
        <x:v>Current a/c..512781 / card..2924</x:v>
      </x:c>
      <x:c r="G641" s="15" t="str">
        <x:v>Supplier payments</x:v>
      </x:c>
      <x:c r="H641" s="15" t="str">
        <x:v>Card purchase</x:v>
      </x:c>
      <x:c r="I641" s="15" t="str">
        <x:v>High</x:v>
      </x:c>
      <x:c r="J641" s="15" t="str">
        <x:v>eml_ALL_currentac__512781 (2).zip &gt; eml2currentac__512781.zip / FNB _-) R1017.17 reserved for purchase @ Superspar Komatipoor from Current a_c..512781 using card..2924. 18May 13_30.eml</x:v>
      </x:c>
    </x:row>
    <x:row r="642">
      <x:c r="A642" s="34" t="n">
        <x:v>46160.73333333333</x:v>
      </x:c>
      <x:c r="B642" s="15" t="str">
        <x:v>Electricity 14503572</x:v>
      </x:c>
      <x:c r="C642" s="15" t="str">
        <x:v>R150.00 paid from Current a/c..512781 @ Smartapp. Avail R13511. Ref.Electricity 14503572. 18May 17:36</x:v>
      </x:c>
      <x:c r="D642" s="38" t="n">
        <x:v>150</x:v>
      </x:c>
      <x:c r="E642" s="15" t="str">
        <x:v>ZAR</x:v>
      </x:c>
      <x:c r="F642" s="15" t="str">
        <x:v>Current a/c..512781</x:v>
      </x:c>
      <x:c r="G642" s="15" t="str">
        <x:v>Telecom / utilities</x:v>
      </x:c>
      <x:c r="H642" s="15" t="str">
        <x:v>EFT payment</x:v>
      </x:c>
      <x:c r="I642" s="15" t="str">
        <x:v>High</x:v>
      </x:c>
      <x:c r="J642" s="15" t="str">
        <x:v>eml_ALL_currentac__512781 (2).zip &gt; eml2currentac__512781.zip / FNB _-) R150.00 paid from Current a_c..512781 @ Smartapp. Ref.Electricity 14503572. 18May 17_36.eml</x:v>
      </x:c>
    </x:row>
    <x:row r="643">
      <x:c r="A643" s="34" t="n">
        <x:v>46161.46319444444</x:v>
      </x:c>
      <x:c r="B643" s="15" t="str">
        <x:v>Marlothi Petrol Stat</x:v>
      </x:c>
      <x:c r="C643" s="15" t="str">
        <x:v>R200.00 reserved for purchase @ Marlothi Petrol Stat from Current a/c..512781 using card..2924. Avail R13308. 19May 11:07</x:v>
      </x:c>
      <x:c r="D643" s="38" t="n">
        <x:v>200</x:v>
      </x:c>
      <x:c r="E643" s="15" t="str">
        <x:v>ZAR</x:v>
      </x:c>
      <x:c r="F643" s="15" t="str">
        <x:v>Current a/c..512781 / card..2924</x:v>
      </x:c>
      <x:c r="G643" s="15" t="str">
        <x:v>Fuel / transport</x:v>
      </x:c>
      <x:c r="H643" s="15" t="str">
        <x:v>Card purchase</x:v>
      </x:c>
      <x:c r="I643" s="15" t="str">
        <x:v>High</x:v>
      </x:c>
      <x:c r="J643" s="15" t="str">
        <x:v>eml_ALL_currentac__512781 (2).zip &gt; eml2currentac__512781.zip / FNB _-) R200.00 reserved for purchase @ Marlothi Petrol Stat from Current a_c..512781 using card..2924. 19May 11_07.eml</x:v>
      </x:c>
    </x:row>
    <x:row r="644">
      <x:c r="A644" s="34" t="n">
        <x:v>46161.638194444444</x:v>
      </x:c>
      <x:c r="B644" s="15" t="str">
        <x:v>Salary</x:v>
      </x:c>
      <x:c r="C644" s="15" t="str">
        <x:v>R1000.00 paid from Current a/c..512781 @ Smartapp. Avail R12305. Ref.Salary. 19May 15:19</x:v>
      </x:c>
      <x:c r="D644" s="38" t="n">
        <x:v>1000</x:v>
      </x:c>
      <x:c r="E644" s="15" t="str">
        <x:v>ZAR</x:v>
      </x:c>
      <x:c r="F644" s="15" t="str">
        <x:v>Current a/c..512781</x:v>
      </x:c>
      <x:c r="G644" s="15" t="str">
        <x:v>Salary / wages</x:v>
      </x:c>
      <x:c r="H644" s="15" t="str">
        <x:v>EFT payment</x:v>
      </x:c>
      <x:c r="I644" s="15" t="str">
        <x:v>High</x:v>
      </x:c>
      <x:c r="J644" s="15" t="str">
        <x:v>eml_ALL_currentac__512781 (2).zip &gt; eml2currentac__512781.zip / FNB _-) R1000.00 paid from Current a_c..512781 @ Smartapp. Ref.Salary. 19May 15_19.eml</x:v>
      </x:c>
    </x:row>
    <x:row r="645">
      <x:c r="A645" s="34" t="n">
        <x:v>46161.675</x:v>
      </x:c>
      <x:c r="B645" s="15" t="str">
        <x:v>Electricity 04294887</x:v>
      </x:c>
      <x:c r="C645" s="15" t="str">
        <x:v>R500.00 paid from Current a/c..512781 @ Smartapp. Avail R11712. Ref.Electricity 04294887. 19May 16:12</x:v>
      </x:c>
      <x:c r="D645" s="38" t="n">
        <x:v>500</x:v>
      </x:c>
      <x:c r="E645" s="15" t="str">
        <x:v>ZAR</x:v>
      </x:c>
      <x:c r="F645" s="15" t="str">
        <x:v>Current a/c..512781</x:v>
      </x:c>
      <x:c r="G645" s="15" t="str">
        <x:v>Telecom / utilities</x:v>
      </x:c>
      <x:c r="H645" s="15" t="str">
        <x:v>EFT payment</x:v>
      </x:c>
      <x:c r="I645" s="15" t="str">
        <x:v>High</x:v>
      </x:c>
      <x:c r="J645" s="15" t="str">
        <x:v>eml_ALL_currentac__512781 (2).zip &gt; eml2currentac__512781.zip / FNB _-) R500.00 paid from Current a_c..512781 @ Smartapp. Ref.Electricity 04294887. 19May 16_12.eml</x:v>
      </x:c>
    </x:row>
    <x:row r="646">
      <x:c r="A646" s="34" t="n">
        <x:v>46161.69097222222</x:v>
      </x:c>
      <x:c r="B646" s="15" t="str">
        <x:v>Savemor Marloth</x:v>
      </x:c>
      <x:c r="C646" s="15" t="str">
        <x:v>R285.95 reserved for purchase @ Savemor Marloth from Current a/c..512781 using card..2924. Avail R11426. 19May 16:35</x:v>
      </x:c>
      <x:c r="D646" s="38" t="n">
        <x:v>285.95</x:v>
      </x:c>
      <x:c r="E646" s="15" t="str">
        <x:v>ZAR</x:v>
      </x:c>
      <x:c r="F646" s="15" t="str">
        <x:v>Current a/c..512781 / card..2924</x:v>
      </x:c>
      <x:c r="G646" s="15" t="str">
        <x:v>Supplier payments</x:v>
      </x:c>
      <x:c r="H646" s="15" t="str">
        <x:v>Card purchase</x:v>
      </x:c>
      <x:c r="I646" s="15" t="str">
        <x:v>High</x:v>
      </x:c>
      <x:c r="J646" s="15" t="str">
        <x:v>eml_ALL_currentac__512781 (2).zip &gt; eml2currentac__512781.zip / FNB _-) R285.95 reserved for purchase @ Savemor Marloth from Current a_c..512781 using card..2924. 19May 16_35.eml</x:v>
      </x:c>
    </x:row>
    <x:row r="647">
      <x:c r="A647" s="34" t="n">
        <x:v>46161.694444444445</x:v>
      </x:c>
      <x:c r="B647" s="15" t="str">
        <x:v>Savemor Marloth Liqu</x:v>
      </x:c>
      <x:c r="C647" s="15" t="str">
        <x:v>R269.97 reserved for purchase @ Savemor Marloth Liqu from Current a/c..512781 using card..2924. Avail R11156. 19May 16:40</x:v>
      </x:c>
      <x:c r="D647" s="38" t="n">
        <x:v>269.97</x:v>
      </x:c>
      <x:c r="E647" s="15" t="str">
        <x:v>ZAR</x:v>
      </x:c>
      <x:c r="F647" s="15" t="str">
        <x:v>Current a/c..512781 / card..2924</x:v>
      </x:c>
      <x:c r="G647" s="15" t="str">
        <x:v>Meals / restaurants / entertainment</x:v>
      </x:c>
      <x:c r="H647" s="15" t="str">
        <x:v>Card purchase</x:v>
      </x:c>
      <x:c r="I647" s="15" t="str">
        <x:v>High</x:v>
      </x:c>
      <x:c r="J647" s="15" t="str">
        <x:v>eml_ALL_currentac__512781 (2).zip &gt; eml2currentac__512781.zip / FNB _-) R269.97 reserved for purchase @ Savemor Marloth Liqu from Current a_c..512781 using card..2924. 19May 16_40.eml</x:v>
      </x:c>
    </x:row>
    <x:row r="648">
      <x:c r="A648" s="34" t="n">
        <x:v>46162.45694444444</x:v>
      </x:c>
      <x:c r="B648" s="15" t="str">
        <x:v>Claude.ai Subscription+14</x:v>
      </x:c>
      <x:c r="C648" s="15" t="str">
        <x:v>R395.68 reserved for purchase @ Claude.ai Subscription+14 from Current a/c..512781 using card..0104. Avail R10743. 20May 10:58</x:v>
      </x:c>
      <x:c r="D648" s="38" t="n">
        <x:v>395.68</x:v>
      </x:c>
      <x:c r="E648" s="15" t="str">
        <x:v>ZAR</x:v>
      </x:c>
      <x:c r="F648" s="15" t="str">
        <x:v>Current a/c..512781 / card..0104</x:v>
      </x:c>
      <x:c r="G648" s="15" t="str">
        <x:v>Software / subscriptions</x:v>
      </x:c>
      <x:c r="H648" s="15" t="str">
        <x:v>Card purchase</x:v>
      </x:c>
      <x:c r="I648" s="15" t="str">
        <x:v>High</x:v>
      </x:c>
      <x:c r="J648" s="15" t="str">
        <x:v>eml_ALL_currentac__512781 (2).zip &gt; eml2currentac__512781.zip / FNB _-) R395.68 reserved for purchase @ Claude.ai Subscription+14 from Current a_c..512781 using card..0104. 20May 10_58.eml</x:v>
      </x:c>
    </x:row>
    <x:row r="649">
      <x:c r="A649" s="34" t="n">
        <x:v>46162.48055555556</x:v>
      </x:c>
      <x:c r="B649" s="15" t="str">
        <x:v>Pep 5668 Malelane</x:v>
      </x:c>
      <x:c r="C649" s="15" t="str">
        <x:v>R172.96 reserved for purchase @ Pep 5668 Malelane from Current a/c..512781 using card..2924. Avail R10570. 20May 11:32</x:v>
      </x:c>
      <x:c r="D649" s="38" t="n">
        <x:v>172.96</x:v>
      </x:c>
      <x:c r="E649" s="15" t="str">
        <x:v>ZAR</x:v>
      </x:c>
      <x:c r="F649" s="15" t="str">
        <x:v>Current a/c..512781 / card..2924</x:v>
      </x:c>
      <x:c r="G649" s="15" t="str">
        <x:v>Supplier payments</x:v>
      </x:c>
      <x:c r="H649" s="15" t="str">
        <x:v>Card purchase</x:v>
      </x:c>
      <x:c r="I649" s="15" t="str">
        <x:v>High</x:v>
      </x:c>
      <x:c r="J649" s="15" t="str">
        <x:v>eml_ALL_currentac__512781 (2).zip &gt; eml2currentac__512781.zip / FNB _-) R172.96 reserved for purchase @ Pep 5668 Malelane from Current a_c..512781 using card..2924. 20May 11_32.eml</x:v>
      </x:c>
    </x:row>
    <x:row r="650">
      <x:c r="A650" s="34" t="n">
        <x:v>46162.5</x:v>
      </x:c>
      <x:c r="B650" s="15" t="str">
        <x:v>Shoprite Malelane</x:v>
      </x:c>
      <x:c r="C650" s="15" t="str">
        <x:v>R410.49 reserved for purchase @ Shoprite Malelane from Current a/c..512781 using card..2924. Avail R10160. 20May 12:00</x:v>
      </x:c>
      <x:c r="D650" s="38" t="n">
        <x:v>410.49</x:v>
      </x:c>
      <x:c r="E650" s="15" t="str">
        <x:v>ZAR</x:v>
      </x:c>
      <x:c r="F650" s="15" t="str">
        <x:v>Current a/c..512781 / card..2924</x:v>
      </x:c>
      <x:c r="G650" s="15" t="str">
        <x:v>Supplier payments</x:v>
      </x:c>
      <x:c r="H650" s="15" t="str">
        <x:v>Card purchase</x:v>
      </x:c>
      <x:c r="I650" s="15" t="str">
        <x:v>High</x:v>
      </x:c>
      <x:c r="J650" s="15" t="str">
        <x:v>eml_ALL_currentac__512781 (2).zip &gt; eml2currentac__512781.zip / FNB _-) R410.49 reserved for purchase @ Shoprite Malelane from Current a_c..512781 using card..2924. 20May 12_00.eml</x:v>
      </x:c>
    </x:row>
    <x:row r="651">
      <x:c r="A651" s="34" t="n">
        <x:v>46162.518055555556</x:v>
      </x:c>
      <x:c r="B651" s="15" t="str">
        <x:v>Woolworths</x:v>
      </x:c>
      <x:c r="C651" s="15" t="str">
        <x:v>R178.45 reserved for purchase @ Woolworths from Current a/c..512781 using card..2924. Avail R9981. 20May 12:26</x:v>
      </x:c>
      <x:c r="D651" s="38" t="n">
        <x:v>178.45</x:v>
      </x:c>
      <x:c r="E651" s="15" t="str">
        <x:v>ZAR</x:v>
      </x:c>
      <x:c r="F651" s="15" t="str">
        <x:v>Current a/c..512781 / card..2924</x:v>
      </x:c>
      <x:c r="G651" s="15" t="str">
        <x:v>Supplier payments</x:v>
      </x:c>
      <x:c r="H651" s="15" t="str">
        <x:v>Card purchase</x:v>
      </x:c>
      <x:c r="I651" s="15" t="str">
        <x:v>High</x:v>
      </x:c>
      <x:c r="J651" s="15" t="str">
        <x:v>eml_ALL_currentac__512781 (2).zip &gt; eml2currentac__512781.zip / FNB _-) R178.45 reserved for purchase @ Woolworths from Current a_c..512781 using card..2924. 20May 12_26.eml</x:v>
      </x:c>
    </x:row>
    <x:row r="652">
      <x:c r="A652" s="34" t="n">
        <x:v>46162.54305555556</x:v>
      </x:c>
      <x:c r="B652" s="15" t="str">
        <x:v>Claude.ai Subscription+14</x:v>
      </x:c>
      <x:c r="C652" s="15" t="str">
        <x:v>R3562.33 reserved for purchase @ Claude.ai Subscription+14 from Current a/c..512781 using card..0104. Avail R6419. 20May 13:02</x:v>
      </x:c>
      <x:c r="D652" s="38" t="n">
        <x:v>3562.33</x:v>
      </x:c>
      <x:c r="E652" s="15" t="str">
        <x:v>ZAR</x:v>
      </x:c>
      <x:c r="F652" s="15" t="str">
        <x:v>Current a/c..512781 / card..0104</x:v>
      </x:c>
      <x:c r="G652" s="15" t="str">
        <x:v>Software / subscriptions</x:v>
      </x:c>
      <x:c r="H652" s="15" t="str">
        <x:v>Card purchase</x:v>
      </x:c>
      <x:c r="I652" s="15" t="str">
        <x:v>High</x:v>
      </x:c>
      <x:c r="J652" s="15" t="str">
        <x:v>eml_ALL_currentac__512781 (2).zip &gt; eml2currentac__512781.zip / FNB _-) R3562.33 reserved for purchase @ Claude.ai Subscription+14 from Current a_c..512781 using card..0104. 20May 13_02.eml</x:v>
      </x:c>
    </x:row>
    <x:row r="653">
      <x:c r="A653" s="34" t="n">
        <x:v>46162.561111111114</x:v>
      </x:c>
      <x:c r="B653" s="15" t="str">
        <x:v>Superspar Malelane</x:v>
      </x:c>
      <x:c r="C653" s="15" t="str">
        <x:v>R956.42 reserved for purchase @ Superspar Malelane from Current a/c..512781 using card..2924. Avail R5463. 20May 13:28</x:v>
      </x:c>
      <x:c r="D653" s="38" t="n">
        <x:v>956.42</x:v>
      </x:c>
      <x:c r="E653" s="15" t="str">
        <x:v>ZAR</x:v>
      </x:c>
      <x:c r="F653" s="15" t="str">
        <x:v>Current a/c..512781 / card..2924</x:v>
      </x:c>
      <x:c r="G653" s="15" t="str">
        <x:v>Supplier payments</x:v>
      </x:c>
      <x:c r="H653" s="15" t="str">
        <x:v>Card purchase</x:v>
      </x:c>
      <x:c r="I653" s="15" t="str">
        <x:v>High</x:v>
      </x:c>
      <x:c r="J653" s="15" t="str">
        <x:v>eml_ALL_currentac__512781 (2).zip &gt; eml2currentac__512781.zip / FNB _-) R956.42 reserved for purchase @ Superspar Malelane from Current a_c..512781 using card..2924. 20May 13_28.eml</x:v>
      </x:c>
    </x:row>
    <x:row r="654">
      <x:c r="A654" s="34" t="n">
        <x:v>46162.68194444444</x:v>
      </x:c>
      <x:c r="B654" s="15" t="str">
        <x:v>Staff Loan</x:v>
      </x:c>
      <x:c r="C654" s="15" t="str">
        <x:v>R1000.00 paid from Current a/c..512781 @ Smartapp. Avail R7657. Ref.Staff Loan. 20May 16:22</x:v>
      </x:c>
      <x:c r="D654" s="38" t="n">
        <x:v>1000</x:v>
      </x:c>
      <x:c r="E654" s="15" t="str">
        <x:v>ZAR</x:v>
      </x:c>
      <x:c r="F654" s="15" t="str">
        <x:v>Current a/c..512781</x:v>
      </x:c>
      <x:c r="G654" s="15" t="str">
        <x:v>Salary / wages</x:v>
      </x:c>
      <x:c r="H654" s="15" t="str">
        <x:v>EFT payment</x:v>
      </x:c>
      <x:c r="I654" s="15" t="str">
        <x:v>High</x:v>
      </x:c>
      <x:c r="J654" s="15" t="str">
        <x:v>eml_ALL_currentac__512781 (2).zip &gt; eml2currentac__512781.zip / FNB _-) R1000.00 paid from Current a_c..512781 @ Smartapp. Ref.Staff Loan. 20May 16_22.eml</x:v>
      </x:c>
    </x:row>
    <x:row r="655">
      <x:c r="A655" s="34" t="n">
        <x:v>46163.64444444444</x:v>
      </x:c>
      <x:c r="B655" s="15" t="str">
        <x:v>Savemor Marloth</x:v>
      </x:c>
      <x:c r="C655" s="15" t="str">
        <x:v>R276.38 reserved for purchase @ Savemor Marloth from Current a/c..512781 using card..2924. Avail R35661. 21May 15:28</x:v>
      </x:c>
      <x:c r="D655" s="38" t="n">
        <x:v>276.38</x:v>
      </x:c>
      <x:c r="E655" s="15" t="str">
        <x:v>ZAR</x:v>
      </x:c>
      <x:c r="F655" s="15" t="str">
        <x:v>Current a/c..512781 / card..2924</x:v>
      </x:c>
      <x:c r="G655" s="15" t="str">
        <x:v>Supplier payments</x:v>
      </x:c>
      <x:c r="H655" s="15" t="str">
        <x:v>Card purchase</x:v>
      </x:c>
      <x:c r="I655" s="15" t="str">
        <x:v>High</x:v>
      </x:c>
      <x:c r="J655" s="15" t="str">
        <x:v>eml_ALL_currentac__512781 (2).zip &gt; eml2currentac__512781.zip / FNB _-) R276.38 reserved for purchase @ Savemor Marloth from Current a_c..512781 using card..2924. 21May 15_28.eml</x:v>
      </x:c>
    </x:row>
    <x:row r="656">
      <x:c r="A656" s="34" t="n">
        <x:v>46163.64722222222</x:v>
      </x:c>
      <x:c r="B656" s="15" t="str">
        <x:v>Marlothi Petrol Stat</x:v>
      </x:c>
      <x:c r="C656" s="15" t="str">
        <x:v>R200.00 reserved for purchase @ Marlothi Petrol Stat from Current a/c..512781 using card..2924. Avail R35461. 21May 15:32</x:v>
      </x:c>
      <x:c r="D656" s="38" t="n">
        <x:v>200</x:v>
      </x:c>
      <x:c r="E656" s="15" t="str">
        <x:v>ZAR</x:v>
      </x:c>
      <x:c r="F656" s="15" t="str">
        <x:v>Current a/c..512781 / card..2924</x:v>
      </x:c>
      <x:c r="G656" s="15" t="str">
        <x:v>Fuel / transport</x:v>
      </x:c>
      <x:c r="H656" s="15" t="str">
        <x:v>Card purchase</x:v>
      </x:c>
      <x:c r="I656" s="15" t="str">
        <x:v>High</x:v>
      </x:c>
      <x:c r="J656" s="15" t="str">
        <x:v>eml_ALL_currentac__512781 (2).zip &gt; eml2currentac__512781.zip / FNB _-) R200.00 reserved for purchase @ Marlothi Petrol Stat from Current a_c..512781 using card..2924. 21May 15_32.eml</x:v>
      </x:c>
    </x:row>
    <x:row r="657">
      <x:c r="A657" s="34" t="n">
        <x:v>46164.254166666666</x:v>
      </x:c>
      <x:c r="B657" s="15" t="str">
        <x:v>Electricity 04279376</x:v>
      </x:c>
      <x:c r="C657" s="15" t="str">
        <x:v>R1000.00 paid from Current a/c..512781 @ Smartapp. Avail R34430. Ref.Electricity 04279376. 22May 06:06</x:v>
      </x:c>
      <x:c r="D657" s="38" t="n">
        <x:v>1000</x:v>
      </x:c>
      <x:c r="E657" s="15" t="str">
        <x:v>ZAR</x:v>
      </x:c>
      <x:c r="F657" s="15" t="str">
        <x:v>Current a/c..512781</x:v>
      </x:c>
      <x:c r="G657" s="15" t="str">
        <x:v>Telecom / utilities</x:v>
      </x:c>
      <x:c r="H657" s="15" t="str">
        <x:v>EFT payment</x:v>
      </x:c>
      <x:c r="I657" s="15" t="str">
        <x:v>High</x:v>
      </x:c>
      <x:c r="J657" s="15" t="str">
        <x:v>eml_ALL_currentac__512781 (2).zip &gt; eml2currentac__512781.zip / FNB _-) R1000.00 paid from Current a_c..512781 @ Smartapp. Ref.Electricity 04279376. 22May 06_06.eml</x:v>
      </x:c>
    </x:row>
    <x:row r="658">
      <x:c r="A658" s="34" t="n">
        <x:v>46164.57430555556</x:v>
      </x:c>
      <x:c r="B658" s="15" t="str">
        <x:v>Shoprite Komatipoort</x:v>
      </x:c>
      <x:c r="C658" s="15" t="str">
        <x:v>R552.88 reserved for purchase @ Shoprite Komatipoort from Current a/c..512781 using card..2924. Avail R33877. 22May 13:47</x:v>
      </x:c>
      <x:c r="D658" s="38" t="n">
        <x:v>552.88</x:v>
      </x:c>
      <x:c r="E658" s="15" t="str">
        <x:v>ZAR</x:v>
      </x:c>
      <x:c r="F658" s="15" t="str">
        <x:v>Current a/c..512781 / card..2924</x:v>
      </x:c>
      <x:c r="G658" s="15" t="str">
        <x:v>Supplier payments</x:v>
      </x:c>
      <x:c r="H658" s="15" t="str">
        <x:v>Card purchase</x:v>
      </x:c>
      <x:c r="I658" s="15" t="str">
        <x:v>High</x:v>
      </x:c>
      <x:c r="J658" s="15" t="str">
        <x:v>eml_ALL_currentac__512781 (2).zip &gt; eml2currentac__512781.zip / FNB _-) R552.88 reserved for purchase @ Shoprite Komatipoort from Current a_c..512781 using card..2924. 22May 13_47.eml</x:v>
      </x:c>
    </x:row>
    <x:row r="659">
      <x:c r="A659" s="34" t="n">
        <x:v>46164.595138888886</x:v>
      </x:c>
      <x:c r="B659" s="15" t="str">
        <x:v>Fuel</x:v>
      </x:c>
      <x:c r="C659" s="15" t="str">
        <x:v>R1000.00 paid from Current a/c..512781 @ Smartapp. Avail R32874. Ref.Fuel. 22May 14:17</x:v>
      </x:c>
      <x:c r="D659" s="38" t="n">
        <x:v>1000</x:v>
      </x:c>
      <x:c r="E659" s="15" t="str">
        <x:v>ZAR</x:v>
      </x:c>
      <x:c r="F659" s="15" t="str">
        <x:v>Current a/c..512781</x:v>
      </x:c>
      <x:c r="G659" s="15" t="str">
        <x:v>Fuel / transport</x:v>
      </x:c>
      <x:c r="H659" s="15" t="str">
        <x:v>EFT payment</x:v>
      </x:c>
      <x:c r="I659" s="15" t="str">
        <x:v>High</x:v>
      </x:c>
      <x:c r="J659" s="15" t="str">
        <x:v>eml_ALL_currentac__512781 (2).zip &gt; eml2currentac__512781.zip / FNB _-) R1000.00 paid from Current a_c..512781 @ Smartapp. Ref.Fuel. 22May 14_17.eml</x:v>
      </x:c>
    </x:row>
    <x:row r="660">
      <x:c r="A660" s="34" t="n">
        <x:v>46164.597916666666</x:v>
      </x:c>
      <x:c r="B660" s="15" t="str">
        <x:v>Liquorshop Komatipoo</x:v>
      </x:c>
      <x:c r="C660" s="15" t="str">
        <x:v>R239.99 reserved for purchase @ Liquorshop Komatipoo from Current a/c..512781 using card..2924. Avail R32634. 22May 14:21</x:v>
      </x:c>
      <x:c r="D660" s="38" t="n">
        <x:v>239.99</x:v>
      </x:c>
      <x:c r="E660" s="15" t="str">
        <x:v>ZAR</x:v>
      </x:c>
      <x:c r="F660" s="15" t="str">
        <x:v>Current a/c..512781 / card..2924</x:v>
      </x:c>
      <x:c r="G660" s="15" t="str">
        <x:v>Meals / restaurants / entertainment</x:v>
      </x:c>
      <x:c r="H660" s="15" t="str">
        <x:v>Card purchase</x:v>
      </x:c>
      <x:c r="I660" s="15" t="str">
        <x:v>High</x:v>
      </x:c>
      <x:c r="J660" s="15" t="str">
        <x:v>eml_ALL_currentac__512781 (2).zip &gt; eml2currentac__512781.zip / FNB _-) R239.99 reserved for purchase @ Liquorshop Komatipoo from Current a_c..512781 using card..2924. 22May 14_21.eml</x:v>
      </x:c>
    </x:row>
    <x:row r="661">
      <x:c r="A661" s="34" t="n">
        <x:v>46164.63680555556</x:v>
      </x:c>
      <x:c r="B661" s="15" t="str">
        <x:v>Superspar Komatipoor</x:v>
      </x:c>
      <x:c r="C661" s="15" t="str">
        <x:v>R756.39 reserved for purchase @ Superspar Komatipoor from Current a/c..512781 using card..2924. Avail R31877. 22May 15:17</x:v>
      </x:c>
      <x:c r="D661" s="38" t="n">
        <x:v>756.39</x:v>
      </x:c>
      <x:c r="E661" s="15" t="str">
        <x:v>ZAR</x:v>
      </x:c>
      <x:c r="F661" s="15" t="str">
        <x:v>Current a/c..512781 / card..2924</x:v>
      </x:c>
      <x:c r="G661" s="15" t="str">
        <x:v>Supplier payments</x:v>
      </x:c>
      <x:c r="H661" s="15" t="str">
        <x:v>Card purchase</x:v>
      </x:c>
      <x:c r="I661" s="15" t="str">
        <x:v>High</x:v>
      </x:c>
      <x:c r="J661" s="15" t="str">
        <x:v>eml_ALL_currentac__512781 (2).zip &gt; eml2currentac__512781.zip / FNB _-) R756.39 reserved for purchase @ Superspar Komatipoor from Current a_c..512781 using card..2924. 22May 15_17.eml</x:v>
      </x:c>
    </x:row>
    <x:row r="662">
      <x:c r="A662" s="34" t="n">
        <x:v>46164.65347222222</x:v>
      </x:c>
      <x:c r="B662" s="15" t="str">
        <x:v>Oasis Water Komatipo</x:v>
      </x:c>
      <x:c r="C662" s="15" t="str">
        <x:v>R259.20 reserved for purchase @ Oasis Water Komatipo from Current a/c..512781 using card..2924. Avail R30618. 22May 15:41</x:v>
      </x:c>
      <x:c r="D662" s="38" t="n">
        <x:v>259.2</x:v>
      </x:c>
      <x:c r="E662" s="15" t="str">
        <x:v>ZAR</x:v>
      </x:c>
      <x:c r="F662" s="15" t="str">
        <x:v>Current a/c..512781 / card..2924</x:v>
      </x:c>
      <x:c r="G662" s="15" t="str">
        <x:v>Supplier payments</x:v>
      </x:c>
      <x:c r="H662" s="15" t="str">
        <x:v>Card purchase</x:v>
      </x:c>
      <x:c r="I662" s="15" t="str">
        <x:v>High</x:v>
      </x:c>
      <x:c r="J662" s="15" t="str">
        <x:v>eml_ALL_currentac__512781 (2).zip &gt; eml2currentac__512781.zip / FNB _-) R259.20 reserved for purchase @ Oasis Water Komatipo from Current a_c..512781 using card..2924. 22May 15_41.eml</x:v>
      </x:c>
    </x:row>
    <x:row r="663">
      <x:c r="A663" s="34" t="n">
        <x:v>46164.75625</x:v>
      </x:c>
      <x:c r="B663" s="15" t="str">
        <x:v>Sakkie Wages</x:v>
      </x:c>
      <x:c r="C663" s="15" t="str">
        <x:v>R2500.00 paid from Current a/c..512781 @ Smartapp. Avail R28110. Ref.Sakkie Wages. 22May 18:09</x:v>
      </x:c>
      <x:c r="D663" s="38" t="n">
        <x:v>2500</x:v>
      </x:c>
      <x:c r="E663" s="15" t="str">
        <x:v>ZAR</x:v>
      </x:c>
      <x:c r="F663" s="15" t="str">
        <x:v>Current a/c..512781</x:v>
      </x:c>
      <x:c r="G663" s="15" t="str">
        <x:v>Salary / wages</x:v>
      </x:c>
      <x:c r="H663" s="15" t="str">
        <x:v>EFT payment</x:v>
      </x:c>
      <x:c r="I663" s="15" t="str">
        <x:v>High</x:v>
      </x:c>
      <x:c r="J663" s="15" t="str">
        <x:v>eml_ALL_currentac__512781 (2).zip &gt; eml2currentac__512781.zip / FNB _-) R2500.00 paid from Current a_c..512781 @ Smartapp. Ref.Sakkie Wages. 22May 18_09.eml</x:v>
      </x:c>
    </x:row>
    <x:row r="664">
      <x:c r="A664" s="34" t="n">
        <x:v>46165.42083333333</x:v>
      </x:c>
      <x:c r="B664" s="15" t="str">
        <x:v>Electricity 14503572</x:v>
      </x:c>
      <x:c r="C664" s="15" t="str">
        <x:v>R150.00 paid from Current a/c..512781 @ Smartapp. Avail R27936. Ref.Electricity 14503572. 23May 10:06</x:v>
      </x:c>
      <x:c r="D664" s="38" t="n">
        <x:v>150</x:v>
      </x:c>
      <x:c r="E664" s="15" t="str">
        <x:v>ZAR</x:v>
      </x:c>
      <x:c r="F664" s="15" t="str">
        <x:v>Current a/c..512781</x:v>
      </x:c>
      <x:c r="G664" s="15" t="str">
        <x:v>Telecom / utilities</x:v>
      </x:c>
      <x:c r="H664" s="15" t="str">
        <x:v>EFT payment</x:v>
      </x:c>
      <x:c r="I664" s="15" t="str">
        <x:v>High</x:v>
      </x:c>
      <x:c r="J664" s="15" t="str">
        <x:v>eml_ALL_currentac__512781 (2).zip &gt; eml2currentac__512781.zip / FNB _-) R150.00 paid from Current a_c..512781 @ Smartapp. Ref.Electricity 14503572. 23May 10_06.eml</x:v>
      </x:c>
    </x:row>
    <x:row r="665">
      <x:c r="A665" s="34" t="n">
        <x:v>46166.54027777778</x:v>
      </x:c>
      <x:c r="B665" s="15" t="str">
        <x:v>Savemor Marloth</x:v>
      </x:c>
      <x:c r="C665" s="15" t="str">
        <x:v>R266.99 reserved for purchase @ Savemor Marloth from Current a/c..512781 using card..2924. Avail R27620. 24May 12:58</x:v>
      </x:c>
      <x:c r="D665" s="38" t="n">
        <x:v>266.99</x:v>
      </x:c>
      <x:c r="E665" s="15" t="str">
        <x:v>ZAR</x:v>
      </x:c>
      <x:c r="F665" s="15" t="str">
        <x:v>Current a/c..512781 / card..2924</x:v>
      </x:c>
      <x:c r="G665" s="15" t="str">
        <x:v>Supplier payments</x:v>
      </x:c>
      <x:c r="H665" s="15" t="str">
        <x:v>Card purchase</x:v>
      </x:c>
      <x:c r="I665" s="15" t="str">
        <x:v>High</x:v>
      </x:c>
      <x:c r="J665" s="15" t="str">
        <x:v>eml_ALL_currentac__512781 (2).zip &gt; eml2currentac__512781.zip / FNB _-) R266.99 reserved for purchase @ Savemor Marloth from Current a_c..512781 using card..2924. 24May 12_58.eml</x:v>
      </x:c>
    </x:row>
    <x:row r="666">
      <x:c r="A666" s="34" t="n">
        <x:v>46166.54861111111</x:v>
      </x:c>
      <x:c r="B666" s="15" t="str">
        <x:v>Savemor Marloth Liqu</x:v>
      </x:c>
      <x:c r="C666" s="15" t="str">
        <x:v>R149.98 reserved for purchase @ Savemor Marloth Liqu from Current a/c..512781 using card..2924. Avail R27378. 24May 13:10</x:v>
      </x:c>
      <x:c r="D666" s="38" t="n">
        <x:v>149.98</x:v>
      </x:c>
      <x:c r="E666" s="15" t="str">
        <x:v>ZAR</x:v>
      </x:c>
      <x:c r="F666" s="15" t="str">
        <x:v>Current a/c..512781 / card..2924</x:v>
      </x:c>
      <x:c r="G666" s="15" t="str">
        <x:v>Meals / restaurants / entertainment</x:v>
      </x:c>
      <x:c r="H666" s="15" t="str">
        <x:v>Card purchase</x:v>
      </x:c>
      <x:c r="I666" s="15" t="str">
        <x:v>High</x:v>
      </x:c>
      <x:c r="J666" s="15" t="str">
        <x:v>eml_ALL_currentac__512781 (2).zip &gt; eml2currentac__512781.zip / FNB _-) R149.98 reserved for purchase @ Savemor Marloth Liqu from Current a_c..512781 using card..2924. 24May 13_10.eml</x:v>
      </x:c>
    </x:row>
    <x:row r="667">
      <x:c r="A667" s="34" t="n">
        <x:v>46166.614583333336</x:v>
      </x:c>
      <x:c r="B667" s="15" t="str">
        <x:v>Giraffe Pub And Gril</x:v>
      </x:c>
      <x:c r="C667" s="15" t="str">
        <x:v>R750.00 reserved for purchase @ Giraffe Pub And Gril from Current a/c..512781 using card..2924. Avail R26628. 24May 14:45</x:v>
      </x:c>
      <x:c r="D667" s="38" t="n">
        <x:v>750</x:v>
      </x:c>
      <x:c r="E667" s="15" t="str">
        <x:v>ZAR</x:v>
      </x:c>
      <x:c r="F667" s="15" t="str">
        <x:v>Current a/c..512781 / card..2924</x:v>
      </x:c>
      <x:c r="G667" s="15" t="str">
        <x:v>Meals / restaurants / entertainment</x:v>
      </x:c>
      <x:c r="H667" s="15" t="str">
        <x:v>Card purchase</x:v>
      </x:c>
      <x:c r="I667" s="15" t="str">
        <x:v>High</x:v>
      </x:c>
      <x:c r="J667" s="15" t="str">
        <x:v>eml_ALL_currentac__512781 (2).zip &gt; eml2currentac__512781.zip / FNB _-) R750.00 reserved for purchase @ Giraffe Pub And Gril from Current a_c..512781 using card..2924. 24May 14_45.eml</x:v>
      </x:c>
    </x:row>
    <x:row r="668">
      <x:c r="A668" s="34" t="n">
        <x:v>46167.48541666667</x:v>
      </x:c>
      <x:c r="B668" s="15" t="str">
        <x:v>Marlothi Petrol Stat</x:v>
      </x:c>
      <x:c r="C668" s="15" t="str">
        <x:v>R200.00 reserved for purchase @ Marlothi Petrol Stat from Current a/c..512781 using card..2924. Avail R25528. 25May 11:39</x:v>
      </x:c>
      <x:c r="D668" s="38" t="n">
        <x:v>200</x:v>
      </x:c>
      <x:c r="E668" s="15" t="str">
        <x:v>ZAR</x:v>
      </x:c>
      <x:c r="F668" s="15" t="str">
        <x:v>Current a/c..512781 / card..2924</x:v>
      </x:c>
      <x:c r="G668" s="15" t="str">
        <x:v>Fuel / transport</x:v>
      </x:c>
      <x:c r="H668" s="15" t="str">
        <x:v>Card purchase</x:v>
      </x:c>
      <x:c r="I668" s="15" t="str">
        <x:v>High</x:v>
      </x:c>
      <x:c r="J668" s="15" t="str">
        <x:v>eml_ALL_currentac__512781 (2).zip &gt; eml2currentac__512781.zip / FNB _-) R200.00 reserved for purchase @ Marlothi Petrol Stat from Current a_c..512781 using card..2924. 25May 11_39.eml</x:v>
      </x:c>
    </x:row>
    <x:row r="669">
      <x:c r="A669" s="34" t="n">
        <x:v>46167.489583333336</x:v>
      </x:c>
      <x:c r="B669" s="15" t="str">
        <x:v>Kruger Sa 1698 50%</x:v>
      </x:c>
      <x:c r="C669" s="15" t="str">
        <x:v>R3454.50 paid from Current a/c..512781 @ Smartapp. Avail R22071. Ref.Kruger Sa 1698 50%. 25May 11:45</x:v>
      </x:c>
      <x:c r="D669" s="38" t="n">
        <x:v>3454.5</x:v>
      </x:c>
      <x:c r="E669" s="15" t="str">
        <x:v>ZAR</x:v>
      </x:c>
      <x:c r="F669" s="15" t="str">
        <x:v>Current a/c..512781</x:v>
      </x:c>
      <x:c r="G669" s="15" t="str">
        <x:v>Supplier payments</x:v>
      </x:c>
      <x:c r="H669" s="15" t="str">
        <x:v>EFT payment</x:v>
      </x:c>
      <x:c r="I669" s="15" t="str">
        <x:v>High</x:v>
      </x:c>
      <x:c r="J669" s="15" t="str">
        <x:v>eml_ALL_currentac__512781 (2).zip &gt; eml2currentac__512781.zip / FNB _-) R3454.50 paid from Current a_c..512781 @ Smartapp. Ref.Kruger Sa 1698 50%. 25May 11_45.eml</x:v>
      </x:c>
    </x:row>
    <x:row r="670">
      <x:c r="A670" s="34" t="n">
        <x:v>46167.49166666667</x:v>
      </x:c>
      <x:c r="B670" s="15" t="str">
        <x:v>Royal Bush 3979</x:v>
      </x:c>
      <x:c r="C670" s="15" t="str">
        <x:v>R4240.00 paid from Current a/c..512781 @ Smartapp. Avail R21280. Ref.Royal Bush 3979. 25May 11:48</x:v>
      </x:c>
      <x:c r="D670" s="38" t="n">
        <x:v>4240</x:v>
      </x:c>
      <x:c r="E670" s="15" t="str">
        <x:v>ZAR</x:v>
      </x:c>
      <x:c r="F670" s="15" t="str">
        <x:v>Current a/c..512781</x:v>
      </x:c>
      <x:c r="G670" s="15" t="str">
        <x:v>Supplier payments</x:v>
      </x:c>
      <x:c r="H670" s="15" t="str">
        <x:v>EFT payment</x:v>
      </x:c>
      <x:c r="I670" s="15" t="str">
        <x:v>High</x:v>
      </x:c>
      <x:c r="J670" s="15" t="str">
        <x:v>eml_ALL_currentac__512781 (2).zip &gt; eml2currentac__512781.zip / FNB _-) R4240.00 paid from Current a_c..512781 @ Smartapp. Ref.Royal Bush 3979. 25May 11_48.eml</x:v>
      </x:c>
    </x:row>
    <x:row r="671">
      <x:c r="A671" s="34" t="n">
        <x:v>46167.506944444445</x:v>
      </x:c>
      <x:c r="B671" s="15" t="str">
        <x:v>Lebombo Butchery</x:v>
      </x:c>
      <x:c r="C671" s="15" t="str">
        <x:v>R260.00 reserved for purchase @ Lebombo Butchery from Current a/c..512781 using card..2924. Avail R16020. 25May 12:10</x:v>
      </x:c>
      <x:c r="D671" s="38" t="n">
        <x:v>260</x:v>
      </x:c>
      <x:c r="E671" s="15" t="str">
        <x:v>ZAR</x:v>
      </x:c>
      <x:c r="F671" s="15" t="str">
        <x:v>Current a/c..512781 / card..2924</x:v>
      </x:c>
      <x:c r="G671" s="15" t="str">
        <x:v>Supplier payments</x:v>
      </x:c>
      <x:c r="H671" s="15" t="str">
        <x:v>Card purchase</x:v>
      </x:c>
      <x:c r="I671" s="15" t="str">
        <x:v>High</x:v>
      </x:c>
      <x:c r="J671" s="15" t="str">
        <x:v>eml_ALL_currentac__512781 (2).zip &gt; eml2currentac__512781.zip / FNB _-) R260.00 reserved for purchase @ Lebombo Butchery from Current a_c..512781 using card..2924. 25May 12_10.eml</x:v>
      </x:c>
    </x:row>
    <x:row r="672">
      <x:c r="A672" s="34" t="n">
        <x:v>46167.53333333333</x:v>
      </x:c>
      <x:c r="B672" s="15" t="str">
        <x:v>Superspar Komatipoor</x:v>
      </x:c>
      <x:c r="C672" s="15" t="str">
        <x:v>R763.84 reserved for purchase @ Superspar Komatipoor from Current a/c..512781 using card..2924. Avail R15256. 25May 12:48</x:v>
      </x:c>
      <x:c r="D672" s="38" t="n">
        <x:v>763.84</x:v>
      </x:c>
      <x:c r="E672" s="15" t="str">
        <x:v>ZAR</x:v>
      </x:c>
      <x:c r="F672" s="15" t="str">
        <x:v>Current a/c..512781 / card..2924</x:v>
      </x:c>
      <x:c r="G672" s="15" t="str">
        <x:v>Supplier payments</x:v>
      </x:c>
      <x:c r="H672" s="15" t="str">
        <x:v>Card purchase</x:v>
      </x:c>
      <x:c r="I672" s="15" t="str">
        <x:v>High</x:v>
      </x:c>
      <x:c r="J672" s="15" t="str">
        <x:v>eml_ALL_currentac__512781 (2).zip &gt; eml2currentac__512781.zip / FNB _-) R763.84 reserved for purchase @ Superspar Komatipoor from Current a_c..512781 using card..2924. 25May 12_48.eml</x:v>
      </x:c>
    </x:row>
    <x:row r="673">
      <x:c r="A673" s="34" t="n">
        <x:v>46167.73055555556</x:v>
      </x:c>
      <x:c r="B673" s="15" t="str">
        <x:v>Kruger Safari 1698</x:v>
      </x:c>
      <x:c r="C673" s="15" t="str">
        <x:v>R6008.00 paid from Current a/c..512781 @ Smartapp. Avail R47052. Ref.Kruger Safari 1698. 25May 17:32</x:v>
      </x:c>
      <x:c r="D673" s="38" t="n">
        <x:v>6008</x:v>
      </x:c>
      <x:c r="E673" s="15" t="str">
        <x:v>ZAR</x:v>
      </x:c>
      <x:c r="F673" s="15" t="str">
        <x:v>Current a/c..512781</x:v>
      </x:c>
      <x:c r="G673" s="15" t="str">
        <x:v>Supplier payments</x:v>
      </x:c>
      <x:c r="H673" s="15" t="str">
        <x:v>EFT payment</x:v>
      </x:c>
      <x:c r="I673" s="15" t="str">
        <x:v>High</x:v>
      </x:c>
      <x:c r="J673" s="15" t="str">
        <x:v>eml_ALL_currentac__512781 (2).zip &gt; eml2currentac__512781.zip / FNB _-) R6008.00 paid from Current a_c..512781 @ Smartapp. Ref.Kruger Safari 1698. 25May 17_32.eml</x:v>
      </x:c>
    </x:row>
    <x:row r="674">
      <x:c r="A674" s="34" t="n">
        <x:v>46168.631944444445</x:v>
      </x:c>
      <x:c r="B674" s="15" t="str">
        <x:v>Savemor Marloth</x:v>
      </x:c>
      <x:c r="C674" s="15" t="str">
        <x:v>R361.08 reserved for purchase @ Savemor Marloth from Current a/c..512781 using card..2924. Avail R70549. 26May 15:10</x:v>
      </x:c>
      <x:c r="D674" s="38" t="n">
        <x:v>361.08</x:v>
      </x:c>
      <x:c r="E674" s="15" t="str">
        <x:v>ZAR</x:v>
      </x:c>
      <x:c r="F674" s="15" t="str">
        <x:v>Current a/c..512781 / card..2924</x:v>
      </x:c>
      <x:c r="G674" s="15" t="str">
        <x:v>Supplier payments</x:v>
      </x:c>
      <x:c r="H674" s="15" t="str">
        <x:v>Card purchase</x:v>
      </x:c>
      <x:c r="I674" s="15" t="str">
        <x:v>High</x:v>
      </x:c>
      <x:c r="J674" s="15" t="str">
        <x:v>eml_ALL_currentac__512781 (2).zip &gt; eml2currentac__512781.zip / FNB _-) R361.08 reserved for purchase @ Savemor Marloth from Current a_c..512781 using card..2924. 26May 15_10.eml</x:v>
      </x:c>
    </x:row>
    <x:row r="675">
      <x:c r="A675" s="34" t="n">
        <x:v>46169.43472222222</x:v>
      </x:c>
      <x:c r="B675" s="15" t="str">
        <x:v>Kpci - C1736</x:v>
      </x:c>
      <x:c r="C675" s="15" t="str">
        <x:v>R500.00 paid from Current a/c..512781 @ Smartapp. Avail R44531. Ref.Kpci - C1736. 27May 10:26</x:v>
      </x:c>
      <x:c r="D675" s="38" t="n">
        <x:v>500</x:v>
      </x:c>
      <x:c r="E675" s="15" t="str">
        <x:v>ZAR</x:v>
      </x:c>
      <x:c r="F675" s="15" t="str">
        <x:v>Current a/c..512781</x:v>
      </x:c>
      <x:c r="G675" s="15" t="str">
        <x:v>Supplier payments</x:v>
      </x:c>
      <x:c r="H675" s="15" t="str">
        <x:v>EFT payment</x:v>
      </x:c>
      <x:c r="I675" s="15" t="str">
        <x:v>High</x:v>
      </x:c>
      <x:c r="J675" s="15" t="str">
        <x:v>eml_ALL_currentac__512781 (2).zip &gt; eml2currentac__512781.zip / FNB _-) R500.00 paid from Current a_c..512781 @ Smartapp. Ref.Kpci - C1736. 27May 10_26.eml</x:v>
      </x:c>
    </x:row>
    <x:row r="676">
      <x:c r="A676" s="34" t="n">
        <x:v>46169.43541666667</x:v>
      </x:c>
      <x:c r="B676" s="15" t="str">
        <x:v>Sk Transfer 0213</x:v>
      </x:c>
      <x:c r="C676" s="15" t="str">
        <x:v>R8200.00 paid from Current a/c..512781 @ Smartapp. Avail R36323. Ref.Sk Transfer 0213. 27May 10:27</x:v>
      </x:c>
      <x:c r="D676" s="38" t="n">
        <x:v>8200</x:v>
      </x:c>
      <x:c r="E676" s="15" t="str">
        <x:v>ZAR</x:v>
      </x:c>
      <x:c r="F676" s="15" t="str">
        <x:v>Current a/c..512781</x:v>
      </x:c>
      <x:c r="G676" s="15" t="str">
        <x:v>Supplier payments</x:v>
      </x:c>
      <x:c r="H676" s="15" t="str">
        <x:v>EFT payment</x:v>
      </x:c>
      <x:c r="I676" s="15" t="str">
        <x:v>High</x:v>
      </x:c>
      <x:c r="J676" s="15" t="str">
        <x:v>eml_ALL_currentac__512781 (2).zip &gt; eml2currentac__512781.zip / FNB _-) R8200.00 paid from Current a_c..512781 @ Smartapp. Ref.Sk Transfer 0213. 27May 10_27.eml</x:v>
      </x:c>
    </x:row>
    <x:row r="677">
      <x:c r="A677" s="34" t="n">
        <x:v>46169.441666666666</x:v>
      </x:c>
      <x:c r="B677" s="15" t="str">
        <x:v>Royal Bush 3965</x:v>
      </x:c>
      <x:c r="C677" s="15" t="str">
        <x:v>R7276.00 paid from Current a/c..512781 @ Smartapp. Avail R29039. Ref.Royal Bush 3965. 27May 10:36</x:v>
      </x:c>
      <x:c r="D677" s="38" t="n">
        <x:v>7276</x:v>
      </x:c>
      <x:c r="E677" s="15" t="str">
        <x:v>ZAR</x:v>
      </x:c>
      <x:c r="F677" s="15" t="str">
        <x:v>Current a/c..512781</x:v>
      </x:c>
      <x:c r="G677" s="15" t="str">
        <x:v>Supplier payments</x:v>
      </x:c>
      <x:c r="H677" s="15" t="str">
        <x:v>EFT payment</x:v>
      </x:c>
      <x:c r="I677" s="15" t="str">
        <x:v>High</x:v>
      </x:c>
      <x:c r="J677" s="15" t="str">
        <x:v>eml_ALL_currentac__512781 (2).zip &gt; eml2currentac__512781.zip / FNB _-) R7276.00 paid from Current a_c..512781 @ Smartapp. Ref.Royal Bush 3965. 27May 10_36.eml</x:v>
      </x:c>
    </x:row>
    <x:row r="678">
      <x:c r="A678" s="34" t="n">
        <x:v>46169.49791666667</x:v>
      </x:c>
      <x:c r="B678" s="15" t="str">
        <x:v>Dinner Box 111862</x:v>
      </x:c>
      <x:c r="C678" s="15" t="str">
        <x:v>R1541.00 paid from Current a/c..512781 @ Smartapp. Avail R27490. Ref.Dinner Box 111862. 27May 11:57</x:v>
      </x:c>
      <x:c r="D678" s="38" t="n">
        <x:v>1541</x:v>
      </x:c>
      <x:c r="E678" s="15" t="str">
        <x:v>ZAR</x:v>
      </x:c>
      <x:c r="F678" s="15" t="str">
        <x:v>Current a/c..512781</x:v>
      </x:c>
      <x:c r="G678" s="15" t="str">
        <x:v>Meals / restaurants / entertainment</x:v>
      </x:c>
      <x:c r="H678" s="15" t="str">
        <x:v>EFT payment</x:v>
      </x:c>
      <x:c r="I678" s="15" t="str">
        <x:v>High</x:v>
      </x:c>
      <x:c r="J678" s="15" t="str">
        <x:v>eml_ALL_currentac__512781 (2).zip &gt; eml2currentac__512781.zip / FNB _-) R1541.00 paid from Current a_c..512781 @ Smartapp. Ref.Dinner Box 111862. 27May 11_57.eml</x:v>
      </x:c>
    </x:row>
    <x:row r="679">
      <x:c r="A679" s="34" t="n">
        <x:v>46169.63263888889</x:v>
      </x:c>
      <x:c r="B679" s="15" t="str">
        <x:v>Savemor Marloth</x:v>
      </x:c>
      <x:c r="C679" s="15" t="str">
        <x:v>R101.94 reserved for purchase @ Savemor Marloth from Current a/c..512781 using card..2924. Avail R27389. 27May 15:11</x:v>
      </x:c>
      <x:c r="D679" s="38" t="n">
        <x:v>101.94</x:v>
      </x:c>
      <x:c r="E679" s="15" t="str">
        <x:v>ZAR</x:v>
      </x:c>
      <x:c r="F679" s="15" t="str">
        <x:v>Current a/c..512781 / card..2924</x:v>
      </x:c>
      <x:c r="G679" s="15" t="str">
        <x:v>Supplier payments</x:v>
      </x:c>
      <x:c r="H679" s="15" t="str">
        <x:v>Card purchase</x:v>
      </x:c>
      <x:c r="I679" s="15" t="str">
        <x:v>High</x:v>
      </x:c>
      <x:c r="J679" s="15" t="str">
        <x:v>eml_ALL_currentac__512781 (2).zip &gt; eml1currentac__512781.zip / FNB _-) R101.94 reserved for purchase @ Savemor Marloth from Current a_c..512781 using card..2924. 27May 15_11.eml</x:v>
      </x:c>
    </x:row>
    <x:row r="680">
      <x:c r="A680" s="34" t="n">
        <x:v>46170.54791666667</x:v>
      </x:c>
      <x:c r="B680" s="15" t="str">
        <x:v>Shoprite Komatipoort</x:v>
      </x:c>
      <x:c r="C680" s="15" t="str">
        <x:v>R414.46 reserved for purchase @ Shoprite Komatipoort from Current a/c..512781 using card..2924. Avail R46309. 28May 13:09</x:v>
      </x:c>
      <x:c r="D680" s="38" t="n">
        <x:v>414.46</x:v>
      </x:c>
      <x:c r="E680" s="15" t="str">
        <x:v>ZAR</x:v>
      </x:c>
      <x:c r="F680" s="15" t="str">
        <x:v>Current a/c..512781 / card..2924</x:v>
      </x:c>
      <x:c r="G680" s="15" t="str">
        <x:v>Supplier payments</x:v>
      </x:c>
      <x:c r="H680" s="15" t="str">
        <x:v>Card purchase</x:v>
      </x:c>
      <x:c r="I680" s="15" t="str">
        <x:v>High</x:v>
      </x:c>
      <x:c r="J680" s="15" t="str">
        <x:v>eml_ALL_currentac__512781 (2).zip &gt; eml1currentac__512781.zip / FNB _-) R414.46 reserved for purchase @ Shoprite Komatipoort from Current a_c..512781 using card..2924. 28May 13_09.eml</x:v>
      </x:c>
    </x:row>
    <x:row r="681">
      <x:c r="A681" s="34" t="n">
        <x:v>46170.57847222222</x:v>
      </x:c>
      <x:c r="B681" s="15" t="str">
        <x:v>Superspar Komatipoor</x:v>
      </x:c>
      <x:c r="C681" s="15" t="str">
        <x:v>R1568.76 reserved for purchase @ Superspar Komatipoor from Current a/c..512781 using card..2924. Avail R44740. 28May 13:53</x:v>
      </x:c>
      <x:c r="D681" s="38" t="n">
        <x:v>1568.76</x:v>
      </x:c>
      <x:c r="E681" s="15" t="str">
        <x:v>ZAR</x:v>
      </x:c>
      <x:c r="F681" s="15" t="str">
        <x:v>Current a/c..512781 / card..2924</x:v>
      </x:c>
      <x:c r="G681" s="15" t="str">
        <x:v>Supplier payments</x:v>
      </x:c>
      <x:c r="H681" s="15" t="str">
        <x:v>Card purchase</x:v>
      </x:c>
      <x:c r="I681" s="15" t="str">
        <x:v>High</x:v>
      </x:c>
      <x:c r="J681" s="15" t="str">
        <x:v>eml_ALL_currentac__512781 (2).zip &gt; eml1currentac__512781.zip / FNB _-) R1568.76 reserved for purchase @ Superspar Komatipoor from Current a_c..512781 using card..2924. 28May 13_53.eml</x:v>
      </x:c>
    </x:row>
    <x:row r="682">
      <x:c r="A682" s="34" t="n">
        <x:v>46170.583333333336</x:v>
      </x:c>
      <x:c r="B682" s="15" t="str">
        <x:v>Tops Komatipoort</x:v>
      </x:c>
      <x:c r="C682" s="15" t="str">
        <x:v>R349.95 reserved for purchase @ Tops Komatipoort from Current a/c..512781 using card..2924. Avail R50160. 28May 14:00</x:v>
      </x:c>
      <x:c r="D682" s="38" t="n">
        <x:v>349.95</x:v>
      </x:c>
      <x:c r="E682" s="15" t="str">
        <x:v>ZAR</x:v>
      </x:c>
      <x:c r="F682" s="15" t="str">
        <x:v>Current a/c..512781 / card..2924</x:v>
      </x:c>
      <x:c r="G682" s="15" t="str">
        <x:v>Meals / restaurants / entertainment</x:v>
      </x:c>
      <x:c r="H682" s="15" t="str">
        <x:v>Card purchase</x:v>
      </x:c>
      <x:c r="I682" s="15" t="str">
        <x:v>High</x:v>
      </x:c>
      <x:c r="J682" s="15" t="str">
        <x:v>eml_ALL_currentac__512781 (2).zip &gt; eml1currentac__512781.zip / FNB _-) R349.95 reserved for purchase @ Tops Komatipoort from Current a_c..512781 using card..2924. 28May 14_00.eml</x:v>
      </x:c>
    </x:row>
    <x:row r="683">
      <x:c r="A683" s="34" t="n">
        <x:v>46170.65347222222</x:v>
      </x:c>
      <x:c r="B683" s="15" t="str">
        <x:v>Kruger Saf 1699 50%</x:v>
      </x:c>
      <x:c r="C683" s="15" t="str">
        <x:v>R6909.00 paid from Current a/c..512781 @ Smartapp. Avail R43248. Ref.Kruger Saf 1699 50%. 28May 15:41</x:v>
      </x:c>
      <x:c r="D683" s="38" t="n">
        <x:v>6909</x:v>
      </x:c>
      <x:c r="E683" s="15" t="str">
        <x:v>ZAR</x:v>
      </x:c>
      <x:c r="F683" s="15" t="str">
        <x:v>Current a/c..512781</x:v>
      </x:c>
      <x:c r="G683" s="15" t="str">
        <x:v>Supplier payments</x:v>
      </x:c>
      <x:c r="H683" s="15" t="str">
        <x:v>EFT payment</x:v>
      </x:c>
      <x:c r="I683" s="15" t="str">
        <x:v>High</x:v>
      </x:c>
      <x:c r="J683" s="15" t="str">
        <x:v>eml_ALL_currentac__512781 (2).zip &gt; eml1currentac__512781.zip / FNB _-) R6909.00 paid from Current a_c..512781 @ Smartapp. Ref.Kruger Saf 1699 50%. 28May 15_41.eml</x:v>
      </x:c>
    </x:row>
    <x:row r="684">
      <x:c r="A684" s="34" t="n">
        <x:v>46170.756944444445</x:v>
      </x:c>
      <x:c r="B684" s="15" t="str">
        <x:v>Electricity 14503572</x:v>
      </x:c>
      <x:c r="C684" s="15" t="str">
        <x:v>R150.00 paid from Current a/c..512781 @ Smartapp. Avail R43096. Ref.Electricity 14503572. 28May 18:10</x:v>
      </x:c>
      <x:c r="D684" s="38" t="n">
        <x:v>150</x:v>
      </x:c>
      <x:c r="E684" s="15" t="str">
        <x:v>ZAR</x:v>
      </x:c>
      <x:c r="F684" s="15" t="str">
        <x:v>Current a/c..512781</x:v>
      </x:c>
      <x:c r="G684" s="15" t="str">
        <x:v>Telecom / utilities</x:v>
      </x:c>
      <x:c r="H684" s="15" t="str">
        <x:v>EFT payment</x:v>
      </x:c>
      <x:c r="I684" s="15" t="str">
        <x:v>High</x:v>
      </x:c>
      <x:c r="J684" s="15" t="str">
        <x:v>eml_ALL_currentac__512781 (2).zip &gt; eml1currentac__512781.zip / FNB _-) R150.00 paid from Current a_c..512781 @ Smartapp. Ref.Electricity 14503572. 28May 18_10.eml</x:v>
      </x:c>
    </x:row>
    <x:row r="685">
      <x:c r="A685" s="34" t="n">
        <x:v>46171.45972222222</x:v>
      </x:c>
      <x:c r="B685" s="15" t="str">
        <x:v>Bon Express 8470</x:v>
      </x:c>
      <x:c r="C685" s="15" t="str">
        <x:v>R725.77 paid from Current a/c..512781 @ Smartapp. Avail R37355. Ref.Bon Express 8470. 29May 11:02</x:v>
      </x:c>
      <x:c r="D685" s="38" t="n">
        <x:v>725.77</x:v>
      </x:c>
      <x:c r="E685" s="15" t="str">
        <x:v>ZAR</x:v>
      </x:c>
      <x:c r="F685" s="15" t="str">
        <x:v>Current a/c..512781</x:v>
      </x:c>
      <x:c r="G685" s="15" t="str">
        <x:v>Supplier payments</x:v>
      </x:c>
      <x:c r="H685" s="15" t="str">
        <x:v>EFT payment</x:v>
      </x:c>
      <x:c r="I685" s="15" t="str">
        <x:v>High</x:v>
      </x:c>
      <x:c r="J685" s="15" t="str">
        <x:v>eml_ALL_currentac__512781 (2).zip &gt; eml1currentac__512781.zip / FNB _-) R725.77 paid from Current a_c..512781 @ Smartapp. Ref.Bon Express 8470. 29May 11_02.eml</x:v>
      </x:c>
    </x:row>
    <x:row r="686">
      <x:c r="A686" s="34" t="n">
        <x:v>46171.46041666667</x:v>
      </x:c>
      <x:c r="B686" s="15" t="str">
        <x:v>Electricity 04294887</x:v>
      </x:c>
      <x:c r="C686" s="15" t="str">
        <x:v>R500.00 paid from Current a/c..512781 @ Smartapp. Avail R36852. Ref.Electricity 04294887. 29May 11:03</x:v>
      </x:c>
      <x:c r="D686" s="38" t="n">
        <x:v>500</x:v>
      </x:c>
      <x:c r="E686" s="15" t="str">
        <x:v>ZAR</x:v>
      </x:c>
      <x:c r="F686" s="15" t="str">
        <x:v>Current a/c..512781</x:v>
      </x:c>
      <x:c r="G686" s="15" t="str">
        <x:v>Telecom / utilities</x:v>
      </x:c>
      <x:c r="H686" s="15" t="str">
        <x:v>EFT payment</x:v>
      </x:c>
      <x:c r="I686" s="15" t="str">
        <x:v>High</x:v>
      </x:c>
      <x:c r="J686" s="15" t="str">
        <x:v>eml_ALL_currentac__512781 (2).zip &gt; eml1currentac__512781.zip / FNB _-) R500.00 paid from Current a_c..512781 @ Smartapp. Ref.Electricity 04294887. 29May 11_03.eml</x:v>
      </x:c>
    </x:row>
    <x:row r="687">
      <x:c r="A687" s="34" t="n">
        <x:v>46172.34930555556</x:v>
      </x:c>
      <x:c r="B687" s="15" t="str">
        <x:v>Electricity 14503572</x:v>
      </x:c>
      <x:c r="C687" s="15" t="str">
        <x:v>R150.00 paid from Current a/c..512781 @ Smartapp. Avail R36694. Ref.Electricity 14503572. 30May 08:23</x:v>
      </x:c>
      <x:c r="D687" s="38" t="n">
        <x:v>150</x:v>
      </x:c>
      <x:c r="E687" s="15" t="str">
        <x:v>ZAR</x:v>
      </x:c>
      <x:c r="F687" s="15" t="str">
        <x:v>Current a/c..512781</x:v>
      </x:c>
      <x:c r="G687" s="15" t="str">
        <x:v>Telecom / utilities</x:v>
      </x:c>
      <x:c r="H687" s="15" t="str">
        <x:v>EFT payment</x:v>
      </x:c>
      <x:c r="I687" s="15" t="str">
        <x:v>High</x:v>
      </x:c>
      <x:c r="J687" s="15" t="str">
        <x:v>eml_ALL_currentac__512781 (2).zip &gt; eml1currentac__512781.zip / FNB _-) R150.00 paid from Current a_c..512781 @ Smartapp. Ref.Electricity 14503572. 30May 08_23.eml</x:v>
      </x:c>
    </x:row>
    <x:row r="688">
      <x:c r="A688" s="34" t="n">
        <x:v>46172.43958333333</x:v>
      </x:c>
      <x:c r="B688" s="15" t="str">
        <x:v>Kruger Safa 1698 Vat</x:v>
      </x:c>
      <x:c r="C688" s="15" t="str">
        <x:v>R901.20 paid from Current a/c..512781 @ Smartapp. Avail R35784. Ref.Kruger Safa 1698 Vat. 30May 10:33</x:v>
      </x:c>
      <x:c r="D688" s="38" t="n">
        <x:v>901.2</x:v>
      </x:c>
      <x:c r="E688" s="15" t="str">
        <x:v>ZAR</x:v>
      </x:c>
      <x:c r="F688" s="15" t="str">
        <x:v>Current a/c..512781</x:v>
      </x:c>
      <x:c r="G688" s="15" t="str">
        <x:v>Taxes / statutory payments</x:v>
      </x:c>
      <x:c r="H688" s="15" t="str">
        <x:v>EFT payment</x:v>
      </x:c>
      <x:c r="I688" s="15" t="str">
        <x:v>High</x:v>
      </x:c>
      <x:c r="J688" s="15" t="str">
        <x:v>eml_ALL_currentac__512781 (2).zip &gt; eml1currentac__512781.zip / FNB _-) R901.20 paid from Current a_c..512781 @ Smartapp. Ref.Kruger Safa 1698 Vat. 30May 10_33.eml</x:v>
      </x:c>
    </x:row>
    <x:row r="689">
      <x:c r="A689" s="34" t="n">
        <x:v>46172.44027777778</x:v>
      </x:c>
      <x:c r="B689" s="15" t="str">
        <x:v>Nb N992820</x:v>
      </x:c>
      <x:c r="C689" s="15" t="str">
        <x:v>R759.00 paid from Current a/c..512781 @ Smartapp. Avail R35017. Ref.Nb N992820. 30May 10:34</x:v>
      </x:c>
      <x:c r="D689" s="38" t="n">
        <x:v>759</x:v>
      </x:c>
      <x:c r="E689" s="15" t="str">
        <x:v>ZAR</x:v>
      </x:c>
      <x:c r="F689" s="15" t="str">
        <x:v>Current a/c..512781</x:v>
      </x:c>
      <x:c r="G689" s="15" t="str">
        <x:v>Supplier payments</x:v>
      </x:c>
      <x:c r="H689" s="15" t="str">
        <x:v>EFT payment</x:v>
      </x:c>
      <x:c r="I689" s="15" t="str">
        <x:v>High</x:v>
      </x:c>
      <x:c r="J689" s="15" t="str">
        <x:v>eml_ALL_currentac__512781 (2).zip &gt; eml1currentac__512781.zip / FNB _-) R759.00 paid from Current a_c..512781 @ Smartapp. Ref.Nb N992820. 30May 10_34.eml</x:v>
      </x:c>
    </x:row>
    <x:row r="690">
      <x:c r="A690" s="34" t="n">
        <x:v>46172.44097222222</x:v>
      </x:c>
      <x:c r="B690" s="15" t="str">
        <x:v>Staff</x:v>
      </x:c>
      <x:c r="C690" s="15" t="str">
        <x:v>R12000.00 paid from Current a/c..512781 @ Gen Ph. Avail R10994. Ref.Staff. 30May 10:35</x:v>
      </x:c>
      <x:c r="D690" s="38" t="n">
        <x:v>12000</x:v>
      </x:c>
      <x:c r="E690" s="15" t="str">
        <x:v>ZAR</x:v>
      </x:c>
      <x:c r="F690" s="15" t="str">
        <x:v>Current a/c..512781</x:v>
      </x:c>
      <x:c r="G690" s="15" t="str">
        <x:v>Salary / wages</x:v>
      </x:c>
      <x:c r="H690" s="15" t="str">
        <x:v>EFT payment</x:v>
      </x:c>
      <x:c r="I690" s="15" t="str">
        <x:v>High</x:v>
      </x:c>
      <x:c r="J690" s="15" t="str">
        <x:v>eml_ALL_currentac__512781 (2).zip &gt; eml1currentac__512781.zip / FNB _-) R12000.00 paid from Current a_c..512781 @ Gen Ph. Ref.Staff. 30May 10_35.eml</x:v>
      </x:c>
    </x:row>
    <x:row r="691">
      <x:c r="A691" s="34" t="n">
        <x:v>46172.44097222222</x:v>
      </x:c>
      <x:c r="B691" s="15" t="str">
        <x:v>Staff</x:v>
      </x:c>
      <x:c r="C691" s="15" t="str">
        <x:v>R12000.00 paid from Current a/c..512781 @ Smartapp. Avail R23009. Ref.Staff. 30May 10:35</x:v>
      </x:c>
      <x:c r="D691" s="38" t="n">
        <x:v>12000</x:v>
      </x:c>
      <x:c r="E691" s="15" t="str">
        <x:v>ZAR</x:v>
      </x:c>
      <x:c r="F691" s="15" t="str">
        <x:v>Current a/c..512781</x:v>
      </x:c>
      <x:c r="G691" s="15" t="str">
        <x:v>Salary / wages</x:v>
      </x:c>
      <x:c r="H691" s="15" t="str">
        <x:v>EFT payment</x:v>
      </x:c>
      <x:c r="I691" s="15" t="str">
        <x:v>High</x:v>
      </x:c>
      <x:c r="J691" s="15" t="str">
        <x:v>eml_ALL_currentac__512781 (2).zip &gt; eml1currentac__512781.zip / FNB _-) R12000.00 paid from Current a_c..512781 @ Smartapp. Ref.Staff. 30May 10_35.eml</x:v>
      </x:c>
    </x:row>
    <x:row r="692">
      <x:c r="A692" s="34" t="n">
        <x:v>46172.55138888889</x:v>
      </x:c>
      <x:c r="B692" s="15" t="str">
        <x:v>Savemor Marloth</x:v>
      </x:c>
      <x:c r="C692" s="15" t="str">
        <x:v>R341.98 reserved for purchase @ Savemor Marloth from Current a/c..512781 using card..2924. Avail R10652. 30May 13:14</x:v>
      </x:c>
      <x:c r="D692" s="38" t="n">
        <x:v>341.98</x:v>
      </x:c>
      <x:c r="E692" s="15" t="str">
        <x:v>ZAR</x:v>
      </x:c>
      <x:c r="F692" s="15" t="str">
        <x:v>Current a/c..512781 / card..2924</x:v>
      </x:c>
      <x:c r="G692" s="15" t="str">
        <x:v>Supplier payments</x:v>
      </x:c>
      <x:c r="H692" s="15" t="str">
        <x:v>Card purchase</x:v>
      </x:c>
      <x:c r="I692" s="15" t="str">
        <x:v>High</x:v>
      </x:c>
      <x:c r="J692" s="15" t="str">
        <x:v>eml_ALL_currentac__512781 (2).zip &gt; eml1currentac__512781.zip / FNB _-) R341.98 reserved for purchase @ Savemor Marloth from Current a_c..512781 using card..2924. 30May 13_14.eml</x:v>
      </x:c>
    </x:row>
    <x:row r="693">
      <x:c r="A693" s="34" t="n">
        <x:v>46172.55486111111</x:v>
      </x:c>
      <x:c r="B693" s="15" t="str">
        <x:v>Marlothi Petrol Stat</x:v>
      </x:c>
      <x:c r="C693" s="15" t="str">
        <x:v>R200.00 reserved for purchase @ Marlothi Petrol Stat from Current a/c..512781 using card..2924. Avail R10452. 30May 13:19</x:v>
      </x:c>
      <x:c r="D693" s="38" t="n">
        <x:v>200</x:v>
      </x:c>
      <x:c r="E693" s="15" t="str">
        <x:v>ZAR</x:v>
      </x:c>
      <x:c r="F693" s="15" t="str">
        <x:v>Current a/c..512781 / card..2924</x:v>
      </x:c>
      <x:c r="G693" s="15" t="str">
        <x:v>Fuel / transport</x:v>
      </x:c>
      <x:c r="H693" s="15" t="str">
        <x:v>Card purchase</x:v>
      </x:c>
      <x:c r="I693" s="15" t="str">
        <x:v>High</x:v>
      </x:c>
      <x:c r="J693" s="15" t="str">
        <x:v>eml_ALL_currentac__512781 (2).zip &gt; eml1currentac__512781.zip / FNB _-) R200.00 reserved for purchase @ Marlothi Petrol Stat from Current a_c..512781 using card..2924. 30May 13_19.eml</x:v>
      </x:c>
    </x:row>
    <x:row r="694">
      <x:c r="A694" s="34" t="n">
        <x:v>46173.524305555555</x:v>
      </x:c>
      <x:c r="B694" s="15" t="str">
        <x:v>Electricity 14503572</x:v>
      </x:c>
      <x:c r="C694" s="15" t="str">
        <x:v>R150.00 paid from Current a/c..512781 @ Smartapp. Avail R10153. Ref.Electricity 14503572. 31May 12:35</x:v>
      </x:c>
      <x:c r="D694" s="38" t="n">
        <x:v>150</x:v>
      </x:c>
      <x:c r="E694" s="15" t="str">
        <x:v>ZAR</x:v>
      </x:c>
      <x:c r="F694" s="15" t="str">
        <x:v>Current a/c..512781</x:v>
      </x:c>
      <x:c r="G694" s="15" t="str">
        <x:v>Telecom / utilities</x:v>
      </x:c>
      <x:c r="H694" s="15" t="str">
        <x:v>EFT payment</x:v>
      </x:c>
      <x:c r="I694" s="15" t="str">
        <x:v>High</x:v>
      </x:c>
      <x:c r="J694" s="15" t="str">
        <x:v>eml_ALL_currentac__512781 (2).zip &gt; eml1currentac__512781.zip / FNB _-) R150.00 paid from Current a_c..512781 @ Smartapp. Ref.Electricity 14503572. 31May 12_35.eml</x:v>
      </x:c>
    </x:row>
    <x:row r="695">
      <x:c r="A695" s="34" t="n">
        <x:v>46174.63333333333</x:v>
      </x:c>
      <x:c r="B695" s="15" t="str">
        <x:v>Absa Bush Centr</x:v>
      </x:c>
      <x:c r="C695" s="15" t="str">
        <x:v>R250.00 withdrawn from Current a/c..512781 using card..2924 @ Absa Bush Centr. Avail R9903. 1Jun 15:12</x:v>
      </x:c>
      <x:c r="D695" s="38" t="n">
        <x:v>250</x:v>
      </x:c>
      <x:c r="E695" s="15" t="str">
        <x:v>ZAR</x:v>
      </x:c>
      <x:c r="F695" s="15" t="str">
        <x:v>Current a/c..512781 / card..2924</x:v>
      </x:c>
      <x:c r="G695" s="15" t="str">
        <x:v>Cash withdrawal</x:v>
      </x:c>
      <x:c r="H695" s="15" t="str">
        <x:v>ATM / cash withdrawal</x:v>
      </x:c>
      <x:c r="I695" s="15" t="str">
        <x:v>High</x:v>
      </x:c>
      <x:c r="J695" s="15" t="str">
        <x:v>eml_ALL_currentac__512781 (2).zip &gt; eml1currentac__512781.zip / FNB _-) R250.00 withdrawn from Current a_c..512781 using card..2924 @ Absa Bush Centr.  1Jun 15_12.eml</x:v>
      </x:c>
    </x:row>
    <x:row r="696">
      <x:c r="A696" s="34" t="n">
        <x:v>46174.66736111111</x:v>
      </x:c>
      <x:c r="B696" s="15" t="str">
        <x:v>Sk Transfer 0209</x:v>
      </x:c>
      <x:c r="C696" s="15" t="str">
        <x:v>R7400.00 paid from Current a/c..512781 @ Smartapp. Avail R2503. Ref.Sk Transfer 0209. 1Jun 16:01</x:v>
      </x:c>
      <x:c r="D696" s="38" t="n">
        <x:v>7400</x:v>
      </x:c>
      <x:c r="E696" s="15" t="str">
        <x:v>ZAR</x:v>
      </x:c>
      <x:c r="F696" s="15" t="str">
        <x:v>Current a/c..512781</x:v>
      </x:c>
      <x:c r="G696" s="15" t="str">
        <x:v>Supplier payments</x:v>
      </x:c>
      <x:c r="H696" s="15" t="str">
        <x:v>EFT payment</x:v>
      </x:c>
      <x:c r="I696" s="15" t="str">
        <x:v>High</x:v>
      </x:c>
      <x:c r="J696" s="15" t="str">
        <x:v>eml_ALL_currentac__512781 (2).zip &gt; eml1currentac__512781.zip / FNB _-) R7400.00 paid from Current a_c..512781 @ Smartapp. Ref.Sk Transfer 0209.  1Jun 16_01.eml</x:v>
      </x:c>
    </x:row>
    <x:row r="697">
      <x:c r="A697" s="34" t="n">
        <x:v>46175.30486111111</x:v>
      </x:c>
      <x:c r="B697" s="15" t="str">
        <x:v>Electricity 14503572</x:v>
      </x:c>
      <x:c r="C697" s="15" t="str">
        <x:v>R150.00 paid from Current a/c..512781 @ Smartapp. Avail R2353. Ref.Electricity 14503572. 2Jun 07:19</x:v>
      </x:c>
      <x:c r="D697" s="38" t="n">
        <x:v>150</x:v>
      </x:c>
      <x:c r="E697" s="15" t="str">
        <x:v>ZAR</x:v>
      </x:c>
      <x:c r="F697" s="15" t="str">
        <x:v>Current a/c..512781</x:v>
      </x:c>
      <x:c r="G697" s="15" t="str">
        <x:v>Telecom / utilities</x:v>
      </x:c>
      <x:c r="H697" s="15" t="str">
        <x:v>EFT payment</x:v>
      </x:c>
      <x:c r="I697" s="15" t="str">
        <x:v>High</x:v>
      </x:c>
      <x:c r="J697" s="15" t="str">
        <x:v>eml_ALL_currentac__512781 (2).zip &gt; eml1currentac__512781.zip / FNB _-) R150.00 paid from Current a_c..512781 @ Smartapp. Ref.Electricity 14503572.  2Jun 07_19.eml</x:v>
      </x:c>
    </x:row>
    <x:row r="698">
      <x:c r="A698" s="34" t="n">
        <x:v>46175.39722222222</x:v>
      </x:c>
      <x:c r="B698" s="15" t="str">
        <x:v>Cf Moto Saf - Inv 3</x:v>
      </x:c>
      <x:c r="C698" s="15" t="str">
        <x:v>R4794.00 paid from Current a/c..512781 @ Smartapp. Avail R6785. Ref.Cf Moto Saf - Inv 3. 2Jun 09:32</x:v>
      </x:c>
      <x:c r="D698" s="38" t="n">
        <x:v>4794</x:v>
      </x:c>
      <x:c r="E698" s="15" t="str">
        <x:v>ZAR</x:v>
      </x:c>
      <x:c r="F698" s="15" t="str">
        <x:v>Current a/c..512781</x:v>
      </x:c>
      <x:c r="G698" s="15" t="str">
        <x:v>Supplier payments</x:v>
      </x:c>
      <x:c r="H698" s="15" t="str">
        <x:v>EFT payment</x:v>
      </x:c>
      <x:c r="I698" s="15" t="str">
        <x:v>High</x:v>
      </x:c>
      <x:c r="J698" s="15" t="str">
        <x:v>eml_ALL_currentac__512781 (2).zip &gt; eml1currentac__512781.zip / FNB _-) R4794.00 paid from Current a_c..512781 @ Smartapp. Ref.Cf Moto Saf - Inv 3.  2Jun 09_32.eml</x:v>
      </x:c>
    </x:row>
    <x:row r="699">
      <x:c r="A699" s="34" t="n">
        <x:v>46175.60486111111</x:v>
      </x:c>
      <x:c r="B699" s="15" t="str">
        <x:v>Superspar Komatipoor</x:v>
      </x:c>
      <x:c r="C699" s="15" t="str">
        <x:v>R1143.93 reserved for purchase @ Superspar Komatipoor from Current a/c..512781 using card..2924. Avail R5641. 2Jun 14:31</x:v>
      </x:c>
      <x:c r="D699" s="38" t="n">
        <x:v>1143.93</x:v>
      </x:c>
      <x:c r="E699" s="15" t="str">
        <x:v>ZAR</x:v>
      </x:c>
      <x:c r="F699" s="15" t="str">
        <x:v>Current a/c..512781 / card..2924</x:v>
      </x:c>
      <x:c r="G699" s="15" t="str">
        <x:v>Supplier payments</x:v>
      </x:c>
      <x:c r="H699" s="15" t="str">
        <x:v>Card purchase</x:v>
      </x:c>
      <x:c r="I699" s="15" t="str">
        <x:v>High</x:v>
      </x:c>
      <x:c r="J699" s="15" t="str">
        <x:v>eml_ALL_currentac__512781 (2).zip &gt; eml1currentac__512781.zip / FNB _-) R1143.93 reserved for purchase @ Superspar Komatipoor from Current a_c..512781 using card..2924.  2Jun 14_31.eml</x:v>
      </x:c>
    </x:row>
    <x:row r="700">
      <x:c r="A700" s="34" t="n">
        <x:v>46175.64722222222</x:v>
      </x:c>
      <x:c r="B700" s="15" t="str">
        <x:v>Ae Komatipoort</x:v>
      </x:c>
      <x:c r="C700" s="15" t="str">
        <x:v>R500.00 reserved for purchase @ Ae Komatipoort from Current a/c..512781 using card..2924. Avail R5141. 2Jun 15:32</x:v>
      </x:c>
      <x:c r="D700" s="38" t="n">
        <x:v>500</x:v>
      </x:c>
      <x:c r="E700" s="15" t="str">
        <x:v>ZAR</x:v>
      </x:c>
      <x:c r="F700" s="15" t="str">
        <x:v>Current a/c..512781 / card..2924</x:v>
      </x:c>
      <x:c r="G700" s="15" t="str">
        <x:v>Card spend</x:v>
      </x:c>
      <x:c r="H700" s="15" t="str">
        <x:v>Card purchase</x:v>
      </x:c>
      <x:c r="I700" s="15" t="str">
        <x:v>High</x:v>
      </x:c>
      <x:c r="J700" s="15" t="str">
        <x:v>eml_ALL_currentac__512781 (2).zip &gt; eml1currentac__512781.zip / FNB _-) R500.00 reserved for purchase @ Ae Komatipoort from Current a_c..512781 using card..2924.  2Jun 15_32.eml</x:v>
      </x:c>
    </x:row>
    <x:row r="701">
      <x:c r="A701" s="34" t="n">
        <x:v>46176.381944444445</x:v>
      </x:c>
      <x:c r="B701" s="15" t="str">
        <x:v>Staff Tips For Aug</x:v>
      </x:c>
      <x:c r="C701" s="15" t="str">
        <x:v>R400.00 paid from Current a/c..512781 @ Smartapp. Avail R4736. Ref.Staff Tips For Aug. 3Jun 09:10</x:v>
      </x:c>
      <x:c r="D701" s="38" t="n">
        <x:v>400</x:v>
      </x:c>
      <x:c r="E701" s="15" t="str">
        <x:v>ZAR</x:v>
      </x:c>
      <x:c r="F701" s="15" t="str">
        <x:v>Current a/c..512781</x:v>
      </x:c>
      <x:c r="G701" s="15" t="str">
        <x:v>Salary / wages</x:v>
      </x:c>
      <x:c r="H701" s="15" t="str">
        <x:v>EFT payment</x:v>
      </x:c>
      <x:c r="I701" s="15" t="str">
        <x:v>High</x:v>
      </x:c>
      <x:c r="J701" s="15" t="str">
        <x:v>eml_ALL_currentac__512781 (2).zip &gt; eml1currentac__512781.zip / FNB _-) R400.00 paid from Current a_c..512781 @ Smartapp. Ref.Staff Tips For Aug.  3Jun 09_10.eml</x:v>
      </x:c>
    </x:row>
    <x:row r="702">
      <x:c r="A702" s="34" t="n">
        <x:v>46177.277083333334</x:v>
      </x:c>
      <x:c r="B702" s="15" t="str">
        <x:v>Electricity 14503572</x:v>
      </x:c>
      <x:c r="C702" s="15" t="str">
        <x:v>R150.00 paid from Current a/c..512781 @ Smartapp. Avail R4492. Ref.Electricity 14503572. 4Jun 06:39</x:v>
      </x:c>
      <x:c r="D702" s="38" t="n">
        <x:v>150</x:v>
      </x:c>
      <x:c r="E702" s="15" t="str">
        <x:v>ZAR</x:v>
      </x:c>
      <x:c r="F702" s="15" t="str">
        <x:v>Current a/c..512781</x:v>
      </x:c>
      <x:c r="G702" s="15" t="str">
        <x:v>Telecom / utilities</x:v>
      </x:c>
      <x:c r="H702" s="15" t="str">
        <x:v>EFT payment</x:v>
      </x:c>
      <x:c r="I702" s="15" t="str">
        <x:v>High</x:v>
      </x:c>
      <x:c r="J702" s="15" t="str">
        <x:v>eml_ALL_currentac__512781 (2).zip &gt; eml1currentac__512781.zip / FNB _-) R150.00 paid from Current a_c..512781 @ Smartapp. Ref.Electricity 14503572.  4Jun 06_39.eml</x:v>
      </x:c>
    </x:row>
    <x:row r="703">
      <x:c r="A703" s="34" t="n">
        <x:v>46178.532638888886</x:v>
      </x:c>
      <x:c r="B703" s="15" t="str">
        <x:v>Kruger Safari 1700</x:v>
      </x:c>
      <x:c r="C703" s="15" t="str">
        <x:v>R4189.00 paid from Current a/c..512781 @ Smartapp. Avail R6797. Ref.Kruger Safari 1700. 5Jun 12:47</x:v>
      </x:c>
      <x:c r="D703" s="38" t="n">
        <x:v>4189</x:v>
      </x:c>
      <x:c r="E703" s="15" t="str">
        <x:v>ZAR</x:v>
      </x:c>
      <x:c r="F703" s="15" t="str">
        <x:v>Current a/c..512781</x:v>
      </x:c>
      <x:c r="G703" s="15" t="str">
        <x:v>Supplier payments</x:v>
      </x:c>
      <x:c r="H703" s="15" t="str">
        <x:v>EFT payment</x:v>
      </x:c>
      <x:c r="I703" s="15" t="str">
        <x:v>High</x:v>
      </x:c>
      <x:c r="J703" s="15" t="str">
        <x:v>eml_ALL_currentac__512781 (2).zip &gt; eml1currentac__512781.zip / FNB _-) R4189.00 paid from Current a_c..512781 @ Smartapp. Ref.Kruger Safari 1700.  5Jun 12_47.eml</x:v>
      </x:c>
    </x:row>
    <x:row r="704">
      <x:c r="A704" s="34" t="n">
        <x:v>46178.53333333333</x:v>
      </x:c>
      <x:c r="B704" s="15" t="str">
        <x:v>Sakkie Wages</x:v>
      </x:c>
      <x:c r="C704" s="15" t="str">
        <x:v>R2500.00 paid from Current a/c..512781 @ Smartapp. Avail R4297. Ref.Sakkie Wages. 5Jun 12:48</x:v>
      </x:c>
      <x:c r="D704" s="38" t="n">
        <x:v>2500</x:v>
      </x:c>
      <x:c r="E704" s="15" t="str">
        <x:v>ZAR</x:v>
      </x:c>
      <x:c r="F704" s="15" t="str">
        <x:v>Current a/c..512781</x:v>
      </x:c>
      <x:c r="G704" s="15" t="str">
        <x:v>Salary / wages</x:v>
      </x:c>
      <x:c r="H704" s="15" t="str">
        <x:v>EFT payment</x:v>
      </x:c>
      <x:c r="I704" s="15" t="str">
        <x:v>High</x:v>
      </x:c>
      <x:c r="J704" s="15" t="str">
        <x:v>eml_ALL_currentac__512781 (2).zip &gt; eml1currentac__512781.zip / FNB _-) R2500.00 paid from Current a_c..512781 @ Smartapp. Ref.Sakkie Wages.  5Jun 12_48.eml</x:v>
      </x:c>
    </x:row>
    <x:row r="705">
      <x:c r="A705" s="34" t="n">
        <x:v>46178.53611111111</x:v>
      </x:c>
      <x:c r="B705" s="15" t="str">
        <x:v>Superspar Komatipoor</x:v>
      </x:c>
      <x:c r="C705" s="15" t="str">
        <x:v>R608.68 reserved for purchase @ Superspar Komatipoor from Current a/c..512781 using card..2924. Avail R3689. 5Jun 12:52</x:v>
      </x:c>
      <x:c r="D705" s="38" t="n">
        <x:v>608.68</x:v>
      </x:c>
      <x:c r="E705" s="15" t="str">
        <x:v>ZAR</x:v>
      </x:c>
      <x:c r="F705" s="15" t="str">
        <x:v>Current a/c..512781 / card..2924</x:v>
      </x:c>
      <x:c r="G705" s="15" t="str">
        <x:v>Supplier payments</x:v>
      </x:c>
      <x:c r="H705" s="15" t="str">
        <x:v>Card purchase</x:v>
      </x:c>
      <x:c r="I705" s="15" t="str">
        <x:v>High</x:v>
      </x:c>
      <x:c r="J705" s="15" t="str">
        <x:v>eml_ALL_currentac__512781 (2).zip &gt; eml1currentac__512781.zip / FNB _-) R608.68 reserved for purchase @ Superspar Komatipoor from Current a_c..512781 using card..2924.  5Jun 12_52.eml</x:v>
      </x:c>
    </x:row>
    <x:row r="706">
      <x:c r="A706" s="34" t="n">
        <x:v>46178.82083333333</x:v>
      </x:c>
      <x:c r="B706" s="15" t="str">
        <x:v>Ik *park Horizons Pt</x:v>
      </x:c>
      <x:c r="C706" s="15" t="str">
        <x:v>R420.00 reserved for purchase @ Ik *park Horizons Pt from Current a/c..512781 using card..2924. Avail R3200. 5Jun 19:42</x:v>
      </x:c>
      <x:c r="D706" s="38" t="n">
        <x:v>420</x:v>
      </x:c>
      <x:c r="E706" s="15" t="str">
        <x:v>ZAR</x:v>
      </x:c>
      <x:c r="F706" s="15" t="str">
        <x:v>Current a/c..512781 / card..2924</x:v>
      </x:c>
      <x:c r="G706" s="15" t="str">
        <x:v>Card spend</x:v>
      </x:c>
      <x:c r="H706" s="15" t="str">
        <x:v>Card purchase</x:v>
      </x:c>
      <x:c r="I706" s="15" t="str">
        <x:v>High</x:v>
      </x:c>
      <x:c r="J706" s="15" t="str">
        <x:v>eml_ALL_currentac__512781 (2).zip &gt; eml1currentac__512781.zip / FNB _-) R420.00 reserved for purchase @ Ik _park Horizons Pt from Current a_c..512781 using card..2924.  5Jun 19_42.eml</x:v>
      </x:c>
    </x:row>
    <x:row r="707">
      <x:c r="A707" s="34" t="n">
        <x:v>46180.58888888889</x:v>
      </x:c>
      <x:c r="B707" s="15" t="str">
        <x:v>Giraffe Pub And Gril</x:v>
      </x:c>
      <x:c r="C707" s="15" t="str">
        <x:v>R550.00 reserved for purchase @ Giraffe Pub And Gril from Current a/c..512781 using card..2924. Avail R4901. 7Jun 14:08</x:v>
      </x:c>
      <x:c r="D707" s="38" t="n">
        <x:v>550</x:v>
      </x:c>
      <x:c r="E707" s="15" t="str">
        <x:v>ZAR</x:v>
      </x:c>
      <x:c r="F707" s="15" t="str">
        <x:v>Current a/c..512781 / card..2924</x:v>
      </x:c>
      <x:c r="G707" s="15" t="str">
        <x:v>Meals / restaurants / entertainment</x:v>
      </x:c>
      <x:c r="H707" s="15" t="str">
        <x:v>Card purchase</x:v>
      </x:c>
      <x:c r="I707" s="15" t="str">
        <x:v>High</x:v>
      </x:c>
      <x:c r="J707" s="15" t="str">
        <x:v>eml_ALL_currentac__512781 (2).zip &gt; eml1currentac__512781.zip / FNB _-) R550.00 reserved for purchase @ Giraffe Pub And Gril from Current a_c..512781 using card..2924.  7Jun 14_08.eml</x:v>
      </x:c>
    </x:row>
    <x:row r="708">
      <x:c r="A708" s="34" t="n">
        <x:v>46180.72986111111</x:v>
      </x:c>
      <x:c r="B708" s="15" t="str">
        <x:v>Electricity 14503572</x:v>
      </x:c>
      <x:c r="C708" s="15" t="str">
        <x:v>R150.00 paid from Current a/c..512781 @ Smartapp. Avail R4730. Ref.Electricity 14503572. 7Jun 17:31</x:v>
      </x:c>
      <x:c r="D708" s="38" t="n">
        <x:v>150</x:v>
      </x:c>
      <x:c r="E708" s="15" t="str">
        <x:v>ZAR</x:v>
      </x:c>
      <x:c r="F708" s="15" t="str">
        <x:v>Current a/c..512781</x:v>
      </x:c>
      <x:c r="G708" s="15" t="str">
        <x:v>Telecom / utilities</x:v>
      </x:c>
      <x:c r="H708" s="15" t="str">
        <x:v>EFT payment</x:v>
      </x:c>
      <x:c r="I708" s="15" t="str">
        <x:v>High</x:v>
      </x:c>
      <x:c r="J708" s="15" t="str">
        <x:v>eml_ALL_currentac__512781 (2).zip &gt; eml1currentac__512781.zip / FNB _-) R150.00 paid from Current a_c..512781 @ Smartapp. Ref.Electricity 14503572.  7Jun 17_31.eml</x:v>
      </x:c>
    </x:row>
    <x:row r="709">
      <x:c r="A709" s="34" t="n">
        <x:v>46181.541666666664</x:v>
      </x:c>
      <x:c r="B709" s="15" t="str">
        <x:v>Shoprite Komatipoort</x:v>
      </x:c>
      <x:c r="C709" s="15" t="str">
        <x:v>R296.40 reserved for purchase @ Shoprite Komatipoort from Current a/c..512781 using card..2924. Avail R8373. 8Jun 13:00</x:v>
      </x:c>
      <x:c r="D709" s="38" t="n">
        <x:v>296.4</x:v>
      </x:c>
      <x:c r="E709" s="15" t="str">
        <x:v>ZAR</x:v>
      </x:c>
      <x:c r="F709" s="15" t="str">
        <x:v>Current a/c..512781 / card..2924</x:v>
      </x:c>
      <x:c r="G709" s="15" t="str">
        <x:v>Supplier payments</x:v>
      </x:c>
      <x:c r="H709" s="15" t="str">
        <x:v>Card purchase</x:v>
      </x:c>
      <x:c r="I709" s="15" t="str">
        <x:v>High</x:v>
      </x:c>
      <x:c r="J709" s="15" t="str">
        <x:v>eml_ALL_currentac__512781 (2).zip &gt; eml1currentac__512781.zip / FNB _-) R296.40 reserved for purchase @ Shoprite Komatipoort from Current a_c..512781 using card..2924.  8Jun 13_00.eml</x:v>
      </x:c>
    </x:row>
    <x:row r="710">
      <x:c r="A710" s="34" t="n">
        <x:v>46181.54722222222</x:v>
      </x:c>
      <x:c r="B710" s="15" t="str">
        <x:v>Kruger Saf 1700 50%</x:v>
      </x:c>
      <x:c r="C710" s="15" t="str">
        <x:v>R5056.40 paid from Current a/c..512781 @ Smartapp. Avail R3313. Ref.Kruger Saf 1700 50%. 8Jun 13:08</x:v>
      </x:c>
      <x:c r="D710" s="38" t="n">
        <x:v>5056.4</x:v>
      </x:c>
      <x:c r="E710" s="15" t="str">
        <x:v>ZAR</x:v>
      </x:c>
      <x:c r="F710" s="15" t="str">
        <x:v>Current a/c..512781</x:v>
      </x:c>
      <x:c r="G710" s="15" t="str">
        <x:v>Supplier payments</x:v>
      </x:c>
      <x:c r="H710" s="15" t="str">
        <x:v>EFT payment</x:v>
      </x:c>
      <x:c r="I710" s="15" t="str">
        <x:v>High</x:v>
      </x:c>
      <x:c r="J710" s="15" t="str">
        <x:v>eml_ALL_currentac__512781 (2).zip &gt; eml1currentac__512781.zip / FNB _-) R5056.40 paid from Current a_c..512781 @ Smartapp. Ref.Kruger Saf 1700 50%.  8Jun 13_08.eml</x:v>
      </x:c>
    </x:row>
    <x:row r="711">
      <x:c r="A711" s="34" t="n">
        <x:v>46181.58263888889</x:v>
      </x:c>
      <x:c r="B711" s="15" t="str">
        <x:v>Superspar Komatipoor</x:v>
      </x:c>
      <x:c r="C711" s="15" t="str">
        <x:v>R391.12 reserved for purchase @ Superspar Komatipoor from Current a/c..512781 using card..2924. Avail R2922. 8Jun 13:59</x:v>
      </x:c>
      <x:c r="D711" s="38" t="n">
        <x:v>391.12</x:v>
      </x:c>
      <x:c r="E711" s="15" t="str">
        <x:v>ZAR</x:v>
      </x:c>
      <x:c r="F711" s="15" t="str">
        <x:v>Current a/c..512781 / card..2924</x:v>
      </x:c>
      <x:c r="G711" s="15" t="str">
        <x:v>Supplier payments</x:v>
      </x:c>
      <x:c r="H711" s="15" t="str">
        <x:v>Card purchase</x:v>
      </x:c>
      <x:c r="I711" s="15" t="str">
        <x:v>High</x:v>
      </x:c>
      <x:c r="J711" s="15" t="str">
        <x:v>eml_ALL_currentac__512781 (2).zip &gt; eml1currentac__512781.zip / FNB _-) R391.12 reserved for purchase @ Superspar Komatipoor from Current a_c..512781 using card..2924.  8Jun 13_59.eml</x:v>
      </x:c>
    </x:row>
    <x:row r="712">
      <x:c r="A712" s="34" t="n">
        <x:v>46181.597916666666</x:v>
      </x:c>
      <x:c r="B712" s="15" t="str">
        <x:v>Komati Liquor</x:v>
      </x:c>
      <x:c r="C712" s="15" t="str">
        <x:v>R395.80 reserved for purchase @ Komati Liquor from Current a/c..512781 using card..2924. Avail R2526. 8Jun 14:21</x:v>
      </x:c>
      <x:c r="D712" s="38" t="n">
        <x:v>395.8</x:v>
      </x:c>
      <x:c r="E712" s="15" t="str">
        <x:v>ZAR</x:v>
      </x:c>
      <x:c r="F712" s="15" t="str">
        <x:v>Current a/c..512781 / card..2924</x:v>
      </x:c>
      <x:c r="G712" s="15" t="str">
        <x:v>Meals / restaurants / entertainment</x:v>
      </x:c>
      <x:c r="H712" s="15" t="str">
        <x:v>Card purchase</x:v>
      </x:c>
      <x:c r="I712" s="15" t="str">
        <x:v>High</x:v>
      </x:c>
      <x:c r="J712" s="15" t="str">
        <x:v>eml_ALL_currentac__512781 (2).zip &gt; eml1currentac__512781.zip / FNB _-) R395.80 reserved for purchase @ Komati Liquor from Current a_c..512781 using card..2924.  8Jun 14_21.eml</x:v>
      </x:c>
    </x:row>
    <x:row r="713">
      <x:c r="A713" s="34" t="n">
        <x:v>46182.41875</x:v>
      </x:c>
      <x:c r="B713" s="15" t="str">
        <x:v>Electricity 14503572</x:v>
      </x:c>
      <x:c r="C713" s="15" t="str">
        <x:v>R150.00 paid from Current a/c..512781 @ Smartapp. Avail R2363. Ref.Electricity 14503572. 9Jun 10:03</x:v>
      </x:c>
      <x:c r="D713" s="38" t="n">
        <x:v>150</x:v>
      </x:c>
      <x:c r="E713" s="15" t="str">
        <x:v>ZAR</x:v>
      </x:c>
      <x:c r="F713" s="15" t="str">
        <x:v>Current a/c..512781</x:v>
      </x:c>
      <x:c r="G713" s="15" t="str">
        <x:v>Telecom / utilities</x:v>
      </x:c>
      <x:c r="H713" s="15" t="str">
        <x:v>EFT payment</x:v>
      </x:c>
      <x:c r="I713" s="15" t="str">
        <x:v>High</x:v>
      </x:c>
      <x:c r="J713" s="15" t="str">
        <x:v>eml_ALL_currentac__512781 (2).zip &gt; eml1currentac__512781.zip / FNB _-) R150.00 paid from Current a_c..512781 @ Smartapp. Ref.Electricity 14503572.  9Jun 10_03.eml</x:v>
      </x:c>
    </x:row>
    <x:row r="714">
      <x:c r="A714" s="34" t="n">
        <x:v>46182.59097222222</x:v>
      </x:c>
      <x:c r="B714" s="15" t="str">
        <x:v>Lebombo Butchery</x:v>
      </x:c>
      <x:c r="C714" s="15" t="str">
        <x:v>R265.80 reserved for purchase @ Lebombo Butchery from Current a/c..512781 using card..2924. Avail R1998. 9Jun 14:11</x:v>
      </x:c>
      <x:c r="D714" s="38" t="n">
        <x:v>265.8</x:v>
      </x:c>
      <x:c r="E714" s="15" t="str">
        <x:v>ZAR</x:v>
      </x:c>
      <x:c r="F714" s="15" t="str">
        <x:v>Current a/c..512781 / card..2924</x:v>
      </x:c>
      <x:c r="G714" s="15" t="str">
        <x:v>Supplier payments</x:v>
      </x:c>
      <x:c r="H714" s="15" t="str">
        <x:v>Card purchase</x:v>
      </x:c>
      <x:c r="I714" s="15" t="str">
        <x:v>High</x:v>
      </x:c>
      <x:c r="J714" s="15" t="str">
        <x:v>eml_ALL_currentac__512781 (2).zip &gt; eml1currentac__512781.zip / FNB _-) R265.80 reserved for purchase @ Lebombo Butchery from Current a_c..512781 using card..2924.  9Jun 14_11.eml</x:v>
      </x:c>
    </x:row>
    <x:row r="715">
      <x:c r="A715" s="34" t="n">
        <x:v>46182.60138888889</x:v>
      </x:c>
      <x:c r="B715" s="15" t="str">
        <x:v>Superspar Komatipoor</x:v>
      </x:c>
      <x:c r="C715" s="15" t="str">
        <x:v>R108.89 reserved for purchase @ Superspar Komatipoor from Current a/c..512781 using card..2924. Avail R1889. 9Jun 14:26</x:v>
      </x:c>
      <x:c r="D715" s="38" t="n">
        <x:v>108.89</x:v>
      </x:c>
      <x:c r="E715" s="15" t="str">
        <x:v>ZAR</x:v>
      </x:c>
      <x:c r="F715" s="15" t="str">
        <x:v>Current a/c..512781 / card..2924</x:v>
      </x:c>
      <x:c r="G715" s="15" t="str">
        <x:v>Supplier payments</x:v>
      </x:c>
      <x:c r="H715" s="15" t="str">
        <x:v>Card purchase</x:v>
      </x:c>
      <x:c r="I715" s="15" t="str">
        <x:v>High</x:v>
      </x:c>
      <x:c r="J715" s="15" t="str">
        <x:v>eml_ALL_currentac__512781 (2).zip &gt; eml1currentac__512781.zip / FNB _-) R108.89 reserved for purchase @ Superspar Komatipoor from Current a_c..512781 using card..2924.  9Jun 14_26.eml</x:v>
      </x:c>
    </x:row>
    <x:row r="716">
      <x:c r="A716" s="34" t="n">
        <x:v>46182.81736111111</x:v>
      </x:c>
      <x:c r="B716" s="15" t="str">
        <x:v>Electricity 04294887</x:v>
      </x:c>
      <x:c r="C716" s="15" t="str">
        <x:v>R150.00 paid from Current a/c..512781 @ Smartapp. Avail R1647. Ref.Electricity 04294887. 9Jun 19:37</x:v>
      </x:c>
      <x:c r="D716" s="38" t="n">
        <x:v>150</x:v>
      </x:c>
      <x:c r="E716" s="15" t="str">
        <x:v>ZAR</x:v>
      </x:c>
      <x:c r="F716" s="15" t="str">
        <x:v>Current a/c..512781</x:v>
      </x:c>
      <x:c r="G716" s="15" t="str">
        <x:v>Telecom / utilities</x:v>
      </x:c>
      <x:c r="H716" s="15" t="str">
        <x:v>EFT payment</x:v>
      </x:c>
      <x:c r="I716" s="15" t="str">
        <x:v>High</x:v>
      </x:c>
      <x:c r="J716" s="15" t="str">
        <x:v>eml_ALL_currentac__512781 (2).zip &gt; eml1currentac__512781.zip / FNB _-) R150.00 paid from Current a_c..512781 @ Smartapp. Ref.Electricity 04294887.  9Jun 19_37.eml</x:v>
      </x:c>
    </x:row>
    <x:row r="717">
      <x:c r="A717" s="34" t="n">
        <x:v>46182.81805555556</x:v>
      </x:c>
      <x:c r="B717" s="15" t="str">
        <x:v>Electricity 04294887</x:v>
      </x:c>
      <x:c r="C717" s="15" t="str">
        <x:v>R150.00 paid from Current a/c..512781 @ Smartapp. Avail R1647. Ref.Electricity 04294887. 9Jun 19:38</x:v>
      </x:c>
      <x:c r="D717" s="38" t="n">
        <x:v>150</x:v>
      </x:c>
      <x:c r="E717" s="15" t="str">
        <x:v>ZAR</x:v>
      </x:c>
      <x:c r="F717" s="15" t="str">
        <x:v>Current a/c..512781</x:v>
      </x:c>
      <x:c r="G717" s="15" t="str">
        <x:v>Telecom / utilities</x:v>
      </x:c>
      <x:c r="H717" s="15" t="str">
        <x:v>EFT payment</x:v>
      </x:c>
      <x:c r="I717" s="15" t="str">
        <x:v>High</x:v>
      </x:c>
      <x:c r="J717" s="15" t="str">
        <x:v>eml_ALL_currentac__512781 (2).zip &gt; eml1currentac__512781.zip / FNB _-) R150.00 paid from Current a_c..512781 @ Smartapp. Ref.Electricity 04294887.  9Jun 19_38.eml</x:v>
      </x:c>
    </x:row>
    <x:row r="718">
      <x:c r="A718" s="34" t="n">
        <x:v>46183.51944444444</x:v>
      </x:c>
      <x:c r="B718" s="15" t="str">
        <x:v>Machado Tap N Go</x:v>
      </x:c>
      <x:c r="C718" s="15" t="str">
        <x:v>R126.00 reserved for purchase @ Machado Tap N Go from Current a/c..512781 using card..2924. Avail R1574. 10Jun 12:28</x:v>
      </x:c>
      <x:c r="D718" s="38" t="n">
        <x:v>126</x:v>
      </x:c>
      <x:c r="E718" s="15" t="str">
        <x:v>ZAR</x:v>
      </x:c>
      <x:c r="F718" s="15" t="str">
        <x:v>Current a/c..512781 / card..2924</x:v>
      </x:c>
      <x:c r="G718" s="15" t="str">
        <x:v>Card spend</x:v>
      </x:c>
      <x:c r="H718" s="15" t="str">
        <x:v>Card purchase</x:v>
      </x:c>
      <x:c r="I718" s="15" t="str">
        <x:v>High</x:v>
      </x:c>
      <x:c r="J718" s="15" t="str">
        <x:v>eml_ALL_currentac__512781 (2).zip &gt; eml1currentac__512781.zip / FNB _-) R126.00 reserved for purchase @ Machado Tap N Go from Current a_c..512781 using card..2924. 10Jun 12_28.eml</x:v>
      </x:c>
    </x:row>
    <x:row r="719">
      <x:c r="A719" s="34" t="n">
        <x:v>46183.52569444444</x:v>
      </x:c>
      <x:c r="B719" s="15" t="str">
        <x:v>Ae Millys</x:v>
      </x:c>
      <x:c r="C719" s="15" t="str">
        <x:v>R300.00 reserved for purchase @ Ae Millys from Current a/c..512781 using card..2924. Avail R1274. 10Jun 12:37</x:v>
      </x:c>
      <x:c r="D719" s="38" t="n">
        <x:v>300</x:v>
      </x:c>
      <x:c r="E719" s="15" t="str">
        <x:v>ZAR</x:v>
      </x:c>
      <x:c r="F719" s="15" t="str">
        <x:v>Current a/c..512781 / card..2924</x:v>
      </x:c>
      <x:c r="G719" s="15" t="str">
        <x:v>Card spend</x:v>
      </x:c>
      <x:c r="H719" s="15" t="str">
        <x:v>Card purchase</x:v>
      </x:c>
      <x:c r="I719" s="15" t="str">
        <x:v>High</x:v>
      </x:c>
      <x:c r="J719" s="15" t="str">
        <x:v>eml_ALL_currentac__512781 (2).zip &gt; eml1currentac__512781.zip / FNB _-) R300.00 reserved for purchase @ Ae Millys from Current a_c..512781 using card..2924. 10Jun 12_37.eml</x:v>
      </x:c>
    </x:row>
    <x:row r="720">
      <x:c r="A720" s="34" t="n">
        <x:v>46183.62986111111</x:v>
      </x:c>
      <x:c r="B720" s="15" t="str">
        <x:v>Checkers Bronkhorsts</x:v>
      </x:c>
      <x:c r="C720" s="15" t="str">
        <x:v>R593.35 reserved for purchase @ Checkers Bronkhorsts from Current a/c..512781 using card..2924. Avail R597. 10Jun 15:07</x:v>
      </x:c>
      <x:c r="D720" s="38" t="n">
        <x:v>593.35</x:v>
      </x:c>
      <x:c r="E720" s="15" t="str">
        <x:v>ZAR</x:v>
      </x:c>
      <x:c r="F720" s="15" t="str">
        <x:v>Current a/c..512781 / card..2924</x:v>
      </x:c>
      <x:c r="G720" s="15" t="str">
        <x:v>Supplier payments</x:v>
      </x:c>
      <x:c r="H720" s="15" t="str">
        <x:v>Card purchase</x:v>
      </x:c>
      <x:c r="I720" s="15" t="str">
        <x:v>High</x:v>
      </x:c>
      <x:c r="J720" s="15" t="str">
        <x:v>eml_ALL_currentac__512781 (2).zip &gt; eml1currentac__512781.zip / FNB _-) R593.35 reserved for purchase @ Checkers Bronkhorsts from Current a_c..512781 using card..2924. 10Jun 15_07.eml</x:v>
      </x:c>
    </x:row>
    <x:row r="721">
      <x:c r="A721" s="34" t="n">
        <x:v>46183.87569444445</x:v>
      </x:c>
      <x:c r="B721" s="15" t="str">
        <x:v>Electricity 14503572</x:v>
      </x:c>
      <x:c r="C721" s="15" t="str">
        <x:v>R150.00 paid from Current a/c..512781 @ Smartapp. Avail R445. Ref.Electricity 14503572. 10Jun 21:01</x:v>
      </x:c>
      <x:c r="D721" s="38" t="n">
        <x:v>150</x:v>
      </x:c>
      <x:c r="E721" s="15" t="str">
        <x:v>ZAR</x:v>
      </x:c>
      <x:c r="F721" s="15" t="str">
        <x:v>Current a/c..512781</x:v>
      </x:c>
      <x:c r="G721" s="15" t="str">
        <x:v>Telecom / utilities</x:v>
      </x:c>
      <x:c r="H721" s="15" t="str">
        <x:v>EFT payment</x:v>
      </x:c>
      <x:c r="I721" s="15" t="str">
        <x:v>High</x:v>
      </x:c>
      <x:c r="J721" s="15" t="str">
        <x:v>eml_ALL_currentac__512781 (2).zip &gt; eml1currentac__512781.zip / FNB _-) R150.00 paid from Current a_c..512781 @ Smartapp. Ref.Electricity 14503572. 10Jun 21_01.eml</x:v>
      </x:c>
    </x:row>
    <x:row r="722">
      <x:c r="A722" s="34" t="n">
        <x:v>46185.38402777778</x:v>
      </x:c>
      <x:c r="B722" s="15" t="str">
        <x:v>Staff</x:v>
      </x:c>
      <x:c r="C722" s="15" t="str">
        <x:v>R1000.00 paid from Current a/c..512781 @ Smartapp. Avail R10487. Ref.Staff. 12Jun 09:13</x:v>
      </x:c>
      <x:c r="D722" s="38" t="n">
        <x:v>1000</x:v>
      </x:c>
      <x:c r="E722" s="15" t="str">
        <x:v>ZAR</x:v>
      </x:c>
      <x:c r="F722" s="15" t="str">
        <x:v>Current a/c..512781</x:v>
      </x:c>
      <x:c r="G722" s="15" t="str">
        <x:v>Salary / wages</x:v>
      </x:c>
      <x:c r="H722" s="15" t="str">
        <x:v>EFT payment</x:v>
      </x:c>
      <x:c r="I722" s="15" t="str">
        <x:v>High</x:v>
      </x:c>
      <x:c r="J722" s="15" t="str">
        <x:v>eml_ALL_currentac__512781 (2).zip &gt; eml1currentac__512781.zip / FNB _-) R1000.00 paid from Current a_c..512781 @ Smartapp. Ref.Staff. 12Jun 09_13.eml</x:v>
      </x:c>
    </x:row>
    <x:row r="723">
      <x:c r="A723" s="34" t="n">
        <x:v>46185.51736111111</x:v>
      </x:c>
      <x:c r="B723" s="15" t="str">
        <x:v>Kruger Saf 1700 50%</x:v>
      </x:c>
      <x:c r="C723" s="15" t="str">
        <x:v>R5056.40 paid from Current a/c..512781 @ Smartapp. Avail R5428. Ref.Kruger Saf 1700 50%. 12Jun 12:25</x:v>
      </x:c>
      <x:c r="D723" s="38" t="n">
        <x:v>5056.4</x:v>
      </x:c>
      <x:c r="E723" s="15" t="str">
        <x:v>ZAR</x:v>
      </x:c>
      <x:c r="F723" s="15" t="str">
        <x:v>Current a/c..512781</x:v>
      </x:c>
      <x:c r="G723" s="15" t="str">
        <x:v>Supplier payments</x:v>
      </x:c>
      <x:c r="H723" s="15" t="str">
        <x:v>EFT payment</x:v>
      </x:c>
      <x:c r="I723" s="15" t="str">
        <x:v>High</x:v>
      </x:c>
      <x:c r="J723" s="15" t="str">
        <x:v>eml_ALL_currentac__512781 (2).zip &gt; eml1currentac__512781.zip / FNB _-) R5056.40 paid from Current a_c..512781 @ Smartapp. Ref.Kruger Saf 1700 50%. 12Jun 12_25.eml</x:v>
      </x:c>
    </x:row>
    <x:row r="724">
      <x:c r="A724" s="34" t="n">
        <x:v>46186.404861111114</x:v>
      </x:c>
      <x:c r="B724" s="15" t="str">
        <x:v>Electricity 14503572</x:v>
      </x:c>
      <x:c r="C724" s="15" t="str">
        <x:v>R150.00 paid from Current a/c..512781 @ Smartapp. Avail R5149. Ref.Electricity 14503572. 13Jun 09:43</x:v>
      </x:c>
      <x:c r="D724" s="38" t="n">
        <x:v>150</x:v>
      </x:c>
      <x:c r="E724" s="15" t="str">
        <x:v>ZAR</x:v>
      </x:c>
      <x:c r="F724" s="15" t="str">
        <x:v>Current a/c..512781</x:v>
      </x:c>
      <x:c r="G724" s="15" t="str">
        <x:v>Telecom / utilities</x:v>
      </x:c>
      <x:c r="H724" s="15" t="str">
        <x:v>EFT payment</x:v>
      </x:c>
      <x:c r="I724" s="15" t="str">
        <x:v>High</x:v>
      </x:c>
      <x:c r="J724" s="15" t="str">
        <x:v>eml_ALL_currentac__512781 (2).zip &gt; eml1currentac__512781.zip / FNB _-) R150.00 paid from Current a_c..512781 @ Smartapp. Ref.Electricity 14503572. 13Jun 09_43.eml</x:v>
      </x:c>
    </x:row>
    <x:row r="725">
      <x:c r="A725" s="34" t="n">
        <x:v>46187.525</x:v>
      </x:c>
      <x:c r="B725" s="15" t="str">
        <x:v>Sqsp* Websit</x:v>
      </x:c>
      <x:c r="C725" s="15" t="str">
        <x:v>R619.52 reserved for purchase @ Sqsp* Websit from Current a/c..512781 using card..2924. Avail R4529. 14Jun 12:36</x:v>
      </x:c>
      <x:c r="D725" s="38" t="n">
        <x:v>619.52</x:v>
      </x:c>
      <x:c r="E725" s="15" t="str">
        <x:v>ZAR</x:v>
      </x:c>
      <x:c r="F725" s="15" t="str">
        <x:v>Current a/c..512781 / card..2924</x:v>
      </x:c>
      <x:c r="G725" s="15" t="str">
        <x:v>Software / subscriptions</x:v>
      </x:c>
      <x:c r="H725" s="15" t="str">
        <x:v>Card purchase</x:v>
      </x:c>
      <x:c r="I725" s="15" t="str">
        <x:v>High</x:v>
      </x:c>
      <x:c r="J725" s="15" t="str">
        <x:v>eml_ALL_currentac__512781 (2).zip &gt; eml1currentac__512781.zip / FNB _-) R619.52 reserved for purchase @ Sqsp_ Websit from Current a_c..512781 using card..2924. 14Jun 12_36.eml</x:v>
      </x:c>
    </x:row>
    <x:row r="726">
      <x:c r="A726" s="34" t="n">
        <x:v>46187.589583333334</x:v>
      </x:c>
      <x:c r="B726" s="15" t="str">
        <x:v>Pnp Fam Bronkhorstsp</x:v>
      </x:c>
      <x:c r="C726" s="15" t="str">
        <x:v>R793.26 reserved for purchase @ Pnp Fam Bronkhorstsp from Current a/c..512781 using card..2924. Avail R3736. 14Jun 14:09</x:v>
      </x:c>
      <x:c r="D726" s="38" t="n">
        <x:v>793.26</x:v>
      </x:c>
      <x:c r="E726" s="15" t="str">
        <x:v>ZAR</x:v>
      </x:c>
      <x:c r="F726" s="15" t="str">
        <x:v>Current a/c..512781 / card..2924</x:v>
      </x:c>
      <x:c r="G726" s="15" t="str">
        <x:v>Card spend</x:v>
      </x:c>
      <x:c r="H726" s="15" t="str">
        <x:v>Card purchase</x:v>
      </x:c>
      <x:c r="I726" s="15" t="str">
        <x:v>High</x:v>
      </x:c>
      <x:c r="J726" s="15" t="str">
        <x:v>eml_ALL_currentac__512781 (2).zip &gt; eml1currentac__512781.zip / FNB _-) R793.26 reserved for purchase @ Pnp Fam Bronkhorstsp from Current a_c..512781 using card..2924. 14Jun 14_09.eml</x:v>
      </x:c>
    </x:row>
    <x:row r="727">
      <x:c r="A727" s="34" t="n">
        <x:v>46187.600694444445</x:v>
      </x:c>
      <x:c r="B727" s="15" t="str">
        <x:v>Hokaai Fuels</x:v>
      </x:c>
      <x:c r="C727" s="15" t="str">
        <x:v>R400.00 reserved for purchase @ Hokaai Fuels from Current a/c..512781 using card..2924. Avail R3288. 14Jun 14:25</x:v>
      </x:c>
      <x:c r="D727" s="38" t="n">
        <x:v>400</x:v>
      </x:c>
      <x:c r="E727" s="15" t="str">
        <x:v>ZAR</x:v>
      </x:c>
      <x:c r="F727" s="15" t="str">
        <x:v>Current a/c..512781 / card..2924</x:v>
      </x:c>
      <x:c r="G727" s="15" t="str">
        <x:v>Fuel / transport</x:v>
      </x:c>
      <x:c r="H727" s="15" t="str">
        <x:v>Card purchase</x:v>
      </x:c>
      <x:c r="I727" s="15" t="str">
        <x:v>High</x:v>
      </x:c>
      <x:c r="J727" s="15" t="str">
        <x:v>eml_ALL_currentac__512781 (2).zip &gt; eml1currentac__512781.zip / FNB _-) R400.00 reserved for purchase @ Hokaai Fuels from Current a_c..512781 using card..2924. 14Jun 14_25.eml</x:v>
      </x:c>
    </x:row>
    <x:row r="728">
      <x:c r="A728" s="34" t="n">
        <x:v>46188.325</x:v>
      </x:c>
      <x:c r="B728" s="15" t="str">
        <x:v>Electricity 14503572</x:v>
      </x:c>
      <x:c r="C728" s="15" t="str">
        <x:v>R150.00 paid from Current a/c..512781 @ Smartapp. Avail R2676. Ref.Electricity 14503572. 15Jun 07:48</x:v>
      </x:c>
      <x:c r="D728" s="38" t="n">
        <x:v>150</x:v>
      </x:c>
      <x:c r="E728" s="15" t="str">
        <x:v>ZAR</x:v>
      </x:c>
      <x:c r="F728" s="15" t="str">
        <x:v>Current a/c..512781</x:v>
      </x:c>
      <x:c r="G728" s="15" t="str">
        <x:v>Telecom / utilities</x:v>
      </x:c>
      <x:c r="H728" s="15" t="str">
        <x:v>EFT payment</x:v>
      </x:c>
      <x:c r="I728" s="15" t="str">
        <x:v>High</x:v>
      </x:c>
      <x:c r="J728" s="15" t="str">
        <x:v>eml_ALL_currentac__512781 (2).zip &gt; eml1currentac__512781.zip / FNB _-) R150.00 paid from Current a_c..512781 @ Smartapp. Ref.Electricity 14503572. 15Jun 07_48.eml</x:v>
      </x:c>
    </x:row>
    <x:row r="729">
      <x:c r="A729" s="34" t="n">
        <x:v>46188.415972222225</x:v>
      </x:c>
      <x:c r="B729" s="15" t="str">
        <x:v>Electricity 04294887</x:v>
      </x:c>
      <x:c r="C729" s="15" t="str">
        <x:v>R500.00 paid from Current a/c..512781 @ Smartapp. Avail R2090. Ref.Electricity 04294887. 15Jun 09:59</x:v>
      </x:c>
      <x:c r="D729" s="38" t="n">
        <x:v>500</x:v>
      </x:c>
      <x:c r="E729" s="15" t="str">
        <x:v>ZAR</x:v>
      </x:c>
      <x:c r="F729" s="15" t="str">
        <x:v>Current a/c..512781</x:v>
      </x:c>
      <x:c r="G729" s="15" t="str">
        <x:v>Telecom / utilities</x:v>
      </x:c>
      <x:c r="H729" s="15" t="str">
        <x:v>EFT payment</x:v>
      </x:c>
      <x:c r="I729" s="15" t="str">
        <x:v>High</x:v>
      </x:c>
      <x:c r="J729" s="15" t="str">
        <x:v>eml_ALL_currentac__512781 (2).zip &gt; eml1currentac__512781.zip / FNB _-) R500.00 paid from Current a_c..512781 @ Smartapp. Ref.Electricity 04294887. 15Jun 09_59.eml</x:v>
      </x:c>
    </x:row>
    <x:row r="730">
      <x:c r="A730" s="34" t="n">
        <x:v>46188.43541666667</x:v>
      </x:c>
      <x:c r="B730" s="15" t="str">
        <x:v>Machado Tap N Go</x:v>
      </x:c>
      <x:c r="C730" s="15" t="str">
        <x:v>R126.00 reserved for purchase @ Machado Tap N Go from Current a/c..512781 using card..2924. Avail R1964. 15Jun 10:27</x:v>
      </x:c>
      <x:c r="D730" s="38" t="n">
        <x:v>126</x:v>
      </x:c>
      <x:c r="E730" s="15" t="str">
        <x:v>ZAR</x:v>
      </x:c>
      <x:c r="F730" s="15" t="str">
        <x:v>Current a/c..512781 / card..2924</x:v>
      </x:c>
      <x:c r="G730" s="15" t="str">
        <x:v>Card spend</x:v>
      </x:c>
      <x:c r="H730" s="15" t="str">
        <x:v>Card purchase</x:v>
      </x:c>
      <x:c r="I730" s="15" t="str">
        <x:v>High</x:v>
      </x:c>
      <x:c r="J730" s="15" t="str">
        <x:v>eml_ALL_currentac__512781 (2).zip &gt; eml1currentac__512781.zip / FNB _-) R126.00 reserved for purchase @ Machado Tap N Go from Current a_c..512781 using card..2924. 15Jun 10_27.eml</x:v>
      </x:c>
    </x:row>
    <x:row r="731">
      <x:c r="A731" s="34" t="n">
        <x:v>46188.540972222225</x:v>
      </x:c>
      <x:c r="B731" s="15" t="str">
        <x:v>Superspar Malelane</x:v>
      </x:c>
      <x:c r="C731" s="15" t="str">
        <x:v>R378.32 reserved for purchase @ Superspar Malelane from Current a/c..512781 using card..2924. Avail R1490. 15Jun 12:59</x:v>
      </x:c>
      <x:c r="D731" s="38" t="n">
        <x:v>378.32</x:v>
      </x:c>
      <x:c r="E731" s="15" t="str">
        <x:v>ZAR</x:v>
      </x:c>
      <x:c r="F731" s="15" t="str">
        <x:v>Current a/c..512781 / card..2924</x:v>
      </x:c>
      <x:c r="G731" s="15" t="str">
        <x:v>Supplier payments</x:v>
      </x:c>
      <x:c r="H731" s="15" t="str">
        <x:v>Card purchase</x:v>
      </x:c>
      <x:c r="I731" s="15" t="str">
        <x:v>High</x:v>
      </x:c>
      <x:c r="J731" s="15" t="str">
        <x:v>eml_ALL_currentac__512781 (2).zip &gt; eml1currentac__512781.zip / FNB _-) R378.32 reserved for purchase @ Superspar Malelane from Current a_c..512781 using card..2924. 15Jun 12_59.eml</x:v>
      </x:c>
    </x:row>
    <x:row r="732">
      <x:c r="A732" s="34" t="n">
        <x:v>46188.549305555556</x:v>
      </x:c>
      <x:c r="B732" s="15" t="str">
        <x:v>Engen Malelane</x:v>
      </x:c>
      <x:c r="C732" s="15" t="str">
        <x:v>R200.15 reserved for purchase @ Engen Malelane from Current a/c..512781 using card..2924. Avail R1290. 15Jun 13:11</x:v>
      </x:c>
      <x:c r="D732" s="38" t="n">
        <x:v>200.15</x:v>
      </x:c>
      <x:c r="E732" s="15" t="str">
        <x:v>ZAR</x:v>
      </x:c>
      <x:c r="F732" s="15" t="str">
        <x:v>Current a/c..512781 / card..2924</x:v>
      </x:c>
      <x:c r="G732" s="15" t="str">
        <x:v>Fuel / transport</x:v>
      </x:c>
      <x:c r="H732" s="15" t="str">
        <x:v>Card purchase</x:v>
      </x:c>
      <x:c r="I732" s="15" t="str">
        <x:v>High</x:v>
      </x:c>
      <x:c r="J732" s="15" t="str">
        <x:v>eml_ALL_currentac__512781 (2).zip &gt; eml1currentac__512781.zip / FNB _-) R200.15 reserved for purchase @ Engen Malelane from Current a_c..512781 using card..2924. 15Jun 13_11.eml</x:v>
      </x:c>
    </x:row>
    <x:row r="733">
      <x:c r="A733" s="34" t="n">
        <x:v>46189.384722222225</x:v>
      </x:c>
      <x:c r="B733" s="15" t="str">
        <x:v>Repay</x:v>
      </x:c>
      <x:c r="C733" s="15" t="str">
        <x:v>R2000.00 paid from Current a/c..512781 @ Smartapp. Avail R10067. Ref.Repay. 16Jun 09:14</x:v>
      </x:c>
      <x:c r="D733" s="38" t="n">
        <x:v>2000</x:v>
      </x:c>
      <x:c r="E733" s="15" t="str">
        <x:v>ZAR</x:v>
      </x:c>
      <x:c r="F733" s="15" t="str">
        <x:v>Current a/c..512781</x:v>
      </x:c>
      <x:c r="G733" s="15" t="str">
        <x:v>Supplier payments</x:v>
      </x:c>
      <x:c r="H733" s="15" t="str">
        <x:v>EFT payment</x:v>
      </x:c>
      <x:c r="I733" s="15" t="str">
        <x:v>High</x:v>
      </x:c>
      <x:c r="J733" s="15" t="str">
        <x:v>eml_ALL_currentac__512781 (2).zip &gt; eml1currentac__512781.zip / FNB _-) R2000.00 paid from Current a_c..512781 @ Smartapp. Ref.Repay. 16Jun 09_14.eml</x:v>
      </x:c>
    </x:row>
    <x:row r="734">
      <x:c r="A734" s="34" t="n">
        <x:v>46189.69930555556</x:v>
      </x:c>
      <x:c r="B734" s="15" t="str">
        <x:v>Sakkie Wages</x:v>
      </x:c>
      <x:c r="C734" s="15" t="str">
        <x:v>R250.00 paid from Current a/c..512781 @ Smartapp. Avail R9718. Ref.Sakkie Wages. 16Jun 16:47</x:v>
      </x:c>
      <x:c r="D734" s="38" t="n">
        <x:v>250</x:v>
      </x:c>
      <x:c r="E734" s="15" t="str">
        <x:v>ZAR</x:v>
      </x:c>
      <x:c r="F734" s="15" t="str">
        <x:v>Current a/c..512781</x:v>
      </x:c>
      <x:c r="G734" s="15" t="str">
        <x:v>Salary / wages</x:v>
      </x:c>
      <x:c r="H734" s="15" t="str">
        <x:v>EFT payment</x:v>
      </x:c>
      <x:c r="I734" s="15" t="str">
        <x:v>High</x:v>
      </x:c>
      <x:c r="J734" s="15" t="str">
        <x:v>eml_ALL_currentac__512781 (2).zip &gt; eml1currentac__512781.zip / FNB _-) R250.00 paid from Current a_c..512781 @ Smartapp. Ref.Sakkie Wages. 16Jun 16_47.eml</x:v>
      </x:c>
    </x:row>
    <x:row r="735">
      <x:c r="A735" s="34" t="n">
        <x:v>46189.72361111111</x:v>
      </x:c>
      <x:c r="B735" s="15" t="str">
        <x:v>The Tin Shack</x:v>
      </x:c>
      <x:c r="C735" s="15" t="str">
        <x:v>R250.00 reserved for purchase @ The Tin Shack from Current a/c..512781 using card..2924. Avail R9468. 16Jun 17:22</x:v>
      </x:c>
      <x:c r="D735" s="38" t="n">
        <x:v>250</x:v>
      </x:c>
      <x:c r="E735" s="15" t="str">
        <x:v>ZAR</x:v>
      </x:c>
      <x:c r="F735" s="15" t="str">
        <x:v>Current a/c..512781 / card..2924</x:v>
      </x:c>
      <x:c r="G735" s="15" t="str">
        <x:v>Meals / restaurants / entertainment</x:v>
      </x:c>
      <x:c r="H735" s="15" t="str">
        <x:v>Card purchase</x:v>
      </x:c>
      <x:c r="I735" s="15" t="str">
        <x:v>High</x:v>
      </x:c>
      <x:c r="J735" s="15" t="str">
        <x:v>eml_ALL_currentac__512781 (2).zip &gt; eml1currentac__512781.zip / FNB _-) R250.00 reserved for purchase @ The Tin Shack from Current a_c..512781 using card..2924. 16Jun 17_22.eml</x:v>
      </x:c>
    </x:row>
    <x:row r="736">
      <x:c r="A736" s="34" t="n">
        <x:v>46190.282638888886</x:v>
      </x:c>
      <x:c r="B736" s="15" t="str">
        <x:v>Electricity 14503572</x:v>
      </x:c>
      <x:c r="C736" s="15" t="str">
        <x:v>R150.00 paid from Current a/c..512781 @ Smartapp. Avail R9316. Ref.Electricity 14503572. 17Jun 06:47</x:v>
      </x:c>
      <x:c r="D736" s="38" t="n">
        <x:v>150</x:v>
      </x:c>
      <x:c r="E736" s="15" t="str">
        <x:v>ZAR</x:v>
      </x:c>
      <x:c r="F736" s="15" t="str">
        <x:v>Current a/c..512781</x:v>
      </x:c>
      <x:c r="G736" s="15" t="str">
        <x:v>Telecom / utilities</x:v>
      </x:c>
      <x:c r="H736" s="15" t="str">
        <x:v>EFT payment</x:v>
      </x:c>
      <x:c r="I736" s="15" t="str">
        <x:v>High</x:v>
      </x:c>
      <x:c r="J736" s="15" t="str">
        <x:v>eml_ALL_currentac__512781 (2).zip &gt; eml1currentac__512781.zip / FNB _-) R150.00 paid from Current a_c..512781 @ Smartapp. Ref.Electricity 14503572. 17Jun 06_47.eml</x:v>
      </x:c>
    </x:row>
    <x:row r="737">
      <x:c r="A737" s="34" t="n">
        <x:v>46190.44097222222</x:v>
      </x:c>
      <x:c r="B737" s="15" t="str">
        <x:v>Paystack *zoho Co</x:v>
      </x:c>
      <x:c r="C737" s="15" t="str">
        <x:v>R228.85 reserved for purchase @ Paystack *zoho Co from Current a/c..512781 using card..2924. Avail R9087. 17Jun 10:35</x:v>
      </x:c>
      <x:c r="D737" s="38" t="n">
        <x:v>228.85</x:v>
      </x:c>
      <x:c r="E737" s="15" t="str">
        <x:v>ZAR</x:v>
      </x:c>
      <x:c r="F737" s="15" t="str">
        <x:v>Current a/c..512781 / card..2924</x:v>
      </x:c>
      <x:c r="G737" s="15" t="str">
        <x:v>Software / subscriptions</x:v>
      </x:c>
      <x:c r="H737" s="15" t="str">
        <x:v>Card purchase</x:v>
      </x:c>
      <x:c r="I737" s="15" t="str">
        <x:v>High</x:v>
      </x:c>
      <x:c r="J737" s="15" t="str">
        <x:v>eml_ALL_currentac__512781 (2).zip &gt; eml1currentac__512781.zip / FNB _-) R228.85 reserved for purchase @ Paystack _zoho Co from Current a_c..512781 using card..2924. 17Jun 10_35.eml</x:v>
      </x:c>
    </x:row>
    <x:row r="738">
      <x:c r="A738" s="34" t="n">
        <x:v>46190.49375</x:v>
      </x:c>
      <x:c r="B738" s="15" t="str">
        <x:v>Car</x:v>
      </x:c>
      <x:c r="C738" s="15" t="str">
        <x:v>R5000.00 paid from Current a/c..512781 @ Smartapp. Avail R4079. Ref.Car. 17Jun 11:51</x:v>
      </x:c>
      <x:c r="D738" s="38" t="n">
        <x:v>5000</x:v>
      </x:c>
      <x:c r="E738" s="15" t="str">
        <x:v>ZAR</x:v>
      </x:c>
      <x:c r="F738" s="15" t="str">
        <x:v>Current a/c..512781</x:v>
      </x:c>
      <x:c r="G738" s="15" t="str">
        <x:v>Supplier payments</x:v>
      </x:c>
      <x:c r="H738" s="15" t="str">
        <x:v>EFT payment</x:v>
      </x:c>
      <x:c r="I738" s="15" t="str">
        <x:v>High</x:v>
      </x:c>
      <x:c r="J738" s="15" t="str">
        <x:v>eml_ALL_currentac__512781 (2).zip &gt; eml1currentac__512781.zip / FNB _-) R5000.00 paid from Current a_c..512781 @ Smartapp. Ref.Car. 17Jun 11_51.eml</x:v>
      </x:c>
    </x:row>
    <x:row r="739">
      <x:c r="A739" s="34" t="n">
        <x:v>46190.97638888889</x:v>
      </x:c>
      <x:c r="B739" s="15" t="str">
        <x:v>Openai *chatgpt Subscr+14</x:v>
      </x:c>
      <x:c r="C739" s="15" t="str">
        <x:v>R149.00 reserved for purchase @ Openai *chatgpt Subscr+14 from Current a/c..512781 using card..0104. Avail R3930. 17Jun 23:26</x:v>
      </x:c>
      <x:c r="D739" s="38" t="n">
        <x:v>149</x:v>
      </x:c>
      <x:c r="E739" s="15" t="str">
        <x:v>ZAR</x:v>
      </x:c>
      <x:c r="F739" s="15" t="str">
        <x:v>Current a/c..512781 / card..0104</x:v>
      </x:c>
      <x:c r="G739" s="15" t="str">
        <x:v>Software / subscriptions</x:v>
      </x:c>
      <x:c r="H739" s="15" t="str">
        <x:v>Card purchase</x:v>
      </x:c>
      <x:c r="I739" s="15" t="str">
        <x:v>High</x:v>
      </x:c>
      <x:c r="J739" s="15" t="str">
        <x:v>eml_ALL_currentac__512781 (2).zip &gt; eml1currentac__512781.zip / FNB _-) R149.00 reserved for purchase @ Openai _chatgpt Subscr+14 from Current a_c..512781 using card..0104. 17Jun 23_26.eml</x:v>
      </x:c>
    </x:row>
    <x:row r="740">
      <x:c r="A740" s="34" t="n">
        <x:v>46191.46944444445</x:v>
      </x:c>
      <x:c r="B740" s="15" t="str">
        <x:v>Shoprite Komatipoort</x:v>
      </x:c>
      <x:c r="C740" s="15" t="str">
        <x:v>R643.85 reserved for purchase @ Shoprite Komatipoort from Current a/c..512781 using card..2924. Avail R9628. 18Jun 11:16</x:v>
      </x:c>
      <x:c r="D740" s="38" t="n">
        <x:v>643.85</x:v>
      </x:c>
      <x:c r="E740" s="15" t="str">
        <x:v>ZAR</x:v>
      </x:c>
      <x:c r="F740" s="15" t="str">
        <x:v>Current a/c..512781 / card..2924</x:v>
      </x:c>
      <x:c r="G740" s="15" t="str">
        <x:v>Supplier payments</x:v>
      </x:c>
      <x:c r="H740" s="15" t="str">
        <x:v>Card purchase</x:v>
      </x:c>
      <x:c r="I740" s="15" t="str">
        <x:v>High</x:v>
      </x:c>
      <x:c r="J740" s="15" t="str">
        <x:v>eml_ALL_currentac__512781 (2).zip &gt; eml1currentac__512781.zip / FNB _-) R643.85 reserved for purchase @ Shoprite Komatipoort from Current a_c..512781 using card..2924. 18Jun 11_16.eml</x:v>
      </x:c>
    </x:row>
    <x:row r="741">
      <x:c r="A741" s="34" t="n">
        <x:v>46191.50763888889</x:v>
      </x:c>
      <x:c r="B741" s="15" t="str">
        <x:v>Superspar Komatipoor</x:v>
      </x:c>
      <x:c r="C741" s="15" t="str">
        <x:v>R813.73 reserved for purchase @ Superspar Komatipoor from Current a/c..512781 using card..2924. Avail R8814. 18Jun 12:11</x:v>
      </x:c>
      <x:c r="D741" s="38" t="n">
        <x:v>813.73</x:v>
      </x:c>
      <x:c r="E741" s="15" t="str">
        <x:v>ZAR</x:v>
      </x:c>
      <x:c r="F741" s="15" t="str">
        <x:v>Current a/c..512781 / card..2924</x:v>
      </x:c>
      <x:c r="G741" s="15" t="str">
        <x:v>Supplier payments</x:v>
      </x:c>
      <x:c r="H741" s="15" t="str">
        <x:v>Card purchase</x:v>
      </x:c>
      <x:c r="I741" s="15" t="str">
        <x:v>High</x:v>
      </x:c>
      <x:c r="J741" s="15" t="str">
        <x:v>eml_ALL_currentac__512781 (2).zip &gt; eml1currentac__512781.zip / FNB _-) R813.73 reserved for purchase @ Superspar Komatipoor from Current a_c..512781 using card..2924. 18Jun 12_11.eml</x:v>
      </x:c>
    </x:row>
    <x:row r="742">
      <x:c r="A742" s="34" t="n">
        <x:v>46192.50069444445</x:v>
      </x:c>
      <x:c r="B742" s="15" t="str">
        <x:v>Royal Bush 3846</x:v>
      </x:c>
      <x:c r="C742" s="15" t="str">
        <x:v>R2990.00 paid from Current a/c..512781 @ Smartapp. Avail R5801. Ref.Royal Bush 3846. 19Jun 12:01</x:v>
      </x:c>
      <x:c r="D742" s="38" t="n">
        <x:v>2990</x:v>
      </x:c>
      <x:c r="E742" s="15" t="str">
        <x:v>ZAR</x:v>
      </x:c>
      <x:c r="F742" s="15" t="str">
        <x:v>Current a/c..512781</x:v>
      </x:c>
      <x:c r="G742" s="15" t="str">
        <x:v>Supplier payments</x:v>
      </x:c>
      <x:c r="H742" s="15" t="str">
        <x:v>EFT payment</x:v>
      </x:c>
      <x:c r="I742" s="15" t="str">
        <x:v>High</x:v>
      </x:c>
      <x:c r="J742" s="15" t="str">
        <x:v>eml_ALL_currentac__512781 (2).zip &gt; eml1currentac__512781.zip / FNB _-) R2990.00 paid from Current a_c..512781 @ Smartapp. Ref.Royal Bush 3846. 19Jun 12_01.eml</x:v>
      </x:c>
    </x:row>
    <x:row r="743">
      <x:c r="A743" s="34" t="n">
        <x:v>46192.50069444445</x:v>
      </x:c>
      <x:c r="B743" s="15" t="str">
        <x:v>Superspar Komatipoor</x:v>
      </x:c>
      <x:c r="C743" s="15" t="str">
        <x:v>R783.50 reserved for purchase @ Superspar Komatipoor from Current a/c..512781 using card..2924. Avail R5017. 19Jun 12:01</x:v>
      </x:c>
      <x:c r="D743" s="38" t="n">
        <x:v>783.5</x:v>
      </x:c>
      <x:c r="E743" s="15" t="str">
        <x:v>ZAR</x:v>
      </x:c>
      <x:c r="F743" s="15" t="str">
        <x:v>Current a/c..512781 / card..2924</x:v>
      </x:c>
      <x:c r="G743" s="15" t="str">
        <x:v>Supplier payments</x:v>
      </x:c>
      <x:c r="H743" s="15" t="str">
        <x:v>Card purchase</x:v>
      </x:c>
      <x:c r="I743" s="15" t="str">
        <x:v>High</x:v>
      </x:c>
      <x:c r="J743" s="15" t="str">
        <x:v>eml_ALL_currentac__512781 (2).zip &gt; eml1currentac__512781.zip / FNB _-) R783.50 reserved for purchase @ Superspar Komatipoor from Current a_c..512781 using card..2924. 19Jun 12_01.eml</x:v>
      </x:c>
    </x:row>
    <x:row r="744">
      <x:c r="A744" s="34" t="n">
        <x:v>46192.51527777778</x:v>
      </x:c>
      <x:c r="B744" s="15" t="str">
        <x:v>Oasis Water Komatipo</x:v>
      </x:c>
      <x:c r="C744" s="15" t="str">
        <x:v>R127.00 reserved for purchase @ Oasis Water Komatipo from Current a/c..512781 using card..2924. Avail R4890. 19Jun 12:22</x:v>
      </x:c>
      <x:c r="D744" s="38" t="n">
        <x:v>127</x:v>
      </x:c>
      <x:c r="E744" s="15" t="str">
        <x:v>ZAR</x:v>
      </x:c>
      <x:c r="F744" s="15" t="str">
        <x:v>Current a/c..512781 / card..2924</x:v>
      </x:c>
      <x:c r="G744" s="15" t="str">
        <x:v>Supplier payments</x:v>
      </x:c>
      <x:c r="H744" s="15" t="str">
        <x:v>Card purchase</x:v>
      </x:c>
      <x:c r="I744" s="15" t="str">
        <x:v>High</x:v>
      </x:c>
      <x:c r="J744" s="15" t="str">
        <x:v>eml_ALL_currentac__512781 (2).zip &gt; eml1currentac__512781.zip / FNB _-) R127.00 reserved for purchase @ Oasis Water Komatipo from Current a_c..512781 using card..2924. 19Jun 12_22.eml</x:v>
      </x:c>
    </x:row>
    <x:row r="745">
      <x:c r="A745" s="34" t="n">
        <x:v>46192.595138888886</x:v>
      </x:c>
      <x:c r="B745" s="15" t="str">
        <x:v>Sakkie Wages</x:v>
      </x:c>
      <x:c r="C745" s="15" t="str">
        <x:v>R2500.00 paid from Current a/c..512781 @ Smartapp. Avail R4024. Ref.Sakkie Wages. 19Jun 14:17</x:v>
      </x:c>
      <x:c r="D745" s="38" t="n">
        <x:v>2500</x:v>
      </x:c>
      <x:c r="E745" s="15" t="str">
        <x:v>ZAR</x:v>
      </x:c>
      <x:c r="F745" s="15" t="str">
        <x:v>Current a/c..512781</x:v>
      </x:c>
      <x:c r="G745" s="15" t="str">
        <x:v>Salary / wages</x:v>
      </x:c>
      <x:c r="H745" s="15" t="str">
        <x:v>EFT payment</x:v>
      </x:c>
      <x:c r="I745" s="15" t="str">
        <x:v>High</x:v>
      </x:c>
      <x:c r="J745" s="15" t="str">
        <x:v>eml_ALL_currentac__512781 (2).zip &gt; eml1currentac__512781.zip / FNB _-) R2500.00 paid from Current a_c..512781 @ Smartapp. Ref.Sakkie Wages. 19Jun 14_17.eml</x:v>
      </x:c>
    </x:row>
    <x:row r="746">
      <x:c r="A746" s="34" t="n">
        <x:v>46192.67013888889</x:v>
      </x:c>
      <x:c r="B746" s="15" t="str">
        <x:v>Bushwise Inv 0122</x:v>
      </x:c>
      <x:c r="C746" s="15" t="str">
        <x:v>R2975.00 paid from Current a/c..512781 @ Smartapp. Avail R1046. Ref.Bushwise Inv 0122. 19Jun 16:05</x:v>
      </x:c>
      <x:c r="D746" s="38" t="n">
        <x:v>2975</x:v>
      </x:c>
      <x:c r="E746" s="15" t="str">
        <x:v>ZAR</x:v>
      </x:c>
      <x:c r="F746" s="15" t="str">
        <x:v>Current a/c..512781</x:v>
      </x:c>
      <x:c r="G746" s="15" t="str">
        <x:v>Supplier payments</x:v>
      </x:c>
      <x:c r="H746" s="15" t="str">
        <x:v>EFT payment</x:v>
      </x:c>
      <x:c r="I746" s="15" t="str">
        <x:v>High</x:v>
      </x:c>
      <x:c r="J746" s="15" t="str">
        <x:v>eml_ALL_currentac__512781 (2).zip &gt; eml1currentac__512781.zip / FNB _-) R2975.00 paid from Current a_c..512781 @ Smartapp. Ref.Bushwise Inv 0122. 19Jun 16_05.eml</x:v>
      </x:c>
    </x:row>
  </x:sheetData>
  <x:pageMargins left="0.7" right="0.7" top="0.75" bottom="0.75" header="0.3" footer="0.3"/>
  <x:tableParts count="1">
    <x:tablePart xmlns:r="http://schemas.openxmlformats.org/officeDocument/2006/relationships" r:id="R0bbabcecb0c345e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  <x:col min="7" max="7" width="16" hidden="0" customWidth="1"/>
    <x:col min="8" max="8" width="36" hidden="0" customWidth="1"/>
    <x:col min="9" max="9" width="36" hidden="0" customWidth="1"/>
  </x:cols>
  <x:sheetData>
    <x:row r="1">
      <x:c r="A1" s="29" t="str">
        <x:v>Date</x:v>
      </x:c>
      <x:c r="B1" s="29" t="str">
        <x:v>From account/card</x:v>
      </x:c>
      <x:c r="C1" s="29" t="str">
        <x:v>To account</x:v>
      </x:c>
      <x:c r="D1" s="29" t="str">
        <x:v>Amount</x:v>
      </x:c>
      <x:c r="E1" s="29" t="str">
        <x:v>Currency</x:v>
      </x:c>
      <x:c r="F1" s="29" t="str">
        <x:v>Description</x:v>
      </x:c>
      <x:c r="G1" s="29" t="str">
        <x:v>Confidence</x:v>
      </x:c>
      <x:c r="H1" s="29" t="str">
        <x:v>Notes</x:v>
      </x:c>
      <x:c r="I1" s="29" t="str">
        <x:v>Source file</x:v>
      </x:c>
    </x:row>
    <x:row r="2">
      <x:c r="A2" s="34" t="n">
        <x:v>45930.73333333333</x:v>
      </x:c>
      <x:c r="B2" s="15" t="str">
        <x:v>Current a/c..261544</x:v>
      </x:c>
      <x:c r="C2" s="15" t="str">
        <x:v>Current a/c..512781</x:v>
      </x:c>
      <x:c r="D2" s="38" t="n">
        <x:v>5000</x:v>
      </x:c>
      <x:c r="E2" s="15" t="str">
        <x:v>ZAR</x:v>
      </x:c>
      <x:c r="F2" s="15" t="str">
        <x:v>R5000.00 t/fer from Current a/c..261544 to Current a/c..512781 @ Smartapp. Avail R178672. 30Sep 17:36</x:v>
      </x:c>
      <x:c r="G2" s="15" t="str">
        <x:v>High</x:v>
      </x:c>
      <x:c r="H2" s="15" t="str">
        <x:v>Classified as internal/inter-account transfer and excluded from operating cashflow.</x:v>
      </x:c>
      <x:c r="I2" s="15" t="str">
        <x:v>eml_ALL_currentac__512781 (2).zip &gt; eml12currentac__512781.zip / FNB _-) R5000.00 t_fer from Current a_c..261544 to Current a_c..512781 @ Smartapp. 30Sep 17_36.eml</x:v>
      </x:c>
    </x:row>
    <x:row r="3">
      <x:c r="A3" s="34" t="n">
        <x:v>45940.43819444445</x:v>
      </x:c>
      <x:c r="B3" s="15" t="str">
        <x:v>Current a/c..512781</x:v>
      </x:c>
      <x:c r="C3" s="15" t="str">
        <x:v>Current a/c..261544</x:v>
      </x:c>
      <x:c r="D3" s="38" t="n">
        <x:v>20000</x:v>
      </x:c>
      <x:c r="E3" s="15" t="str">
        <x:v>ZAR</x:v>
      </x:c>
      <x:c r="F3" s="15" t="str">
        <x:v>R20000.00 t/fer from Current a/c..512781 to Current a/c..261544 @ Smartapp. Avail R47113. 10Oct 10:31</x:v>
      </x:c>
      <x:c r="G3" s="15" t="str">
        <x:v>High</x:v>
      </x:c>
      <x:c r="H3" s="15" t="str">
        <x:v>Classified as internal/inter-account transfer and excluded from operating cashflow.</x:v>
      </x:c>
      <x:c r="I3" s="15" t="str">
        <x:v>eml_ALL_currentac__512781 (2).zip &gt; eml12currentac__512781.zip / FNB _-) R20000.00 t_fer from Current a_c..512781 to Current a_c..261544 @ Smartapp. 10Oct 10_31.eml</x:v>
      </x:c>
    </x:row>
    <x:row r="4">
      <x:c r="A4" s="34" t="n">
        <x:v>45941.600694444445</x:v>
      </x:c>
      <x:c r="B4" s="15" t="str">
        <x:v>Current a/c..512781</x:v>
      </x:c>
      <x:c r="C4" s="15" t="str">
        <x:v>Current a/c..261544</x:v>
      </x:c>
      <x:c r="D4" s="38" t="n">
        <x:v>15000</x:v>
      </x:c>
      <x:c r="E4" s="15" t="str">
        <x:v>ZAR</x:v>
      </x:c>
      <x:c r="F4" s="15" t="str">
        <x:v>R15000.00 t/fer from Current a/c..512781 to Current a/c..261544 @ Smartapp. Avail R23947. 11Oct 14:25</x:v>
      </x:c>
      <x:c r="G4" s="15" t="str">
        <x:v>High</x:v>
      </x:c>
      <x:c r="H4" s="15" t="str">
        <x:v>Classified as internal/inter-account transfer and excluded from operating cashflow.</x:v>
      </x:c>
      <x:c r="I4" s="15" t="str">
        <x:v>eml_ALL_currentac__512781 (2).zip &gt; eml12currentac__512781.zip / FNB _-) R15000.00 t_fer from Current a_c..512781 to Current a_c..261544 @ Smartapp. 11Oct 14_25.eml</x:v>
      </x:c>
    </x:row>
    <x:row r="5">
      <x:c r="A5" s="34" t="n">
        <x:v>45977.57152777778</x:v>
      </x:c>
      <x:c r="B5" s="15" t="str">
        <x:v>Current a/c..261544</x:v>
      </x:c>
      <x:c r="C5" s="15" t="str">
        <x:v>Current a/c..512781</x:v>
      </x:c>
      <x:c r="D5" s="38" t="n">
        <x:v>18000</x:v>
      </x:c>
      <x:c r="E5" s="15" t="str">
        <x:v>ZAR</x:v>
      </x:c>
      <x:c r="F5" s="15" t="str">
        <x:v>R18000.00 t/fer from Current a/c..261544 to Current a/c..512781 @ Smartapp. Avail R4448. 16Nov 13:43</x:v>
      </x:c>
      <x:c r="G5" s="15" t="str">
        <x:v>High</x:v>
      </x:c>
      <x:c r="H5" s="15" t="str">
        <x:v>Classified as internal/inter-account transfer and excluded from operating cashflow.</x:v>
      </x:c>
      <x:c r="I5" s="15" t="str">
        <x:v>eml_ALL_currentac__512781 (2).zip &gt; eml10currentac__512781.zip / FNB _-) R18000.00 t_fer from Current a_c..261544 to Current a_c..512781 @ Smartapp. 16Nov 13_43.eml</x:v>
      </x:c>
    </x:row>
    <x:row r="6">
      <x:c r="A6" s="34" t="n">
        <x:v>45979.40069444444</x:v>
      </x:c>
      <x:c r="B6" s="15" t="str">
        <x:v>Current a/c..512781</x:v>
      </x:c>
      <x:c r="C6" s="15" t="str">
        <x:v>Current a/c..261544</x:v>
      </x:c>
      <x:c r="D6" s="38" t="n">
        <x:v>5000</x:v>
      </x:c>
      <x:c r="E6" s="15" t="str">
        <x:v>ZAR</x:v>
      </x:c>
      <x:c r="F6" s="15" t="str">
        <x:v>R5000.00 t/fer from Current a/c..512781 to Current a/c..261544 @ Smartapp. Avail R4712. 18Nov 09:37</x:v>
      </x:c>
      <x:c r="G6" s="15" t="str">
        <x:v>High</x:v>
      </x:c>
      <x:c r="H6" s="15" t="str">
        <x:v>Classified as internal/inter-account transfer and excluded from operating cashflow.</x:v>
      </x:c>
      <x:c r="I6" s="15" t="str">
        <x:v>eml_ALL_currentac__512781 (2).zip &gt; eml10currentac__512781.zip / FNB _-) R5000.00 t_fer from Current a_c..512781 to Current a_c..261544 @ Smartapp. 18Nov 09_37.eml</x:v>
      </x:c>
    </x:row>
    <x:row r="7">
      <x:c r="A7" s="34" t="n">
        <x:v>45982.552777777775</x:v>
      </x:c>
      <x:c r="B7" s="15" t="str">
        <x:v>Current a/c..512781</x:v>
      </x:c>
      <x:c r="C7" s="15" t="str">
        <x:v>Private Cheq Acc..566332</x:v>
      </x:c>
      <x:c r="D7" s="38" t="n">
        <x:v>5000</x:v>
      </x:c>
      <x:c r="E7" s="15" t="str">
        <x:v>ZAR</x:v>
      </x:c>
      <x:c r="F7" s="15" t="str">
        <x:v>R5000.00 t/fer from Current a/c..512781 to Private Cheq Acc..566332 @ Smartapp. Avail R4409. 21Nov 13:16</x:v>
      </x:c>
      <x:c r="G7" s="15" t="str">
        <x:v>High</x:v>
      </x:c>
      <x:c r="H7" s="15" t="str">
        <x:v>Classified as internal/inter-account transfer and excluded from operating cashflow.</x:v>
      </x:c>
      <x:c r="I7" s="15" t="str">
        <x:v>eml_ALL_currentac__512781 (2).zip &gt; eml10currentac__512781.zip / FNB _-) R5000.00 t_fer from Current a_c..512781 to Private Cheq Acc..566332 @ Smartapp. 21Nov 13_16.eml</x:v>
      </x:c>
    </x:row>
    <x:row r="8">
      <x:c r="A8" s="34" t="n">
        <x:v>45982.62986111111</x:v>
      </x:c>
      <x:c r="B8" s="15" t="str">
        <x:v>Current a/c..512781</x:v>
      </x:c>
      <x:c r="C8" s="15" t="str">
        <x:v>Current a/c..261544</x:v>
      </x:c>
      <x:c r="D8" s="38" t="n">
        <x:v>5000</x:v>
      </x:c>
      <x:c r="E8" s="15" t="str">
        <x:v>ZAR</x:v>
      </x:c>
      <x:c r="F8" s="15" t="str">
        <x:v>R5000.00 t/fer from Current a/c..512781 to Current a/c..261544 @ Smartapp. Avail R24261. 21Nov 15:07</x:v>
      </x:c>
      <x:c r="G8" s="15" t="str">
        <x:v>High</x:v>
      </x:c>
      <x:c r="H8" s="15" t="str">
        <x:v>Classified as internal/inter-account transfer and excluded from operating cashflow.</x:v>
      </x:c>
      <x:c r="I8" s="15" t="str">
        <x:v>eml_ALL_currentac__512781 (2).zip &gt; eml10currentac__512781.zip / FNB _-) R5000.00 t_fer from Current a_c..512781 to Current a_c..261544 @ Smartapp. 21Nov 15_07.eml</x:v>
      </x:c>
    </x:row>
    <x:row r="9">
      <x:c r="A9" s="34" t="n">
        <x:v>45984.47638888889</x:v>
      </x:c>
      <x:c r="B9" s="15" t="str">
        <x:v>Current a/c..512781</x:v>
      </x:c>
      <x:c r="C9" s="15" t="str">
        <x:v>Current a/c..261544</x:v>
      </x:c>
      <x:c r="D9" s="38" t="n">
        <x:v>2000</x:v>
      </x:c>
      <x:c r="E9" s="15" t="str">
        <x:v>ZAR</x:v>
      </x:c>
      <x:c r="F9" s="15" t="str">
        <x:v>R2000.00 t/fer from Current a/c..512781 to Current a/c..261544 @ Smartapp. Avail R2291. 23Nov 11:26</x:v>
      </x:c>
      <x:c r="G9" s="15" t="str">
        <x:v>High</x:v>
      </x:c>
      <x:c r="H9" s="15" t="str">
        <x:v>Classified as internal/inter-account transfer and excluded from operating cashflow.</x:v>
      </x:c>
      <x:c r="I9" s="15" t="str">
        <x:v>eml_ALL_currentac__512781 (2).zip &gt; eml10currentac__512781.zip / FNB _-) R2000.00 t_fer from Current a_c..512781 to Current a_c..261544 @ Smartapp. 23Nov 11_26.eml</x:v>
      </x:c>
    </x:row>
    <x:row r="10">
      <x:c r="A10" s="34" t="n">
        <x:v>45986.677083333336</x:v>
      </x:c>
      <x:c r="B10" s="15" t="str">
        <x:v>Current a/c..512781</x:v>
      </x:c>
      <x:c r="C10" s="15" t="str">
        <x:v>Current a/c..261544</x:v>
      </x:c>
      <x:c r="D10" s="38" t="n">
        <x:v>2000</x:v>
      </x:c>
      <x:c r="E10" s="15" t="str">
        <x:v>ZAR</x:v>
      </x:c>
      <x:c r="F10" s="15" t="str">
        <x:v>R2000.00 t/fer from Current a/c..512781 to Current a/c..261544 @ Smartapp. Avail R5707. 25Nov 16:15</x:v>
      </x:c>
      <x:c r="G10" s="15" t="str">
        <x:v>High</x:v>
      </x:c>
      <x:c r="H10" s="15" t="str">
        <x:v>Classified as internal/inter-account transfer and excluded from operating cashflow.</x:v>
      </x:c>
      <x:c r="I10" s="15" t="str">
        <x:v>eml_ALL_currentac__512781 (2).zip &gt; eml10currentac__512781.zip / FNB _-) R2000.00 t_fer from Current a_c..512781 to Current a_c..261544 @ Smartapp. 25Nov 16_15.eml</x:v>
      </x:c>
    </x:row>
    <x:row r="11">
      <x:c r="A11" s="34" t="n">
        <x:v>46026.413194444445</x:v>
      </x:c>
      <x:c r="B11" s="15" t="str">
        <x:v>Private Cheq Acc..566332</x:v>
      </x:c>
      <x:c r="C11" s="15" t="str">
        <x:v>Current a/c..512781</x:v>
      </x:c>
      <x:c r="D11" s="38" t="n">
        <x:v>5000</x:v>
      </x:c>
      <x:c r="E11" s="15" t="str">
        <x:v>ZAR</x:v>
      </x:c>
      <x:c r="F11" s="15" t="str">
        <x:v>R5000.00 t/fer from Private Cheq Acc..566332 to Current a/c..512781 @ Smartapp. Avail R5611. 4Jan 09:55</x:v>
      </x:c>
      <x:c r="G11" s="15" t="str">
        <x:v>High</x:v>
      </x:c>
      <x:c r="H11" s="15" t="str">
        <x:v>Classified as internal/inter-account transfer and excluded from operating cashflow.</x:v>
      </x:c>
      <x:c r="I11" s="15" t="str">
        <x:v>eml_ALL_currentac__512781 (2).zip &gt; eml8currentac__512781.zip / FNB_-) R5000.00 t_fer from Private Cheq Acc..566332 to Current a_c..512781 @ Smartapp.  4Jan 09_55.eml</x:v>
      </x:c>
    </x:row>
    <x:row r="12">
      <x:c r="A12" s="34" t="n">
        <x:v>46069.50069444445</x:v>
      </x:c>
      <x:c r="B12" s="15" t="str">
        <x:v>Current a/c..512781</x:v>
      </x:c>
      <x:c r="C12" s="15" t="str">
        <x:v>Private Cheq Acc..566332</x:v>
      </x:c>
      <x:c r="D12" s="38" t="n">
        <x:v>4000</x:v>
      </x:c>
      <x:c r="E12" s="15" t="str">
        <x:v>ZAR</x:v>
      </x:c>
      <x:c r="F12" s="15" t="str">
        <x:v>R4000.00 t/fer from Current a/c..512781 to Private Cheq Acc..566332 @ Smartapp. Avail R21545. 16Feb 12:01</x:v>
      </x:c>
      <x:c r="G12" s="15" t="str">
        <x:v>High</x:v>
      </x:c>
      <x:c r="H12" s="15" t="str">
        <x:v>Classified as internal/inter-account transfer and excluded from operating cashflow.</x:v>
      </x:c>
      <x:c r="I12" s="15" t="str">
        <x:v>eml_ALL_currentac__512781 (2).zip &gt; eml6currentac__512781.zip / FNB _-) R4000.00 t_fer from Current a_c..512781 to Private Cheq Acc..566332 @ Smartapp. 16Feb 12_01.eml</x:v>
      </x:c>
    </x:row>
    <x:row r="13">
      <x:c r="A13" s="34" t="n">
        <x:v>46078.34722222222</x:v>
      </x:c>
      <x:c r="B13" s="15" t="str">
        <x:v>Current a/c..512781</x:v>
      </x:c>
      <x:c r="C13" s="15" t="str">
        <x:v>Private Cheq Acc..566332</x:v>
      </x:c>
      <x:c r="D13" s="38" t="n">
        <x:v>2000</x:v>
      </x:c>
      <x:c r="E13" s="15" t="str">
        <x:v>ZAR</x:v>
      </x:c>
      <x:c r="F13" s="15" t="str">
        <x:v>R2000.00 t/fer from Current a/c..512781 to Private Cheq Acc..566332 @ Smartapp. Avail R52021. 25Feb 08:20</x:v>
      </x:c>
      <x:c r="G13" s="15" t="str">
        <x:v>High</x:v>
      </x:c>
      <x:c r="H13" s="15" t="str">
        <x:v>Classified as internal/inter-account transfer and excluded from operating cashflow.</x:v>
      </x:c>
      <x:c r="I13" s="15" t="str">
        <x:v>eml_ALL_currentac__512781 (2).zip &gt; eml5currentac__512781.zip / FNB _-) R2000.00 t_fer from Current a_c..512781 to Private Cheq Acc..566332 @ Smartapp. 25Feb 08_20.eml</x:v>
      </x:c>
    </x:row>
    <x:row r="14">
      <x:c r="A14" s="34" t="n">
        <x:v>46078.74097222222</x:v>
      </x:c>
      <x:c r="B14" s="15" t="str">
        <x:v>Current a/c..512781</x:v>
      </x:c>
      <x:c r="C14" s="15" t="str">
        <x:v>Current a/c..261544</x:v>
      </x:c>
      <x:c r="D14" s="38" t="n">
        <x:v>27000</x:v>
      </x:c>
      <x:c r="E14" s="15" t="str">
        <x:v>ZAR</x:v>
      </x:c>
      <x:c r="F14" s="15" t="str">
        <x:v>R27000.00 t/fer from Current a/c..512781 to Current a/c..261544 @ Smartapp. Avail R24521. 25Feb 17:47</x:v>
      </x:c>
      <x:c r="G14" s="15" t="str">
        <x:v>High</x:v>
      </x:c>
      <x:c r="H14" s="15" t="str">
        <x:v>Classified as internal/inter-account transfer and excluded from operating cashflow.</x:v>
      </x:c>
      <x:c r="I14" s="15" t="str">
        <x:v>eml_ALL_currentac__512781 (2).zip &gt; eml5currentac__512781.zip / FNB _-) R27000.00 t_fer from Current a_c..512781 to Current a_c..261544 @ Smartapp. 25Feb 17_47.eml</x:v>
      </x:c>
    </x:row>
    <x:row r="15">
      <x:c r="A15" s="34" t="n">
        <x:v>46087.478472222225</x:v>
      </x:c>
      <x:c r="B15" s="15" t="str">
        <x:v>Current a/c..512781</x:v>
      </x:c>
      <x:c r="C15" s="15" t="str">
        <x:v>Private Cheq Acc..566332</x:v>
      </x:c>
      <x:c r="D15" s="38" t="n">
        <x:v>5000</x:v>
      </x:c>
      <x:c r="E15" s="15" t="str">
        <x:v>ZAR</x:v>
      </x:c>
      <x:c r="F15" s="15" t="str">
        <x:v>R5000.00 t/fer from Current a/c..512781 to Private Cheq Acc..566332 @ Smartapp. Avail R20960. 6Mar 11:29</x:v>
      </x:c>
      <x:c r="G15" s="15" t="str">
        <x:v>High</x:v>
      </x:c>
      <x:c r="H15" s="15" t="str">
        <x:v>Classified as internal/inter-account transfer and excluded from operating cashflow.</x:v>
      </x:c>
      <x:c r="I15" s="15" t="str">
        <x:v>eml_ALL_currentac__512781 (2).zip &gt; eml5currentac__512781.zip / FNB _-) R5000.00 t_fer from Current a_c..512781 to Private Cheq Acc..566332 @ Smartapp.  6Mar 11_29.eml</x:v>
      </x:c>
    </x:row>
    <x:row r="16">
      <x:c r="A16" s="34" t="n">
        <x:v>46112.740277777775</x:v>
      </x:c>
      <x:c r="B16" s="15" t="str">
        <x:v>Current a/c..512781</x:v>
      </x:c>
      <x:c r="C16" s="15" t="str">
        <x:v>Current a/c..261544</x:v>
      </x:c>
      <x:c r="D16" s="38" t="n">
        <x:v>25000</x:v>
      </x:c>
      <x:c r="E16" s="15" t="str">
        <x:v>ZAR</x:v>
      </x:c>
      <x:c r="F16" s="15" t="str">
        <x:v>R25000.00 t/fer from Current a/c..512781 to Current a/c..261544 @ Smartapp. Avail R42979. 31Mar 17:46</x:v>
      </x:c>
      <x:c r="G16" s="15" t="str">
        <x:v>High</x:v>
      </x:c>
      <x:c r="H16" s="15" t="str">
        <x:v>Classified as internal/inter-account transfer and excluded from operating cashflow.</x:v>
      </x:c>
      <x:c r="I16" s="15" t="str">
        <x:v>eml_ALL_currentac__512781 (2).zip &gt; eml4currentac__512781.zip / FNB _-) R25000.00 t_fer from Current a_c..512781 to Current a_c..261544 @ Smartapp. 31Mar 17_46.eml</x:v>
      </x:c>
    </x:row>
    <x:row r="17">
      <x:c r="A17" s="34" t="n">
        <x:v>46132.638194444444</x:v>
      </x:c>
      <x:c r="B17" s="15" t="str">
        <x:v>Current a/c..512781</x:v>
      </x:c>
      <x:c r="C17" s="15" t="str">
        <x:v>home loan a/c..057026</x:v>
      </x:c>
      <x:c r="D17" s="38" t="n">
        <x:v>26500</x:v>
      </x:c>
      <x:c r="E17" s="15" t="str">
        <x:v>ZAR</x:v>
      </x:c>
      <x:c r="F17" s="15" t="str">
        <x:v>R26500.00 t/fer from Current a/c..512781 to home loan a/c..057026 @ Smartapp. Avail R71664. 20Apr 15:19</x:v>
      </x:c>
      <x:c r="G17" s="15" t="str">
        <x:v>High</x:v>
      </x:c>
      <x:c r="H17" s="15" t="str">
        <x:v>Classified as internal/inter-account transfer and excluded from operating cashflow.</x:v>
      </x:c>
      <x:c r="I17" s="15" t="str">
        <x:v>eml_ALL_currentac__512781 (2).zip &gt; eml3currentac__512781.zip / FNB _-) R26500.00 t_fer from Current a_c..512781 to home loan a_c..057026 @ Smartapp. 20Apr 15_19.eml</x:v>
      </x:c>
    </x:row>
    <x:row r="18">
      <x:c r="A18" s="34" t="n">
        <x:v>46142.53611111111</x:v>
      </x:c>
      <x:c r="B18" s="15" t="str">
        <x:v>Current a/c..512781</x:v>
      </x:c>
      <x:c r="C18" s="15" t="str">
        <x:v>Current a/c..261544</x:v>
      </x:c>
      <x:c r="D18" s="38" t="n">
        <x:v>26500</x:v>
      </x:c>
      <x:c r="E18" s="15" t="str">
        <x:v>ZAR</x:v>
      </x:c>
      <x:c r="F18" s="15" t="str">
        <x:v>R26500.00 t/fer from Current a/c..512781 to Current a/c..261544 @ Smartapp. Avail R74064. 30Apr 12:52</x:v>
      </x:c>
      <x:c r="G18" s="15" t="str">
        <x:v>High</x:v>
      </x:c>
      <x:c r="H18" s="15" t="str">
        <x:v>Classified as internal/inter-account transfer and excluded from operating cashflow.</x:v>
      </x:c>
      <x:c r="I18" s="15" t="str">
        <x:v>eml_ALL_currentac__512781 (2).zip &gt; eml3currentac__512781.zip / FNB _-) R26500.00 t_fer from Current a_c..512781 to Current a_c..261544 @ Smartapp. 30Apr 12_52.eml</x:v>
      </x:c>
    </x:row>
    <x:row r="19">
      <x:c r="A19" s="34" t="n">
        <x:v>46153.44652777778</x:v>
      </x:c>
      <x:c r="B19" s="15" t="str">
        <x:v>Current a/c..512781</x:v>
      </x:c>
      <x:c r="C19" s="15" t="str">
        <x:v>Private Cheq Acc..566332</x:v>
      </x:c>
      <x:c r="D19" s="38" t="n">
        <x:v>2000</x:v>
      </x:c>
      <x:c r="E19" s="15" t="str">
        <x:v>ZAR</x:v>
      </x:c>
      <x:c r="F19" s="15" t="str">
        <x:v>R2000.00 t/fer from Current a/c..512781 to Private Cheq Acc..566332 @ Smartapp. Avail R49797. 11May 10:43</x:v>
      </x:c>
      <x:c r="G19" s="15" t="str">
        <x:v>High</x:v>
      </x:c>
      <x:c r="H19" s="15" t="str">
        <x:v>Classified as internal/inter-account transfer and excluded from operating cashflow.</x:v>
      </x:c>
      <x:c r="I19" s="15" t="str">
        <x:v>eml_ALL_currentac__512781 (2).zip &gt; eml2currentac__512781.zip / FNB _-) R2000.00 t_fer from Current a_c..512781 to Private Cheq Acc..566332 @ Smartapp. 11May 10_43.eml</x:v>
      </x:c>
    </x:row>
    <x:row r="20">
      <x:c r="A20" s="34" t="n">
        <x:v>46153.55</x:v>
      </x:c>
      <x:c r="B20" s="15" t="str">
        <x:v>Current a/c..512781</x:v>
      </x:c>
      <x:c r="C20" s="15" t="str">
        <x:v>Private Cheq Acc..566332</x:v>
      </x:c>
      <x:c r="D20" s="38" t="n">
        <x:v>1000</x:v>
      </x:c>
      <x:c r="E20" s="15" t="str">
        <x:v>ZAR</x:v>
      </x:c>
      <x:c r="F20" s="15" t="str">
        <x:v>R1000.00 t/fer from Current a/c..512781 to Private Cheq Acc..566332 @ Smartapp. Avail R44794. 11May 13:12</x:v>
      </x:c>
      <x:c r="G20" s="15" t="str">
        <x:v>High</x:v>
      </x:c>
      <x:c r="H20" s="15" t="str">
        <x:v>Classified as internal/inter-account transfer and excluded from operating cashflow.</x:v>
      </x:c>
      <x:c r="I20" s="15" t="str">
        <x:v>eml_ALL_currentac__512781 (2).zip &gt; eml2currentac__512781.zip / FNB _-) R1000.00 t_fer from Current a_c..512781 to Private Cheq Acc..566332 @ Smartapp. 11May 13_12.eml</x:v>
      </x:c>
    </x:row>
    <x:row r="21">
      <x:c r="A21" s="34" t="n">
        <x:v>46155.675</x:v>
      </x:c>
      <x:c r="B21" s="15" t="str">
        <x:v>Current a/c..512781</x:v>
      </x:c>
      <x:c r="C21" s="15" t="str">
        <x:v>home loan a/c..057026</x:v>
      </x:c>
      <x:c r="D21" s="38" t="n">
        <x:v>21600</x:v>
      </x:c>
      <x:c r="E21" s="15" t="str">
        <x:v>ZAR</x:v>
      </x:c>
      <x:c r="F21" s="15" t="str">
        <x:v>R21600.00 t/fer from Current a/c..512781 to home loan a/c..057026 @ Smartapp. Avail R16425. 13May 16:12</x:v>
      </x:c>
      <x:c r="G21" s="15" t="str">
        <x:v>High</x:v>
      </x:c>
      <x:c r="H21" s="15" t="str">
        <x:v>Classified as internal/inter-account transfer and excluded from operating cashflow.</x:v>
      </x:c>
      <x:c r="I21" s="15" t="str">
        <x:v>eml_ALL_currentac__512781 (2).zip &gt; eml2currentac__512781.zip / FNB _-) R21600.00 t_fer from Current a_c..512781 to home loan a_c..057026 @ Smartapp. 13May 16_12.eml</x:v>
      </x:c>
    </x:row>
    <x:row r="22">
      <x:c r="A22" s="34" t="n">
        <x:v>46156.48402777778</x:v>
      </x:c>
      <x:c r="B22" s="15" t="str">
        <x:v>Current a/c..512781</x:v>
      </x:c>
      <x:c r="C22" s="15" t="str">
        <x:v>Private Cheq Acc..566332</x:v>
      </x:c>
      <x:c r="D22" s="38" t="n">
        <x:v>1000</x:v>
      </x:c>
      <x:c r="E22" s="15" t="str">
        <x:v>ZAR</x:v>
      </x:c>
      <x:c r="F22" s="15" t="str">
        <x:v>R1000.00 t/fer from Current a/c..512781 to Private Cheq Acc..566332 @ Smartapp. Avail R14749. 14May 11:37</x:v>
      </x:c>
      <x:c r="G22" s="15" t="str">
        <x:v>High</x:v>
      </x:c>
      <x:c r="H22" s="15" t="str">
        <x:v>Classified as internal/inter-account transfer and excluded from operating cashflow.</x:v>
      </x:c>
      <x:c r="I22" s="15" t="str">
        <x:v>eml_ALL_currentac__512781 (2).zip &gt; eml2currentac__512781.zip / FNB _-) R1000.00 t_fer from Current a_c..512781 to Private Cheq Acc..566332 @ Smartapp. 14May 11_37.eml</x:v>
      </x:c>
    </x:row>
    <x:row r="23">
      <x:c r="A23" s="34" t="n">
        <x:v>46156.489583333336</x:v>
      </x:c>
      <x:c r="B23" s="15" t="str">
        <x:v>Current a/c..512781</x:v>
      </x:c>
      <x:c r="C23" s="15" t="str">
        <x:v>Private Cheq Acc..566332</x:v>
      </x:c>
      <x:c r="D23" s="38" t="n">
        <x:v>400</x:v>
      </x:c>
      <x:c r="E23" s="15" t="str">
        <x:v>ZAR</x:v>
      </x:c>
      <x:c r="F23" s="15" t="str">
        <x:v>R400.00 t/fer from Current a/c..512781 to Private Cheq Acc..566332 @ Smartapp. Avail R14349. 14May 11:45</x:v>
      </x:c>
      <x:c r="G23" s="15" t="str">
        <x:v>High</x:v>
      </x:c>
      <x:c r="H23" s="15" t="str">
        <x:v>Classified as internal/inter-account transfer and excluded from operating cashflow.</x:v>
      </x:c>
      <x:c r="I23" s="15" t="str">
        <x:v>eml_ALL_currentac__512781 (2).zip &gt; eml2currentac__512781.zip / FNB _-) R400.00 t_fer from Current a_c..512781 to Private Cheq Acc..566332 @ Smartapp. 14May 11_45.eml</x:v>
      </x:c>
    </x:row>
    <x:row r="24">
      <x:c r="A24" s="34" t="n">
        <x:v>46163.49722222222</x:v>
      </x:c>
      <x:c r="B24" s="15" t="str">
        <x:v>Current a/c..512781</x:v>
      </x:c>
      <x:c r="C24" s="15" t="str">
        <x:v>Private Cheq Acc..566332</x:v>
      </x:c>
      <x:c r="D24" s="38" t="n">
        <x:v>300</x:v>
      </x:c>
      <x:c r="E24" s="15" t="str">
        <x:v>ZAR</x:v>
      </x:c>
      <x:c r="F24" s="15" t="str">
        <x:v>R300.00 t/fer from Current a/c..512781 to Private Cheq Acc..566332 @ Smartapp. Avail R35937. 21May 11:56</x:v>
      </x:c>
      <x:c r="G24" s="15" t="str">
        <x:v>High</x:v>
      </x:c>
      <x:c r="H24" s="15" t="str">
        <x:v>Classified as internal/inter-account transfer and excluded from operating cashflow.</x:v>
      </x:c>
      <x:c r="I24" s="15" t="str">
        <x:v>eml_ALL_currentac__512781 (2).zip &gt; eml2currentac__512781.zip / FNB _-) R300.00 t_fer from Current a_c..512781 to Private Cheq Acc..566332 @ Smartapp. 21May 11_56.eml</x:v>
      </x:c>
    </x:row>
    <x:row r="25">
      <x:c r="A25" s="34" t="n">
        <x:v>46164.646527777775</x:v>
      </x:c>
      <x:c r="B25" s="15" t="str">
        <x:v>Current a/c..512781</x:v>
      </x:c>
      <x:c r="C25" s="15" t="str">
        <x:v>Private Cheq Acc..566332</x:v>
      </x:c>
      <x:c r="D25" s="38" t="n">
        <x:v>1000</x:v>
      </x:c>
      <x:c r="E25" s="15" t="str">
        <x:v>ZAR</x:v>
      </x:c>
      <x:c r="F25" s="15" t="str">
        <x:v>R1000.00 t/fer from Current a/c..512781 to Private Cheq Acc..566332 @ Smartapp. Avail R30877. 22May 15:31</x:v>
      </x:c>
      <x:c r="G25" s="15" t="str">
        <x:v>High</x:v>
      </x:c>
      <x:c r="H25" s="15" t="str">
        <x:v>Classified as internal/inter-account transfer and excluded from operating cashflow.</x:v>
      </x:c>
      <x:c r="I25" s="15" t="str">
        <x:v>eml_ALL_currentac__512781 (2).zip &gt; eml2currentac__512781.zip / FNB _-) R1000.00 t_fer from Current a_c..512781 to Private Cheq Acc..566332 @ Smartapp. 22May 15_31.eml</x:v>
      </x:c>
    </x:row>
    <x:row r="26">
      <x:c r="A26" s="34" t="n">
        <x:v>46166.77361111111</x:v>
      </x:c>
      <x:c r="B26" s="15" t="str">
        <x:v>Current a/c..512781</x:v>
      </x:c>
      <x:c r="C26" s="15" t="str">
        <x:v>Private Cheq Acc..566332</x:v>
      </x:c>
      <x:c r="D26" s="38" t="n">
        <x:v>500</x:v>
      </x:c>
      <x:c r="E26" s="15" t="str">
        <x:v>ZAR</x:v>
      </x:c>
      <x:c r="F26" s="15" t="str">
        <x:v>R500.00 t/fer from Current a/c..512781 to Private Cheq Acc..566332 @ Smartapp. Avail R26128. 24May 18:34</x:v>
      </x:c>
      <x:c r="G26" s="15" t="str">
        <x:v>High</x:v>
      </x:c>
      <x:c r="H26" s="15" t="str">
        <x:v>Classified as internal/inter-account transfer and excluded from operating cashflow.</x:v>
      </x:c>
      <x:c r="I26" s="15" t="str">
        <x:v>eml_ALL_currentac__512781 (2).zip &gt; eml2currentac__512781.zip / FNB _-) R500.00 t_fer from Current a_c..512781 to Private Cheq Acc..566332 @ Smartapp. 24May 18_34.eml</x:v>
      </x:c>
    </x:row>
    <x:row r="27">
      <x:c r="A27" s="34" t="n">
        <x:v>46166.774305555555</x:v>
      </x:c>
      <x:c r="B27" s="15" t="str">
        <x:v>Current a/c..512781</x:v>
      </x:c>
      <x:c r="C27" s="15" t="str">
        <x:v>Private Cheq Acc..566332</x:v>
      </x:c>
      <x:c r="D27" s="38" t="n">
        <x:v>200</x:v>
      </x:c>
      <x:c r="E27" s="15" t="str">
        <x:v>ZAR</x:v>
      </x:c>
      <x:c r="F27" s="15" t="str">
        <x:v>R200.00 t/fer from Current a/c..512781 to Private Cheq Acc..566332 @ Smartapp. Avail R25928. 24May 18:35</x:v>
      </x:c>
      <x:c r="G27" s="15" t="str">
        <x:v>High</x:v>
      </x:c>
      <x:c r="H27" s="15" t="str">
        <x:v>Classified as internal/inter-account transfer and excluded from operating cashflow.</x:v>
      </x:c>
      <x:c r="I27" s="15" t="str">
        <x:v>eml_ALL_currentac__512781 (2).zip &gt; eml2currentac__512781.zip / FNB _-) R200.00 t_fer from Current a_c..512781 to Private Cheq Acc..566332 @ Smartapp. 24May 18_35.eml</x:v>
      </x:c>
    </x:row>
    <x:row r="28">
      <x:c r="A28" s="34" t="n">
        <x:v>46166.94305555556</x:v>
      </x:c>
      <x:c r="B28" s="15" t="str">
        <x:v>Current a/c..512781</x:v>
      </x:c>
      <x:c r="C28" s="15" t="str">
        <x:v>Private Cheq Acc..566332</x:v>
      </x:c>
      <x:c r="D28" s="38" t="n">
        <x:v>200</x:v>
      </x:c>
      <x:c r="E28" s="15" t="str">
        <x:v>ZAR</x:v>
      </x:c>
      <x:c r="F28" s="15" t="str">
        <x:v>R200.00 t/fer from Current a/c..512781 to Private Cheq Acc..566332 @ Smartapp. Avail R25728. 24May 22:38</x:v>
      </x:c>
      <x:c r="G28" s="15" t="str">
        <x:v>High</x:v>
      </x:c>
      <x:c r="H28" s="15" t="str">
        <x:v>Classified as internal/inter-account transfer and excluded from operating cashflow.</x:v>
      </x:c>
      <x:c r="I28" s="15" t="str">
        <x:v>eml_ALL_currentac__512781 (2).zip &gt; eml2currentac__512781.zip / FNB _-) R200.00 t_fer from Current a_c..512781 to Private Cheq Acc..566332 @ Smartapp. 24May 22_38.eml</x:v>
      </x:c>
    </x:row>
    <x:row r="29">
      <x:c r="A29" s="34" t="n">
        <x:v>46167.50069444445</x:v>
      </x:c>
      <x:c r="B29" s="15" t="str">
        <x:v>Current a/c..512781</x:v>
      </x:c>
      <x:c r="C29" s="15" t="str">
        <x:v>Current a/c..261544</x:v>
      </x:c>
      <x:c r="D29" s="38" t="n">
        <x:v>5000</x:v>
      </x:c>
      <x:c r="E29" s="15" t="str">
        <x:v>ZAR</x:v>
      </x:c>
      <x:c r="F29" s="15" t="str">
        <x:v>R5000.00 t/fer from Current a/c..512781 to Current a/c..261544 @ Smartapp. Avail R16280. 25May 12:01</x:v>
      </x:c>
      <x:c r="G29" s="15" t="str">
        <x:v>High</x:v>
      </x:c>
      <x:c r="H29" s="15" t="str">
        <x:v>Classified as internal/inter-account transfer and excluded from operating cashflow.</x:v>
      </x:c>
      <x:c r="I29" s="15" t="str">
        <x:v>eml_ALL_currentac__512781 (2).zip &gt; eml2currentac__512781.zip / FNB _-) R5000.00 t_fer from Current a_c..512781 to Current a_c..261544 @ Smartapp. 25May 12_01.eml</x:v>
      </x:c>
    </x:row>
    <x:row r="30">
      <x:c r="A30" s="34" t="n">
        <x:v>46167.62013888889</x:v>
      </x:c>
      <x:c r="B30" s="15" t="str">
        <x:v>Current a/c..512781</x:v>
      </x:c>
      <x:c r="C30" s="15" t="str">
        <x:v>Private Cheq Acc..566332</x:v>
      </x:c>
      <x:c r="D30" s="38" t="n">
        <x:v>600</x:v>
      </x:c>
      <x:c r="E30" s="15" t="str">
        <x:v>ZAR</x:v>
      </x:c>
      <x:c r="F30" s="15" t="str">
        <x:v>R600.00 t/fer from Current a/c..512781 to Private Cheq Acc..566332 @ Smartapp. Avail R53068. 25May 14:53</x:v>
      </x:c>
      <x:c r="G30" s="15" t="str">
        <x:v>High</x:v>
      </x:c>
      <x:c r="H30" s="15" t="str">
        <x:v>Classified as internal/inter-account transfer and excluded from operating cashflow.</x:v>
      </x:c>
      <x:c r="I30" s="15" t="str">
        <x:v>eml_ALL_currentac__512781 (2).zip &gt; eml2currentac__512781.zip / FNB _-) R600.00 t_fer from Current a_c..512781 to Private Cheq Acc..566332 @ Smartapp. 25May 14_53.eml</x:v>
      </x:c>
    </x:row>
    <x:row r="31">
      <x:c r="A31" s="34" t="n">
        <x:v>46167.87708333333</x:v>
      </x:c>
      <x:c r="B31" s="15" t="str">
        <x:v>Current a/c..512781</x:v>
      </x:c>
      <x:c r="C31" s="15" t="str">
        <x:v>Private Cheq Acc..566332</x:v>
      </x:c>
      <x:c r="D31" s="38" t="n">
        <x:v>500</x:v>
      </x:c>
      <x:c r="E31" s="15" t="str">
        <x:v>ZAR</x:v>
      </x:c>
      <x:c r="F31" s="15" t="str">
        <x:v>R500.00 t/fer from Current a/c..512781 to Private Cheq Acc..566332 @ Smartapp. Avail R46552. 25May 21:03</x:v>
      </x:c>
      <x:c r="G31" s="15" t="str">
        <x:v>High</x:v>
      </x:c>
      <x:c r="H31" s="15" t="str">
        <x:v>Classified as internal/inter-account transfer and excluded from operating cashflow.</x:v>
      </x:c>
      <x:c r="I31" s="15" t="str">
        <x:v>eml_ALL_currentac__512781 (2).zip &gt; eml2currentac__512781.zip / FNB _-) R500.00 t_fer from Current a_c..512781 to Private Cheq Acc..566332 @ Smartapp. 25May 21_03.eml</x:v>
      </x:c>
    </x:row>
    <x:row r="32">
      <x:c r="A32" s="34" t="n">
        <x:v>46168.725</x:v>
      </x:c>
      <x:c r="B32" s="15" t="str">
        <x:v>Current a/c..512781</x:v>
      </x:c>
      <x:c r="C32" s="15" t="str">
        <x:v>Current a/c..261544</x:v>
      </x:c>
      <x:c r="D32" s="38" t="n">
        <x:v>25500</x:v>
      </x:c>
      <x:c r="E32" s="15" t="str">
        <x:v>ZAR</x:v>
      </x:c>
      <x:c r="F32" s="15" t="str">
        <x:v>R25500.00 t/fer from Current a/c..512781 to Current a/c..261544 @ Smartapp. Avail R45049. 26May 17:24</x:v>
      </x:c>
      <x:c r="G32" s="15" t="str">
        <x:v>High</x:v>
      </x:c>
      <x:c r="H32" s="15" t="str">
        <x:v>Classified as internal/inter-account transfer and excluded from operating cashflow.</x:v>
      </x:c>
      <x:c r="I32" s="15" t="str">
        <x:v>eml_ALL_currentac__512781 (2).zip &gt; eml2currentac__512781.zip / FNB _-) R25500.00 t_fer from Current a_c..512781 to Current a_c..261544 @ Smartapp. 26May 17_24.eml</x:v>
      </x:c>
    </x:row>
    <x:row r="33">
      <x:c r="A33" s="34" t="n">
        <x:v>46171.37430555555</x:v>
      </x:c>
      <x:c r="B33" s="15" t="str">
        <x:v>Current a/c..512781</x:v>
      </x:c>
      <x:c r="C33" s="15" t="str">
        <x:v>FNB card a/c..279000</x:v>
      </x:c>
      <x:c r="D33" s="38" t="n">
        <x:v>5000</x:v>
      </x:c>
      <x:c r="E33" s="15" t="str">
        <x:v>ZAR</x:v>
      </x:c>
      <x:c r="F33" s="15" t="str">
        <x:v>R5000.00 t/fer from Current a/c..512781 to FNB card a/c..279000 @ Smartapp. Avail R38089. 29May 08:59</x:v>
      </x:c>
      <x:c r="G33" s="15" t="str">
        <x:v>High</x:v>
      </x:c>
      <x:c r="H33" s="15" t="str">
        <x:v>Classified as internal/inter-account transfer and excluded from operating cashflow.</x:v>
      </x:c>
      <x:c r="I33" s="15" t="str">
        <x:v>eml_ALL_currentac__512781 (2).zip &gt; eml1currentac__512781.zip / FNB _-) R5000.00 t_fer from Current a_c..512781 to FNB card a_c..279000 @ Smartapp. 29May 08_59.eml</x:v>
      </x:c>
    </x:row>
    <x:row r="34">
      <x:c r="A34" s="34" t="n">
        <x:v>46177.67986111111</x:v>
      </x:c>
      <x:c r="B34" s="15" t="str">
        <x:v>Current a/c..512781</x:v>
      </x:c>
      <x:c r="C34" s="15" t="str">
        <x:v>Private Cheq Acc..566332</x:v>
      </x:c>
      <x:c r="D34" s="38" t="n">
        <x:v>1000</x:v>
      </x:c>
      <x:c r="E34" s="15" t="str">
        <x:v>ZAR</x:v>
      </x:c>
      <x:c r="F34" s="15" t="str">
        <x:v>R1000.00 t/fer from Current a/c..512781 to Private Cheq Acc..566332 @ Smartapp. Avail R11989. 4Jun 16:19</x:v>
      </x:c>
      <x:c r="G34" s="15" t="str">
        <x:v>High</x:v>
      </x:c>
      <x:c r="H34" s="15" t="str">
        <x:v>Classified as internal/inter-account transfer and excluded from operating cashflow.</x:v>
      </x:c>
      <x:c r="I34" s="15" t="str">
        <x:v>eml_ALL_currentac__512781 (2).zip &gt; eml1currentac__512781.zip / FNB _-) R1000.00 t_fer from Current a_c..512781 to Private Cheq Acc..566332 @ Smartapp.  4Jun 16_19.eml</x:v>
      </x:c>
    </x:row>
    <x:row r="35">
      <x:c r="A35" s="34" t="n">
        <x:v>46178.52361111111</x:v>
      </x:c>
      <x:c r="B35" s="15" t="str">
        <x:v>Current a/c..512781</x:v>
      </x:c>
      <x:c r="C35" s="15" t="str">
        <x:v>Private Cheq Acc..566332</x:v>
      </x:c>
      <x:c r="D35" s="38" t="n">
        <x:v>1000</x:v>
      </x:c>
      <x:c r="E35" s="15" t="str">
        <x:v>ZAR</x:v>
      </x:c>
      <x:c r="F35" s="15" t="str">
        <x:v>R1000.00 t/fer from Current a/c..512781 to Private Cheq Acc..566332 @ Smartapp. Avail R10989. 5Jun 12:34</x:v>
      </x:c>
      <x:c r="G35" s="15" t="str">
        <x:v>High</x:v>
      </x:c>
      <x:c r="H35" s="15" t="str">
        <x:v>Classified as internal/inter-account transfer and excluded from operating cashflow.</x:v>
      </x:c>
      <x:c r="I35" s="15" t="str">
        <x:v>eml_ALL_currentac__512781 (2).zip &gt; eml1currentac__512781.zip / FNB _-) R1000.00 t_fer from Current a_c..512781 to Private Cheq Acc..566332 @ Smartapp.  5Jun 12_34.eml</x:v>
      </x:c>
    </x:row>
    <x:row r="36">
      <x:c r="A36" s="34" t="n">
        <x:v>46184.76666666667</x:v>
      </x:c>
      <x:c r="B36" s="15" t="str">
        <x:v>Current a/c..512781</x:v>
      </x:c>
      <x:c r="C36" s="15" t="str">
        <x:v>Private Cheq Acc..566332</x:v>
      </x:c>
      <x:c r="D36" s="38" t="n">
        <x:v>1000</x:v>
      </x:c>
      <x:c r="E36" s="15" t="str">
        <x:v>ZAR</x:v>
      </x:c>
      <x:c r="F36" s="15" t="str">
        <x:v>R1000.00 t/fer from Current a/c..512781 to Private Cheq Acc..566332 @ Smartapp. Avail R12201. 11Jun 18:24</x:v>
      </x:c>
      <x:c r="G36" s="15" t="str">
        <x:v>High</x:v>
      </x:c>
      <x:c r="H36" s="15" t="str">
        <x:v>Classified as internal/inter-account transfer and excluded from operating cashflow.</x:v>
      </x:c>
      <x:c r="I36" s="15" t="str">
        <x:v>eml_ALL_currentac__512781 (2).zip &gt; eml1currentac__512781.zip / FNB _-) R1000.00 t_fer from Current a_c..512781 to Private Cheq Acc..566332 @ Smartapp. 11Jun 18_24.eml</x:v>
      </x:c>
    </x:row>
    <x:row r="37">
      <x:c r="A37" s="34" t="n">
        <x:v>46184.79722222222</x:v>
      </x:c>
      <x:c r="B37" s="15" t="str">
        <x:v>Current a/c..512781</x:v>
      </x:c>
      <x:c r="C37" s="15" t="str">
        <x:v>Private Cheq Acc..566332</x:v>
      </x:c>
      <x:c r="D37" s="38" t="n">
        <x:v>200</x:v>
      </x:c>
      <x:c r="E37" s="15" t="str">
        <x:v>ZAR</x:v>
      </x:c>
      <x:c r="F37" s="15" t="str">
        <x:v>R200.00 t/fer from Current a/c..512781 to Private Cheq Acc..566332 @ Smartapp. Avail R12001. 11Jun 19:08</x:v>
      </x:c>
      <x:c r="G37" s="15" t="str">
        <x:v>High</x:v>
      </x:c>
      <x:c r="H37" s="15" t="str">
        <x:v>Classified as internal/inter-account transfer and excluded from operating cashflow.</x:v>
      </x:c>
      <x:c r="I37" s="15" t="str">
        <x:v>eml_ALL_currentac__512781 (2).zip &gt; eml1currentac__512781.zip / FNB _-) R200.00 t_fer from Current a_c..512781 to Private Cheq Acc..566332 @ Smartapp. 11Jun 19_08.eml</x:v>
      </x:c>
    </x:row>
    <x:row r="38">
      <x:c r="A38" s="34" t="n">
        <x:v>46184.88055555556</x:v>
      </x:c>
      <x:c r="B38" s="15" t="str">
        <x:v>Current a/c..512781</x:v>
      </x:c>
      <x:c r="C38" s="15" t="str">
        <x:v>Private Cheq Acc..566332</x:v>
      </x:c>
      <x:c r="D38" s="38" t="n">
        <x:v>500</x:v>
      </x:c>
      <x:c r="E38" s="15" t="str">
        <x:v>ZAR</x:v>
      </x:c>
      <x:c r="F38" s="15" t="str">
        <x:v>R500.00 t/fer from Current a/c..512781 to Private Cheq Acc..566332 @ Smartapp. Avail R11501. 11Jun 21:08</x:v>
      </x:c>
      <x:c r="G38" s="15" t="str">
        <x:v>High</x:v>
      </x:c>
      <x:c r="H38" s="15" t="str">
        <x:v>Classified as internal/inter-account transfer and excluded from operating cashflow.</x:v>
      </x:c>
      <x:c r="I38" s="15" t="str">
        <x:v>eml_ALL_currentac__512781 (2).zip &gt; eml1currentac__512781.zip / FNB _-) R500.00 t_fer from Current a_c..512781 to Private Cheq Acc..566332 @ Smartapp. 11Jun 21_08.eml</x:v>
      </x:c>
    </x:row>
    <x:row r="39">
      <x:c r="A39" s="34" t="n">
        <x:v>46185.99513888889</x:v>
      </x:c>
      <x:c r="B39" s="15" t="str">
        <x:v>Current a/c..512781</x:v>
      </x:c>
      <x:c r="C39" s="15" t="str">
        <x:v>Private Cheq Acc..566332</x:v>
      </x:c>
      <x:c r="D39" s="38" t="n">
        <x:v>120</x:v>
      </x:c>
      <x:c r="E39" s="15" t="str">
        <x:v>ZAR</x:v>
      </x:c>
      <x:c r="F39" s="15" t="str">
        <x:v>R120.00 t/fer from Current a/c..512781 to Private Cheq Acc..566332 @ Smartapp. Avail R5300. 12Jun 23:53</x:v>
      </x:c>
      <x:c r="G39" s="15" t="str">
        <x:v>High</x:v>
      </x:c>
      <x:c r="H39" s="15" t="str">
        <x:v>Classified as internal/inter-account transfer and excluded from operating cashflow.</x:v>
      </x:c>
      <x:c r="I39" s="15" t="str">
        <x:v>eml_ALL_currentac__512781 (2).zip &gt; eml1currentac__512781.zip / FNB _-) R120.00 t_fer from Current a_c..512781 to Private Cheq Acc..566332 @ Smartapp. 12Jun 23_53.eml</x:v>
      </x:c>
    </x:row>
    <x:row r="40">
      <x:c r="A40" s="34" t="n">
        <x:v>46187.66527777778</x:v>
      </x:c>
      <x:c r="B40" s="15" t="str">
        <x:v>Current a/c..512781</x:v>
      </x:c>
      <x:c r="C40" s="15" t="str">
        <x:v>Private Cheq Acc..566332</x:v>
      </x:c>
      <x:c r="D40" s="38" t="n">
        <x:v>460</x:v>
      </x:c>
      <x:c r="E40" s="15" t="str">
        <x:v>ZAR</x:v>
      </x:c>
      <x:c r="F40" s="15" t="str">
        <x:v>R460.00 t/fer from Current a/c..512781 to Private Cheq Acc..566332 @ Smartapp. Avail R2828. 14Jun 15:58</x:v>
      </x:c>
      <x:c r="G40" s="15" t="str">
        <x:v>High</x:v>
      </x:c>
      <x:c r="H40" s="15" t="str">
        <x:v>Classified as internal/inter-account transfer and excluded from operating cashflow.</x:v>
      </x:c>
      <x:c r="I40" s="15" t="str">
        <x:v>eml_ALL_currentac__512781 (2).zip &gt; eml1currentac__512781.zip / FNB _-) R460.00 t_fer from Current a_c..512781 to Private Cheq Acc..566332 @ Smartapp. 14Jun 15_58.eml</x:v>
      </x:c>
    </x:row>
    <x:row r="41">
      <x:c r="A41" s="34" t="n">
        <x:v>46188.59583333333</x:v>
      </x:c>
      <x:c r="B41" s="15" t="str">
        <x:v>Current a/c..512781</x:v>
      </x:c>
      <x:c r="C41" s="15" t="str">
        <x:v>Current a/c..261544</x:v>
      </x:c>
      <x:c r="D41" s="38" t="n">
        <x:v>12000</x:v>
      </x:c>
      <x:c r="E41" s="15" t="str">
        <x:v>ZAR</x:v>
      </x:c>
      <x:c r="F41" s="15" t="str">
        <x:v>R12000.00 t/fer from Current a/c..512781 to Current a/c..261544 @ Smartapp. Avail R12123. 15Jun 14:18</x:v>
      </x:c>
      <x:c r="G41" s="15" t="str">
        <x:v>High</x:v>
      </x:c>
      <x:c r="H41" s="15" t="str">
        <x:v>Classified as internal/inter-account transfer and excluded from operating cashflow.</x:v>
      </x:c>
      <x:c r="I41" s="15" t="str">
        <x:v>eml_ALL_currentac__512781 (2).zip &gt; eml1currentac__512781.zip / FNB _-) R12000.00 t_fer from Current a_c..512781 to Current a_c..261544 @ Smartapp. 15Jun 14_18.eml</x:v>
      </x:c>
    </x:row>
  </x:sheetData>
  <x:pageMargins left="0.7" right="0.7" top="0.75" bottom="0.75" header="0.3" footer="0.3"/>
  <x:tableParts count="1">
    <x:tablePart xmlns:r="http://schemas.openxmlformats.org/officeDocument/2006/relationships" r:id="Rfc70105ce8df47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36" hidden="0" customWidth="1"/>
  </x:cols>
  <x:sheetData>
    <x:row r="1">
      <x:c r="A1" s="29" t="str">
        <x:v>Date</x:v>
      </x:c>
      <x:c r="B1" s="29" t="str">
        <x:v>Card identifier</x:v>
      </x:c>
      <x:c r="C1" s="29" t="str">
        <x:v>Merchant</x:v>
      </x:c>
      <x:c r="D1" s="29" t="str">
        <x:v>Amount</x:v>
      </x:c>
      <x:c r="E1" s="29" t="str">
        <x:v>Currency</x:v>
      </x:c>
      <x:c r="F1" s="29" t="str">
        <x:v>Category</x:v>
      </x:c>
      <x:c r="G1" s="29" t="str">
        <x:v>Refund/reversal indicator</x:v>
      </x:c>
      <x:c r="H1" s="29" t="str">
        <x:v>Net amount</x:v>
      </x:c>
      <x:c r="I1" s="29" t="str">
        <x:v>Location</x:v>
      </x:c>
      <x:c r="J1" s="29" t="str">
        <x:v>Source file</x:v>
      </x:c>
    </x:row>
    <x:row r="2">
      <x:c r="A2" s="34" t="n">
        <x:v>45919.38888888889</x:v>
      </x:c>
      <x:c r="B2" s="15" t="str">
        <x:v>card..2924</x:v>
      </x:c>
      <x:c r="C2" s="15" t="str">
        <x:v>Shell Rinsa Pty Ltd</x:v>
      </x:c>
      <x:c r="D2" s="38" t="n">
        <x:v>500.15</x:v>
      </x:c>
      <x:c r="E2" s="15" t="str">
        <x:v>ZAR</x:v>
      </x:c>
      <x:c r="F2" s="15" t="str">
        <x:v>Fuel / transport</x:v>
      </x:c>
      <x:c r="G2" s="15" t="str">
        <x:v>No</x:v>
      </x:c>
      <x:c r="H2" s="38" t="n">
        <x:v>-500.15</x:v>
      </x:c>
      <x:c r="I2" s="15" t="str"/>
      <x:c r="J2" s="15" t="str">
        <x:v>eml_ALL_currentac__512781 (2).zip &gt; eml12currentac__512781.zip / FNB _-) R500.15 reserved for purchase @ Shell Rinsa Pty Ltd from Current a_c..512781 using card..2924. 19Sep 09_20.eml</x:v>
      </x:c>
    </x:row>
    <x:row r="3">
      <x:c r="A3" s="34" t="n">
        <x:v>45919.433333333334</x:v>
      </x:c>
      <x:c r="B3" s="15" t="str">
        <x:v>card..2924</x:v>
      </x:c>
      <x:c r="C3" s="15" t="str">
        <x:v>Machado Tap N Go</x:v>
      </x:c>
      <x:c r="D3" s="38" t="n">
        <x:v>122</x:v>
      </x:c>
      <x:c r="E3" s="15" t="str">
        <x:v>ZAR</x:v>
      </x:c>
      <x:c r="F3" s="15" t="str">
        <x:v>Card spend</x:v>
      </x:c>
      <x:c r="G3" s="15" t="str">
        <x:v>No</x:v>
      </x:c>
      <x:c r="H3" s="38" t="n">
        <x:v>-122</x:v>
      </x:c>
      <x:c r="I3" s="15" t="str"/>
      <x:c r="J3" s="15" t="str">
        <x:v>eml_ALL_currentac__512781 (2).zip &gt; eml12currentac__512781.zip / FNB _-) R122.00 reserved for purchase @ Machado Tap N Go from Current a_c..512781 using card..2924. 19Sep 10_24.eml</x:v>
      </x:c>
    </x:row>
    <x:row r="4">
      <x:c r="A4" s="34" t="n">
        <x:v>45924.458333333336</x:v>
      </x:c>
      <x:c r="B4" s="15" t="str">
        <x:v>card..2924</x:v>
      </x:c>
      <x:c r="C4" s="15" t="str">
        <x:v>Atmh11960000001</x:v>
      </x:c>
      <x:c r="D4" s="38" t="n">
        <x:v>600</x:v>
      </x:c>
      <x:c r="E4" s="15" t="str">
        <x:v>ZAR</x:v>
      </x:c>
      <x:c r="F4" s="15" t="str">
        <x:v>Cash withdrawal</x:v>
      </x:c>
      <x:c r="G4" s="15" t="str">
        <x:v>No</x:v>
      </x:c>
      <x:c r="H4" s="38" t="n">
        <x:v>-600</x:v>
      </x:c>
      <x:c r="I4" s="15" t="str">
        <x:v>Atmh11960000001</x:v>
      </x:c>
      <x:c r="J4" s="15" t="str">
        <x:v>eml_ALL_currentac__512781 (2).zip &gt; eml12currentac__512781.zip / FNB _-) R600.00 withdrawn from Current a_c..512781 using card..2924 @ Atmh11960000001. 24Sep 11_00.eml</x:v>
      </x:c>
    </x:row>
    <x:row r="5">
      <x:c r="A5" s="34" t="n">
        <x:v>45925.683333333334</x:v>
      </x:c>
      <x:c r="B5" s="15" t="str">
        <x:v>card..2924</x:v>
      </x:c>
      <x:c r="C5" s="15" t="str">
        <x:v>Superspar Komatipoor</x:v>
      </x:c>
      <x:c r="D5" s="38" t="n">
        <x:v>506.43</x:v>
      </x:c>
      <x:c r="E5" s="15" t="str">
        <x:v>ZAR</x:v>
      </x:c>
      <x:c r="F5" s="15" t="str">
        <x:v>Supplier payments</x:v>
      </x:c>
      <x:c r="G5" s="15" t="str">
        <x:v>No</x:v>
      </x:c>
      <x:c r="H5" s="38" t="n">
        <x:v>-506.43</x:v>
      </x:c>
      <x:c r="I5" s="15" t="str"/>
      <x:c r="J5" s="15" t="str">
        <x:v>eml_ALL_currentac__512781 (2).zip &gt; eml12currentac__512781.zip / FNB _-) R506.43 reserved for purchase @ Superspar Komatipoor from Current a_c..512781 using card..2924. 25Sep 16_24.eml</x:v>
      </x:c>
    </x:row>
    <x:row r="6">
      <x:c r="A6" s="34" t="n">
        <x:v>45931.08541666667</x:v>
      </x:c>
      <x:c r="B6" s="15" t="str">
        <x:v>card..2924</x:v>
      </x:c>
      <x:c r="C6" s="15" t="str">
        <x:v>Engen Komatipoort</x:v>
      </x:c>
      <x:c r="D6" s="38" t="n">
        <x:v>400</x:v>
      </x:c>
      <x:c r="E6" s="15" t="str">
        <x:v>ZAR</x:v>
      </x:c>
      <x:c r="F6" s="15" t="str">
        <x:v>Fuel / transport</x:v>
      </x:c>
      <x:c r="G6" s="15" t="str">
        <x:v>No</x:v>
      </x:c>
      <x:c r="H6" s="38" t="n">
        <x:v>-400</x:v>
      </x:c>
      <x:c r="I6" s="15" t="str"/>
      <x:c r="J6" s="15" t="str">
        <x:v>eml_ALL_currentac__512781 (2).zip &gt; eml12currentac__512781.zip / FNB _-) R400.00 reserved for purchase @ Engen Komatipoort from Current a_c..512781 using card..2924.  1Oct 02_03.eml</x:v>
      </x:c>
    </x:row>
    <x:row r="7">
      <x:c r="A7" s="34" t="n">
        <x:v>45931.48263888889</x:v>
      </x:c>
      <x:c r="B7" s="15" t="str">
        <x:v>card..2924</x:v>
      </x:c>
      <x:c r="C7" s="15" t="str">
        <x:v>Superspar Komatipoor</x:v>
      </x:c>
      <x:c r="D7" s="38" t="n">
        <x:v>384.87</x:v>
      </x:c>
      <x:c r="E7" s="15" t="str">
        <x:v>ZAR</x:v>
      </x:c>
      <x:c r="F7" s="15" t="str">
        <x:v>Supplier payments</x:v>
      </x:c>
      <x:c r="G7" s="15" t="str">
        <x:v>No</x:v>
      </x:c>
      <x:c r="H7" s="38" t="n">
        <x:v>-384.87</x:v>
      </x:c>
      <x:c r="I7" s="15" t="str"/>
      <x:c r="J7" s="15" t="str">
        <x:v>eml_ALL_currentac__512781 (2).zip &gt; eml12currentac__512781.zip / FNB _-) R384.87 reserved for purchase @ Superspar Komatipoor from Current a_c..512781 using card..2924.  1Oct 11_35.eml</x:v>
      </x:c>
    </x:row>
    <x:row r="8">
      <x:c r="A8" s="34" t="n">
        <x:v>45931.48611111111</x:v>
      </x:c>
      <x:c r="B8" s="15" t="str">
        <x:v>card..2924</x:v>
      </x:c>
      <x:c r="C8" s="15" t="str">
        <x:v>Tops Komatipoort</x:v>
      </x:c>
      <x:c r="D8" s="38" t="n">
        <x:v>231.96</x:v>
      </x:c>
      <x:c r="E8" s="15" t="str">
        <x:v>ZAR</x:v>
      </x:c>
      <x:c r="F8" s="15" t="str">
        <x:v>Meals / restaurants / entertainment</x:v>
      </x:c>
      <x:c r="G8" s="15" t="str">
        <x:v>No</x:v>
      </x:c>
      <x:c r="H8" s="38" t="n">
        <x:v>-231.96</x:v>
      </x:c>
      <x:c r="I8" s="15" t="str"/>
      <x:c r="J8" s="15" t="str">
        <x:v>eml_ALL_currentac__512781 (2).zip &gt; eml12currentac__512781.zip / FNB _-) R231.96 reserved for purchase @ Tops Komatipoort from Current a_c..512781 using card..2924.  1Oct 11_40.eml</x:v>
      </x:c>
    </x:row>
    <x:row r="9">
      <x:c r="A9" s="34" t="n">
        <x:v>45932.71875</x:v>
      </x:c>
      <x:c r="B9" s="15" t="str">
        <x:v>card..2924</x:v>
      </x:c>
      <x:c r="C9" s="15" t="str">
        <x:v>Savemor Marloth</x:v>
      </x:c>
      <x:c r="D9" s="38" t="n">
        <x:v>161.98</x:v>
      </x:c>
      <x:c r="E9" s="15" t="str">
        <x:v>ZAR</x:v>
      </x:c>
      <x:c r="F9" s="15" t="str">
        <x:v>Supplier payments</x:v>
      </x:c>
      <x:c r="G9" s="15" t="str">
        <x:v>No</x:v>
      </x:c>
      <x:c r="H9" s="38" t="n">
        <x:v>-161.98</x:v>
      </x:c>
      <x:c r="I9" s="15" t="str"/>
      <x:c r="J9" s="15" t="str">
        <x:v>eml_ALL_currentac__512781 (2).zip &gt; eml12currentac__512781.zip / FNB _-) R161.98 reserved for purchase @ Savemor Marloth from Current a_c..512781 using card..2924.  2Oct 17_15.eml</x:v>
      </x:c>
    </x:row>
    <x:row r="10">
      <x:c r="A10" s="34" t="n">
        <x:v>45934.40625</x:v>
      </x:c>
      <x:c r="B10" s="15" t="str">
        <x:v>card..2924</x:v>
      </x:c>
      <x:c r="C10" s="15" t="str">
        <x:v>Savemor Marloth</x:v>
      </x:c>
      <x:c r="D10" s="38" t="n">
        <x:v>114.36</x:v>
      </x:c>
      <x:c r="E10" s="15" t="str">
        <x:v>ZAR</x:v>
      </x:c>
      <x:c r="F10" s="15" t="str">
        <x:v>Supplier payments</x:v>
      </x:c>
      <x:c r="G10" s="15" t="str">
        <x:v>No</x:v>
      </x:c>
      <x:c r="H10" s="38" t="n">
        <x:v>-114.36</x:v>
      </x:c>
      <x:c r="I10" s="15" t="str"/>
      <x:c r="J10" s="15" t="str">
        <x:v>eml_ALL_currentac__512781 (2).zip &gt; eml12currentac__512781.zip / FNB _-) R114.36 reserved for purchase @ Savemor Marloth from Current a_c..512781 using card..2924.  4Oct 09_45.eml</x:v>
      </x:c>
    </x:row>
    <x:row r="11">
      <x:c r="A11" s="34" t="n">
        <x:v>45935.45625</x:v>
      </x:c>
      <x:c r="B11" s="15" t="str">
        <x:v>card..2924</x:v>
      </x:c>
      <x:c r="C11" s="15" t="str">
        <x:v>Giraffe Pub And Gril</x:v>
      </x:c>
      <x:c r="D11" s="38" t="n">
        <x:v>400</x:v>
      </x:c>
      <x:c r="E11" s="15" t="str">
        <x:v>ZAR</x:v>
      </x:c>
      <x:c r="F11" s="15" t="str">
        <x:v>Meals / restaurants / entertainment</x:v>
      </x:c>
      <x:c r="G11" s="15" t="str">
        <x:v>No</x:v>
      </x:c>
      <x:c r="H11" s="38" t="n">
        <x:v>-400</x:v>
      </x:c>
      <x:c r="I11" s="15" t="str"/>
      <x:c r="J11" s="15" t="str">
        <x:v>eml_ALL_currentac__512781 (2).zip &gt; eml12currentac__512781.zip / FNB _-) R400.00 reserved for purchase @ Giraffe Pub And Gril from Current a_c..512781 using card..2924.  5Oct 10_57.eml</x:v>
      </x:c>
    </x:row>
    <x:row r="12">
      <x:c r="A12" s="34" t="n">
        <x:v>45935.46944444445</x:v>
      </x:c>
      <x:c r="B12" s="15" t="str">
        <x:v>card..2924</x:v>
      </x:c>
      <x:c r="C12" s="15" t="str">
        <x:v>Savemor Marloth</x:v>
      </x:c>
      <x:c r="D12" s="38" t="n">
        <x:v>1821.97</x:v>
      </x:c>
      <x:c r="E12" s="15" t="str">
        <x:v>ZAR</x:v>
      </x:c>
      <x:c r="F12" s="15" t="str">
        <x:v>Supplier payments</x:v>
      </x:c>
      <x:c r="G12" s="15" t="str">
        <x:v>No</x:v>
      </x:c>
      <x:c r="H12" s="38" t="n">
        <x:v>-1821.97</x:v>
      </x:c>
      <x:c r="I12" s="15" t="str"/>
      <x:c r="J12" s="15" t="str">
        <x:v>eml_ALL_currentac__512781 (2).zip &gt; eml12currentac__512781.zip / FNB _-) R1821.97 reserved for purchase @ Savemor Marloth from Current a_c..512781 using card..2924.  5Oct 11_16.eml</x:v>
      </x:c>
    </x:row>
    <x:row r="13">
      <x:c r="A13" s="34" t="n">
        <x:v>45936.31736111111</x:v>
      </x:c>
      <x:c r="B13" s="15" t="str">
        <x:v>card..2924</x:v>
      </x:c>
      <x:c r="C13" s="15" t="str">
        <x:v>Savemor Marloth</x:v>
      </x:c>
      <x:c r="D13" s="38" t="n">
        <x:v>124.34</x:v>
      </x:c>
      <x:c r="E13" s="15" t="str">
        <x:v>ZAR</x:v>
      </x:c>
      <x:c r="F13" s="15" t="str">
        <x:v>Supplier payments</x:v>
      </x:c>
      <x:c r="G13" s="15" t="str">
        <x:v>No</x:v>
      </x:c>
      <x:c r="H13" s="38" t="n">
        <x:v>-124.34</x:v>
      </x:c>
      <x:c r="I13" s="15" t="str"/>
      <x:c r="J13" s="15" t="str">
        <x:v>eml_ALL_currentac__512781 (2).zip &gt; eml12currentac__512781.zip / FNB _-) R124.34 reserved for purchase @ Savemor Marloth from Current a_c..512781 using card..2924.  6Oct 07_37.eml</x:v>
      </x:c>
    </x:row>
    <x:row r="14">
      <x:c r="A14" s="34" t="n">
        <x:v>45938.438888888886</x:v>
      </x:c>
      <x:c r="B14" s="15" t="str">
        <x:v>card..2924</x:v>
      </x:c>
      <x:c r="C14" s="15" t="str">
        <x:v>Nkomazi Local Munici</x:v>
      </x:c>
      <x:c r="D14" s="38" t="n">
        <x:v>5670.36</x:v>
      </x:c>
      <x:c r="E14" s="15" t="str">
        <x:v>ZAR</x:v>
      </x:c>
      <x:c r="F14" s="15" t="str">
        <x:v>Card spend</x:v>
      </x:c>
      <x:c r="G14" s="15" t="str">
        <x:v>No</x:v>
      </x:c>
      <x:c r="H14" s="38" t="n">
        <x:v>-5670.36</x:v>
      </x:c>
      <x:c r="I14" s="15" t="str"/>
      <x:c r="J14" s="15" t="str">
        <x:v>eml_ALL_currentac__512781 (2).zip &gt; eml12currentac__512781.zip / FNB _-) R5670.36 reserved for purchase @ Nkomazi Local Munici from Current a_c..512781 using card..2924.  8Oct 10_32.eml</x:v>
      </x:c>
    </x:row>
    <x:row r="15">
      <x:c r="A15" s="34" t="n">
        <x:v>45938.59652777778</x:v>
      </x:c>
      <x:c r="B15" s="15" t="str">
        <x:v>card..2924</x:v>
      </x:c>
      <x:c r="C15" s="15" t="str">
        <x:v>Temu</x:v>
      </x:c>
      <x:c r="D15" s="38" t="n">
        <x:v>150</x:v>
      </x:c>
      <x:c r="E15" s="15" t="str">
        <x:v>ZAR</x:v>
      </x:c>
      <x:c r="F15" s="15" t="str">
        <x:v>Card spend</x:v>
      </x:c>
      <x:c r="G15" s="15" t="str">
        <x:v>No</x:v>
      </x:c>
      <x:c r="H15" s="38" t="n">
        <x:v>-150</x:v>
      </x:c>
      <x:c r="I15" s="15" t="str"/>
      <x:c r="J15" s="15" t="str">
        <x:v>eml_ALL_currentac__512781 (2).zip &gt; eml12currentac__512781.zip / FNB _-) R150.00 reserved for purchase @ Temu from Current a_c..512781 using card..2924.  8Oct 14_19.eml</x:v>
      </x:c>
    </x:row>
    <x:row r="16">
      <x:c r="A16" s="34" t="n">
        <x:v>45938.603472222225</x:v>
      </x:c>
      <x:c r="B16" s="15" t="str">
        <x:v>card..2924</x:v>
      </x:c>
      <x:c r="C16" s="15" t="str">
        <x:v>Temu</x:v>
      </x:c>
      <x:c r="D16" s="38" t="n">
        <x:v>234</x:v>
      </x:c>
      <x:c r="E16" s="15" t="str">
        <x:v>ZAR</x:v>
      </x:c>
      <x:c r="F16" s="15" t="str">
        <x:v>Card spend</x:v>
      </x:c>
      <x:c r="G16" s="15" t="str">
        <x:v>No</x:v>
      </x:c>
      <x:c r="H16" s="38" t="n">
        <x:v>-234</x:v>
      </x:c>
      <x:c r="I16" s="15" t="str"/>
      <x:c r="J16" s="15" t="str">
        <x:v>eml_ALL_currentac__512781 (2).zip &gt; eml12currentac__512781.zip / FNB _-) R234.00 reserved for purchase @ Temu from Current a_c..512781 using card..2924.  8Oct 14_29.eml</x:v>
      </x:c>
    </x:row>
    <x:row r="17">
      <x:c r="A17" s="34" t="n">
        <x:v>45938.60763888889</x:v>
      </x:c>
      <x:c r="B17" s="15" t="str">
        <x:v>card..2924</x:v>
      </x:c>
      <x:c r="C17" s="15" t="str">
        <x:v>Temu</x:v>
      </x:c>
      <x:c r="D17" s="38" t="n">
        <x:v>152</x:v>
      </x:c>
      <x:c r="E17" s="15" t="str">
        <x:v>ZAR</x:v>
      </x:c>
      <x:c r="F17" s="15" t="str">
        <x:v>Card spend</x:v>
      </x:c>
      <x:c r="G17" s="15" t="str">
        <x:v>No</x:v>
      </x:c>
      <x:c r="H17" s="38" t="n">
        <x:v>-152</x:v>
      </x:c>
      <x:c r="I17" s="15" t="str"/>
      <x:c r="J17" s="15" t="str">
        <x:v>eml_ALL_currentac__512781 (2).zip &gt; eml12currentac__512781.zip / FNB _-) R152.00 reserved for purchase @ Temu from Current a_c..512781 using card..2924.  8Oct 14_35.eml</x:v>
      </x:c>
    </x:row>
    <x:row r="18">
      <x:c r="A18" s="34" t="n">
        <x:v>45938.620833333334</x:v>
      </x:c>
      <x:c r="B18" s="15" t="str">
        <x:v>card..2924</x:v>
      </x:c>
      <x:c r="C18" s="15" t="str">
        <x:v>Temu</x:v>
      </x:c>
      <x:c r="D18" s="38" t="n">
        <x:v>170</x:v>
      </x:c>
      <x:c r="E18" s="15" t="str">
        <x:v>ZAR</x:v>
      </x:c>
      <x:c r="F18" s="15" t="str">
        <x:v>Card spend</x:v>
      </x:c>
      <x:c r="G18" s="15" t="str">
        <x:v>No</x:v>
      </x:c>
      <x:c r="H18" s="38" t="n">
        <x:v>-170</x:v>
      </x:c>
      <x:c r="I18" s="15" t="str"/>
      <x:c r="J18" s="15" t="str">
        <x:v>eml_ALL_currentac__512781 (2).zip &gt; eml12currentac__512781.zip / FNB _-) R170.00 reserved for purchase @ Temu from Current a_c..512781 using card..2924.  8Oct 14_54.eml</x:v>
      </x:c>
    </x:row>
    <x:row r="19">
      <x:c r="A19" s="34" t="n">
        <x:v>45939.48055555556</x:v>
      </x:c>
      <x:c r="B19" s="15" t="str">
        <x:v>card..2924</x:v>
      </x:c>
      <x:c r="C19" s="15" t="str">
        <x:v>Agrico Pty Ltd</x:v>
      </x:c>
      <x:c r="D19" s="38" t="n">
        <x:v>912.79</x:v>
      </x:c>
      <x:c r="E19" s="15" t="str">
        <x:v>ZAR</x:v>
      </x:c>
      <x:c r="F19" s="15" t="str">
        <x:v>Supplier payments</x:v>
      </x:c>
      <x:c r="G19" s="15" t="str">
        <x:v>No</x:v>
      </x:c>
      <x:c r="H19" s="38" t="n">
        <x:v>-912.79</x:v>
      </x:c>
      <x:c r="I19" s="15" t="str"/>
      <x:c r="J19" s="15" t="str">
        <x:v>eml_ALL_currentac__512781 (2).zip &gt; eml12currentac__512781.zip / FNB _-) R912.79 reserved for purchase @ Agrico Pty Ltd from Current a_c..512781 using card..2924.  9Oct 11_32.eml</x:v>
      </x:c>
    </x:row>
    <x:row r="20">
      <x:c r="A20" s="34" t="n">
        <x:v>45939.49930555555</x:v>
      </x:c>
      <x:c r="B20" s="15" t="str">
        <x:v>card..2924</x:v>
      </x:c>
      <x:c r="C20" s="15" t="str">
        <x:v>S2s*sa Liquors Komat</x:v>
      </x:c>
      <x:c r="D20" s="38" t="n">
        <x:v>981.5</x:v>
      </x:c>
      <x:c r="E20" s="15" t="str">
        <x:v>ZAR</x:v>
      </x:c>
      <x:c r="F20" s="15" t="str">
        <x:v>Meals / restaurants / entertainment</x:v>
      </x:c>
      <x:c r="G20" s="15" t="str">
        <x:v>No</x:v>
      </x:c>
      <x:c r="H20" s="38" t="n">
        <x:v>-981.5</x:v>
      </x:c>
      <x:c r="I20" s="15" t="str"/>
      <x:c r="J20" s="15" t="str">
        <x:v>eml_ALL_currentac__512781 (2).zip &gt; eml12currentac__512781.zip / FNB _-) R981.50 reserved for purchase @ S2s_sa Liquors Komat from Current a_c..512781 using card..2924.  9Oct 11_59.eml</x:v>
      </x:c>
    </x:row>
    <x:row r="21">
      <x:c r="A21" s="34" t="n">
        <x:v>45939.53611111111</x:v>
      </x:c>
      <x:c r="B21" s="15" t="str">
        <x:v>card..2924</x:v>
      </x:c>
      <x:c r="C21" s="15" t="str">
        <x:v>Superspar Komatipoor</x:v>
      </x:c>
      <x:c r="D21" s="38" t="n">
        <x:v>1096.67</x:v>
      </x:c>
      <x:c r="E21" s="15" t="str">
        <x:v>ZAR</x:v>
      </x:c>
      <x:c r="F21" s="15" t="str">
        <x:v>Supplier payments</x:v>
      </x:c>
      <x:c r="G21" s="15" t="str">
        <x:v>No</x:v>
      </x:c>
      <x:c r="H21" s="38" t="n">
        <x:v>-1096.67</x:v>
      </x:c>
      <x:c r="I21" s="15" t="str"/>
      <x:c r="J21" s="15" t="str">
        <x:v>eml_ALL_currentac__512781 (2).zip &gt; eml12currentac__512781.zip / FNB _-) R1096.67 reserved for purchase @ Superspar Komatipoor from Current a_c..512781 using card..2924.  9Oct 12_52.eml</x:v>
      </x:c>
    </x:row>
    <x:row r="22">
      <x:c r="A22" s="34" t="n">
        <x:v>45939.55069444444</x:v>
      </x:c>
      <x:c r="B22" s="15" t="str">
        <x:v>card..2924</x:v>
      </x:c>
      <x:c r="C22" s="15" t="str">
        <x:v>Oasis Water Komatipo</x:v>
      </x:c>
      <x:c r="D22" s="38" t="n">
        <x:v>216</x:v>
      </x:c>
      <x:c r="E22" s="15" t="str">
        <x:v>ZAR</x:v>
      </x:c>
      <x:c r="F22" s="15" t="str">
        <x:v>Supplier payments</x:v>
      </x:c>
      <x:c r="G22" s="15" t="str">
        <x:v>No</x:v>
      </x:c>
      <x:c r="H22" s="38" t="n">
        <x:v>-216</x:v>
      </x:c>
      <x:c r="I22" s="15" t="str"/>
      <x:c r="J22" s="15" t="str">
        <x:v>eml_ALL_currentac__512781 (2).zip &gt; eml12currentac__512781.zip / FNB _-) R216.00 reserved for purchase @ Oasis Water Komatipo from Current a_c..512781 using card..2924.  9Oct 13_13.eml</x:v>
      </x:c>
    </x:row>
    <x:row r="23">
      <x:c r="A23" s="34" t="n">
        <x:v>45939.566666666666</x:v>
      </x:c>
      <x:c r="B23" s="15" t="str">
        <x:v>card..2924</x:v>
      </x:c>
      <x:c r="C23" s="15" t="str">
        <x:v>Gfc Whisky Packhouse</x:v>
      </x:c>
      <x:c r="D23" s="38" t="n">
        <x:v>115</x:v>
      </x:c>
      <x:c r="E23" s="15" t="str">
        <x:v>ZAR</x:v>
      </x:c>
      <x:c r="F23" s="15" t="str">
        <x:v>Card spend</x:v>
      </x:c>
      <x:c r="G23" s="15" t="str">
        <x:v>No</x:v>
      </x:c>
      <x:c r="H23" s="38" t="n">
        <x:v>-115</x:v>
      </x:c>
      <x:c r="I23" s="15" t="str"/>
      <x:c r="J23" s="15" t="str">
        <x:v>eml_ALL_currentac__512781 (2).zip &gt; eml12currentac__512781.zip / FNB _-) R115.00 reserved for purchase @ Gfc Whisky Packhouse from Current a_c..512781 using card..2924.  9Oct 13_36.eml</x:v>
      </x:c>
    </x:row>
    <x:row r="24">
      <x:c r="A24" s="34" t="n">
        <x:v>45942</x:v>
      </x:c>
      <x:c r="B24" s="15" t="str"/>
      <x:c r="C24" s="15" t="str">
        <x:v>Cr Vc Temu</x:v>
      </x:c>
      <x:c r="D24" s="38" t="n">
        <x:v>150</x:v>
      </x:c>
      <x:c r="E24" s="15" t="str">
        <x:v>ZAR</x:v>
      </x:c>
      <x:c r="F24" s="15" t="str">
        <x:v>Refunds / reversals</x:v>
      </x:c>
      <x:c r="G24" s="15" t="str">
        <x:v>Yes</x:v>
      </x:c>
      <x:c r="H24" s="38" t="n">
        <x:v>150</x:v>
      </x:c>
      <x:c r="I24" s="15" t="str"/>
      <x:c r="J24" s="15" t="str">
        <x:v>eml_ALL_currentac__512781 (2).zip &gt; eml12currentac__512781.zip / FNB _-) REVERSAL of R150.00 for goods purchased from Current a_c..512781. Ref.Cr Vc Temu. 12Oct 00_00.eml</x:v>
      </x:c>
    </x:row>
    <x:row r="25">
      <x:c r="A25" s="34" t="n">
        <x:v>45942</x:v>
      </x:c>
      <x:c r="B25" s="15" t="str"/>
      <x:c r="C25" s="15" t="str">
        <x:v>Cr Vc Temu</x:v>
      </x:c>
      <x:c r="D25" s="38" t="n">
        <x:v>152</x:v>
      </x:c>
      <x:c r="E25" s="15" t="str">
        <x:v>ZAR</x:v>
      </x:c>
      <x:c r="F25" s="15" t="str">
        <x:v>Refunds / reversals</x:v>
      </x:c>
      <x:c r="G25" s="15" t="str">
        <x:v>Yes</x:v>
      </x:c>
      <x:c r="H25" s="38" t="n">
        <x:v>152</x:v>
      </x:c>
      <x:c r="I25" s="15" t="str"/>
      <x:c r="J25" s="15" t="str">
        <x:v>eml_ALL_currentac__512781 (2).zip &gt; eml12currentac__512781.zip / FNB _-) REVERSAL of R152.00 for goods purchased from Current a_c..512781. Ref.Cr Vc Temu. 12Oct 00_00.eml</x:v>
      </x:c>
    </x:row>
    <x:row r="26">
      <x:c r="A26" s="34" t="n">
        <x:v>45942</x:v>
      </x:c>
      <x:c r="B26" s="15" t="str"/>
      <x:c r="C26" s="15" t="str">
        <x:v>Cr Vc Temu</x:v>
      </x:c>
      <x:c r="D26" s="38" t="n">
        <x:v>234</x:v>
      </x:c>
      <x:c r="E26" s="15" t="str">
        <x:v>ZAR</x:v>
      </x:c>
      <x:c r="F26" s="15" t="str">
        <x:v>Refunds / reversals</x:v>
      </x:c>
      <x:c r="G26" s="15" t="str">
        <x:v>Yes</x:v>
      </x:c>
      <x:c r="H26" s="38" t="n">
        <x:v>234</x:v>
      </x:c>
      <x:c r="I26" s="15" t="str"/>
      <x:c r="J26" s="15" t="str">
        <x:v>eml_ALL_currentac__512781 (2).zip &gt; eml12currentac__512781.zip / FNB _-) REVERSAL of R234.00 for goods purchased from Current a_c..512781. Ref.Cr Vc Temu. 12Oct 00_00.eml</x:v>
      </x:c>
    </x:row>
    <x:row r="27">
      <x:c r="A27" s="34" t="n">
        <x:v>45942.486805555556</x:v>
      </x:c>
      <x:c r="B27" s="15" t="str">
        <x:v>card..2924</x:v>
      </x:c>
      <x:c r="C27" s="15" t="str">
        <x:v>Savemor Marloth</x:v>
      </x:c>
      <x:c r="D27" s="38" t="n">
        <x:v>547.36</x:v>
      </x:c>
      <x:c r="E27" s="15" t="str">
        <x:v>ZAR</x:v>
      </x:c>
      <x:c r="F27" s="15" t="str">
        <x:v>Supplier payments</x:v>
      </x:c>
      <x:c r="G27" s="15" t="str">
        <x:v>No</x:v>
      </x:c>
      <x:c r="H27" s="38" t="n">
        <x:v>-547.36</x:v>
      </x:c>
      <x:c r="I27" s="15" t="str"/>
      <x:c r="J27" s="15" t="str">
        <x:v>eml_ALL_currentac__512781 (2).zip &gt; eml12currentac__512781.zip / FNB _-) R547.36 reserved for purchase @ Savemor Marloth from Current a_c..512781 using card..2924. 12Oct 11_41.eml</x:v>
      </x:c>
    </x:row>
    <x:row r="28">
      <x:c r="A28" s="34" t="n">
        <x:v>45943.57708333333</x:v>
      </x:c>
      <x:c r="B28" s="15" t="str">
        <x:v>card..2924</x:v>
      </x:c>
      <x:c r="C28" s="15" t="str">
        <x:v>Ingwe Liquors 146</x:v>
      </x:c>
      <x:c r="D28" s="38" t="n">
        <x:v>142</x:v>
      </x:c>
      <x:c r="E28" s="15" t="str">
        <x:v>ZAR</x:v>
      </x:c>
      <x:c r="F28" s="15" t="str">
        <x:v>Meals / restaurants / entertainment</x:v>
      </x:c>
      <x:c r="G28" s="15" t="str">
        <x:v>No</x:v>
      </x:c>
      <x:c r="H28" s="38" t="n">
        <x:v>-142</x:v>
      </x:c>
      <x:c r="I28" s="15" t="str"/>
      <x:c r="J28" s="15" t="str">
        <x:v>eml_ALL_currentac__512781 (2).zip &gt; eml12currentac__512781.zip / FNB _-) R142.00 reserved for purchase @ Ingwe Liquors 146 from Current a_c..512781 using card..2924. 13Oct 13_51.eml</x:v>
      </x:c>
    </x:row>
    <x:row r="29">
      <x:c r="A29" s="34" t="n">
        <x:v>45944.620833333334</x:v>
      </x:c>
      <x:c r="B29" s="15" t="str">
        <x:v>card..2924</x:v>
      </x:c>
      <x:c r="C29" s="15" t="str">
        <x:v>Shoprite Komatipoort</x:v>
      </x:c>
      <x:c r="D29" s="38" t="n">
        <x:v>184.98</x:v>
      </x:c>
      <x:c r="E29" s="15" t="str">
        <x:v>ZAR</x:v>
      </x:c>
      <x:c r="F29" s="15" t="str">
        <x:v>Supplier payments</x:v>
      </x:c>
      <x:c r="G29" s="15" t="str">
        <x:v>No</x:v>
      </x:c>
      <x:c r="H29" s="38" t="n">
        <x:v>-184.98</x:v>
      </x:c>
      <x:c r="I29" s="15" t="str"/>
      <x:c r="J29" s="15" t="str">
        <x:v>eml_ALL_currentac__512781 (2).zip &gt; eml12currentac__512781.zip / FNB _-) R184.98 reserved for purchase @ Shoprite Komatipoort from Current a_c..512781 using card..2924. 14Oct 14_54.eml</x:v>
      </x:c>
    </x:row>
    <x:row r="30">
      <x:c r="A30" s="34" t="n">
        <x:v>45945.61875</x:v>
      </x:c>
      <x:c r="B30" s="15" t="str">
        <x:v>card..2924</x:v>
      </x:c>
      <x:c r="C30" s="15" t="str">
        <x:v>Savemor Marloth</x:v>
      </x:c>
      <x:c r="D30" s="38" t="n">
        <x:v>280.95</x:v>
      </x:c>
      <x:c r="E30" s="15" t="str">
        <x:v>ZAR</x:v>
      </x:c>
      <x:c r="F30" s="15" t="str">
        <x:v>Supplier payments</x:v>
      </x:c>
      <x:c r="G30" s="15" t="str">
        <x:v>No</x:v>
      </x:c>
      <x:c r="H30" s="38" t="n">
        <x:v>-280.95</x:v>
      </x:c>
      <x:c r="I30" s="15" t="str"/>
      <x:c r="J30" s="15" t="str">
        <x:v>eml_ALL_currentac__512781 (2).zip &gt; eml12currentac__512781.zip / FNB _-) R280.95 reserved for purchase @ Savemor Marloth from Current a_c..512781 using card..2924. 15Oct 14_51.eml</x:v>
      </x:c>
    </x:row>
    <x:row r="31">
      <x:c r="A31" s="34" t="n">
        <x:v>45945.62152777778</x:v>
      </x:c>
      <x:c r="B31" s="15" t="str">
        <x:v>card..2924</x:v>
      </x:c>
      <x:c r="C31" s="15" t="str">
        <x:v>Marlothi Petrol Stat</x:v>
      </x:c>
      <x:c r="D31" s="38" t="n">
        <x:v>400</x:v>
      </x:c>
      <x:c r="E31" s="15" t="str">
        <x:v>ZAR</x:v>
      </x:c>
      <x:c r="F31" s="15" t="str">
        <x:v>Fuel / transport</x:v>
      </x:c>
      <x:c r="G31" s="15" t="str">
        <x:v>No</x:v>
      </x:c>
      <x:c r="H31" s="38" t="n">
        <x:v>-400</x:v>
      </x:c>
      <x:c r="I31" s="15" t="str"/>
      <x:c r="J31" s="15" t="str">
        <x:v>eml_ALL_currentac__512781 (2).zip &gt; eml12currentac__512781.zip / FNB _-) R400.00 reserved for purchase @ Marlothi Petrol Stat from Current a_c..512781 using card..2924. 15Oct 14_55.eml</x:v>
      </x:c>
    </x:row>
    <x:row r="32">
      <x:c r="A32" s="34" t="n">
        <x:v>45946.415972222225</x:v>
      </x:c>
      <x:c r="B32" s="15" t="str">
        <x:v>card..2924</x:v>
      </x:c>
      <x:c r="C32" s="15" t="str">
        <x:v>Savemor Marloth</x:v>
      </x:c>
      <x:c r="D32" s="38" t="n">
        <x:v>101.37</x:v>
      </x:c>
      <x:c r="E32" s="15" t="str">
        <x:v>ZAR</x:v>
      </x:c>
      <x:c r="F32" s="15" t="str">
        <x:v>Supplier payments</x:v>
      </x:c>
      <x:c r="G32" s="15" t="str">
        <x:v>No</x:v>
      </x:c>
      <x:c r="H32" s="38" t="n">
        <x:v>-101.37</x:v>
      </x:c>
      <x:c r="I32" s="15" t="str"/>
      <x:c r="J32" s="15" t="str">
        <x:v>eml_ALL_currentac__512781 (2).zip &gt; eml12currentac__512781.zip / FNB _-) R101.37 reserved for purchase @ Savemor Marloth from Current a_c..512781 using card..2924. 16Oct 09_59.eml</x:v>
      </x:c>
    </x:row>
    <x:row r="33">
      <x:c r="A33" s="34" t="n">
        <x:v>45969.790972222225</x:v>
      </x:c>
      <x:c r="B33" s="15" t="str">
        <x:v>card..2924</x:v>
      </x:c>
      <x:c r="C33" s="15" t="str">
        <x:v>The Tin Shack</x:v>
      </x:c>
      <x:c r="D33" s="38" t="n">
        <x:v>360</x:v>
      </x:c>
      <x:c r="E33" s="15" t="str">
        <x:v>ZAR</x:v>
      </x:c>
      <x:c r="F33" s="15" t="str">
        <x:v>Meals / restaurants / entertainment</x:v>
      </x:c>
      <x:c r="G33" s="15" t="str">
        <x:v>No</x:v>
      </x:c>
      <x:c r="H33" s="38" t="n">
        <x:v>-360</x:v>
      </x:c>
      <x:c r="I33" s="15" t="str"/>
      <x:c r="J33" s="15" t="str">
        <x:v>eml_ALL_currentac__512781 (2).zip &gt; eml10currentac__512781.zip / FNB _-) R360.00 reserved for purchase @ The Tin Shack from Current a_c..512781 using card..2924.  8Nov 18_59.eml</x:v>
      </x:c>
    </x:row>
    <x:row r="34">
      <x:c r="A34" s="34" t="n">
        <x:v>45970.561111111114</x:v>
      </x:c>
      <x:c r="B34" s="15" t="str">
        <x:v>card..2924</x:v>
      </x:c>
      <x:c r="C34" s="15" t="str">
        <x:v>Savemor Marloth</x:v>
      </x:c>
      <x:c r="D34" s="38" t="n">
        <x:v>263.92</x:v>
      </x:c>
      <x:c r="E34" s="15" t="str">
        <x:v>ZAR</x:v>
      </x:c>
      <x:c r="F34" s="15" t="str">
        <x:v>Supplier payments</x:v>
      </x:c>
      <x:c r="G34" s="15" t="str">
        <x:v>No</x:v>
      </x:c>
      <x:c r="H34" s="38" t="n">
        <x:v>-263.92</x:v>
      </x:c>
      <x:c r="I34" s="15" t="str"/>
      <x:c r="J34" s="15" t="str">
        <x:v>eml_ALL_currentac__512781 (2).zip &gt; eml10currentac__512781.zip / FNB _-) R263.92 reserved for purchase @ Savemor Marloth from Current a_c..512781 using card..2924.  9Nov 13_28.eml</x:v>
      </x:c>
    </x:row>
    <x:row r="35">
      <x:c r="A35" s="34" t="n">
        <x:v>45971.23402777778</x:v>
      </x:c>
      <x:c r="B35" s="15" t="str">
        <x:v>card..2924</x:v>
      </x:c>
      <x:c r="C35" s="15" t="str">
        <x:v>Sanparks Crocodile B</x:v>
      </x:c>
      <x:c r="D35" s="38" t="n">
        <x:v>13332</x:v>
      </x:c>
      <x:c r="E35" s="15" t="str">
        <x:v>ZAR</x:v>
      </x:c>
      <x:c r="F35" s="15" t="str">
        <x:v>Card spend</x:v>
      </x:c>
      <x:c r="G35" s="15" t="str">
        <x:v>No</x:v>
      </x:c>
      <x:c r="H35" s="38" t="n">
        <x:v>-13332</x:v>
      </x:c>
      <x:c r="I35" s="15" t="str"/>
      <x:c r="J35" s="15" t="str">
        <x:v>eml_ALL_currentac__512781 (2).zip &gt; eml10currentac__512781.zip / FNB _-) R13332.00 reserved for purchase @ Sanparks Crocodile B from Current a_c..512781 using card..2924. 10Nov 05_37.eml</x:v>
      </x:c>
    </x:row>
    <x:row r="36">
      <x:c r="A36" s="34" t="n">
        <x:v>45971.552777777775</x:v>
      </x:c>
      <x:c r="B36" s="15" t="str">
        <x:v>card..2924</x:v>
      </x:c>
      <x:c r="C36" s="15" t="str">
        <x:v>Buco Komatipoort 116</x:v>
      </x:c>
      <x:c r="D36" s="38" t="n">
        <x:v>248.85</x:v>
      </x:c>
      <x:c r="E36" s="15" t="str">
        <x:v>ZAR</x:v>
      </x:c>
      <x:c r="F36" s="15" t="str">
        <x:v>Supplier payments</x:v>
      </x:c>
      <x:c r="G36" s="15" t="str">
        <x:v>No</x:v>
      </x:c>
      <x:c r="H36" s="38" t="n">
        <x:v>-248.85</x:v>
      </x:c>
      <x:c r="I36" s="15" t="str"/>
      <x:c r="J36" s="15" t="str">
        <x:v>eml_ALL_currentac__512781 (2).zip &gt; eml10currentac__512781.zip / FNB _-) R248.85 reserved for purchase @ Buco Komatipoort 116 from Current a_c..512781 using card..2924. 10Nov 13_16.eml</x:v>
      </x:c>
    </x:row>
    <x:row r="37">
      <x:c r="A37" s="34" t="n">
        <x:v>45971.57013888889</x:v>
      </x:c>
      <x:c r="B37" s="15" t="str">
        <x:v>card..2924</x:v>
      </x:c>
      <x:c r="C37" s="15" t="str">
        <x:v>Pep Home 5771 Komati</x:v>
      </x:c>
      <x:c r="D37" s="38" t="n">
        <x:v>461.86</x:v>
      </x:c>
      <x:c r="E37" s="15" t="str">
        <x:v>ZAR</x:v>
      </x:c>
      <x:c r="F37" s="15" t="str">
        <x:v>Supplier payments</x:v>
      </x:c>
      <x:c r="G37" s="15" t="str">
        <x:v>No</x:v>
      </x:c>
      <x:c r="H37" s="38" t="n">
        <x:v>-461.86</x:v>
      </x:c>
      <x:c r="I37" s="15" t="str"/>
      <x:c r="J37" s="15" t="str">
        <x:v>eml_ALL_currentac__512781 (2).zip &gt; eml10currentac__512781.zip / FNB _-) R461.86 reserved for purchase @ Pep Home 5771 Komati from Current a_c..512781 using card..2924. 10Nov 13_41.eml</x:v>
      </x:c>
    </x:row>
    <x:row r="38">
      <x:c r="A38" s="34" t="n">
        <x:v>45971.60625</x:v>
      </x:c>
      <x:c r="B38" s="15" t="str">
        <x:v>card..2924</x:v>
      </x:c>
      <x:c r="C38" s="15" t="str">
        <x:v>Superspar Komatipoor</x:v>
      </x:c>
      <x:c r="D38" s="38" t="n">
        <x:v>1005.71</x:v>
      </x:c>
      <x:c r="E38" s="15" t="str">
        <x:v>ZAR</x:v>
      </x:c>
      <x:c r="F38" s="15" t="str">
        <x:v>Supplier payments</x:v>
      </x:c>
      <x:c r="G38" s="15" t="str">
        <x:v>No</x:v>
      </x:c>
      <x:c r="H38" s="38" t="n">
        <x:v>-1005.71</x:v>
      </x:c>
      <x:c r="I38" s="15" t="str"/>
      <x:c r="J38" s="15" t="str">
        <x:v>eml_ALL_currentac__512781 (2).zip &gt; eml10currentac__512781.zip / FNB _-) R1005.71 reserved for purchase @ Superspar Komatipoor from Current a_c..512781 using card..2924. 10Nov 14_33.eml</x:v>
      </x:c>
    </x:row>
    <x:row r="39">
      <x:c r="A39" s="34" t="n">
        <x:v>45972.58819444444</x:v>
      </x:c>
      <x:c r="B39" s="15" t="str">
        <x:v>card..2924</x:v>
      </x:c>
      <x:c r="C39" s="15" t="str">
        <x:v>Superspar Komatipoor</x:v>
      </x:c>
      <x:c r="D39" s="38" t="n">
        <x:v>250.27</x:v>
      </x:c>
      <x:c r="E39" s="15" t="str">
        <x:v>ZAR</x:v>
      </x:c>
      <x:c r="F39" s="15" t="str">
        <x:v>Supplier payments</x:v>
      </x:c>
      <x:c r="G39" s="15" t="str">
        <x:v>No</x:v>
      </x:c>
      <x:c r="H39" s="38" t="n">
        <x:v>-250.27</x:v>
      </x:c>
      <x:c r="I39" s="15" t="str"/>
      <x:c r="J39" s="15" t="str">
        <x:v>eml_ALL_currentac__512781 (2).zip &gt; eml10currentac__512781.zip / FNB _-) R250.27 reserved for purchase @ Superspar Komatipoor from Current a_c..512781 using card..2924. 11Nov 14_07.eml</x:v>
      </x:c>
    </x:row>
    <x:row r="40">
      <x:c r="A40" s="34" t="n">
        <x:v>45972.59652777778</x:v>
      </x:c>
      <x:c r="B40" s="15" t="str">
        <x:v>card..2924</x:v>
      </x:c>
      <x:c r="C40" s="15" t="str">
        <x:v>Frontier Fuels</x:v>
      </x:c>
      <x:c r="D40" s="38" t="n">
        <x:v>800</x:v>
      </x:c>
      <x:c r="E40" s="15" t="str">
        <x:v>ZAR</x:v>
      </x:c>
      <x:c r="F40" s="15" t="str">
        <x:v>Fuel / transport</x:v>
      </x:c>
      <x:c r="G40" s="15" t="str">
        <x:v>No</x:v>
      </x:c>
      <x:c r="H40" s="38" t="n">
        <x:v>-800</x:v>
      </x:c>
      <x:c r="I40" s="15" t="str"/>
      <x:c r="J40" s="15" t="str">
        <x:v>eml_ALL_currentac__512781 (2).zip &gt; eml10currentac__512781.zip / FNB _-) R800.00 reserved for purchase @ Frontier Fuels from Current a_c..512781 using card..2924. 11Nov 14_19.eml</x:v>
      </x:c>
    </x:row>
    <x:row r="41">
      <x:c r="A41" s="34" t="n">
        <x:v>45973.510416666664</x:v>
      </x:c>
      <x:c r="B41" s="15" t="str">
        <x:v>card..2924</x:v>
      </x:c>
      <x:c r="C41" s="15" t="str">
        <x:v>Impala Electrical Wh</x:v>
      </x:c>
      <x:c r="D41" s="38" t="n">
        <x:v>1099.79</x:v>
      </x:c>
      <x:c r="E41" s="15" t="str">
        <x:v>ZAR</x:v>
      </x:c>
      <x:c r="F41" s="15" t="str">
        <x:v>Telecom / utilities</x:v>
      </x:c>
      <x:c r="G41" s="15" t="str">
        <x:v>No</x:v>
      </x:c>
      <x:c r="H41" s="38" t="n">
        <x:v>-1099.79</x:v>
      </x:c>
      <x:c r="I41" s="15" t="str"/>
      <x:c r="J41" s="15" t="str">
        <x:v>eml_ALL_currentac__512781 (2).zip &gt; eml10currentac__512781.zip / FNB _-) R1099.79 reserved for purchase @ Impala Electrical Wh from Current a_c..512781 using card..2924. 12Nov 12_15.eml</x:v>
      </x:c>
    </x:row>
    <x:row r="42">
      <x:c r="A42" s="34" t="n">
        <x:v>45973.51736111111</x:v>
      </x:c>
      <x:c r="B42" s="15" t="str">
        <x:v>card..2924</x:v>
      </x:c>
      <x:c r="C42" s="15" t="str">
        <x:v>Tops Malelane</x:v>
      </x:c>
      <x:c r="D42" s="38" t="n">
        <x:v>444</x:v>
      </x:c>
      <x:c r="E42" s="15" t="str">
        <x:v>ZAR</x:v>
      </x:c>
      <x:c r="F42" s="15" t="str">
        <x:v>Meals / restaurants / entertainment</x:v>
      </x:c>
      <x:c r="G42" s="15" t="str">
        <x:v>No</x:v>
      </x:c>
      <x:c r="H42" s="38" t="n">
        <x:v>-444</x:v>
      </x:c>
      <x:c r="I42" s="15" t="str"/>
      <x:c r="J42" s="15" t="str">
        <x:v>eml_ALL_currentac__512781 (2).zip &gt; eml10currentac__512781.zip / FNB _-) R444.00 reserved for purchase @ Tops Malelane from Current a_c..512781 using card..2924. 12Nov 12_25.eml</x:v>
      </x:c>
    </x:row>
    <x:row r="43">
      <x:c r="A43" s="34" t="n">
        <x:v>45974.58263888889</x:v>
      </x:c>
      <x:c r="B43" s="15" t="str">
        <x:v>card..2924</x:v>
      </x:c>
      <x:c r="C43" s="15" t="str">
        <x:v>Savemor Marloth</x:v>
      </x:c>
      <x:c r="D43" s="38" t="n">
        <x:v>134.02</x:v>
      </x:c>
      <x:c r="E43" s="15" t="str">
        <x:v>ZAR</x:v>
      </x:c>
      <x:c r="F43" s="15" t="str">
        <x:v>Supplier payments</x:v>
      </x:c>
      <x:c r="G43" s="15" t="str">
        <x:v>No</x:v>
      </x:c>
      <x:c r="H43" s="38" t="n">
        <x:v>-134.02</x:v>
      </x:c>
      <x:c r="I43" s="15" t="str"/>
      <x:c r="J43" s="15" t="str">
        <x:v>eml_ALL_currentac__512781 (2).zip &gt; eml10currentac__512781.zip / FNB _-) R134.02 reserved for purchase @ Savemor Marloth from Current a_c..512781 using card..2924. 13Nov 13_59.eml</x:v>
      </x:c>
    </x:row>
    <x:row r="44">
      <x:c r="A44" s="34" t="n">
        <x:v>45975.47777777778</x:v>
      </x:c>
      <x:c r="B44" s="15" t="str">
        <x:v>card..2924</x:v>
      </x:c>
      <x:c r="C44" s="15" t="str">
        <x:v>Smart Home</x:v>
      </x:c>
      <x:c r="D44" s="38" t="n">
        <x:v>220</x:v>
      </x:c>
      <x:c r="E44" s="15" t="str">
        <x:v>ZAR</x:v>
      </x:c>
      <x:c r="F44" s="15" t="str">
        <x:v>Card spend</x:v>
      </x:c>
      <x:c r="G44" s="15" t="str">
        <x:v>No</x:v>
      </x:c>
      <x:c r="H44" s="38" t="n">
        <x:v>-220</x:v>
      </x:c>
      <x:c r="I44" s="15" t="str"/>
      <x:c r="J44" s="15" t="str">
        <x:v>eml_ALL_currentac__512781 (2).zip &gt; eml10currentac__512781.zip / FNB _-) R220.00 reserved for purchase @ Smart Home from Current a_c..512781 using card..2924. 14Nov 11_28.eml</x:v>
      </x:c>
    </x:row>
    <x:row r="45">
      <x:c r="A45" s="34" t="n">
        <x:v>45975.49166666667</x:v>
      </x:c>
      <x:c r="B45" s="15" t="str">
        <x:v>card..2924</x:v>
      </x:c>
      <x:c r="C45" s="15" t="str">
        <x:v>Dream Lucky</x:v>
      </x:c>
      <x:c r="D45" s="38" t="n">
        <x:v>223</x:v>
      </x:c>
      <x:c r="E45" s="15" t="str">
        <x:v>ZAR</x:v>
      </x:c>
      <x:c r="F45" s="15" t="str">
        <x:v>Card spend</x:v>
      </x:c>
      <x:c r="G45" s="15" t="str">
        <x:v>No</x:v>
      </x:c>
      <x:c r="H45" s="38" t="n">
        <x:v>-223</x:v>
      </x:c>
      <x:c r="I45" s="15" t="str"/>
      <x:c r="J45" s="15" t="str">
        <x:v>eml_ALL_currentac__512781 (2).zip &gt; eml10currentac__512781.zip / FNB _-) R223.00 reserved for purchase @ Dream Lucky from Current a_c..512781 using card..2924. 14Nov 11_48.eml</x:v>
      </x:c>
    </x:row>
    <x:row r="46">
      <x:c r="A46" s="34" t="n">
        <x:v>45975.50833333333</x:v>
      </x:c>
      <x:c r="B46" s="15" t="str">
        <x:v>card..2924</x:v>
      </x:c>
      <x:c r="C46" s="15" t="str">
        <x:v>Riviera Cash N Carry</x:v>
      </x:c>
      <x:c r="D46" s="38" t="n">
        <x:v>369.94</x:v>
      </x:c>
      <x:c r="E46" s="15" t="str">
        <x:v>ZAR</x:v>
      </x:c>
      <x:c r="F46" s="15" t="str">
        <x:v>Cash withdrawal</x:v>
      </x:c>
      <x:c r="G46" s="15" t="str">
        <x:v>No</x:v>
      </x:c>
      <x:c r="H46" s="38" t="n">
        <x:v>-369.94</x:v>
      </x:c>
      <x:c r="I46" s="15" t="str"/>
      <x:c r="J46" s="15" t="str">
        <x:v>eml_ALL_currentac__512781 (2).zip &gt; eml10currentac__512781.zip / FNB _-) R369.94 reserved for purchase @ Riviera Cash N Carry from Current a_c..512781 using card..2924. 14Nov 12_12.eml</x:v>
      </x:c>
    </x:row>
    <x:row r="47">
      <x:c r="A47" s="34" t="n">
        <x:v>45975.55694444444</x:v>
      </x:c>
      <x:c r="B47" s="15" t="str">
        <x:v>card..2924</x:v>
      </x:c>
      <x:c r="C47" s="15" t="str">
        <x:v>Shoprite Malelane</x:v>
      </x:c>
      <x:c r="D47" s="38" t="n">
        <x:v>853.87</x:v>
      </x:c>
      <x:c r="E47" s="15" t="str">
        <x:v>ZAR</x:v>
      </x:c>
      <x:c r="F47" s="15" t="str">
        <x:v>Supplier payments</x:v>
      </x:c>
      <x:c r="G47" s="15" t="str">
        <x:v>No</x:v>
      </x:c>
      <x:c r="H47" s="38" t="n">
        <x:v>-853.87</x:v>
      </x:c>
      <x:c r="I47" s="15" t="str"/>
      <x:c r="J47" s="15" t="str">
        <x:v>eml_ALL_currentac__512781 (2).zip &gt; eml10currentac__512781.zip / FNB _-) R853.87 reserved for purchase @ Shoprite Malelane from Current a_c..512781 using card..2924. 14Nov 13_22.eml</x:v>
      </x:c>
    </x:row>
    <x:row r="48">
      <x:c r="A48" s="34" t="n">
        <x:v>45975.58472222222</x:v>
      </x:c>
      <x:c r="B48" s="15" t="str">
        <x:v>card..2924</x:v>
      </x:c>
      <x:c r="C48" s="15" t="str">
        <x:v>Woolworths</x:v>
      </x:c>
      <x:c r="D48" s="38" t="n">
        <x:v>563.89</x:v>
      </x:c>
      <x:c r="E48" s="15" t="str">
        <x:v>ZAR</x:v>
      </x:c>
      <x:c r="F48" s="15" t="str">
        <x:v>Supplier payments</x:v>
      </x:c>
      <x:c r="G48" s="15" t="str">
        <x:v>No</x:v>
      </x:c>
      <x:c r="H48" s="38" t="n">
        <x:v>-563.89</x:v>
      </x:c>
      <x:c r="I48" s="15" t="str"/>
      <x:c r="J48" s="15" t="str">
        <x:v>eml_ALL_currentac__512781 (2).zip &gt; eml10currentac__512781.zip / FNB _-) R563.89 reserved for purchase @ Woolworths from Current a_c..512781 using card..2924. 14Nov 14_02.eml</x:v>
      </x:c>
    </x:row>
    <x:row r="49">
      <x:c r="A49" s="34" t="n">
        <x:v>45975.638194444444</x:v>
      </x:c>
      <x:c r="B49" s="15" t="str">
        <x:v>card..2924</x:v>
      </x:c>
      <x:c r="C49" s="15" t="str">
        <x:v>Superspar Malelane</x:v>
      </x:c>
      <x:c r="D49" s="38" t="n">
        <x:v>1034.52</x:v>
      </x:c>
      <x:c r="E49" s="15" t="str">
        <x:v>ZAR</x:v>
      </x:c>
      <x:c r="F49" s="15" t="str">
        <x:v>Supplier payments</x:v>
      </x:c>
      <x:c r="G49" s="15" t="str">
        <x:v>No</x:v>
      </x:c>
      <x:c r="H49" s="38" t="n">
        <x:v>-1034.52</x:v>
      </x:c>
      <x:c r="I49" s="15" t="str"/>
      <x:c r="J49" s="15" t="str">
        <x:v>eml_ALL_currentac__512781 (2).zip &gt; eml10currentac__512781.zip / FNB _-) R1034.52 reserved for purchase @ Superspar Malelane from Current a_c..512781 using card..2924. 14Nov 15_19.eml</x:v>
      </x:c>
    </x:row>
    <x:row r="50">
      <x:c r="A50" s="34" t="n">
        <x:v>45977.51458333333</x:v>
      </x:c>
      <x:c r="B50" s="15" t="str">
        <x:v>card..2924</x:v>
      </x:c>
      <x:c r="C50" s="15" t="str">
        <x:v>Savemor Marloth</x:v>
      </x:c>
      <x:c r="D50" s="38" t="n">
        <x:v>218.85</x:v>
      </x:c>
      <x:c r="E50" s="15" t="str">
        <x:v>ZAR</x:v>
      </x:c>
      <x:c r="F50" s="15" t="str">
        <x:v>Supplier payments</x:v>
      </x:c>
      <x:c r="G50" s="15" t="str">
        <x:v>No</x:v>
      </x:c>
      <x:c r="H50" s="38" t="n">
        <x:v>-218.85</x:v>
      </x:c>
      <x:c r="I50" s="15" t="str"/>
      <x:c r="J50" s="15" t="str">
        <x:v>eml_ALL_currentac__512781 (2).zip &gt; eml10currentac__512781.zip / FNB _-) R218.85 reserved for purchase @ Savemor Marloth from Current a_c..512781 using card..2924. 16Nov 12_21.eml</x:v>
      </x:c>
    </x:row>
    <x:row r="51">
      <x:c r="A51" s="34" t="n">
        <x:v>45978.45277777778</x:v>
      </x:c>
      <x:c r="B51" s="15" t="str">
        <x:v>card..2924</x:v>
      </x:c>
      <x:c r="C51" s="15" t="str">
        <x:v>Superspar Komatipoor</x:v>
      </x:c>
      <x:c r="D51" s="38" t="n">
        <x:v>815.37</x:v>
      </x:c>
      <x:c r="E51" s="15" t="str">
        <x:v>ZAR</x:v>
      </x:c>
      <x:c r="F51" s="15" t="str">
        <x:v>Supplier payments</x:v>
      </x:c>
      <x:c r="G51" s="15" t="str">
        <x:v>No</x:v>
      </x:c>
      <x:c r="H51" s="38" t="n">
        <x:v>-815.37</x:v>
      </x:c>
      <x:c r="I51" s="15" t="str"/>
      <x:c r="J51" s="15" t="str">
        <x:v>eml_ALL_currentac__512781 (2).zip &gt; eml10currentac__512781.zip / FNB _-) R815.37 reserved for purchase @ Superspar Komatipoor from Current a_c..512781 using card..2924. 17Nov 10_52.eml</x:v>
      </x:c>
    </x:row>
    <x:row r="52">
      <x:c r="A52" s="34" t="n">
        <x:v>45978.46041666667</x:v>
      </x:c>
      <x:c r="B52" s="15" t="str">
        <x:v>card..2924</x:v>
      </x:c>
      <x:c r="C52" s="15" t="str">
        <x:v>Oasis Water Komatipo</x:v>
      </x:c>
      <x:c r="D52" s="38" t="n">
        <x:v>225.6</x:v>
      </x:c>
      <x:c r="E52" s="15" t="str">
        <x:v>ZAR</x:v>
      </x:c>
      <x:c r="F52" s="15" t="str">
        <x:v>Supplier payments</x:v>
      </x:c>
      <x:c r="G52" s="15" t="str">
        <x:v>No</x:v>
      </x:c>
      <x:c r="H52" s="38" t="n">
        <x:v>-225.6</x:v>
      </x:c>
      <x:c r="I52" s="15" t="str"/>
      <x:c r="J52" s="15" t="str">
        <x:v>eml_ALL_currentac__512781 (2).zip &gt; eml10currentac__512781.zip / FNB _-) R225.60 reserved for purchase @ Oasis Water Komatipo from Current a_c..512781 using card..2924. 17Nov 11_03.eml</x:v>
      </x:c>
    </x:row>
    <x:row r="53">
      <x:c r="A53" s="34" t="n">
        <x:v>45978.49722222222</x:v>
      </x:c>
      <x:c r="B53" s="15" t="str">
        <x:v>card..2924</x:v>
      </x:c>
      <x:c r="C53" s="15" t="str">
        <x:v>Paystack *zoho Co</x:v>
      </x:c>
      <x:c r="D53" s="38" t="n">
        <x:v>228.85</x:v>
      </x:c>
      <x:c r="E53" s="15" t="str">
        <x:v>ZAR</x:v>
      </x:c>
      <x:c r="F53" s="15" t="str">
        <x:v>Software / subscriptions</x:v>
      </x:c>
      <x:c r="G53" s="15" t="str">
        <x:v>No</x:v>
      </x:c>
      <x:c r="H53" s="38" t="n">
        <x:v>-228.85</x:v>
      </x:c>
      <x:c r="I53" s="15" t="str"/>
      <x:c r="J53" s="15" t="str">
        <x:v>eml_ALL_currentac__512781 (2).zip &gt; eml10currentac__512781.zip / FNB _-) R228.85 reserved for purchase @ Paystack _zoho Co from Current a_c..512781 using card..2924. 17Nov 11_56.eml</x:v>
      </x:c>
    </x:row>
    <x:row r="54">
      <x:c r="A54" s="34" t="n">
        <x:v>45978.62708333333</x:v>
      </x:c>
      <x:c r="B54" s="15" t="str">
        <x:v>card..2924</x:v>
      </x:c>
      <x:c r="C54" s="15" t="str">
        <x:v>Savemor Marloth</x:v>
      </x:c>
      <x:c r="D54" s="38" t="n">
        <x:v>145.85</x:v>
      </x:c>
      <x:c r="E54" s="15" t="str">
        <x:v>ZAR</x:v>
      </x:c>
      <x:c r="F54" s="15" t="str">
        <x:v>Supplier payments</x:v>
      </x:c>
      <x:c r="G54" s="15" t="str">
        <x:v>No</x:v>
      </x:c>
      <x:c r="H54" s="38" t="n">
        <x:v>-145.85</x:v>
      </x:c>
      <x:c r="I54" s="15" t="str"/>
      <x:c r="J54" s="15" t="str">
        <x:v>eml_ALL_currentac__512781 (2).zip &gt; eml10currentac__512781.zip / FNB _-) R145.85 reserved for purchase @ Savemor Marloth from Current a_c..512781 using card..2924. 17Nov 15_03.eml</x:v>
      </x:c>
    </x:row>
    <x:row r="55">
      <x:c r="A55" s="34" t="n">
        <x:v>45979.47986111111</x:v>
      </x:c>
      <x:c r="B55" s="15" t="str">
        <x:v>card..2924</x:v>
      </x:c>
      <x:c r="C55" s="15" t="str">
        <x:v>Superspar Komatipoor</x:v>
      </x:c>
      <x:c r="D55" s="38" t="n">
        <x:v>846.99</x:v>
      </x:c>
      <x:c r="E55" s="15" t="str">
        <x:v>ZAR</x:v>
      </x:c>
      <x:c r="F55" s="15" t="str">
        <x:v>Supplier payments</x:v>
      </x:c>
      <x:c r="G55" s="15" t="str">
        <x:v>No</x:v>
      </x:c>
      <x:c r="H55" s="38" t="n">
        <x:v>-846.99</x:v>
      </x:c>
      <x:c r="I55" s="15" t="str"/>
      <x:c r="J55" s="15" t="str">
        <x:v>eml_ALL_currentac__512781 (2).zip &gt; eml10currentac__512781.zip / FNB _-) R846.99 reserved for purchase @ Superspar Komatipoor from Current a_c..512781 using card..2924. 18Nov 11_31.eml</x:v>
      </x:c>
    </x:row>
    <x:row r="56">
      <x:c r="A56" s="34" t="n">
        <x:v>45979.4875</x:v>
      </x:c>
      <x:c r="B56" s="15" t="str">
        <x:v>card..2924</x:v>
      </x:c>
      <x:c r="C56" s="15" t="str">
        <x:v>Tops Komatipoort</x:v>
      </x:c>
      <x:c r="D56" s="38" t="n">
        <x:v>246.47</x:v>
      </x:c>
      <x:c r="E56" s="15" t="str">
        <x:v>ZAR</x:v>
      </x:c>
      <x:c r="F56" s="15" t="str">
        <x:v>Meals / restaurants / entertainment</x:v>
      </x:c>
      <x:c r="G56" s="15" t="str">
        <x:v>No</x:v>
      </x:c>
      <x:c r="H56" s="38" t="n">
        <x:v>-246.47</x:v>
      </x:c>
      <x:c r="I56" s="15" t="str"/>
      <x:c r="J56" s="15" t="str">
        <x:v>eml_ALL_currentac__512781 (2).zip &gt; eml10currentac__512781.zip / FNB _-) R246.47 reserved for purchase @ Tops Komatipoort from Current a_c..512781 using card..2924. 18Nov 11_42.eml</x:v>
      </x:c>
    </x:row>
    <x:row r="57">
      <x:c r="A57" s="34" t="n">
        <x:v>45979.506944444445</x:v>
      </x:c>
      <x:c r="B57" s="15" t="str">
        <x:v>card..2924</x:v>
      </x:c>
      <x:c r="C57" s="15" t="str">
        <x:v>Border Butchery 265</x:v>
      </x:c>
      <x:c r="D57" s="38" t="n">
        <x:v>237.35</x:v>
      </x:c>
      <x:c r="E57" s="15" t="str">
        <x:v>ZAR</x:v>
      </x:c>
      <x:c r="F57" s="15" t="str">
        <x:v>Supplier payments</x:v>
      </x:c>
      <x:c r="G57" s="15" t="str">
        <x:v>No</x:v>
      </x:c>
      <x:c r="H57" s="38" t="n">
        <x:v>-237.35</x:v>
      </x:c>
      <x:c r="I57" s="15" t="str"/>
      <x:c r="J57" s="15" t="str">
        <x:v>eml_ALL_currentac__512781 (2).zip &gt; eml10currentac__512781.zip / FNB _-) R237.35 reserved for purchase @ Border Butchery 265 from Current a_c..512781 using card..2924. 18Nov 12_10.eml</x:v>
      </x:c>
    </x:row>
    <x:row r="58">
      <x:c r="A58" s="34" t="n">
        <x:v>45980.55763888889</x:v>
      </x:c>
      <x:c r="B58" s="15" t="str">
        <x:v>card..2924</x:v>
      </x:c>
      <x:c r="C58" s="15" t="str">
        <x:v>S2s*sa Liquors Komat</x:v>
      </x:c>
      <x:c r="D58" s="38" t="n">
        <x:v>569</x:v>
      </x:c>
      <x:c r="E58" s="15" t="str">
        <x:v>ZAR</x:v>
      </x:c>
      <x:c r="F58" s="15" t="str">
        <x:v>Meals / restaurants / entertainment</x:v>
      </x:c>
      <x:c r="G58" s="15" t="str">
        <x:v>No</x:v>
      </x:c>
      <x:c r="H58" s="38" t="n">
        <x:v>-569</x:v>
      </x:c>
      <x:c r="I58" s="15" t="str"/>
      <x:c r="J58" s="15" t="str">
        <x:v>eml_ALL_currentac__512781 (2).zip &gt; eml10currentac__512781.zip / FNB _-) R569.00 reserved for purchase @ S2s_sa Liquors Komat from Current a_c..512781 using card..2924. 19Nov 13_23.eml</x:v>
      </x:c>
    </x:row>
    <x:row r="59">
      <x:c r="A59" s="34" t="n">
        <x:v>45980.60208333333</x:v>
      </x:c>
      <x:c r="B59" s="15" t="str">
        <x:v>card..2924</x:v>
      </x:c>
      <x:c r="C59" s="15" t="str">
        <x:v>Savemor Marloth</x:v>
      </x:c>
      <x:c r="D59" s="38" t="n">
        <x:v>572.97</x:v>
      </x:c>
      <x:c r="E59" s="15" t="str">
        <x:v>ZAR</x:v>
      </x:c>
      <x:c r="F59" s="15" t="str">
        <x:v>Supplier payments</x:v>
      </x:c>
      <x:c r="G59" s="15" t="str">
        <x:v>No</x:v>
      </x:c>
      <x:c r="H59" s="38" t="n">
        <x:v>-572.97</x:v>
      </x:c>
      <x:c r="I59" s="15" t="str"/>
      <x:c r="J59" s="15" t="str">
        <x:v>eml_ALL_currentac__512781 (2).zip &gt; eml10currentac__512781.zip / FNB _-) R572.97 reserved for purchase @ Savemor Marloth from Current a_c..512781 using card..2924. 19Nov 14_27.eml</x:v>
      </x:c>
    </x:row>
    <x:row r="60">
      <x:c r="A60" s="34" t="n">
        <x:v>45980.74652777778</x:v>
      </x:c>
      <x:c r="B60" s="15" t="str">
        <x:v>card..2924</x:v>
      </x:c>
      <x:c r="C60" s="15" t="str">
        <x:v>The Tin Shack</x:v>
      </x:c>
      <x:c r="D60" s="38" t="n">
        <x:v>125</x:v>
      </x:c>
      <x:c r="E60" s="15" t="str">
        <x:v>ZAR</x:v>
      </x:c>
      <x:c r="F60" s="15" t="str">
        <x:v>Meals / restaurants / entertainment</x:v>
      </x:c>
      <x:c r="G60" s="15" t="str">
        <x:v>No</x:v>
      </x:c>
      <x:c r="H60" s="38" t="n">
        <x:v>-125</x:v>
      </x:c>
      <x:c r="I60" s="15" t="str"/>
      <x:c r="J60" s="15" t="str">
        <x:v>eml_ALL_currentac__512781 (2).zip &gt; eml10currentac__512781.zip / FNB _-) R125.00 reserved for purchase @ The Tin Shack from Current a_c..512781 using card..2924. 19Nov 17_55.eml</x:v>
      </x:c>
    </x:row>
    <x:row r="61">
      <x:c r="A61" s="34" t="n">
        <x:v>45981.42916666667</x:v>
      </x:c>
      <x:c r="B61" s="15" t="str">
        <x:v>card..2924</x:v>
      </x:c>
      <x:c r="C61" s="15" t="str">
        <x:v>Sparkling Auto Nelsp</x:v>
      </x:c>
      <x:c r="D61" s="38" t="n">
        <x:v>170</x:v>
      </x:c>
      <x:c r="E61" s="15" t="str">
        <x:v>ZAR</x:v>
      </x:c>
      <x:c r="F61" s="15" t="str">
        <x:v>Supplier payments</x:v>
      </x:c>
      <x:c r="G61" s="15" t="str">
        <x:v>No</x:v>
      </x:c>
      <x:c r="H61" s="38" t="n">
        <x:v>-170</x:v>
      </x:c>
      <x:c r="I61" s="15" t="str"/>
      <x:c r="J61" s="15" t="str">
        <x:v>eml_ALL_currentac__512781 (2).zip &gt; eml10currentac__512781.zip / FNB _-) R170.00 reserved for purchase @ Sparkling Auto Nelsp from Current a_c..512781 using card..2924. 20Nov 10_18.eml</x:v>
      </x:c>
    </x:row>
    <x:row r="62">
      <x:c r="A62" s="34" t="n">
        <x:v>45981.47361111111</x:v>
      </x:c>
      <x:c r="B62" s="15" t="str">
        <x:v>card..2924</x:v>
      </x:c>
      <x:c r="C62" s="15" t="str">
        <x:v>Bossa Nelspruit</x:v>
      </x:c>
      <x:c r="D62" s="38" t="n">
        <x:v>125</x:v>
      </x:c>
      <x:c r="E62" s="15" t="str">
        <x:v>ZAR</x:v>
      </x:c>
      <x:c r="F62" s="15" t="str">
        <x:v>Card spend</x:v>
      </x:c>
      <x:c r="G62" s="15" t="str">
        <x:v>No</x:v>
      </x:c>
      <x:c r="H62" s="38" t="n">
        <x:v>-125</x:v>
      </x:c>
      <x:c r="I62" s="15" t="str"/>
      <x:c r="J62" s="15" t="str">
        <x:v>eml_ALL_currentac__512781 (2).zip &gt; eml10currentac__512781.zip / FNB _-) R125.00 reserved for purchase @ Bossa Nelspruit from Current a_c..512781 using card..2924. 20Nov 11_22.eml</x:v>
      </x:c>
    </x:row>
    <x:row r="63">
      <x:c r="A63" s="34" t="n">
        <x:v>45981.50277777778</x:v>
      </x:c>
      <x:c r="B63" s="15" t="str">
        <x:v>card..2924</x:v>
      </x:c>
      <x:c r="C63" s="15" t="str">
        <x:v>Superspar The Grove</x:v>
      </x:c>
      <x:c r="D63" s="38" t="n">
        <x:v>778.98</x:v>
      </x:c>
      <x:c r="E63" s="15" t="str">
        <x:v>ZAR</x:v>
      </x:c>
      <x:c r="F63" s="15" t="str">
        <x:v>Supplier payments</x:v>
      </x:c>
      <x:c r="G63" s="15" t="str">
        <x:v>No</x:v>
      </x:c>
      <x:c r="H63" s="38" t="n">
        <x:v>-778.98</x:v>
      </x:c>
      <x:c r="I63" s="15" t="str"/>
      <x:c r="J63" s="15" t="str">
        <x:v>eml_ALL_currentac__512781 (2).zip &gt; eml10currentac__512781.zip / FNB _-) R778.98 reserved for purchase @ Superspar The Grove from Current a_c..512781 using card..2924. 20Nov 12_04.eml</x:v>
      </x:c>
    </x:row>
    <x:row r="64">
      <x:c r="A64" s="34" t="n">
        <x:v>45981.50277777778</x:v>
      </x:c>
      <x:c r="B64" s="15" t="str">
        <x:v>card..2924</x:v>
      </x:c>
      <x:c r="C64" s="15" t="str">
        <x:v>Superspar The Grove</x:v>
      </x:c>
      <x:c r="D64" s="38" t="n">
        <x:v>778.98</x:v>
      </x:c>
      <x:c r="E64" s="15" t="str">
        <x:v>ZAR</x:v>
      </x:c>
      <x:c r="F64" s="15" t="str">
        <x:v>Supplier payments</x:v>
      </x:c>
      <x:c r="G64" s="15" t="str">
        <x:v>No</x:v>
      </x:c>
      <x:c r="H64" s="38" t="n">
        <x:v>-778.98</x:v>
      </x:c>
      <x:c r="I64" s="15" t="str"/>
      <x:c r="J64" s="15" t="str">
        <x:v>eml_ALL_currentac__512781 (2).zip &gt; eml10currentac__512781.zip / FNB _-) R778.98 reserved for purchase @ Superspar The Grove from Current a_c..512781 using card..2924. 20Nov 12_04_1.eml</x:v>
      </x:c>
    </x:row>
    <x:row r="65">
      <x:c r="A65" s="34" t="n">
        <x:v>45981.50277777778</x:v>
      </x:c>
      <x:c r="B65" s="15" t="str">
        <x:v>card..2924</x:v>
      </x:c>
      <x:c r="C65" s="15" t="str">
        <x:v>Card purchase reversal</x:v>
      </x:c>
      <x:c r="D65" s="38" t="n">
        <x:v>778.98</x:v>
      </x:c>
      <x:c r="E65" s="15" t="str">
        <x:v>ZAR</x:v>
      </x:c>
      <x:c r="F65" s="15" t="str">
        <x:v>Refunds / reversals</x:v>
      </x:c>
      <x:c r="G65" s="15" t="str">
        <x:v>Yes</x:v>
      </x:c>
      <x:c r="H65" s="38" t="n">
        <x:v>778.98</x:v>
      </x:c>
      <x:c r="I65" s="15" t="str"/>
      <x:c r="J65" s="15" t="str">
        <x:v>eml_ALL_currentac__512781 (2).zip &gt; eml10currentac__512781.zip / FNB _-) REVERSAL of R778.98 for goods purchased from Current a_c..512781 using card..2924. 20Nov 12_04.eml</x:v>
      </x:c>
    </x:row>
    <x:row r="66">
      <x:c r="A66" s="34" t="n">
        <x:v>45982.424305555556</x:v>
      </x:c>
      <x:c r="B66" s="15" t="str">
        <x:v>card..2924</x:v>
      </x:c>
      <x:c r="C66" s="15" t="str">
        <x:v>Marlothi Petrol Stat</x:v>
      </x:c>
      <x:c r="D66" s="38" t="n">
        <x:v>250</x:v>
      </x:c>
      <x:c r="E66" s="15" t="str">
        <x:v>ZAR</x:v>
      </x:c>
      <x:c r="F66" s="15" t="str">
        <x:v>Fuel / transport</x:v>
      </x:c>
      <x:c r="G66" s="15" t="str">
        <x:v>No</x:v>
      </x:c>
      <x:c r="H66" s="38" t="n">
        <x:v>-250</x:v>
      </x:c>
      <x:c r="I66" s="15" t="str"/>
      <x:c r="J66" s="15" t="str">
        <x:v>eml_ALL_currentac__512781 (2).zip &gt; eml10currentac__512781.zip / FNB _-) R250.00 reserved for purchase @ Marlothi Petrol Stat from Current a_c..512781 using card..2924. 21Nov 10_11.eml</x:v>
      </x:c>
    </x:row>
    <x:row r="67">
      <x:c r="A67" s="34" t="n">
        <x:v>45982.56041666667</x:v>
      </x:c>
      <x:c r="B67" s="15" t="str">
        <x:v>card..2924</x:v>
      </x:c>
      <x:c r="C67" s="15" t="str">
        <x:v>Superspar Komatipoor</x:v>
      </x:c>
      <x:c r="D67" s="38" t="n">
        <x:v>1712.37</x:v>
      </x:c>
      <x:c r="E67" s="15" t="str">
        <x:v>ZAR</x:v>
      </x:c>
      <x:c r="F67" s="15" t="str">
        <x:v>Supplier payments</x:v>
      </x:c>
      <x:c r="G67" s="15" t="str">
        <x:v>No</x:v>
      </x:c>
      <x:c r="H67" s="38" t="n">
        <x:v>-1712.37</x:v>
      </x:c>
      <x:c r="I67" s="15" t="str"/>
      <x:c r="J67" s="15" t="str">
        <x:v>eml_ALL_currentac__512781 (2).zip &gt; eml10currentac__512781.zip / FNB _-) R1712.37 reserved for purchase @ Superspar Komatipoor from Current a_c..512781 using card..2924. 21Nov 13_27.eml</x:v>
      </x:c>
    </x:row>
    <x:row r="68">
      <x:c r="A68" s="34" t="n">
        <x:v>45982.575</x:v>
      </x:c>
      <x:c r="B68" s="15" t="str">
        <x:v>card..2924</x:v>
      </x:c>
      <x:c r="C68" s="15" t="str">
        <x:v>Border Butchery 265</x:v>
      </x:c>
      <x:c r="D68" s="38" t="n">
        <x:v>184</x:v>
      </x:c>
      <x:c r="E68" s="15" t="str">
        <x:v>ZAR</x:v>
      </x:c>
      <x:c r="F68" s="15" t="str">
        <x:v>Supplier payments</x:v>
      </x:c>
      <x:c r="G68" s="15" t="str">
        <x:v>No</x:v>
      </x:c>
      <x:c r="H68" s="38" t="n">
        <x:v>-184</x:v>
      </x:c>
      <x:c r="I68" s="15" t="str"/>
      <x:c r="J68" s="15" t="str">
        <x:v>eml_ALL_currentac__512781 (2).zip &gt; eml10currentac__512781.zip / FNB _-) R184.00 reserved for purchase @ Border Butchery 265 from Current a_c..512781 using card..2924. 21Nov 13_48.eml</x:v>
      </x:c>
    </x:row>
    <x:row r="69">
      <x:c r="A69" s="34" t="n">
        <x:v>45982.59375</x:v>
      </x:c>
      <x:c r="B69" s="15" t="str">
        <x:v>card..2924</x:v>
      </x:c>
      <x:c r="C69" s="15" t="str">
        <x:v>Marlothi Petrol Stat</x:v>
      </x:c>
      <x:c r="D69" s="38" t="n">
        <x:v>673.85</x:v>
      </x:c>
      <x:c r="E69" s="15" t="str">
        <x:v>ZAR</x:v>
      </x:c>
      <x:c r="F69" s="15" t="str">
        <x:v>Fuel / transport</x:v>
      </x:c>
      <x:c r="G69" s="15" t="str">
        <x:v>No</x:v>
      </x:c>
      <x:c r="H69" s="38" t="n">
        <x:v>-673.85</x:v>
      </x:c>
      <x:c r="I69" s="15" t="str"/>
      <x:c r="J69" s="15" t="str">
        <x:v>eml_ALL_currentac__512781 (2).zip &gt; eml10currentac__512781.zip / FNB _-) R673.85 reserved for purchase @ Marlothi Petrol Stat from Current a_c..512781 using card..2924. 21Nov 14_15.eml</x:v>
      </x:c>
    </x:row>
    <x:row r="70">
      <x:c r="A70" s="34" t="n">
        <x:v>45983.54027777778</x:v>
      </x:c>
      <x:c r="B70" s="15" t="str">
        <x:v>card..2924</x:v>
      </x:c>
      <x:c r="C70" s="15" t="str">
        <x:v>Tops Komatipoort</x:v>
      </x:c>
      <x:c r="D70" s="38" t="n">
        <x:v>493.41</x:v>
      </x:c>
      <x:c r="E70" s="15" t="str">
        <x:v>ZAR</x:v>
      </x:c>
      <x:c r="F70" s="15" t="str">
        <x:v>Meals / restaurants / entertainment</x:v>
      </x:c>
      <x:c r="G70" s="15" t="str">
        <x:v>No</x:v>
      </x:c>
      <x:c r="H70" s="38" t="n">
        <x:v>-493.41</x:v>
      </x:c>
      <x:c r="I70" s="15" t="str"/>
      <x:c r="J70" s="15" t="str">
        <x:v>eml_ALL_currentac__512781 (2).zip &gt; eml10currentac__512781.zip / FNB _-) R493.41 reserved for purchase @ Tops Komatipoort from Current a_c..512781 using card..2924. 22Nov 12_58.eml</x:v>
      </x:c>
    </x:row>
    <x:row r="71">
      <x:c r="A71" s="34" t="n">
        <x:v>45985.572916666664</x:v>
      </x:c>
      <x:c r="B71" s="15" t="str">
        <x:v>card..2924</x:v>
      </x:c>
      <x:c r="C71" s="15" t="str">
        <x:v>Savemor Marloth</x:v>
      </x:c>
      <x:c r="D71" s="38" t="n">
        <x:v>193.75</x:v>
      </x:c>
      <x:c r="E71" s="15" t="str">
        <x:v>ZAR</x:v>
      </x:c>
      <x:c r="F71" s="15" t="str">
        <x:v>Supplier payments</x:v>
      </x:c>
      <x:c r="G71" s="15" t="str">
        <x:v>No</x:v>
      </x:c>
      <x:c r="H71" s="38" t="n">
        <x:v>-193.75</x:v>
      </x:c>
      <x:c r="I71" s="15" t="str"/>
      <x:c r="J71" s="15" t="str">
        <x:v>eml_ALL_currentac__512781 (2).zip &gt; eml10currentac__512781.zip / FNB _-) R193.75 reserved for purchase @ Savemor Marloth from Current a_c..512781 using card..2924. 24Nov 13_45.eml</x:v>
      </x:c>
    </x:row>
    <x:row r="72">
      <x:c r="A72" s="34" t="n">
        <x:v>45985.618055555555</x:v>
      </x:c>
      <x:c r="B72" s="15" t="str">
        <x:v>card..2924</x:v>
      </x:c>
      <x:c r="C72" s="15" t="str">
        <x:v>Marlothi Petrol Stat</x:v>
      </x:c>
      <x:c r="D72" s="38" t="n">
        <x:v>200</x:v>
      </x:c>
      <x:c r="E72" s="15" t="str">
        <x:v>ZAR</x:v>
      </x:c>
      <x:c r="F72" s="15" t="str">
        <x:v>Fuel / transport</x:v>
      </x:c>
      <x:c r="G72" s="15" t="str">
        <x:v>No</x:v>
      </x:c>
      <x:c r="H72" s="38" t="n">
        <x:v>-200</x:v>
      </x:c>
      <x:c r="I72" s="15" t="str"/>
      <x:c r="J72" s="15" t="str">
        <x:v>eml_ALL_currentac__512781 (2).zip &gt; eml10currentac__512781.zip / FNB _-) R200.00 reserved for purchase @ Marlothi Petrol Stat from Current a_c..512781 using card..2924. 24Nov 14_50.eml</x:v>
      </x:c>
    </x:row>
    <x:row r="73">
      <x:c r="A73" s="34" t="n">
        <x:v>45987.50902777778</x:v>
      </x:c>
      <x:c r="B73" s="15" t="str">
        <x:v>card..2924</x:v>
      </x:c>
      <x:c r="C73" s="15" t="str">
        <x:v>Waterkloofgas 236</x:v>
      </x:c>
      <x:c r="D73" s="38" t="n">
        <x:v>321</x:v>
      </x:c>
      <x:c r="E73" s="15" t="str">
        <x:v>ZAR</x:v>
      </x:c>
      <x:c r="F73" s="15" t="str">
        <x:v>Card spend</x:v>
      </x:c>
      <x:c r="G73" s="15" t="str">
        <x:v>No</x:v>
      </x:c>
      <x:c r="H73" s="38" t="n">
        <x:v>-321</x:v>
      </x:c>
      <x:c r="I73" s="15" t="str"/>
      <x:c r="J73" s="15" t="str">
        <x:v>eml_ALL_currentac__512781 (2).zip &gt; eml10currentac__512781.zip / FNB _-) R321.00 reserved for purchase @ Waterkloofgas 236 from Current a_c..512781 using card..2924. 26Nov 12_13.eml</x:v>
      </x:c>
    </x:row>
    <x:row r="74">
      <x:c r="A74" s="34" t="n">
        <x:v>45987.6125</x:v>
      </x:c>
      <x:c r="B74" s="15" t="str">
        <x:v>card..2924</x:v>
      </x:c>
      <x:c r="C74" s="15" t="str">
        <x:v>Marlothi Petrol Stat</x:v>
      </x:c>
      <x:c r="D74" s="38" t="n">
        <x:v>250</x:v>
      </x:c>
      <x:c r="E74" s="15" t="str">
        <x:v>ZAR</x:v>
      </x:c>
      <x:c r="F74" s="15" t="str">
        <x:v>Fuel / transport</x:v>
      </x:c>
      <x:c r="G74" s="15" t="str">
        <x:v>No</x:v>
      </x:c>
      <x:c r="H74" s="38" t="n">
        <x:v>-250</x:v>
      </x:c>
      <x:c r="I74" s="15" t="str"/>
      <x:c r="J74" s="15" t="str">
        <x:v>eml_ALL_currentac__512781 (2).zip &gt; eml10currentac__512781.zip / FNB _-) R250.00 reserved for purchase @ Marlothi Petrol Stat from Current a_c..512781 using card..2924. 26Nov 14_42.eml</x:v>
      </x:c>
    </x:row>
    <x:row r="75">
      <x:c r="A75" s="34" t="n">
        <x:v>45987.618055555555</x:v>
      </x:c>
      <x:c r="B75" s="15" t="str">
        <x:v>card..2924</x:v>
      </x:c>
      <x:c r="C75" s="15" t="str">
        <x:v>Savemor Marloth</x:v>
      </x:c>
      <x:c r="D75" s="38" t="n">
        <x:v>181.16</x:v>
      </x:c>
      <x:c r="E75" s="15" t="str">
        <x:v>ZAR</x:v>
      </x:c>
      <x:c r="F75" s="15" t="str">
        <x:v>Supplier payments</x:v>
      </x:c>
      <x:c r="G75" s="15" t="str">
        <x:v>No</x:v>
      </x:c>
      <x:c r="H75" s="38" t="n">
        <x:v>-181.16</x:v>
      </x:c>
      <x:c r="I75" s="15" t="str"/>
      <x:c r="J75" s="15" t="str">
        <x:v>eml_ALL_currentac__512781 (2).zip &gt; eml10currentac__512781.zip / FNB _-) R181.16 reserved for purchase @ Savemor Marloth from Current a_c..512781 using card..2924. 26Nov 14_50.eml</x:v>
      </x:c>
    </x:row>
    <x:row r="76">
      <x:c r="A76" s="34" t="n">
        <x:v>45987.62222222222</x:v>
      </x:c>
      <x:c r="B76" s="15" t="str">
        <x:v>card..2924</x:v>
      </x:c>
      <x:c r="C76" s="15" t="str">
        <x:v>Savemor Marloth Liqu</x:v>
      </x:c>
      <x:c r="D76" s="38" t="n">
        <x:v>379.96</x:v>
      </x:c>
      <x:c r="E76" s="15" t="str">
        <x:v>ZAR</x:v>
      </x:c>
      <x:c r="F76" s="15" t="str">
        <x:v>Meals / restaurants / entertainment</x:v>
      </x:c>
      <x:c r="G76" s="15" t="str">
        <x:v>No</x:v>
      </x:c>
      <x:c r="H76" s="38" t="n">
        <x:v>-379.96</x:v>
      </x:c>
      <x:c r="I76" s="15" t="str"/>
      <x:c r="J76" s="15" t="str">
        <x:v>eml_ALL_currentac__512781 (2).zip &gt; eml10currentac__512781.zip / FNB _-) R379.96 reserved for purchase @ Savemor Marloth Liqu from Current a_c..512781 using card..2924. 26Nov 14_56.eml</x:v>
      </x:c>
    </x:row>
    <x:row r="77">
      <x:c r="A77" s="34" t="n">
        <x:v>45988.69097222222</x:v>
      </x:c>
      <x:c r="B77" s="15" t="str">
        <x:v>card..2924</x:v>
      </x:c>
      <x:c r="C77" s="15" t="str">
        <x:v>Savemor Marloth</x:v>
      </x:c>
      <x:c r="D77" s="38" t="n">
        <x:v>194.39</x:v>
      </x:c>
      <x:c r="E77" s="15" t="str">
        <x:v>ZAR</x:v>
      </x:c>
      <x:c r="F77" s="15" t="str">
        <x:v>Supplier payments</x:v>
      </x:c>
      <x:c r="G77" s="15" t="str">
        <x:v>No</x:v>
      </x:c>
      <x:c r="H77" s="38" t="n">
        <x:v>-194.39</x:v>
      </x:c>
      <x:c r="I77" s="15" t="str"/>
      <x:c r="J77" s="15" t="str">
        <x:v>eml_ALL_currentac__512781 (2).zip &gt; eml10currentac__512781.zip / FNB _-) R194.39 reserved for purchase @ Savemor Marloth from Current a_c..512781 using card..2924. 27Nov 16_35.eml</x:v>
      </x:c>
    </x:row>
    <x:row r="78">
      <x:c r="A78" s="34" t="n">
        <x:v>45989.50486111111</x:v>
      </x:c>
      <x:c r="B78" s="15" t="str">
        <x:v>card..2924</x:v>
      </x:c>
      <x:c r="C78" s="15" t="str">
        <x:v>Superspar Komatipoor</x:v>
      </x:c>
      <x:c r="D78" s="38" t="n">
        <x:v>1598.42</x:v>
      </x:c>
      <x:c r="E78" s="15" t="str">
        <x:v>ZAR</x:v>
      </x:c>
      <x:c r="F78" s="15" t="str">
        <x:v>Supplier payments</x:v>
      </x:c>
      <x:c r="G78" s="15" t="str">
        <x:v>No</x:v>
      </x:c>
      <x:c r="H78" s="38" t="n">
        <x:v>-1598.42</x:v>
      </x:c>
      <x:c r="I78" s="15" t="str"/>
      <x:c r="J78" s="15" t="str">
        <x:v>eml_ALL_currentac__512781 (2).zip &gt; eml10currentac__512781.zip / FNB _-) R1598.42 reserved for purchase @ Superspar Komatipoor from Current a_c..512781 using card..2924. 28Nov 12_07.eml</x:v>
      </x:c>
    </x:row>
    <x:row r="79">
      <x:c r="A79" s="34" t="n">
        <x:v>45989.518055555556</x:v>
      </x:c>
      <x:c r="B79" s="15" t="str">
        <x:v>card..2924</x:v>
      </x:c>
      <x:c r="C79" s="15" t="str">
        <x:v>Eastern Border Fuels</x:v>
      </x:c>
      <x:c r="D79" s="38" t="n">
        <x:v>250</x:v>
      </x:c>
      <x:c r="E79" s="15" t="str">
        <x:v>ZAR</x:v>
      </x:c>
      <x:c r="F79" s="15" t="str">
        <x:v>Fuel / transport</x:v>
      </x:c>
      <x:c r="G79" s="15" t="str">
        <x:v>No</x:v>
      </x:c>
      <x:c r="H79" s="38" t="n">
        <x:v>-250</x:v>
      </x:c>
      <x:c r="I79" s="15" t="str"/>
      <x:c r="J79" s="15" t="str">
        <x:v>eml_ALL_currentac__512781 (2).zip &gt; eml10currentac__512781.zip / FNB _-) R250.00 reserved for purchase @ Eastern Border Fuels from Current a_c..512781 using card..2924. 28Nov 12_26.eml</x:v>
      </x:c>
    </x:row>
    <x:row r="80">
      <x:c r="A80" s="34" t="n">
        <x:v>45990.46527777778</x:v>
      </x:c>
      <x:c r="B80" s="15" t="str">
        <x:v>card..2924</x:v>
      </x:c>
      <x:c r="C80" s="15" t="str">
        <x:v>Savemor Marloth</x:v>
      </x:c>
      <x:c r="D80" s="38" t="n">
        <x:v>181.77</x:v>
      </x:c>
      <x:c r="E80" s="15" t="str">
        <x:v>ZAR</x:v>
      </x:c>
      <x:c r="F80" s="15" t="str">
        <x:v>Supplier payments</x:v>
      </x:c>
      <x:c r="G80" s="15" t="str">
        <x:v>No</x:v>
      </x:c>
      <x:c r="H80" s="38" t="n">
        <x:v>-181.77</x:v>
      </x:c>
      <x:c r="I80" s="15" t="str"/>
      <x:c r="J80" s="15" t="str">
        <x:v>eml_ALL_currentac__512781 (2).zip &gt; eml10currentac__512781.zip / FNB _-) R181.77 reserved for purchase @ Savemor Marloth from Current a_c..512781 using card..2924. 29Nov 11_10.eml</x:v>
      </x:c>
    </x:row>
    <x:row r="81">
      <x:c r="A81" s="34" t="n">
        <x:v>45990.666666666664</x:v>
      </x:c>
      <x:c r="B81" s="15" t="str">
        <x:v>card..2924</x:v>
      </x:c>
      <x:c r="C81" s="15" t="str">
        <x:v>Savemor Marloth Liqu</x:v>
      </x:c>
      <x:c r="D81" s="38" t="n">
        <x:v>128.99</x:v>
      </x:c>
      <x:c r="E81" s="15" t="str">
        <x:v>ZAR</x:v>
      </x:c>
      <x:c r="F81" s="15" t="str">
        <x:v>Meals / restaurants / entertainment</x:v>
      </x:c>
      <x:c r="G81" s="15" t="str">
        <x:v>No</x:v>
      </x:c>
      <x:c r="H81" s="38" t="n">
        <x:v>-128.99</x:v>
      </x:c>
      <x:c r="I81" s="15" t="str"/>
      <x:c r="J81" s="15" t="str">
        <x:v>eml_ALL_currentac__512781 (2).zip &gt; eml10currentac__512781.zip / FNB _-) R128.99 reserved for purchase @ Savemor Marloth Liqu from Current a_c..512781 using card..2924. 29Nov 16_00.eml</x:v>
      </x:c>
    </x:row>
    <x:row r="82">
      <x:c r="A82" s="34" t="n">
        <x:v>46017.50069444445</x:v>
      </x:c>
      <x:c r="B82" s="15" t="str">
        <x:v>card..2924</x:v>
      </x:c>
      <x:c r="C82" s="15" t="str">
        <x:v>Superspar Malelane</x:v>
      </x:c>
      <x:c r="D82" s="38" t="n">
        <x:v>199.26</x:v>
      </x:c>
      <x:c r="E82" s="15" t="str">
        <x:v>ZAR</x:v>
      </x:c>
      <x:c r="F82" s="15" t="str">
        <x:v>Supplier payments</x:v>
      </x:c>
      <x:c r="G82" s="15" t="str">
        <x:v>No</x:v>
      </x:c>
      <x:c r="H82" s="38" t="n">
        <x:v>-199.26</x:v>
      </x:c>
      <x:c r="I82" s="15" t="str"/>
      <x:c r="J82" s="15" t="str">
        <x:v>eml_ALL_currentac__512781 (2).zip &gt; eml8currentac__512781.zip / FNB _-) R199.26 reserved for purchase @ Superspar Malelane from Current a_c..512781 using card..2924. 26Dec 12_01.eml</x:v>
      </x:c>
    </x:row>
    <x:row r="83">
      <x:c r="A83" s="34" t="n">
        <x:v>46018.48541666667</x:v>
      </x:c>
      <x:c r="B83" s="15" t="str">
        <x:v>card..2924</x:v>
      </x:c>
      <x:c r="C83" s="15" t="str">
        <x:v>Autozone Malelane</x:v>
      </x:c>
      <x:c r="D83" s="38" t="n">
        <x:v>140</x:v>
      </x:c>
      <x:c r="E83" s="15" t="str">
        <x:v>ZAR</x:v>
      </x:c>
      <x:c r="F83" s="15" t="str">
        <x:v>Card spend</x:v>
      </x:c>
      <x:c r="G83" s="15" t="str">
        <x:v>No</x:v>
      </x:c>
      <x:c r="H83" s="38" t="n">
        <x:v>-140</x:v>
      </x:c>
      <x:c r="I83" s="15" t="str"/>
      <x:c r="J83" s="15" t="str">
        <x:v>eml_ALL_currentac__512781 (2).zip &gt; eml8currentac__512781.zip / FNB _-) R140.00 reserved for purchase @ Autozone Malelane from Current a_c..512781 using card..2924. 27Dec 11_39.eml</x:v>
      </x:c>
    </x:row>
    <x:row r="84">
      <x:c r="A84" s="34" t="n">
        <x:v>46018.49930555555</x:v>
      </x:c>
      <x:c r="B84" s="15" t="str">
        <x:v>card..2924</x:v>
      </x:c>
      <x:c r="C84" s="15" t="str">
        <x:v>Pnp Fam Malelane</x:v>
      </x:c>
      <x:c r="D84" s="38" t="n">
        <x:v>184.4</x:v>
      </x:c>
      <x:c r="E84" s="15" t="str">
        <x:v>ZAR</x:v>
      </x:c>
      <x:c r="F84" s="15" t="str">
        <x:v>Card spend</x:v>
      </x:c>
      <x:c r="G84" s="15" t="str">
        <x:v>No</x:v>
      </x:c>
      <x:c r="H84" s="38" t="n">
        <x:v>-184.4</x:v>
      </x:c>
      <x:c r="I84" s="15" t="str"/>
      <x:c r="J84" s="15" t="str">
        <x:v>eml_ALL_currentac__512781 (2).zip &gt; eml8currentac__512781.zip / FNB _-) R184.40 reserved for purchase @ Pnp Fam Malelane from Current a_c..512781 using card..2924. 27Dec 11_59.eml</x:v>
      </x:c>
    </x:row>
    <x:row r="85">
      <x:c r="A85" s="34" t="n">
        <x:v>46018.524305555555</x:v>
      </x:c>
      <x:c r="B85" s="15" t="str">
        <x:v>card..2924</x:v>
      </x:c>
      <x:c r="C85" s="15" t="str">
        <x:v>Woolworths</x:v>
      </x:c>
      <x:c r="D85" s="38" t="n">
        <x:v>497.39</x:v>
      </x:c>
      <x:c r="E85" s="15" t="str">
        <x:v>ZAR</x:v>
      </x:c>
      <x:c r="F85" s="15" t="str">
        <x:v>Supplier payments</x:v>
      </x:c>
      <x:c r="G85" s="15" t="str">
        <x:v>No</x:v>
      </x:c>
      <x:c r="H85" s="38" t="n">
        <x:v>-497.39</x:v>
      </x:c>
      <x:c r="I85" s="15" t="str"/>
      <x:c r="J85" s="15" t="str">
        <x:v>eml_ALL_currentac__512781 (2).zip &gt; eml8currentac__512781.zip / FNB _-) R497.39 reserved for purchase @ Woolworths from Current a_c..512781 using card..2924. 27Dec 12_35.eml</x:v>
      </x:c>
    </x:row>
    <x:row r="86">
      <x:c r="A86" s="34" t="n">
        <x:v>46018.56180555555</x:v>
      </x:c>
      <x:c r="B86" s="15" t="str">
        <x:v>card..2924</x:v>
      </x:c>
      <x:c r="C86" s="15" t="str">
        <x:v>Superspar Malelane</x:v>
      </x:c>
      <x:c r="D86" s="38" t="n">
        <x:v>1065.69</x:v>
      </x:c>
      <x:c r="E86" s="15" t="str">
        <x:v>ZAR</x:v>
      </x:c>
      <x:c r="F86" s="15" t="str">
        <x:v>Supplier payments</x:v>
      </x:c>
      <x:c r="G86" s="15" t="str">
        <x:v>No</x:v>
      </x:c>
      <x:c r="H86" s="38" t="n">
        <x:v>-1065.69</x:v>
      </x:c>
      <x:c r="I86" s="15" t="str"/>
      <x:c r="J86" s="15" t="str">
        <x:v>eml_ALL_currentac__512781 (2).zip &gt; eml8currentac__512781.zip / FNB _-) R1065.69 reserved for purchase @ Superspar Malelane from Current a_c..512781 using card..2924. 27Dec 13_29.eml</x:v>
      </x:c>
    </x:row>
    <x:row r="87">
      <x:c r="A87" s="34" t="n">
        <x:v>46019.38125</x:v>
      </x:c>
      <x:c r="B87" s="15" t="str">
        <x:v>card..2924</x:v>
      </x:c>
      <x:c r="C87" s="15" t="str">
        <x:v>Marlothi Petrol Stat</x:v>
      </x:c>
      <x:c r="D87" s="38" t="n">
        <x:v>200</x:v>
      </x:c>
      <x:c r="E87" s="15" t="str">
        <x:v>ZAR</x:v>
      </x:c>
      <x:c r="F87" s="15" t="str">
        <x:v>Fuel / transport</x:v>
      </x:c>
      <x:c r="G87" s="15" t="str">
        <x:v>No</x:v>
      </x:c>
      <x:c r="H87" s="38" t="n">
        <x:v>-200</x:v>
      </x:c>
      <x:c r="I87" s="15" t="str"/>
      <x:c r="J87" s="15" t="str">
        <x:v>eml_ALL_currentac__512781 (2).zip &gt; eml8currentac__512781.zip / FNB _-) R200.00 reserved for purchase @ Marlothi Petrol Stat from Current a_c..512781 using card..2924. 28Dec 09_09.eml</x:v>
      </x:c>
    </x:row>
    <x:row r="88">
      <x:c r="A88" s="34" t="n">
        <x:v>46019.52777777778</x:v>
      </x:c>
      <x:c r="B88" s="15" t="str">
        <x:v>card..2924</x:v>
      </x:c>
      <x:c r="C88" s="15" t="str">
        <x:v>Savemor Marloth</x:v>
      </x:c>
      <x:c r="D88" s="38" t="n">
        <x:v>101.89</x:v>
      </x:c>
      <x:c r="E88" s="15" t="str">
        <x:v>ZAR</x:v>
      </x:c>
      <x:c r="F88" s="15" t="str">
        <x:v>Supplier payments</x:v>
      </x:c>
      <x:c r="G88" s="15" t="str">
        <x:v>No</x:v>
      </x:c>
      <x:c r="H88" s="38" t="n">
        <x:v>-101.89</x:v>
      </x:c>
      <x:c r="I88" s="15" t="str"/>
      <x:c r="J88" s="15" t="str">
        <x:v>eml_ALL_currentac__512781 (2).zip &gt; eml8currentac__512781.zip / FNB _-) R101.89 reserved for purchase @ Savemor Marloth from Current a_c..512781 using card..2924. 28Dec 12_40.eml</x:v>
      </x:c>
    </x:row>
    <x:row r="89">
      <x:c r="A89" s="34" t="n">
        <x:v>46019.82638888889</x:v>
      </x:c>
      <x:c r="B89" s="15" t="str">
        <x:v>card..2924</x:v>
      </x:c>
      <x:c r="C89" s="15" t="str">
        <x:v>The Tin Shack</x:v>
      </x:c>
      <x:c r="D89" s="38" t="n">
        <x:v>175</x:v>
      </x:c>
      <x:c r="E89" s="15" t="str">
        <x:v>ZAR</x:v>
      </x:c>
      <x:c r="F89" s="15" t="str">
        <x:v>Meals / restaurants / entertainment</x:v>
      </x:c>
      <x:c r="G89" s="15" t="str">
        <x:v>No</x:v>
      </x:c>
      <x:c r="H89" s="38" t="n">
        <x:v>-175</x:v>
      </x:c>
      <x:c r="I89" s="15" t="str"/>
      <x:c r="J89" s="15" t="str">
        <x:v>eml_ALL_currentac__512781 (2).zip &gt; eml8currentac__512781.zip / FNB _-) R175.00 reserved for purchase @ The Tin Shack from Current a_c..512781 using card..2924. 28Dec 19_50.eml</x:v>
      </x:c>
    </x:row>
    <x:row r="90">
      <x:c r="A90" s="34" t="n">
        <x:v>46020.646527777775</x:v>
      </x:c>
      <x:c r="B90" s="15" t="str">
        <x:v>card..2924</x:v>
      </x:c>
      <x:c r="C90" s="15" t="str">
        <x:v>Savemor Marloth</x:v>
      </x:c>
      <x:c r="D90" s="38" t="n">
        <x:v>149.93</x:v>
      </x:c>
      <x:c r="E90" s="15" t="str">
        <x:v>ZAR</x:v>
      </x:c>
      <x:c r="F90" s="15" t="str">
        <x:v>Supplier payments</x:v>
      </x:c>
      <x:c r="G90" s="15" t="str">
        <x:v>No</x:v>
      </x:c>
      <x:c r="H90" s="38" t="n">
        <x:v>-149.93</x:v>
      </x:c>
      <x:c r="I90" s="15" t="str"/>
      <x:c r="J90" s="15" t="str">
        <x:v>eml_ALL_currentac__512781 (2).zip &gt; eml8currentac__512781.zip / FNB _-) R149.93 reserved for purchase @ Savemor Marloth from Current a_c..512781 using card..2924. 29Dec 15_31.eml</x:v>
      </x:c>
    </x:row>
    <x:row r="91">
      <x:c r="A91" s="34" t="n">
        <x:v>46021.52638888889</x:v>
      </x:c>
      <x:c r="B91" s="15" t="str">
        <x:v>card..2924</x:v>
      </x:c>
      <x:c r="C91" s="15" t="str">
        <x:v>Autozone Malelane</x:v>
      </x:c>
      <x:c r="D91" s="38" t="n">
        <x:v>2300</x:v>
      </x:c>
      <x:c r="E91" s="15" t="str">
        <x:v>ZAR</x:v>
      </x:c>
      <x:c r="F91" s="15" t="str">
        <x:v>Card spend</x:v>
      </x:c>
      <x:c r="G91" s="15" t="str">
        <x:v>No</x:v>
      </x:c>
      <x:c r="H91" s="38" t="n">
        <x:v>-2300</x:v>
      </x:c>
      <x:c r="I91" s="15" t="str"/>
      <x:c r="J91" s="15" t="str">
        <x:v>eml_ALL_currentac__512781 (2).zip &gt; eml8currentac__512781.zip / FNB _-) R2300.00 reserved for purchase @ Autozone Malelane from Current a_c..512781 using card..2924. 30Dec 12_38.eml</x:v>
      </x:c>
    </x:row>
    <x:row r="92">
      <x:c r="A92" s="34" t="n">
        <x:v>46021.563888888886</x:v>
      </x:c>
      <x:c r="B92" s="15" t="str">
        <x:v>card..2924</x:v>
      </x:c>
      <x:c r="C92" s="15" t="str">
        <x:v>Superspar Malelane</x:v>
      </x:c>
      <x:c r="D92" s="38" t="n">
        <x:v>1461.38</x:v>
      </x:c>
      <x:c r="E92" s="15" t="str">
        <x:v>ZAR</x:v>
      </x:c>
      <x:c r="F92" s="15" t="str">
        <x:v>Supplier payments</x:v>
      </x:c>
      <x:c r="G92" s="15" t="str">
        <x:v>No</x:v>
      </x:c>
      <x:c r="H92" s="38" t="n">
        <x:v>-1461.38</x:v>
      </x:c>
      <x:c r="I92" s="15" t="str"/>
      <x:c r="J92" s="15" t="str">
        <x:v>eml_ALL_currentac__512781 (2).zip &gt; eml8currentac__512781.zip / FNB _-) R1461.38 reserved for purchase @ Superspar Malelane from Current a_c..512781 using card..2924. 30Dec 13_32.eml</x:v>
      </x:c>
    </x:row>
    <x:row r="93">
      <x:c r="A93" s="34" t="n">
        <x:v>46021.575694444444</x:v>
      </x:c>
      <x:c r="B93" s="15" t="str">
        <x:v>card..2924</x:v>
      </x:c>
      <x:c r="C93" s="15" t="str">
        <x:v>Tops Malelane</x:v>
      </x:c>
      <x:c r="D93" s="38" t="n">
        <x:v>154.98</x:v>
      </x:c>
      <x:c r="E93" s="15" t="str">
        <x:v>ZAR</x:v>
      </x:c>
      <x:c r="F93" s="15" t="str">
        <x:v>Meals / restaurants / entertainment</x:v>
      </x:c>
      <x:c r="G93" s="15" t="str">
        <x:v>No</x:v>
      </x:c>
      <x:c r="H93" s="38" t="n">
        <x:v>-154.98</x:v>
      </x:c>
      <x:c r="I93" s="15" t="str"/>
      <x:c r="J93" s="15" t="str">
        <x:v>eml_ALL_currentac__512781 (2).zip &gt; eml8currentac__512781.zip / FNB _-) R154.98 reserved for purchase @ Tops Malelane from Current a_c..512781 using card..2924. 30Dec 13_49.eml</x:v>
      </x:c>
    </x:row>
    <x:row r="94">
      <x:c r="A94" s="34" t="n">
        <x:v>46022.481944444444</x:v>
      </x:c>
      <x:c r="B94" s="15" t="str">
        <x:v>card..2924</x:v>
      </x:c>
      <x:c r="C94" s="15" t="str">
        <x:v>Savemor Marloth Liqu</x:v>
      </x:c>
      <x:c r="D94" s="38" t="n">
        <x:v>235.98</x:v>
      </x:c>
      <x:c r="E94" s="15" t="str">
        <x:v>ZAR</x:v>
      </x:c>
      <x:c r="F94" s="15" t="str">
        <x:v>Meals / restaurants / entertainment</x:v>
      </x:c>
      <x:c r="G94" s="15" t="str">
        <x:v>No</x:v>
      </x:c>
      <x:c r="H94" s="38" t="n">
        <x:v>-235.98</x:v>
      </x:c>
      <x:c r="I94" s="15" t="str"/>
      <x:c r="J94" s="15" t="str">
        <x:v>eml_ALL_currentac__512781 (2).zip &gt; eml8currentac__512781.zip / FNB _-) R235.98 reserved for purchase @ Savemor Marloth Liqu from Current a_c..512781 using card..2924. 31Dec 11_34.eml</x:v>
      </x:c>
    </x:row>
    <x:row r="95">
      <x:c r="A95" s="34" t="n">
        <x:v>46022.48819444444</x:v>
      </x:c>
      <x:c r="B95" s="15" t="str">
        <x:v>card..2924</x:v>
      </x:c>
      <x:c r="C95" s="15" t="str">
        <x:v>Savemor Marloth</x:v>
      </x:c>
      <x:c r="D95" s="38" t="n">
        <x:v>447.95</x:v>
      </x:c>
      <x:c r="E95" s="15" t="str">
        <x:v>ZAR</x:v>
      </x:c>
      <x:c r="F95" s="15" t="str">
        <x:v>Supplier payments</x:v>
      </x:c>
      <x:c r="G95" s="15" t="str">
        <x:v>No</x:v>
      </x:c>
      <x:c r="H95" s="38" t="n">
        <x:v>-447.95</x:v>
      </x:c>
      <x:c r="I95" s="15" t="str"/>
      <x:c r="J95" s="15" t="str">
        <x:v>eml_ALL_currentac__512781 (2).zip &gt; eml8currentac__512781.zip / FNB _-) R447.95 reserved for purchase @ Savemor Marloth from Current a_c..512781 using card..2924. 31Dec 11_43.eml</x:v>
      </x:c>
    </x:row>
    <x:row r="96">
      <x:c r="A96" s="34" t="n">
        <x:v>46024.325694444444</x:v>
      </x:c>
      <x:c r="B96" s="15" t="str">
        <x:v>card..2924</x:v>
      </x:c>
      <x:c r="C96" s="15" t="str">
        <x:v>Marlothi Petrol Stat</x:v>
      </x:c>
      <x:c r="D96" s="38" t="n">
        <x:v>400</x:v>
      </x:c>
      <x:c r="E96" s="15" t="str">
        <x:v>ZAR</x:v>
      </x:c>
      <x:c r="F96" s="15" t="str">
        <x:v>Fuel / transport</x:v>
      </x:c>
      <x:c r="G96" s="15" t="str">
        <x:v>No</x:v>
      </x:c>
      <x:c r="H96" s="38" t="n">
        <x:v>-400</x:v>
      </x:c>
      <x:c r="I96" s="15" t="str"/>
      <x:c r="J96" s="15" t="str">
        <x:v>eml_ALL_currentac__512781 (2).zip &gt; eml8currentac__512781.zip / FNB _-) R400.00 reserved for purchase @ Marlothi Petrol Stat from Current a_c..512781 using card..2924.  2Jan 07_49.eml</x:v>
      </x:c>
    </x:row>
    <x:row r="97">
      <x:c r="A97" s="34" t="n">
        <x:v>46024.677083333336</x:v>
      </x:c>
      <x:c r="B97" s="15" t="str">
        <x:v>card..2924</x:v>
      </x:c>
      <x:c r="C97" s="15" t="str">
        <x:v>Savemor Marloth</x:v>
      </x:c>
      <x:c r="D97" s="38" t="n">
        <x:v>346.43</x:v>
      </x:c>
      <x:c r="E97" s="15" t="str">
        <x:v>ZAR</x:v>
      </x:c>
      <x:c r="F97" s="15" t="str">
        <x:v>Supplier payments</x:v>
      </x:c>
      <x:c r="G97" s="15" t="str">
        <x:v>No</x:v>
      </x:c>
      <x:c r="H97" s="38" t="n">
        <x:v>-346.43</x:v>
      </x:c>
      <x:c r="I97" s="15" t="str"/>
      <x:c r="J97" s="15" t="str">
        <x:v>eml_ALL_currentac__512781 (2).zip &gt; eml8currentac__512781.zip / FNB _-) R346.43 reserved for purchase @ Savemor Marloth from Current a_c..512781 using card..2924.  2Jan 16_15.eml</x:v>
      </x:c>
    </x:row>
    <x:row r="98">
      <x:c r="A98" s="34" t="n">
        <x:v>46025.45763888889</x:v>
      </x:c>
      <x:c r="B98" s="15" t="str">
        <x:v>card..2924</x:v>
      </x:c>
      <x:c r="C98" s="15" t="str">
        <x:v>Shoprite Komatipoort</x:v>
      </x:c>
      <x:c r="D98" s="38" t="n">
        <x:v>1008.54</x:v>
      </x:c>
      <x:c r="E98" s="15" t="str">
        <x:v>ZAR</x:v>
      </x:c>
      <x:c r="F98" s="15" t="str">
        <x:v>Supplier payments</x:v>
      </x:c>
      <x:c r="G98" s="15" t="str">
        <x:v>No</x:v>
      </x:c>
      <x:c r="H98" s="38" t="n">
        <x:v>-1008.54</x:v>
      </x:c>
      <x:c r="I98" s="15" t="str"/>
      <x:c r="J98" s="15" t="str">
        <x:v>eml_ALL_currentac__512781 (2).zip &gt; eml8currentac__512781.zip / FNB _-) R1008.54 reserved for purchase @ Shoprite Komatipoort from Current a_c..512781 using card..2924.  3Jan 10_59.eml</x:v>
      </x:c>
    </x:row>
    <x:row r="99">
      <x:c r="A99" s="34" t="n">
        <x:v>46025.49444444444</x:v>
      </x:c>
      <x:c r="B99" s="15" t="str">
        <x:v>card..2924</x:v>
      </x:c>
      <x:c r="C99" s="15" t="str">
        <x:v>Superspar Komatipoor</x:v>
      </x:c>
      <x:c r="D99" s="38" t="n">
        <x:v>1755.7</x:v>
      </x:c>
      <x:c r="E99" s="15" t="str">
        <x:v>ZAR</x:v>
      </x:c>
      <x:c r="F99" s="15" t="str">
        <x:v>Supplier payments</x:v>
      </x:c>
      <x:c r="G99" s="15" t="str">
        <x:v>No</x:v>
      </x:c>
      <x:c r="H99" s="38" t="n">
        <x:v>-1755.7</x:v>
      </x:c>
      <x:c r="I99" s="15" t="str"/>
      <x:c r="J99" s="15" t="str">
        <x:v>eml_ALL_currentac__512781 (2).zip &gt; eml8currentac__512781.zip / FNB _-) R1755.70 reserved for purchase @ Superspar Komatipoor from Current a_c..512781 using card..2924.  3Jan 11_52.eml</x:v>
      </x:c>
    </x:row>
    <x:row r="100">
      <x:c r="A100" s="34" t="n">
        <x:v>46025.50347222222</x:v>
      </x:c>
      <x:c r="B100" s="15" t="str">
        <x:v>card..2924</x:v>
      </x:c>
      <x:c r="C100" s="15" t="str">
        <x:v>Tops Komatipoort</x:v>
      </x:c>
      <x:c r="D100" s="38" t="n">
        <x:v>192</x:v>
      </x:c>
      <x:c r="E100" s="15" t="str">
        <x:v>ZAR</x:v>
      </x:c>
      <x:c r="F100" s="15" t="str">
        <x:v>Meals / restaurants / entertainment</x:v>
      </x:c>
      <x:c r="G100" s="15" t="str">
        <x:v>No</x:v>
      </x:c>
      <x:c r="H100" s="38" t="n">
        <x:v>-192</x:v>
      </x:c>
      <x:c r="I100" s="15" t="str"/>
      <x:c r="J100" s="15" t="str">
        <x:v>eml_ALL_currentac__512781 (2).zip &gt; eml8currentac__512781.zip / FNB _-) R192.00 reserved for purchase @ Tops Komatipoort from Current a_c..512781 using card..2924.  3Jan 12_05.eml</x:v>
      </x:c>
    </x:row>
    <x:row r="101">
      <x:c r="A101" s="34" t="n">
        <x:v>46025.5125</x:v>
      </x:c>
      <x:c r="B101" s="15" t="str">
        <x:v>card..2924</x:v>
      </x:c>
      <x:c r="C101" s="15" t="str">
        <x:v>Oasis Water Komatipo</x:v>
      </x:c>
      <x:c r="D101" s="38" t="n">
        <x:v>112.8</x:v>
      </x:c>
      <x:c r="E101" s="15" t="str">
        <x:v>ZAR</x:v>
      </x:c>
      <x:c r="F101" s="15" t="str">
        <x:v>Supplier payments</x:v>
      </x:c>
      <x:c r="G101" s="15" t="str">
        <x:v>No</x:v>
      </x:c>
      <x:c r="H101" s="38" t="n">
        <x:v>-112.8</x:v>
      </x:c>
      <x:c r="I101" s="15" t="str"/>
      <x:c r="J101" s="15" t="str">
        <x:v>eml_ALL_currentac__512781 (2).zip &gt; eml8currentac__512781.zip / FNB _-) R112.80 reserved for purchase @ Oasis Water Komatipo from Current a_c..512781 using card..2924.  3Jan 12_18.eml</x:v>
      </x:c>
    </x:row>
    <x:row r="102">
      <x:c r="A102" s="34" t="n">
        <x:v>46025.595138888886</x:v>
      </x:c>
      <x:c r="B102" s="15" t="str">
        <x:v>card..2924</x:v>
      </x:c>
      <x:c r="C102" s="15" t="str">
        <x:v>Savemor Marloth</x:v>
      </x:c>
      <x:c r="D102" s="38" t="n">
        <x:v>106.45</x:v>
      </x:c>
      <x:c r="E102" s="15" t="str">
        <x:v>ZAR</x:v>
      </x:c>
      <x:c r="F102" s="15" t="str">
        <x:v>Supplier payments</x:v>
      </x:c>
      <x:c r="G102" s="15" t="str">
        <x:v>No</x:v>
      </x:c>
      <x:c r="H102" s="38" t="n">
        <x:v>-106.45</x:v>
      </x:c>
      <x:c r="I102" s="15" t="str"/>
      <x:c r="J102" s="15" t="str">
        <x:v>eml_ALL_currentac__512781 (2).zip &gt; eml8currentac__512781.zip / FNB _-) R106.45 reserved for purchase @ Savemor Marloth from Current a_c..512781 using card..2924.  3Jan 14_17.eml</x:v>
      </x:c>
    </x:row>
    <x:row r="103">
      <x:c r="A103" s="34" t="n">
        <x:v>46026.51180555556</x:v>
      </x:c>
      <x:c r="B103" s="15" t="str">
        <x:v>card..2924</x:v>
      </x:c>
      <x:c r="C103" s="15" t="str">
        <x:v>Atmh11960000001</x:v>
      </x:c>
      <x:c r="D103" s="38" t="n">
        <x:v>400</x:v>
      </x:c>
      <x:c r="E103" s="15" t="str">
        <x:v>ZAR</x:v>
      </x:c>
      <x:c r="F103" s="15" t="str">
        <x:v>Cash withdrawal</x:v>
      </x:c>
      <x:c r="G103" s="15" t="str">
        <x:v>No</x:v>
      </x:c>
      <x:c r="H103" s="38" t="n">
        <x:v>-400</x:v>
      </x:c>
      <x:c r="I103" s="15" t="str">
        <x:v>Atmh11960000001</x:v>
      </x:c>
      <x:c r="J103" s="15" t="str">
        <x:v>eml_ALL_currentac__512781 (2).zip &gt; eml8currentac__512781.zip / FNB _-) R400.00 withdrawn from Current a_c..512781 using card..2924 @ Atmh11960000001.  4Jan 12_17.eml</x:v>
      </x:c>
    </x:row>
    <x:row r="104">
      <x:c r="A104" s="34" t="n">
        <x:v>46026.51875</x:v>
      </x:c>
      <x:c r="B104" s="15" t="str">
        <x:v>card..2924</x:v>
      </x:c>
      <x:c r="C104" s="15" t="str">
        <x:v>Savemor Marloth</x:v>
      </x:c>
      <x:c r="D104" s="38" t="n">
        <x:v>228.07</x:v>
      </x:c>
      <x:c r="E104" s="15" t="str">
        <x:v>ZAR</x:v>
      </x:c>
      <x:c r="F104" s="15" t="str">
        <x:v>Supplier payments</x:v>
      </x:c>
      <x:c r="G104" s="15" t="str">
        <x:v>No</x:v>
      </x:c>
      <x:c r="H104" s="38" t="n">
        <x:v>-228.07</x:v>
      </x:c>
      <x:c r="I104" s="15" t="str"/>
      <x:c r="J104" s="15" t="str">
        <x:v>eml_ALL_currentac__512781 (2).zip &gt; eml8currentac__512781.zip / FNB _-) R228.07 reserved for purchase @ Savemor Marloth from Current a_c..512781 using card..2924.  4Jan 12_27.eml</x:v>
      </x:c>
    </x:row>
    <x:row r="105">
      <x:c r="A105" s="34" t="n">
        <x:v>46027.60138888889</x:v>
      </x:c>
      <x:c r="B105" s="15" t="str">
        <x:v>card..2924</x:v>
      </x:c>
      <x:c r="C105" s="15" t="str">
        <x:v>Superspar Komatipoor</x:v>
      </x:c>
      <x:c r="D105" s="38" t="n">
        <x:v>1302.06</x:v>
      </x:c>
      <x:c r="E105" s="15" t="str">
        <x:v>ZAR</x:v>
      </x:c>
      <x:c r="F105" s="15" t="str">
        <x:v>Supplier payments</x:v>
      </x:c>
      <x:c r="G105" s="15" t="str">
        <x:v>No</x:v>
      </x:c>
      <x:c r="H105" s="38" t="n">
        <x:v>-1302.06</x:v>
      </x:c>
      <x:c r="I105" s="15" t="str"/>
      <x:c r="J105" s="15" t="str">
        <x:v>eml_ALL_currentac__512781 (2).zip &gt; eml8currentac__512781.zip / FNB _-) R1302.06 reserved for purchase @ Superspar Komatipoor from Current a_c..512781 using card..2924.  5Jan 14_26.eml</x:v>
      </x:c>
    </x:row>
    <x:row r="106">
      <x:c r="A106" s="34" t="n">
        <x:v>46027.63680555556</x:v>
      </x:c>
      <x:c r="B106" s="15" t="str">
        <x:v>card..2924</x:v>
      </x:c>
      <x:c r="C106" s="15" t="str">
        <x:v>Savemor Marloth</x:v>
      </x:c>
      <x:c r="D106" s="38" t="n">
        <x:v>1148.38</x:v>
      </x:c>
      <x:c r="E106" s="15" t="str">
        <x:v>ZAR</x:v>
      </x:c>
      <x:c r="F106" s="15" t="str">
        <x:v>Supplier payments</x:v>
      </x:c>
      <x:c r="G106" s="15" t="str">
        <x:v>No</x:v>
      </x:c>
      <x:c r="H106" s="38" t="n">
        <x:v>-1148.38</x:v>
      </x:c>
      <x:c r="I106" s="15" t="str"/>
      <x:c r="J106" s="15" t="str">
        <x:v>eml_ALL_currentac__512781 (2).zip &gt; eml8currentac__512781.zip / FNB _-) R1148.38 reserved for purchase @ Savemor Marloth from Current a_c..512781 using card..2924.  5Jan 15_17.eml</x:v>
      </x:c>
    </x:row>
    <x:row r="107">
      <x:c r="A107" s="34" t="n">
        <x:v>46027.64444444444</x:v>
      </x:c>
      <x:c r="B107" s="15" t="str">
        <x:v>card..2924</x:v>
      </x:c>
      <x:c r="C107" s="15" t="str">
        <x:v>Marlothi Petrol Stat</x:v>
      </x:c>
      <x:c r="D107" s="38" t="n">
        <x:v>300</x:v>
      </x:c>
      <x:c r="E107" s="15" t="str">
        <x:v>ZAR</x:v>
      </x:c>
      <x:c r="F107" s="15" t="str">
        <x:v>Fuel / transport</x:v>
      </x:c>
      <x:c r="G107" s="15" t="str">
        <x:v>No</x:v>
      </x:c>
      <x:c r="H107" s="38" t="n">
        <x:v>-300</x:v>
      </x:c>
      <x:c r="I107" s="15" t="str"/>
      <x:c r="J107" s="15" t="str">
        <x:v>eml_ALL_currentac__512781 (2).zip &gt; eml8currentac__512781.zip / FNB _-) R300.00 reserved for purchase @ Marlothi Petrol Stat from Current a_c..512781 using card..2924.  5Jan 15_28.eml</x:v>
      </x:c>
    </x:row>
    <x:row r="108">
      <x:c r="A108" s="34" t="n">
        <x:v>46028.623611111114</x:v>
      </x:c>
      <x:c r="B108" s="15" t="str">
        <x:v>card..2924</x:v>
      </x:c>
      <x:c r="C108" s="15" t="str">
        <x:v>Savemor Marloth</x:v>
      </x:c>
      <x:c r="D108" s="38" t="n">
        <x:v>108.96</x:v>
      </x:c>
      <x:c r="E108" s="15" t="str">
        <x:v>ZAR</x:v>
      </x:c>
      <x:c r="F108" s="15" t="str">
        <x:v>Supplier payments</x:v>
      </x:c>
      <x:c r="G108" s="15" t="str">
        <x:v>No</x:v>
      </x:c>
      <x:c r="H108" s="38" t="n">
        <x:v>-108.96</x:v>
      </x:c>
      <x:c r="I108" s="15" t="str"/>
      <x:c r="J108" s="15" t="str">
        <x:v>eml_ALL_currentac__512781 (2).zip &gt; eml8currentac__512781.zip / FNB _-) R108.96 reserved for purchase @ Savemor Marloth from Current a_c..512781 using card..2924.  6Jan 14_58.eml</x:v>
      </x:c>
    </x:row>
    <x:row r="109">
      <x:c r="A109" s="34" t="n">
        <x:v>46028.62708333333</x:v>
      </x:c>
      <x:c r="B109" s="15" t="str">
        <x:v>card..2924</x:v>
      </x:c>
      <x:c r="C109" s="15" t="str">
        <x:v>Savemor Marloth Liqu</x:v>
      </x:c>
      <x:c r="D109" s="38" t="n">
        <x:v>101.48</x:v>
      </x:c>
      <x:c r="E109" s="15" t="str">
        <x:v>ZAR</x:v>
      </x:c>
      <x:c r="F109" s="15" t="str">
        <x:v>Meals / restaurants / entertainment</x:v>
      </x:c>
      <x:c r="G109" s="15" t="str">
        <x:v>No</x:v>
      </x:c>
      <x:c r="H109" s="38" t="n">
        <x:v>-101.48</x:v>
      </x:c>
      <x:c r="I109" s="15" t="str"/>
      <x:c r="J109" s="15" t="str">
        <x:v>eml_ALL_currentac__512781 (2).zip &gt; eml8currentac__512781.zip / FNB _-) R101.48 reserved for purchase @ Savemor Marloth Liqu from Current a_c..512781 using card..2924.  6Jan 15_03.eml</x:v>
      </x:c>
    </x:row>
    <x:row r="110">
      <x:c r="A110" s="34" t="n">
        <x:v>46029.615277777775</x:v>
      </x:c>
      <x:c r="B110" s="15" t="str">
        <x:v>card..2924</x:v>
      </x:c>
      <x:c r="C110" s="15" t="str">
        <x:v>Sasol Emkhatsini</x:v>
      </x:c>
      <x:c r="D110" s="38" t="n">
        <x:v>300</x:v>
      </x:c>
      <x:c r="E110" s="15" t="str">
        <x:v>ZAR</x:v>
      </x:c>
      <x:c r="F110" s="15" t="str">
        <x:v>Fuel / transport</x:v>
      </x:c>
      <x:c r="G110" s="15" t="str">
        <x:v>No</x:v>
      </x:c>
      <x:c r="H110" s="38" t="n">
        <x:v>-300</x:v>
      </x:c>
      <x:c r="I110" s="15" t="str"/>
      <x:c r="J110" s="15" t="str">
        <x:v>eml_ALL_currentac__512781 (2).zip &gt; eml8currentac__512781.zip / FNB _-) R300.00 reserved for purchase @ Sasol Emkhatsini from Current a_c..512781 using card..2924.  7Jan 14_46.eml</x:v>
      </x:c>
    </x:row>
    <x:row r="111">
      <x:c r="A111" s="34" t="n">
        <x:v>46030.629166666666</x:v>
      </x:c>
      <x:c r="B111" s="15" t="str">
        <x:v>card..2924</x:v>
      </x:c>
      <x:c r="C111" s="15" t="str">
        <x:v>Savemor Marloth</x:v>
      </x:c>
      <x:c r="D111" s="38" t="n">
        <x:v>128.33</x:v>
      </x:c>
      <x:c r="E111" s="15" t="str">
        <x:v>ZAR</x:v>
      </x:c>
      <x:c r="F111" s="15" t="str">
        <x:v>Supplier payments</x:v>
      </x:c>
      <x:c r="G111" s="15" t="str">
        <x:v>No</x:v>
      </x:c>
      <x:c r="H111" s="38" t="n">
        <x:v>-128.33</x:v>
      </x:c>
      <x:c r="I111" s="15" t="str"/>
      <x:c r="J111" s="15" t="str">
        <x:v>eml_ALL_currentac__512781 (2).zip &gt; eml8currentac__512781.zip / FNB _-) R128.33 reserved for purchase @ Savemor Marloth from Current a_c..512781 using card..2924.  8Jan 15_06.eml</x:v>
      </x:c>
    </x:row>
    <x:row r="112">
      <x:c r="A112" s="34" t="n">
        <x:v>46030.64791666667</x:v>
      </x:c>
      <x:c r="B112" s="15" t="str">
        <x:v>card..2924</x:v>
      </x:c>
      <x:c r="C112" s="15" t="str">
        <x:v>Daisys Den 77</x:v>
      </x:c>
      <x:c r="D112" s="38" t="n">
        <x:v>210</x:v>
      </x:c>
      <x:c r="E112" s="15" t="str">
        <x:v>ZAR</x:v>
      </x:c>
      <x:c r="F112" s="15" t="str">
        <x:v>Card spend</x:v>
      </x:c>
      <x:c r="G112" s="15" t="str">
        <x:v>No</x:v>
      </x:c>
      <x:c r="H112" s="38" t="n">
        <x:v>-210</x:v>
      </x:c>
      <x:c r="I112" s="15" t="str"/>
      <x:c r="J112" s="15" t="str">
        <x:v>eml_ALL_currentac__512781 (2).zip &gt; eml8currentac__512781.zip / FNB _-) R210.00 reserved for purchase @ Daisys Den 77 from Current a_c..512781 using card..2924.  8Jan 15_33.eml</x:v>
      </x:c>
    </x:row>
    <x:row r="113">
      <x:c r="A113" s="34" t="n">
        <x:v>46031.65416666667</x:v>
      </x:c>
      <x:c r="B113" s="15" t="str">
        <x:v>card..2924</x:v>
      </x:c>
      <x:c r="C113" s="15" t="str">
        <x:v>Superspar Komatipoor</x:v>
      </x:c>
      <x:c r="D113" s="38" t="n">
        <x:v>2018.34</x:v>
      </x:c>
      <x:c r="E113" s="15" t="str">
        <x:v>ZAR</x:v>
      </x:c>
      <x:c r="F113" s="15" t="str">
        <x:v>Supplier payments</x:v>
      </x:c>
      <x:c r="G113" s="15" t="str">
        <x:v>No</x:v>
      </x:c>
      <x:c r="H113" s="38" t="n">
        <x:v>-2018.34</x:v>
      </x:c>
      <x:c r="I113" s="15" t="str"/>
      <x:c r="J113" s="15" t="str">
        <x:v>eml_ALL_currentac__512781 (2).zip &gt; eml8currentac__512781.zip / FNB _-) R2018.34 reserved for purchase @ Superspar Komatipoor from Current a_c..512781 using card..2924.  9Jan 15_42.eml</x:v>
      </x:c>
    </x:row>
    <x:row r="114">
      <x:c r="A114" s="34" t="n">
        <x:v>46031.65625</x:v>
      </x:c>
      <x:c r="B114" s="15" t="str">
        <x:v>card..2924</x:v>
      </x:c>
      <x:c r="C114" s="15" t="str">
        <x:v>Superspar Komatipoor</x:v>
      </x:c>
      <x:c r="D114" s="38" t="n">
        <x:v>1039.99</x:v>
      </x:c>
      <x:c r="E114" s="15" t="str">
        <x:v>ZAR</x:v>
      </x:c>
      <x:c r="F114" s="15" t="str">
        <x:v>Supplier payments</x:v>
      </x:c>
      <x:c r="G114" s="15" t="str">
        <x:v>No</x:v>
      </x:c>
      <x:c r="H114" s="38" t="n">
        <x:v>-1039.99</x:v>
      </x:c>
      <x:c r="I114" s="15" t="str"/>
      <x:c r="J114" s="15" t="str">
        <x:v>eml_ALL_currentac__512781 (2).zip &gt; eml8currentac__512781.zip / FNB _-) R1039.99 reserved for purchase @ Superspar Komatipoor from Current a_c..512781 using card..2924.  9Jan 15_45.eml</x:v>
      </x:c>
    </x:row>
    <x:row r="115">
      <x:c r="A115" s="34" t="n">
        <x:v>46031.67986111111</x:v>
      </x:c>
      <x:c r="B115" s="15" t="str">
        <x:v>card..2924</x:v>
      </x:c>
      <x:c r="C115" s="15" t="str">
        <x:v>Obaro Komatipoort Fc</x:v>
      </x:c>
      <x:c r="D115" s="38" t="n">
        <x:v>500</x:v>
      </x:c>
      <x:c r="E115" s="15" t="str">
        <x:v>ZAR</x:v>
      </x:c>
      <x:c r="F115" s="15" t="str">
        <x:v>Supplier payments</x:v>
      </x:c>
      <x:c r="G115" s="15" t="str">
        <x:v>No</x:v>
      </x:c>
      <x:c r="H115" s="38" t="n">
        <x:v>-500</x:v>
      </x:c>
      <x:c r="I115" s="15" t="str"/>
      <x:c r="J115" s="15" t="str">
        <x:v>eml_ALL_currentac__512781 (2).zip &gt; eml8currentac__512781.zip / FNB _-) R500.00 reserved for purchase @ Obaro Komatipoort Fc from Current a_c..512781 using card..2924.  9Jan 16_19.eml</x:v>
      </x:c>
    </x:row>
    <x:row r="116">
      <x:c r="A116" s="34" t="n">
        <x:v>46033.46666666667</x:v>
      </x:c>
      <x:c r="B116" s="15" t="str">
        <x:v>card..2924</x:v>
      </x:c>
      <x:c r="C116" s="15" t="str">
        <x:v>Savemor Marloth</x:v>
      </x:c>
      <x:c r="D116" s="38" t="n">
        <x:v>179.94</x:v>
      </x:c>
      <x:c r="E116" s="15" t="str">
        <x:v>ZAR</x:v>
      </x:c>
      <x:c r="F116" s="15" t="str">
        <x:v>Supplier payments</x:v>
      </x:c>
      <x:c r="G116" s="15" t="str">
        <x:v>No</x:v>
      </x:c>
      <x:c r="H116" s="38" t="n">
        <x:v>-179.94</x:v>
      </x:c>
      <x:c r="I116" s="15" t="str"/>
      <x:c r="J116" s="15" t="str">
        <x:v>eml_ALL_currentac__512781 (2).zip &gt; eml8currentac__512781.zip / FNB _-) R179.94 reserved for purchase @ Savemor Marloth from Current a_c..512781 using card..2924. 11Jan 11_12.eml</x:v>
      </x:c>
    </x:row>
    <x:row r="117">
      <x:c r="A117" s="34" t="n">
        <x:v>46033.472916666666</x:v>
      </x:c>
      <x:c r="B117" s="15" t="str">
        <x:v>card..2924</x:v>
      </x:c>
      <x:c r="C117" s="15" t="str">
        <x:v>Marlothi Petrol Stat</x:v>
      </x:c>
      <x:c r="D117" s="38" t="n">
        <x:v>400</x:v>
      </x:c>
      <x:c r="E117" s="15" t="str">
        <x:v>ZAR</x:v>
      </x:c>
      <x:c r="F117" s="15" t="str">
        <x:v>Fuel / transport</x:v>
      </x:c>
      <x:c r="G117" s="15" t="str">
        <x:v>No</x:v>
      </x:c>
      <x:c r="H117" s="38" t="n">
        <x:v>-400</x:v>
      </x:c>
      <x:c r="I117" s="15" t="str"/>
      <x:c r="J117" s="15" t="str">
        <x:v>eml_ALL_currentac__512781 (2).zip &gt; eml8currentac__512781.zip / FNB _-) R400.00 reserved for purchase @ Marlothi Petrol Stat from Current a_c..512781 using card..2924. 11Jan 11_21.eml</x:v>
      </x:c>
    </x:row>
    <x:row r="118">
      <x:c r="A118" s="34" t="n">
        <x:v>46033.5875</x:v>
      </x:c>
      <x:c r="B118" s="15" t="str">
        <x:v>card..2924</x:v>
      </x:c>
      <x:c r="C118" s="15" t="str">
        <x:v>K2025744041 Sou 262</x:v>
      </x:c>
      <x:c r="D118" s="38" t="n">
        <x:v>405</x:v>
      </x:c>
      <x:c r="E118" s="15" t="str">
        <x:v>ZAR</x:v>
      </x:c>
      <x:c r="F118" s="15" t="str">
        <x:v>Card spend</x:v>
      </x:c>
      <x:c r="G118" s="15" t="str">
        <x:v>No</x:v>
      </x:c>
      <x:c r="H118" s="38" t="n">
        <x:v>-405</x:v>
      </x:c>
      <x:c r="I118" s="15" t="str"/>
      <x:c r="J118" s="15" t="str">
        <x:v>eml_ALL_currentac__512781 (2).zip &gt; eml8currentac__512781.zip / FNB _-) R405.00 reserved for purchase @ K2025744041 Sou 262 from Current a_c..512781 using card..2924. 11Jan 14_06.eml</x:v>
      </x:c>
    </x:row>
    <x:row r="119">
      <x:c r="A119" s="34" t="n">
        <x:v>46034.510416666664</x:v>
      </x:c>
      <x:c r="B119" s="15" t="str">
        <x:v>card..2924</x:v>
      </x:c>
      <x:c r="C119" s="15" t="str">
        <x:v>Engen Hectorspruit</x:v>
      </x:c>
      <x:c r="D119" s="38" t="n">
        <x:v>300</x:v>
      </x:c>
      <x:c r="E119" s="15" t="str">
        <x:v>ZAR</x:v>
      </x:c>
      <x:c r="F119" s="15" t="str">
        <x:v>Fuel / transport</x:v>
      </x:c>
      <x:c r="G119" s="15" t="str">
        <x:v>No</x:v>
      </x:c>
      <x:c r="H119" s="38" t="n">
        <x:v>-300</x:v>
      </x:c>
      <x:c r="I119" s="15" t="str"/>
      <x:c r="J119" s="15" t="str">
        <x:v>eml_ALL_currentac__512781 (2).zip &gt; eml8currentac__512781.zip / FNB _-) R300.00 reserved for purchase @ Engen Hectorspruit from Current a_c..512781 using card..2924. 12Jan 12_15.eml</x:v>
      </x:c>
    </x:row>
    <x:row r="120">
      <x:c r="A120" s="34" t="n">
        <x:v>46034.63402777778</x:v>
      </x:c>
      <x:c r="B120" s="15" t="str">
        <x:v>card..2924</x:v>
      </x:c>
      <x:c r="C120" s="15" t="str">
        <x:v>Savemor Marloth</x:v>
      </x:c>
      <x:c r="D120" s="38" t="n">
        <x:v>1435.06</x:v>
      </x:c>
      <x:c r="E120" s="15" t="str">
        <x:v>ZAR</x:v>
      </x:c>
      <x:c r="F120" s="15" t="str">
        <x:v>Supplier payments</x:v>
      </x:c>
      <x:c r="G120" s="15" t="str">
        <x:v>No</x:v>
      </x:c>
      <x:c r="H120" s="38" t="n">
        <x:v>-1435.06</x:v>
      </x:c>
      <x:c r="I120" s="15" t="str"/>
      <x:c r="J120" s="15" t="str">
        <x:v>eml_ALL_currentac__512781 (2).zip &gt; eml8currentac__512781.zip / FNB _-) R1435.06 reserved for purchase @ Savemor Marloth from Current a_c..512781 using card..2924. 12Jan 15_13.eml</x:v>
      </x:c>
    </x:row>
    <x:row r="121">
      <x:c r="A121" s="34" t="n">
        <x:v>46034.6375</x:v>
      </x:c>
      <x:c r="B121" s="15" t="str">
        <x:v>card..2924</x:v>
      </x:c>
      <x:c r="C121" s="15" t="str">
        <x:v>Savemor Marloth Liqu</x:v>
      </x:c>
      <x:c r="D121" s="38" t="n">
        <x:v>133.98</x:v>
      </x:c>
      <x:c r="E121" s="15" t="str">
        <x:v>ZAR</x:v>
      </x:c>
      <x:c r="F121" s="15" t="str">
        <x:v>Meals / restaurants / entertainment</x:v>
      </x:c>
      <x:c r="G121" s="15" t="str">
        <x:v>No</x:v>
      </x:c>
      <x:c r="H121" s="38" t="n">
        <x:v>-133.98</x:v>
      </x:c>
      <x:c r="I121" s="15" t="str"/>
      <x:c r="J121" s="15" t="str">
        <x:v>eml_ALL_currentac__512781 (2).zip &gt; eml8currentac__512781.zip / FNB _-) R133.98 reserved for purchase @ Savemor Marloth Liqu from Current a_c..512781 using card..2924. 12Jan 15_18.eml</x:v>
      </x:c>
    </x:row>
    <x:row r="122">
      <x:c r="A122" s="34" t="n">
        <x:v>46035.39097222222</x:v>
      </x:c>
      <x:c r="B122" s="15" t="str">
        <x:v>card..2924</x:v>
      </x:c>
      <x:c r="C122" s="15" t="str">
        <x:v>Marlothi Petrol Stat</x:v>
      </x:c>
      <x:c r="D122" s="38" t="n">
        <x:v>200</x:v>
      </x:c>
      <x:c r="E122" s="15" t="str">
        <x:v>ZAR</x:v>
      </x:c>
      <x:c r="F122" s="15" t="str">
        <x:v>Fuel / transport</x:v>
      </x:c>
      <x:c r="G122" s="15" t="str">
        <x:v>No</x:v>
      </x:c>
      <x:c r="H122" s="38" t="n">
        <x:v>-200</x:v>
      </x:c>
      <x:c r="I122" s="15" t="str"/>
      <x:c r="J122" s="15" t="str">
        <x:v>eml_ALL_currentac__512781 (2).zip &gt; eml8currentac__512781.zip / FNB _-) R200.00 reserved for purchase @ Marlothi Petrol Stat from Current a_c..512781 using card..2924. 13Jan 09_23.eml</x:v>
      </x:c>
    </x:row>
    <x:row r="123">
      <x:c r="A123" s="34" t="n">
        <x:v>46035.415972222225</x:v>
      </x:c>
      <x:c r="B123" s="15" t="str">
        <x:v>card..2924</x:v>
      </x:c>
      <x:c r="C123" s="15" t="str">
        <x:v>Lebombo Butchery</x:v>
      </x:c>
      <x:c r="D123" s="38" t="n">
        <x:v>203.2</x:v>
      </x:c>
      <x:c r="E123" s="15" t="str">
        <x:v>ZAR</x:v>
      </x:c>
      <x:c r="F123" s="15" t="str">
        <x:v>Supplier payments</x:v>
      </x:c>
      <x:c r="G123" s="15" t="str">
        <x:v>No</x:v>
      </x:c>
      <x:c r="H123" s="38" t="n">
        <x:v>-203.2</x:v>
      </x:c>
      <x:c r="I123" s="15" t="str"/>
      <x:c r="J123" s="15" t="str">
        <x:v>eml_ALL_currentac__512781 (2).zip &gt; eml8currentac__512781.zip / FNB _-) R203.20 reserved for purchase @ Lebombo Butchery from Current a_c..512781 using card..2924. 13Jan 09_59.eml</x:v>
      </x:c>
    </x:row>
    <x:row r="124">
      <x:c r="A124" s="34" t="n">
        <x:v>46035.45208333333</x:v>
      </x:c>
      <x:c r="B124" s="15" t="str">
        <x:v>card..2924</x:v>
      </x:c>
      <x:c r="C124" s="15" t="str">
        <x:v>Superspar Komatipoor</x:v>
      </x:c>
      <x:c r="D124" s="38" t="n">
        <x:v>2035.86</x:v>
      </x:c>
      <x:c r="E124" s="15" t="str">
        <x:v>ZAR</x:v>
      </x:c>
      <x:c r="F124" s="15" t="str">
        <x:v>Supplier payments</x:v>
      </x:c>
      <x:c r="G124" s="15" t="str">
        <x:v>No</x:v>
      </x:c>
      <x:c r="H124" s="38" t="n">
        <x:v>-2035.86</x:v>
      </x:c>
      <x:c r="I124" s="15" t="str"/>
      <x:c r="J124" s="15" t="str">
        <x:v>eml_ALL_currentac__512781 (2).zip &gt; eml8currentac__512781.zip / FNB _-) R2035.86 reserved for purchase @ Superspar Komatipoor from Current a_c..512781 using card..2924. 13Jan 10_51.eml</x:v>
      </x:c>
    </x:row>
    <x:row r="125">
      <x:c r="A125" s="34" t="n">
        <x:v>46035.461805555555</x:v>
      </x:c>
      <x:c r="B125" s="15" t="str">
        <x:v>card..2924</x:v>
      </x:c>
      <x:c r="C125" s="15" t="str">
        <x:v>Lebombo Butchery</x:v>
      </x:c>
      <x:c r="D125" s="38" t="n">
        <x:v>378.1</x:v>
      </x:c>
      <x:c r="E125" s="15" t="str">
        <x:v>ZAR</x:v>
      </x:c>
      <x:c r="F125" s="15" t="str">
        <x:v>Supplier payments</x:v>
      </x:c>
      <x:c r="G125" s="15" t="str">
        <x:v>No</x:v>
      </x:c>
      <x:c r="H125" s="38" t="n">
        <x:v>-378.1</x:v>
      </x:c>
      <x:c r="I125" s="15" t="str"/>
      <x:c r="J125" s="15" t="str">
        <x:v>eml_ALL_currentac__512781 (2).zip &gt; eml8currentac__512781.zip / FNB _-) R378.10 reserved for purchase @ Lebombo Butchery from Current a_c..512781 using card..2924. 13Jan 11_05.eml</x:v>
      </x:c>
    </x:row>
    <x:row r="126">
      <x:c r="A126" s="34" t="n">
        <x:v>46036.49166666667</x:v>
      </x:c>
      <x:c r="B126" s="15" t="str">
        <x:v>card..2924</x:v>
      </x:c>
      <x:c r="C126" s="15" t="str">
        <x:v>Sqsp* Websit</x:v>
      </x:c>
      <x:c r="D126" s="38" t="n">
        <x:v>419.31</x:v>
      </x:c>
      <x:c r="E126" s="15" t="str">
        <x:v>ZAR</x:v>
      </x:c>
      <x:c r="F126" s="15" t="str">
        <x:v>Software / subscriptions</x:v>
      </x:c>
      <x:c r="G126" s="15" t="str">
        <x:v>No</x:v>
      </x:c>
      <x:c r="H126" s="38" t="n">
        <x:v>-419.31</x:v>
      </x:c>
      <x:c r="I126" s="15" t="str"/>
      <x:c r="J126" s="15" t="str">
        <x:v>eml_ALL_currentac__512781 (2).zip &gt; eml8currentac__512781.zip / FNB _-) R419.31 reserved for purchase @ Sqsp_ Websit from Current a_c..512781 using card..2924. 14Jan 11_48.eml</x:v>
      </x:c>
    </x:row>
    <x:row r="127">
      <x:c r="A127" s="34" t="n">
        <x:v>46036.603472222225</x:v>
      </x:c>
      <x:c r="B127" s="15" t="str">
        <x:v>card..2924</x:v>
      </x:c>
      <x:c r="C127" s="15" t="str">
        <x:v>Savemor Marloth</x:v>
      </x:c>
      <x:c r="D127" s="38" t="n">
        <x:v>250.99</x:v>
      </x:c>
      <x:c r="E127" s="15" t="str">
        <x:v>ZAR</x:v>
      </x:c>
      <x:c r="F127" s="15" t="str">
        <x:v>Supplier payments</x:v>
      </x:c>
      <x:c r="G127" s="15" t="str">
        <x:v>No</x:v>
      </x:c>
      <x:c r="H127" s="38" t="n">
        <x:v>-250.99</x:v>
      </x:c>
      <x:c r="I127" s="15" t="str"/>
      <x:c r="J127" s="15" t="str">
        <x:v>eml_ALL_currentac__512781 (2).zip &gt; eml8currentac__512781.zip / FNB _-) R250.99 reserved for purchase @ Savemor Marloth from Current a_c..512781 using card..2924. 14Jan 14_29.eml</x:v>
      </x:c>
    </x:row>
    <x:row r="128">
      <x:c r="A128" s="34" t="n">
        <x:v>46037.53472222222</x:v>
      </x:c>
      <x:c r="B128" s="15" t="str">
        <x:v>card..2924</x:v>
      </x:c>
      <x:c r="C128" s="15" t="str">
        <x:v>Superspar Komatipoor</x:v>
      </x:c>
      <x:c r="D128" s="38" t="n">
        <x:v>844.91</x:v>
      </x:c>
      <x:c r="E128" s="15" t="str">
        <x:v>ZAR</x:v>
      </x:c>
      <x:c r="F128" s="15" t="str">
        <x:v>Supplier payments</x:v>
      </x:c>
      <x:c r="G128" s="15" t="str">
        <x:v>No</x:v>
      </x:c>
      <x:c r="H128" s="38" t="n">
        <x:v>-844.91</x:v>
      </x:c>
      <x:c r="I128" s="15" t="str"/>
      <x:c r="J128" s="15" t="str">
        <x:v>eml_ALL_currentac__512781 (2).zip &gt; eml8currentac__512781.zip / FNB _-) R844.91 reserved for purchase @ Superspar Komatipoor from Current a_c..512781 using card..2924. 15Jan 12_50.eml</x:v>
      </x:c>
    </x:row>
    <x:row r="129">
      <x:c r="A129" s="34" t="n">
        <x:v>46037.54513888889</x:v>
      </x:c>
      <x:c r="B129" s="15" t="str">
        <x:v>card..2924</x:v>
      </x:c>
      <x:c r="C129" s="15" t="str">
        <x:v>Obaro Komatipoort Fc</x:v>
      </x:c>
      <x:c r="D129" s="38" t="n">
        <x:v>400</x:v>
      </x:c>
      <x:c r="E129" s="15" t="str">
        <x:v>ZAR</x:v>
      </x:c>
      <x:c r="F129" s="15" t="str">
        <x:v>Supplier payments</x:v>
      </x:c>
      <x:c r="G129" s="15" t="str">
        <x:v>No</x:v>
      </x:c>
      <x:c r="H129" s="38" t="n">
        <x:v>-400</x:v>
      </x:c>
      <x:c r="I129" s="15" t="str"/>
      <x:c r="J129" s="15" t="str">
        <x:v>eml_ALL_currentac__512781 (2).zip &gt; eml8currentac__512781.zip / FNB _-) R400.00 reserved for purchase @ Obaro Komatipoort Fc from Current a_c..512781 using card..2924. 15Jan 13_05.eml</x:v>
      </x:c>
    </x:row>
    <x:row r="130">
      <x:c r="A130" s="34" t="n">
        <x:v>46038.8</x:v>
      </x:c>
      <x:c r="B130" s="15" t="str">
        <x:v>card..2924</x:v>
      </x:c>
      <x:c r="C130" s="15" t="str">
        <x:v>Yoco *k2025744041</x:v>
      </x:c>
      <x:c r="D130" s="38" t="n">
        <x:v>400</x:v>
      </x:c>
      <x:c r="E130" s="15" t="str">
        <x:v>ZAR</x:v>
      </x:c>
      <x:c r="F130" s="15" t="str">
        <x:v>Card spend</x:v>
      </x:c>
      <x:c r="G130" s="15" t="str">
        <x:v>No</x:v>
      </x:c>
      <x:c r="H130" s="38" t="n">
        <x:v>-400</x:v>
      </x:c>
      <x:c r="I130" s="15" t="str"/>
      <x:c r="J130" s="15" t="str">
        <x:v>eml_ALL_currentac__512781 (2).zip &gt; eml7currentac__512781.zip / FNB _-) R400.00 reserved for purchase @ Yoco _k2025744041 from Current a_c..512781 using card..2924. 16Jan 19_12.eml</x:v>
      </x:c>
    </x:row>
    <x:row r="131">
      <x:c r="A131" s="34" t="n">
        <x:v>46039.49930555555</x:v>
      </x:c>
      <x:c r="B131" s="15" t="str">
        <x:v>card..2924</x:v>
      </x:c>
      <x:c r="C131" s="15" t="str">
        <x:v>Paystack *zoho Co</x:v>
      </x:c>
      <x:c r="D131" s="38" t="n">
        <x:v>228.85</x:v>
      </x:c>
      <x:c r="E131" s="15" t="str">
        <x:v>ZAR</x:v>
      </x:c>
      <x:c r="F131" s="15" t="str">
        <x:v>Software / subscriptions</x:v>
      </x:c>
      <x:c r="G131" s="15" t="str">
        <x:v>No</x:v>
      </x:c>
      <x:c r="H131" s="38" t="n">
        <x:v>-228.85</x:v>
      </x:c>
      <x:c r="I131" s="15" t="str"/>
      <x:c r="J131" s="15" t="str">
        <x:v>eml_ALL_currentac__512781 (2).zip &gt; eml7currentac__512781.zip / FNB _-) R228.85 reserved for purchase @ Paystack _zoho Co from Current a_c..512781 using card..2924. 17Jan 11_59.eml</x:v>
      </x:c>
    </x:row>
    <x:row r="132">
      <x:c r="A132" s="34" t="n">
        <x:v>46041.62291666667</x:v>
      </x:c>
      <x:c r="B132" s="15" t="str">
        <x:v>card..2924</x:v>
      </x:c>
      <x:c r="C132" s="15" t="str">
        <x:v>The Water Well Bu136</x:v>
      </x:c>
      <x:c r="D132" s="38" t="n">
        <x:v>435</x:v>
      </x:c>
      <x:c r="E132" s="15" t="str">
        <x:v>ZAR</x:v>
      </x:c>
      <x:c r="F132" s="15" t="str">
        <x:v>Card spend</x:v>
      </x:c>
      <x:c r="G132" s="15" t="str">
        <x:v>No</x:v>
      </x:c>
      <x:c r="H132" s="38" t="n">
        <x:v>-435</x:v>
      </x:c>
      <x:c r="I132" s="15" t="str"/>
      <x:c r="J132" s="15" t="str">
        <x:v>eml_ALL_currentac__512781 (2).zip &gt; eml7currentac__512781.zip / FNB _-) R435.00 reserved for purchase @ The Water Well Bu136 from Current a_c..512781 using card..2924. 19Jan 14_57.eml</x:v>
      </x:c>
    </x:row>
    <x:row r="133">
      <x:c r="A133" s="34" t="n">
        <x:v>46042.63055555556</x:v>
      </x:c>
      <x:c r="B133" s="15" t="str">
        <x:v>card..2924</x:v>
      </x:c>
      <x:c r="C133" s="15" t="str">
        <x:v>Savemor Marloth</x:v>
      </x:c>
      <x:c r="D133" s="38" t="n">
        <x:v>437.2</x:v>
      </x:c>
      <x:c r="E133" s="15" t="str">
        <x:v>ZAR</x:v>
      </x:c>
      <x:c r="F133" s="15" t="str">
        <x:v>Supplier payments</x:v>
      </x:c>
      <x:c r="G133" s="15" t="str">
        <x:v>No</x:v>
      </x:c>
      <x:c r="H133" s="38" t="n">
        <x:v>-437.2</x:v>
      </x:c>
      <x:c r="I133" s="15" t="str"/>
      <x:c r="J133" s="15" t="str">
        <x:v>eml_ALL_currentac__512781 (2).zip &gt; eml7currentac__512781.zip / FNB _-) R437.20 reserved for purchase @ Savemor Marloth from Current a_c..512781 using card..2924. 20Jan 15_08.eml</x:v>
      </x:c>
    </x:row>
    <x:row r="134">
      <x:c r="A134" s="34" t="n">
        <x:v>46042.63958333333</x:v>
      </x:c>
      <x:c r="B134" s="15" t="str">
        <x:v>card..2924</x:v>
      </x:c>
      <x:c r="C134" s="15" t="str">
        <x:v>Marlothi Petrol Stat</x:v>
      </x:c>
      <x:c r="D134" s="38" t="n">
        <x:v>300</x:v>
      </x:c>
      <x:c r="E134" s="15" t="str">
        <x:v>ZAR</x:v>
      </x:c>
      <x:c r="F134" s="15" t="str">
        <x:v>Fuel / transport</x:v>
      </x:c>
      <x:c r="G134" s="15" t="str">
        <x:v>No</x:v>
      </x:c>
      <x:c r="H134" s="38" t="n">
        <x:v>-300</x:v>
      </x:c>
      <x:c r="I134" s="15" t="str"/>
      <x:c r="J134" s="15" t="str">
        <x:v>eml_ALL_currentac__512781 (2).zip &gt; eml7currentac__512781.zip / FNB _-) R300.00 reserved for purchase @ Marlothi Petrol Stat from Current a_c..512781 using card..2924. 20Jan 15_21.eml</x:v>
      </x:c>
    </x:row>
    <x:row r="135">
      <x:c r="A135" s="34" t="n">
        <x:v>46042.72083333333</x:v>
      </x:c>
      <x:c r="B135" s="15" t="str">
        <x:v>card..2924</x:v>
      </x:c>
      <x:c r="C135" s="15" t="str">
        <x:v>Savemor Marloth Liqu</x:v>
      </x:c>
      <x:c r="D135" s="38" t="n">
        <x:v>109.99</x:v>
      </x:c>
      <x:c r="E135" s="15" t="str">
        <x:v>ZAR</x:v>
      </x:c>
      <x:c r="F135" s="15" t="str">
        <x:v>Meals / restaurants / entertainment</x:v>
      </x:c>
      <x:c r="G135" s="15" t="str">
        <x:v>No</x:v>
      </x:c>
      <x:c r="H135" s="38" t="n">
        <x:v>-109.99</x:v>
      </x:c>
      <x:c r="I135" s="15" t="str"/>
      <x:c r="J135" s="15" t="str">
        <x:v>eml_ALL_currentac__512781 (2).zip &gt; eml7currentac__512781.zip / FNB _-) R109.99 reserved for purchase @ Savemor Marloth Liqu from Current a_c..512781 using card..2924. 20Jan 17_18.eml</x:v>
      </x:c>
    </x:row>
    <x:row r="136">
      <x:c r="A136" s="34" t="n">
        <x:v>46042.856944444444</x:v>
      </x:c>
      <x:c r="B136" s="15" t="str">
        <x:v>card..2924</x:v>
      </x:c>
      <x:c r="C136" s="15" t="str">
        <x:v>Spur Fern Valley</x:v>
      </x:c>
      <x:c r="D136" s="38" t="n">
        <x:v>490</x:v>
      </x:c>
      <x:c r="E136" s="15" t="str">
        <x:v>ZAR</x:v>
      </x:c>
      <x:c r="F136" s="15" t="str">
        <x:v>Card spend</x:v>
      </x:c>
      <x:c r="G136" s="15" t="str">
        <x:v>No</x:v>
      </x:c>
      <x:c r="H136" s="38" t="n">
        <x:v>-490</x:v>
      </x:c>
      <x:c r="I136" s="15" t="str"/>
      <x:c r="J136" s="15" t="str">
        <x:v>eml_ALL_currentac__512781 (2).zip &gt; eml7currentac__512781.zip / FNB _-) R490.00 reserved for purchase @ Spur Fern Valley from Current a_c..512781 using card..2924. 20Jan 20_34.eml</x:v>
      </x:c>
    </x:row>
    <x:row r="137">
      <x:c r="A137" s="34" t="n">
        <x:v>46044.42222222222</x:v>
      </x:c>
      <x:c r="B137" s="15" t="str">
        <x:v>card..2924</x:v>
      </x:c>
      <x:c r="C137" s="15" t="str">
        <x:v>Superspar Komatipoor</x:v>
      </x:c>
      <x:c r="D137" s="38" t="n">
        <x:v>461.54</x:v>
      </x:c>
      <x:c r="E137" s="15" t="str">
        <x:v>ZAR</x:v>
      </x:c>
      <x:c r="F137" s="15" t="str">
        <x:v>Supplier payments</x:v>
      </x:c>
      <x:c r="G137" s="15" t="str">
        <x:v>No</x:v>
      </x:c>
      <x:c r="H137" s="38" t="n">
        <x:v>-461.54</x:v>
      </x:c>
      <x:c r="I137" s="15" t="str"/>
      <x:c r="J137" s="15" t="str">
        <x:v>eml_ALL_currentac__512781 (2).zip &gt; eml7currentac__512781.zip / FNB _-) R461.54 reserved for purchase @ Superspar Komatipoor from Current a_c..512781 using card..2924. 22Jan 10_08.eml</x:v>
      </x:c>
    </x:row>
    <x:row r="138">
      <x:c r="A138" s="34" t="n">
        <x:v>46044.43541666667</x:v>
      </x:c>
      <x:c r="B138" s="15" t="str">
        <x:v>card..2924</x:v>
      </x:c>
      <x:c r="C138" s="15" t="str">
        <x:v>Hpy*vodafone Cellula</x:v>
      </x:c>
      <x:c r="D138" s="38" t="n">
        <x:v>1150</x:v>
      </x:c>
      <x:c r="E138" s="15" t="str">
        <x:v>ZAR</x:v>
      </x:c>
      <x:c r="F138" s="15" t="str">
        <x:v>Card spend</x:v>
      </x:c>
      <x:c r="G138" s="15" t="str">
        <x:v>No</x:v>
      </x:c>
      <x:c r="H138" s="38" t="n">
        <x:v>-1150</x:v>
      </x:c>
      <x:c r="I138" s="15" t="str"/>
      <x:c r="J138" s="15" t="str">
        <x:v>eml_ALL_currentac__512781 (2).zip &gt; eml7currentac__512781.zip / FNB _-) R1150.00 reserved for purchase @ Hpy_vodafone Cellula from Current a_c..512781 using card..2924. 22Jan 10_27.eml</x:v>
      </x:c>
    </x:row>
    <x:row r="139">
      <x:c r="A139" s="34" t="n">
        <x:v>46044.44097222222</x:v>
      </x:c>
      <x:c r="B139" s="15" t="str">
        <x:v>card..2924</x:v>
      </x:c>
      <x:c r="C139" s="15" t="str">
        <x:v>Obaro Komatipoort Fc</x:v>
      </x:c>
      <x:c r="D139" s="38" t="n">
        <x:v>500</x:v>
      </x:c>
      <x:c r="E139" s="15" t="str">
        <x:v>ZAR</x:v>
      </x:c>
      <x:c r="F139" s="15" t="str">
        <x:v>Supplier payments</x:v>
      </x:c>
      <x:c r="G139" s="15" t="str">
        <x:v>No</x:v>
      </x:c>
      <x:c r="H139" s="38" t="n">
        <x:v>-500</x:v>
      </x:c>
      <x:c r="I139" s="15" t="str"/>
      <x:c r="J139" s="15" t="str">
        <x:v>eml_ALL_currentac__512781 (2).zip &gt; eml7currentac__512781.zip / FNB _-) R500.00 reserved for purchase @ Obaro Komatipoort Fc from Current a_c..512781 using card..2924. 22Jan 10_35.eml</x:v>
      </x:c>
    </x:row>
    <x:row r="140">
      <x:c r="A140" s="34" t="n">
        <x:v>46044.520833333336</x:v>
      </x:c>
      <x:c r="B140" s="15" t="str">
        <x:v>card..2924</x:v>
      </x:c>
      <x:c r="C140" s="15" t="str">
        <x:v>Sqsp* Websit</x:v>
      </x:c>
      <x:c r="D140" s="38" t="n">
        <x:v>154.92</x:v>
      </x:c>
      <x:c r="E140" s="15" t="str">
        <x:v>ZAR</x:v>
      </x:c>
      <x:c r="F140" s="15" t="str">
        <x:v>Software / subscriptions</x:v>
      </x:c>
      <x:c r="G140" s="15" t="str">
        <x:v>No</x:v>
      </x:c>
      <x:c r="H140" s="38" t="n">
        <x:v>-154.92</x:v>
      </x:c>
      <x:c r="I140" s="15" t="str"/>
      <x:c r="J140" s="15" t="str">
        <x:v>eml_ALL_currentac__512781 (2).zip &gt; eml7currentac__512781.zip / FNB _-) R154.92 reserved for purchase @ Sqsp_ Websit from Current a_c..512781 using card..2924. 22Jan 12_30.eml</x:v>
      </x:c>
    </x:row>
    <x:row r="141">
      <x:c r="A141" s="34" t="n">
        <x:v>46044.62569444445</x:v>
      </x:c>
      <x:c r="B141" s="15" t="str">
        <x:v>card..2924</x:v>
      </x:c>
      <x:c r="C141" s="15" t="str">
        <x:v>Savemor Marloth</x:v>
      </x:c>
      <x:c r="D141" s="38" t="n">
        <x:v>416.99</x:v>
      </x:c>
      <x:c r="E141" s="15" t="str">
        <x:v>ZAR</x:v>
      </x:c>
      <x:c r="F141" s="15" t="str">
        <x:v>Supplier payments</x:v>
      </x:c>
      <x:c r="G141" s="15" t="str">
        <x:v>No</x:v>
      </x:c>
      <x:c r="H141" s="38" t="n">
        <x:v>-416.99</x:v>
      </x:c>
      <x:c r="I141" s="15" t="str"/>
      <x:c r="J141" s="15" t="str">
        <x:v>eml_ALL_currentac__512781 (2).zip &gt; eml7currentac__512781.zip / FNB _-) R416.99 reserved for purchase @ Savemor Marloth from Current a_c..512781 using card..2924. 22Jan 15_01.eml</x:v>
      </x:c>
    </x:row>
    <x:row r="142">
      <x:c r="A142" s="34" t="n">
        <x:v>46044.63263888889</x:v>
      </x:c>
      <x:c r="B142" s="15" t="str">
        <x:v>card..2924</x:v>
      </x:c>
      <x:c r="C142" s="15" t="str">
        <x:v>Savemor Marloth</x:v>
      </x:c>
      <x:c r="D142" s="38" t="n">
        <x:v>177.94</x:v>
      </x:c>
      <x:c r="E142" s="15" t="str">
        <x:v>ZAR</x:v>
      </x:c>
      <x:c r="F142" s="15" t="str">
        <x:v>Supplier payments</x:v>
      </x:c>
      <x:c r="G142" s="15" t="str">
        <x:v>No</x:v>
      </x:c>
      <x:c r="H142" s="38" t="n">
        <x:v>-177.94</x:v>
      </x:c>
      <x:c r="I142" s="15" t="str"/>
      <x:c r="J142" s="15" t="str">
        <x:v>eml_ALL_currentac__512781 (2).zip &gt; eml7currentac__512781.zip / FNB _-) R177.94 reserved for purchase @ Savemor Marloth from Current a_c..512781 using card..2924. 22Jan 15_11.eml</x:v>
      </x:c>
    </x:row>
    <x:row r="143">
      <x:c r="A143" s="34" t="n">
        <x:v>46044.63680555556</x:v>
      </x:c>
      <x:c r="B143" s="15" t="str">
        <x:v>card..2924</x:v>
      </x:c>
      <x:c r="C143" s="15" t="str">
        <x:v>Savemor Marloth Liqu</x:v>
      </x:c>
      <x:c r="D143" s="38" t="n">
        <x:v>154.98</x:v>
      </x:c>
      <x:c r="E143" s="15" t="str">
        <x:v>ZAR</x:v>
      </x:c>
      <x:c r="F143" s="15" t="str">
        <x:v>Meals / restaurants / entertainment</x:v>
      </x:c>
      <x:c r="G143" s="15" t="str">
        <x:v>No</x:v>
      </x:c>
      <x:c r="H143" s="38" t="n">
        <x:v>-154.98</x:v>
      </x:c>
      <x:c r="I143" s="15" t="str"/>
      <x:c r="J143" s="15" t="str">
        <x:v>eml_ALL_currentac__512781 (2).zip &gt; eml7currentac__512781.zip / FNB _-) R154.98 reserved for purchase @ Savemor Marloth Liqu from Current a_c..512781 using card..2924. 22Jan 15_17.eml</x:v>
      </x:c>
    </x:row>
    <x:row r="144">
      <x:c r="A144" s="34" t="n">
        <x:v>46044.64861111111</x:v>
      </x:c>
      <x:c r="B144" s="15" t="str">
        <x:v>card..2924</x:v>
      </x:c>
      <x:c r="C144" s="15" t="str">
        <x:v>At Wild Butchery 133</x:v>
      </x:c>
      <x:c r="D144" s="38" t="n">
        <x:v>103.15</x:v>
      </x:c>
      <x:c r="E144" s="15" t="str">
        <x:v>ZAR</x:v>
      </x:c>
      <x:c r="F144" s="15" t="str">
        <x:v>Supplier payments</x:v>
      </x:c>
      <x:c r="G144" s="15" t="str">
        <x:v>No</x:v>
      </x:c>
      <x:c r="H144" s="38" t="n">
        <x:v>-103.15</x:v>
      </x:c>
      <x:c r="I144" s="15" t="str"/>
      <x:c r="J144" s="15" t="str">
        <x:v>eml_ALL_currentac__512781 (2).zip &gt; eml7currentac__512781.zip / FNB _-) R103.15 reserved for purchase @ At Wild Butchery 133 from Current a_c..512781 using card..2924. 22Jan 15_34.eml</x:v>
      </x:c>
    </x:row>
    <x:row r="145">
      <x:c r="A145" s="34" t="n">
        <x:v>46045.620833333334</x:v>
      </x:c>
      <x:c r="B145" s="15" t="str">
        <x:v>card..2924</x:v>
      </x:c>
      <x:c r="C145" s="15" t="str">
        <x:v>Savemor Marloth Liqu</x:v>
      </x:c>
      <x:c r="D145" s="38" t="n">
        <x:v>175.97</x:v>
      </x:c>
      <x:c r="E145" s="15" t="str">
        <x:v>ZAR</x:v>
      </x:c>
      <x:c r="F145" s="15" t="str">
        <x:v>Meals / restaurants / entertainment</x:v>
      </x:c>
      <x:c r="G145" s="15" t="str">
        <x:v>No</x:v>
      </x:c>
      <x:c r="H145" s="38" t="n">
        <x:v>-175.97</x:v>
      </x:c>
      <x:c r="I145" s="15" t="str"/>
      <x:c r="J145" s="15" t="str">
        <x:v>eml_ALL_currentac__512781 (2).zip &gt; eml7currentac__512781.zip / FNB _-) R175.97 reserved for purchase @ Savemor Marloth Liqu from Current a_c..512781 using card..2924. 23Jan 14_54.eml</x:v>
      </x:c>
    </x:row>
    <x:row r="146">
      <x:c r="A146" s="34" t="n">
        <x:v>46046.51458333333</x:v>
      </x:c>
      <x:c r="B146" s="15" t="str">
        <x:v>card..2924</x:v>
      </x:c>
      <x:c r="C146" s="15" t="str">
        <x:v>Savemor Marloth</x:v>
      </x:c>
      <x:c r="D146" s="38" t="n">
        <x:v>282.99</x:v>
      </x:c>
      <x:c r="E146" s="15" t="str">
        <x:v>ZAR</x:v>
      </x:c>
      <x:c r="F146" s="15" t="str">
        <x:v>Supplier payments</x:v>
      </x:c>
      <x:c r="G146" s="15" t="str">
        <x:v>No</x:v>
      </x:c>
      <x:c r="H146" s="38" t="n">
        <x:v>-282.99</x:v>
      </x:c>
      <x:c r="I146" s="15" t="str"/>
      <x:c r="J146" s="15" t="str">
        <x:v>eml_ALL_currentac__512781 (2).zip &gt; eml7currentac__512781.zip / FNB _-) R282.99 reserved for purchase @ Savemor Marloth from Current a_c..512781 using card..2924. 24Jan 12_21.eml</x:v>
      </x:c>
    </x:row>
    <x:row r="147">
      <x:c r="A147" s="34" t="n">
        <x:v>46046.53472222222</x:v>
      </x:c>
      <x:c r="B147" s="15" t="str">
        <x:v>card..2924</x:v>
      </x:c>
      <x:c r="C147" s="15" t="str">
        <x:v>Oasis Water Komatipo</x:v>
      </x:c>
      <x:c r="D147" s="38" t="n">
        <x:v>330.2</x:v>
      </x:c>
      <x:c r="E147" s="15" t="str">
        <x:v>ZAR</x:v>
      </x:c>
      <x:c r="F147" s="15" t="str">
        <x:v>Supplier payments</x:v>
      </x:c>
      <x:c r="G147" s="15" t="str">
        <x:v>No</x:v>
      </x:c>
      <x:c r="H147" s="38" t="n">
        <x:v>-330.2</x:v>
      </x:c>
      <x:c r="I147" s="15" t="str"/>
      <x:c r="J147" s="15" t="str">
        <x:v>eml_ALL_currentac__512781 (2).zip &gt; eml7currentac__512781.zip / FNB _-) R330.20 reserved for purchase @ Oasis Water Komatipo from Current a_c..512781 using card..2924. 24Jan 12_50.eml</x:v>
      </x:c>
    </x:row>
    <x:row r="148">
      <x:c r="A148" s="34" t="n">
        <x:v>46046.57847222222</x:v>
      </x:c>
      <x:c r="B148" s="15" t="str">
        <x:v>card..2924</x:v>
      </x:c>
      <x:c r="C148" s="15" t="str">
        <x:v>Superspar Komatipoor</x:v>
      </x:c>
      <x:c r="D148" s="38" t="n">
        <x:v>1704.64</x:v>
      </x:c>
      <x:c r="E148" s="15" t="str">
        <x:v>ZAR</x:v>
      </x:c>
      <x:c r="F148" s="15" t="str">
        <x:v>Supplier payments</x:v>
      </x:c>
      <x:c r="G148" s="15" t="str">
        <x:v>No</x:v>
      </x:c>
      <x:c r="H148" s="38" t="n">
        <x:v>-1704.64</x:v>
      </x:c>
      <x:c r="I148" s="15" t="str"/>
      <x:c r="J148" s="15" t="str">
        <x:v>eml_ALL_currentac__512781 (2).zip &gt; eml7currentac__512781.zip / FNB _-) R1704.64 reserved for purchase @ Superspar Komatipoor from Current a_c..512781 using card..2924. 24Jan 13_53.eml</x:v>
      </x:c>
    </x:row>
    <x:row r="149">
      <x:c r="A149" s="34" t="n">
        <x:v>46048.63402777778</x:v>
      </x:c>
      <x:c r="B149" s="15" t="str">
        <x:v>card..2924</x:v>
      </x:c>
      <x:c r="C149" s="15" t="str">
        <x:v>Savemor Marloth</x:v>
      </x:c>
      <x:c r="D149" s="38" t="n">
        <x:v>328.94</x:v>
      </x:c>
      <x:c r="E149" s="15" t="str">
        <x:v>ZAR</x:v>
      </x:c>
      <x:c r="F149" s="15" t="str">
        <x:v>Supplier payments</x:v>
      </x:c>
      <x:c r="G149" s="15" t="str">
        <x:v>No</x:v>
      </x:c>
      <x:c r="H149" s="38" t="n">
        <x:v>-328.94</x:v>
      </x:c>
      <x:c r="I149" s="15" t="str"/>
      <x:c r="J149" s="15" t="str">
        <x:v>eml_ALL_currentac__512781 (2).zip &gt; eml7currentac__512781.zip / FNB _-) R328.94 reserved for purchase @ Savemor Marloth from Current a_c..512781 using card..2924. 26Jan 15_13.eml</x:v>
      </x:c>
    </x:row>
    <x:row r="150">
      <x:c r="A150" s="34" t="n">
        <x:v>46048.64097222222</x:v>
      </x:c>
      <x:c r="B150" s="15" t="str">
        <x:v>card..2924</x:v>
      </x:c>
      <x:c r="C150" s="15" t="str">
        <x:v>Boskombuis 116</x:v>
      </x:c>
      <x:c r="D150" s="38" t="n">
        <x:v>134</x:v>
      </x:c>
      <x:c r="E150" s="15" t="str">
        <x:v>ZAR</x:v>
      </x:c>
      <x:c r="F150" s="15" t="str">
        <x:v>Card spend</x:v>
      </x:c>
      <x:c r="G150" s="15" t="str">
        <x:v>No</x:v>
      </x:c>
      <x:c r="H150" s="38" t="n">
        <x:v>-134</x:v>
      </x:c>
      <x:c r="I150" s="15" t="str"/>
      <x:c r="J150" s="15" t="str">
        <x:v>eml_ALL_currentac__512781 (2).zip &gt; eml7currentac__512781.zip / FNB _-) R134.00 reserved for purchase @ Boskombuis 116 from Current a_c..512781 using card..2924. 26Jan 15_23.eml</x:v>
      </x:c>
    </x:row>
    <x:row r="151">
      <x:c r="A151" s="34" t="n">
        <x:v>46048.720138888886</x:v>
      </x:c>
      <x:c r="B151" s="15" t="str">
        <x:v>card..2924</x:v>
      </x:c>
      <x:c r="C151" s="15" t="str">
        <x:v>Savemor Marloth</x:v>
      </x:c>
      <x:c r="D151" s="38" t="n">
        <x:v>152.64</x:v>
      </x:c>
      <x:c r="E151" s="15" t="str">
        <x:v>ZAR</x:v>
      </x:c>
      <x:c r="F151" s="15" t="str">
        <x:v>Supplier payments</x:v>
      </x:c>
      <x:c r="G151" s="15" t="str">
        <x:v>No</x:v>
      </x:c>
      <x:c r="H151" s="38" t="n">
        <x:v>-152.64</x:v>
      </x:c>
      <x:c r="I151" s="15" t="str"/>
      <x:c r="J151" s="15" t="str">
        <x:v>eml_ALL_currentac__512781 (2).zip &gt; eml7currentac__512781.zip / FNB _-) R152.64 reserved for purchase @ Savemor Marloth from Current a_c..512781 using card..2924. 26Jan 17_17.eml</x:v>
      </x:c>
    </x:row>
    <x:row r="152">
      <x:c r="A152" s="34" t="n">
        <x:v>46049.558333333334</x:v>
      </x:c>
      <x:c r="B152" s="15" t="str">
        <x:v>card..2924</x:v>
      </x:c>
      <x:c r="C152" s="15" t="str">
        <x:v>Superspar Komatipoor</x:v>
      </x:c>
      <x:c r="D152" s="38" t="n">
        <x:v>1758.9</x:v>
      </x:c>
      <x:c r="E152" s="15" t="str">
        <x:v>ZAR</x:v>
      </x:c>
      <x:c r="F152" s="15" t="str">
        <x:v>Supplier payments</x:v>
      </x:c>
      <x:c r="G152" s="15" t="str">
        <x:v>No</x:v>
      </x:c>
      <x:c r="H152" s="38" t="n">
        <x:v>-1758.9</x:v>
      </x:c>
      <x:c r="I152" s="15" t="str"/>
      <x:c r="J152" s="15" t="str">
        <x:v>eml_ALL_currentac__512781 (2).zip &gt; eml7currentac__512781.zip / FNB _-) R1758.90 reserved for purchase @ Superspar Komatipoor from Current a_c..512781 using card..2924. 27Jan 13_24.eml</x:v>
      </x:c>
    </x:row>
    <x:row r="153">
      <x:c r="A153" s="34" t="n">
        <x:v>46050.467361111114</x:v>
      </x:c>
      <x:c r="B153" s="15" t="str">
        <x:v>card..2924</x:v>
      </x:c>
      <x:c r="C153" s="15" t="str">
        <x:v>Savemor Marloth</x:v>
      </x:c>
      <x:c r="D153" s="38" t="n">
        <x:v>518.49</x:v>
      </x:c>
      <x:c r="E153" s="15" t="str">
        <x:v>ZAR</x:v>
      </x:c>
      <x:c r="F153" s="15" t="str">
        <x:v>Supplier payments</x:v>
      </x:c>
      <x:c r="G153" s="15" t="str">
        <x:v>No</x:v>
      </x:c>
      <x:c r="H153" s="38" t="n">
        <x:v>-518.49</x:v>
      </x:c>
      <x:c r="I153" s="15" t="str"/>
      <x:c r="J153" s="15" t="str">
        <x:v>eml_ALL_currentac__512781 (2).zip &gt; eml7currentac__512781.zip / FNB _-) R518.49 reserved for purchase @ Savemor Marloth from Current a_c..512781 using card..2924. 28Jan 11_13.eml</x:v>
      </x:c>
    </x:row>
    <x:row r="154">
      <x:c r="A154" s="34" t="n">
        <x:v>46050.59583333333</x:v>
      </x:c>
      <x:c r="B154" s="15" t="str">
        <x:v>card..2924</x:v>
      </x:c>
      <x:c r="C154" s="15" t="str">
        <x:v>Buco Komatipoort</x:v>
      </x:c>
      <x:c r="D154" s="38" t="n">
        <x:v>283.25</x:v>
      </x:c>
      <x:c r="E154" s="15" t="str">
        <x:v>ZAR</x:v>
      </x:c>
      <x:c r="F154" s="15" t="str">
        <x:v>Supplier payments</x:v>
      </x:c>
      <x:c r="G154" s="15" t="str">
        <x:v>No</x:v>
      </x:c>
      <x:c r="H154" s="38" t="n">
        <x:v>-283.25</x:v>
      </x:c>
      <x:c r="I154" s="15" t="str"/>
      <x:c r="J154" s="15" t="str">
        <x:v>eml_ALL_currentac__512781 (2).zip &gt; eml7currentac__512781.zip / FNB _-) R283.25 reserved for purchase @ Buco Komatipoort from Current a_c..512781 using card..2924. 28Jan 14_18.eml</x:v>
      </x:c>
    </x:row>
    <x:row r="155">
      <x:c r="A155" s="34" t="n">
        <x:v>46050.61388888889</x:v>
      </x:c>
      <x:c r="B155" s="15" t="str">
        <x:v>card..2924</x:v>
      </x:c>
      <x:c r="C155" s="15" t="str">
        <x:v>Komati Liquor</x:v>
      </x:c>
      <x:c r="D155" s="38" t="n">
        <x:v>243</x:v>
      </x:c>
      <x:c r="E155" s="15" t="str">
        <x:v>ZAR</x:v>
      </x:c>
      <x:c r="F155" s="15" t="str">
        <x:v>Meals / restaurants / entertainment</x:v>
      </x:c>
      <x:c r="G155" s="15" t="str">
        <x:v>No</x:v>
      </x:c>
      <x:c r="H155" s="38" t="n">
        <x:v>-243</x:v>
      </x:c>
      <x:c r="I155" s="15" t="str"/>
      <x:c r="J155" s="15" t="str">
        <x:v>eml_ALL_currentac__512781 (2).zip &gt; eml7currentac__512781.zip / FNB _-) R243.00 reserved for purchase @ Komati Liquor from Current a_c..512781 using card..2924. 28Jan 14_44.eml</x:v>
      </x:c>
    </x:row>
    <x:row r="156">
      <x:c r="A156" s="34" t="n">
        <x:v>46050.62708333333</x:v>
      </x:c>
      <x:c r="B156" s="15" t="str">
        <x:v>card..2924</x:v>
      </x:c>
      <x:c r="C156" s="15" t="str">
        <x:v>Superspar Komatipoor</x:v>
      </x:c>
      <x:c r="D156" s="38" t="n">
        <x:v>269.47</x:v>
      </x:c>
      <x:c r="E156" s="15" t="str">
        <x:v>ZAR</x:v>
      </x:c>
      <x:c r="F156" s="15" t="str">
        <x:v>Supplier payments</x:v>
      </x:c>
      <x:c r="G156" s="15" t="str">
        <x:v>No</x:v>
      </x:c>
      <x:c r="H156" s="38" t="n">
        <x:v>-269.47</x:v>
      </x:c>
      <x:c r="I156" s="15" t="str"/>
      <x:c r="J156" s="15" t="str">
        <x:v>eml_ALL_currentac__512781 (2).zip &gt; eml7currentac__512781.zip / FNB _-) R269.47 reserved for purchase @ Superspar Komatipoor from Current a_c..512781 using card..2924. 28Jan 15_03.eml</x:v>
      </x:c>
    </x:row>
    <x:row r="157">
      <x:c r="A157" s="34" t="n">
        <x:v>46050.62777777778</x:v>
      </x:c>
      <x:c r="B157" s="15" t="str">
        <x:v>card..2924</x:v>
      </x:c>
      <x:c r="C157" s="15" t="str">
        <x:v>Superspar Komatipoor</x:v>
      </x:c>
      <x:c r="D157" s="38" t="n">
        <x:v>107.99</x:v>
      </x:c>
      <x:c r="E157" s="15" t="str">
        <x:v>ZAR</x:v>
      </x:c>
      <x:c r="F157" s="15" t="str">
        <x:v>Supplier payments</x:v>
      </x:c>
      <x:c r="G157" s="15" t="str">
        <x:v>No</x:v>
      </x:c>
      <x:c r="H157" s="38" t="n">
        <x:v>-107.99</x:v>
      </x:c>
      <x:c r="I157" s="15" t="str"/>
      <x:c r="J157" s="15" t="str">
        <x:v>eml_ALL_currentac__512781 (2).zip &gt; eml7currentac__512781.zip / FNB _-) R107.99 reserved for purchase @ Superspar Komatipoor from Current a_c..512781 using card..2924. 28Jan 15_04.eml</x:v>
      </x:c>
    </x:row>
    <x:row r="158">
      <x:c r="A158" s="34" t="n">
        <x:v>46050.64722222222</x:v>
      </x:c>
      <x:c r="B158" s="15" t="str">
        <x:v>card..2924</x:v>
      </x:c>
      <x:c r="C158" s="15" t="str">
        <x:v>Oasis Water Komatipo</x:v>
      </x:c>
      <x:c r="D158" s="38" t="n">
        <x:v>137.2</x:v>
      </x:c>
      <x:c r="E158" s="15" t="str">
        <x:v>ZAR</x:v>
      </x:c>
      <x:c r="F158" s="15" t="str">
        <x:v>Supplier payments</x:v>
      </x:c>
      <x:c r="G158" s="15" t="str">
        <x:v>No</x:v>
      </x:c>
      <x:c r="H158" s="38" t="n">
        <x:v>-137.2</x:v>
      </x:c>
      <x:c r="I158" s="15" t="str"/>
      <x:c r="J158" s="15" t="str">
        <x:v>eml_ALL_currentac__512781 (2).zip &gt; eml7currentac__512781.zip / FNB _-) R137.20 reserved for purchase @ Oasis Water Komatipo from Current a_c..512781 using card..2924. 28Jan 15_32.eml</x:v>
      </x:c>
    </x:row>
    <x:row r="159">
      <x:c r="A159" s="34" t="n">
        <x:v>46051.53611111111</x:v>
      </x:c>
      <x:c r="B159" s="15" t="str">
        <x:v>card..2924</x:v>
      </x:c>
      <x:c r="C159" s="15" t="str">
        <x:v>Superspar Komatipoor</x:v>
      </x:c>
      <x:c r="D159" s="38" t="n">
        <x:v>508.84</x:v>
      </x:c>
      <x:c r="E159" s="15" t="str">
        <x:v>ZAR</x:v>
      </x:c>
      <x:c r="F159" s="15" t="str">
        <x:v>Supplier payments</x:v>
      </x:c>
      <x:c r="G159" s="15" t="str">
        <x:v>No</x:v>
      </x:c>
      <x:c r="H159" s="38" t="n">
        <x:v>-508.84</x:v>
      </x:c>
      <x:c r="I159" s="15" t="str"/>
      <x:c r="J159" s="15" t="str">
        <x:v>eml_ALL_currentac__512781 (2).zip &gt; eml7currentac__512781.zip / FNB _-) R508.84 reserved for purchase @ Superspar Komatipoor from Current a_c..512781 using card..2924. 29Jan 12_52.eml</x:v>
      </x:c>
    </x:row>
    <x:row r="160">
      <x:c r="A160" s="34" t="n">
        <x:v>46051.614583333336</x:v>
      </x:c>
      <x:c r="B160" s="15" t="str">
        <x:v>card..2924</x:v>
      </x:c>
      <x:c r="C160" s="15" t="str">
        <x:v>Savemor Marloth</x:v>
      </x:c>
      <x:c r="D160" s="38" t="n">
        <x:v>279.99</x:v>
      </x:c>
      <x:c r="E160" s="15" t="str">
        <x:v>ZAR</x:v>
      </x:c>
      <x:c r="F160" s="15" t="str">
        <x:v>Supplier payments</x:v>
      </x:c>
      <x:c r="G160" s="15" t="str">
        <x:v>No</x:v>
      </x:c>
      <x:c r="H160" s="38" t="n">
        <x:v>-279.99</x:v>
      </x:c>
      <x:c r="I160" s="15" t="str"/>
      <x:c r="J160" s="15" t="str">
        <x:v>eml_ALL_currentac__512781 (2).zip &gt; eml7currentac__512781.zip / FNB _-) R279.99 reserved for purchase @ Savemor Marloth from Current a_c..512781 using card..2924. 29Jan 14_45.eml</x:v>
      </x:c>
    </x:row>
    <x:row r="161">
      <x:c r="A161" s="34" t="n">
        <x:v>46051.70625</x:v>
      </x:c>
      <x:c r="B161" s="15" t="str">
        <x:v>card..2924</x:v>
      </x:c>
      <x:c r="C161" s="15" t="str">
        <x:v>Savemor Marloth</x:v>
      </x:c>
      <x:c r="D161" s="38" t="n">
        <x:v>370.94</x:v>
      </x:c>
      <x:c r="E161" s="15" t="str">
        <x:v>ZAR</x:v>
      </x:c>
      <x:c r="F161" s="15" t="str">
        <x:v>Supplier payments</x:v>
      </x:c>
      <x:c r="G161" s="15" t="str">
        <x:v>No</x:v>
      </x:c>
      <x:c r="H161" s="38" t="n">
        <x:v>-370.94</x:v>
      </x:c>
      <x:c r="I161" s="15" t="str"/>
      <x:c r="J161" s="15" t="str">
        <x:v>eml_ALL_currentac__512781 (2).zip &gt; eml7currentac__512781.zip / FNB _-) R370.94 reserved for purchase @ Savemor Marloth from Current a_c..512781 using card..2924. 29Jan 16_57.eml</x:v>
      </x:c>
    </x:row>
    <x:row r="162">
      <x:c r="A162" s="34" t="n">
        <x:v>46051.725694444445</x:v>
      </x:c>
      <x:c r="B162" s="15" t="str">
        <x:v>card..2924</x:v>
      </x:c>
      <x:c r="C162" s="15" t="str">
        <x:v>Marlothi Petrol Stat</x:v>
      </x:c>
      <x:c r="D162" s="38" t="n">
        <x:v>500</x:v>
      </x:c>
      <x:c r="E162" s="15" t="str">
        <x:v>ZAR</x:v>
      </x:c>
      <x:c r="F162" s="15" t="str">
        <x:v>Fuel / transport</x:v>
      </x:c>
      <x:c r="G162" s="15" t="str">
        <x:v>No</x:v>
      </x:c>
      <x:c r="H162" s="38" t="n">
        <x:v>-500</x:v>
      </x:c>
      <x:c r="I162" s="15" t="str"/>
      <x:c r="J162" s="15" t="str">
        <x:v>eml_ALL_currentac__512781 (2).zip &gt; eml7currentac__512781.zip / FNB _-) R500.00 reserved for purchase @ Marlothi Petrol Stat from Current a_c..512781 using card..2924. 29Jan 17_25.eml</x:v>
      </x:c>
    </x:row>
    <x:row r="163">
      <x:c r="A163" s="34" t="n">
        <x:v>46052.63958333333</x:v>
      </x:c>
      <x:c r="B163" s="15" t="str">
        <x:v>card..2924</x:v>
      </x:c>
      <x:c r="C163" s="15" t="str">
        <x:v>Savemor Marloth</x:v>
      </x:c>
      <x:c r="D163" s="38" t="n">
        <x:v>265.77</x:v>
      </x:c>
      <x:c r="E163" s="15" t="str">
        <x:v>ZAR</x:v>
      </x:c>
      <x:c r="F163" s="15" t="str">
        <x:v>Supplier payments</x:v>
      </x:c>
      <x:c r="G163" s="15" t="str">
        <x:v>No</x:v>
      </x:c>
      <x:c r="H163" s="38" t="n">
        <x:v>-265.77</x:v>
      </x:c>
      <x:c r="I163" s="15" t="str"/>
      <x:c r="J163" s="15" t="str">
        <x:v>eml_ALL_currentac__512781 (2).zip &gt; eml7currentac__512781.zip / FNB _-) R265.77 reserved for purchase @ Savemor Marloth from Current a_c..512781 using card..2924. 30Jan 15_21.eml</x:v>
      </x:c>
    </x:row>
    <x:row r="164">
      <x:c r="A164" s="34" t="n">
        <x:v>46052.64375</x:v>
      </x:c>
      <x:c r="B164" s="15" t="str">
        <x:v>card..2924</x:v>
      </x:c>
      <x:c r="C164" s="15" t="str">
        <x:v>Marlothi Petrol Stat</x:v>
      </x:c>
      <x:c r="D164" s="38" t="n">
        <x:v>300</x:v>
      </x:c>
      <x:c r="E164" s="15" t="str">
        <x:v>ZAR</x:v>
      </x:c>
      <x:c r="F164" s="15" t="str">
        <x:v>Fuel / transport</x:v>
      </x:c>
      <x:c r="G164" s="15" t="str">
        <x:v>No</x:v>
      </x:c>
      <x:c r="H164" s="38" t="n">
        <x:v>-300</x:v>
      </x:c>
      <x:c r="I164" s="15" t="str"/>
      <x:c r="J164" s="15" t="str">
        <x:v>eml_ALL_currentac__512781 (2).zip &gt; eml7currentac__512781.zip / FNB _-) R300.00 reserved for purchase @ Marlothi Petrol Stat from Current a_c..512781 using card..2924. 30Jan 15_27.eml</x:v>
      </x:c>
    </x:row>
    <x:row r="165">
      <x:c r="A165" s="34" t="n">
        <x:v>46053.520833333336</x:v>
      </x:c>
      <x:c r="B165" s="15" t="str">
        <x:v>card..2924</x:v>
      </x:c>
      <x:c r="C165" s="15" t="str">
        <x:v>Shoprite Komatipoort</x:v>
      </x:c>
      <x:c r="D165" s="38" t="n">
        <x:v>893.69</x:v>
      </x:c>
      <x:c r="E165" s="15" t="str">
        <x:v>ZAR</x:v>
      </x:c>
      <x:c r="F165" s="15" t="str">
        <x:v>Supplier payments</x:v>
      </x:c>
      <x:c r="G165" s="15" t="str">
        <x:v>No</x:v>
      </x:c>
      <x:c r="H165" s="38" t="n">
        <x:v>-893.69</x:v>
      </x:c>
      <x:c r="I165" s="15" t="str"/>
      <x:c r="J165" s="15" t="str">
        <x:v>eml_ALL_currentac__512781 (2).zip &gt; eml7currentac__512781.zip / FNB _-) R893.69 reserved for purchase @ Shoprite Komatipoort from Current a_c..512781 using card..2924. 31Jan 12_30.eml</x:v>
      </x:c>
    </x:row>
    <x:row r="166">
      <x:c r="A166" s="34" t="n">
        <x:v>46053.535416666666</x:v>
      </x:c>
      <x:c r="B166" s="15" t="str">
        <x:v>card..2924</x:v>
      </x:c>
      <x:c r="C166" s="15" t="str">
        <x:v>Lebombo Butchery</x:v>
      </x:c>
      <x:c r="D166" s="38" t="n">
        <x:v>118.83</x:v>
      </x:c>
      <x:c r="E166" s="15" t="str">
        <x:v>ZAR</x:v>
      </x:c>
      <x:c r="F166" s="15" t="str">
        <x:v>Supplier payments</x:v>
      </x:c>
      <x:c r="G166" s="15" t="str">
        <x:v>No</x:v>
      </x:c>
      <x:c r="H166" s="38" t="n">
        <x:v>-118.83</x:v>
      </x:c>
      <x:c r="I166" s="15" t="str"/>
      <x:c r="J166" s="15" t="str">
        <x:v>eml_ALL_currentac__512781 (2).zip &gt; eml7currentac__512781.zip / FNB _-) R118.83 reserved for purchase @ Lebombo Butchery from Current a_c..512781 using card..2924. 31Jan 12_51.eml</x:v>
      </x:c>
    </x:row>
    <x:row r="167">
      <x:c r="A167" s="34" t="n">
        <x:v>46053.55972222222</x:v>
      </x:c>
      <x:c r="B167" s="15" t="str">
        <x:v>card..2924</x:v>
      </x:c>
      <x:c r="C167" s="15" t="str">
        <x:v>Superspar Komatipoor</x:v>
      </x:c>
      <x:c r="D167" s="38" t="n">
        <x:v>1235.3</x:v>
      </x:c>
      <x:c r="E167" s="15" t="str">
        <x:v>ZAR</x:v>
      </x:c>
      <x:c r="F167" s="15" t="str">
        <x:v>Supplier payments</x:v>
      </x:c>
      <x:c r="G167" s="15" t="str">
        <x:v>No</x:v>
      </x:c>
      <x:c r="H167" s="38" t="n">
        <x:v>-1235.3</x:v>
      </x:c>
      <x:c r="I167" s="15" t="str"/>
      <x:c r="J167" s="15" t="str">
        <x:v>eml_ALL_currentac__512781 (2).zip &gt; eml7currentac__512781.zip / FNB _-) R1235.30 reserved for purchase @ Superspar Komatipoor from Current a_c..512781 using card..2924. 31Jan 13_26.eml</x:v>
      </x:c>
    </x:row>
    <x:row r="168">
      <x:c r="A168" s="34" t="n">
        <x:v>46053.57152777778</x:v>
      </x:c>
      <x:c r="B168" s="15" t="str">
        <x:v>card..2924</x:v>
      </x:c>
      <x:c r="C168" s="15" t="str">
        <x:v>Pep Home 5771 Komati</x:v>
      </x:c>
      <x:c r="D168" s="38" t="n">
        <x:v>275.02</x:v>
      </x:c>
      <x:c r="E168" s="15" t="str">
        <x:v>ZAR</x:v>
      </x:c>
      <x:c r="F168" s="15" t="str">
        <x:v>Supplier payments</x:v>
      </x:c>
      <x:c r="G168" s="15" t="str">
        <x:v>No</x:v>
      </x:c>
      <x:c r="H168" s="38" t="n">
        <x:v>-275.02</x:v>
      </x:c>
      <x:c r="I168" s="15" t="str"/>
      <x:c r="J168" s="15" t="str">
        <x:v>eml_ALL_currentac__512781 (2).zip &gt; eml7currentac__512781.zip / FNB _-) R275.02 reserved for purchase @ Pep Home 5771 Komati from Current a_c..512781 using card..2924. 31Jan 13_43.eml</x:v>
      </x:c>
    </x:row>
    <x:row r="169">
      <x:c r="A169" s="34" t="n">
        <x:v>46054.768055555556</x:v>
      </x:c>
      <x:c r="B169" s="15" t="str">
        <x:v>card..2924</x:v>
      </x:c>
      <x:c r="C169" s="15" t="str">
        <x:v>The Tin Shack</x:v>
      </x:c>
      <x:c r="D169" s="38" t="n">
        <x:v>625</x:v>
      </x:c>
      <x:c r="E169" s="15" t="str">
        <x:v>ZAR</x:v>
      </x:c>
      <x:c r="F169" s="15" t="str">
        <x:v>Meals / restaurants / entertainment</x:v>
      </x:c>
      <x:c r="G169" s="15" t="str">
        <x:v>No</x:v>
      </x:c>
      <x:c r="H169" s="38" t="n">
        <x:v>-625</x:v>
      </x:c>
      <x:c r="I169" s="15" t="str"/>
      <x:c r="J169" s="15" t="str">
        <x:v>eml_ALL_currentac__512781 (2).zip &gt; eml7currentac__512781.zip / FNB _-) R625.00 reserved for purchase @ The Tin Shack from Current a_c..512781 using card..2924.  1Feb 18_26.eml</x:v>
      </x:c>
    </x:row>
    <x:row r="170">
      <x:c r="A170" s="34" t="n">
        <x:v>46054.819444444445</x:v>
      </x:c>
      <x:c r="B170" s="15" t="str">
        <x:v>card..2924</x:v>
      </x:c>
      <x:c r="C170" s="15" t="str">
        <x:v>Sqsp* Domain</x:v>
      </x:c>
      <x:c r="D170" s="38" t="n">
        <x:v>419.34</x:v>
      </x:c>
      <x:c r="E170" s="15" t="str">
        <x:v>ZAR</x:v>
      </x:c>
      <x:c r="F170" s="15" t="str">
        <x:v>Software / subscriptions</x:v>
      </x:c>
      <x:c r="G170" s="15" t="str">
        <x:v>No</x:v>
      </x:c>
      <x:c r="H170" s="38" t="n">
        <x:v>-419.34</x:v>
      </x:c>
      <x:c r="I170" s="15" t="str"/>
      <x:c r="J170" s="15" t="str">
        <x:v>eml_ALL_currentac__512781 (2).zip &gt; eml7currentac__512781.zip / FNB _-) R419.34 reserved for purchase @ Sqsp_ Domain from Current a_c..512781 using card..2924.  1Feb 19_40.eml</x:v>
      </x:c>
    </x:row>
    <x:row r="171">
      <x:c r="A171" s="34" t="n">
        <x:v>46055.615277777775</x:v>
      </x:c>
      <x:c r="B171" s="15" t="str">
        <x:v>card..2924</x:v>
      </x:c>
      <x:c r="C171" s="15" t="str">
        <x:v>Savemor Marloth</x:v>
      </x:c>
      <x:c r="D171" s="38" t="n">
        <x:v>113.44</x:v>
      </x:c>
      <x:c r="E171" s="15" t="str">
        <x:v>ZAR</x:v>
      </x:c>
      <x:c r="F171" s="15" t="str">
        <x:v>Supplier payments</x:v>
      </x:c>
      <x:c r="G171" s="15" t="str">
        <x:v>No</x:v>
      </x:c>
      <x:c r="H171" s="38" t="n">
        <x:v>-113.44</x:v>
      </x:c>
      <x:c r="I171" s="15" t="str"/>
      <x:c r="J171" s="15" t="str">
        <x:v>eml_ALL_currentac__512781 (2).zip &gt; eml7currentac__512781.zip / FNB _-) R113.44 reserved for purchase @ Savemor Marloth from Current a_c..512781 using card..2924.  2Feb 14_46.eml</x:v>
      </x:c>
    </x:row>
    <x:row r="172">
      <x:c r="A172" s="34" t="n">
        <x:v>46056.48263888889</x:v>
      </x:c>
      <x:c r="B172" s="15" t="str">
        <x:v>card..2924</x:v>
      </x:c>
      <x:c r="C172" s="15" t="str">
        <x:v>Sparkling Auto Nelsp</x:v>
      </x:c>
      <x:c r="D172" s="38" t="n">
        <x:v>170</x:v>
      </x:c>
      <x:c r="E172" s="15" t="str">
        <x:v>ZAR</x:v>
      </x:c>
      <x:c r="F172" s="15" t="str">
        <x:v>Supplier payments</x:v>
      </x:c>
      <x:c r="G172" s="15" t="str">
        <x:v>No</x:v>
      </x:c>
      <x:c r="H172" s="38" t="n">
        <x:v>-170</x:v>
      </x:c>
      <x:c r="I172" s="15" t="str"/>
      <x:c r="J172" s="15" t="str">
        <x:v>eml_ALL_currentac__512781 (2).zip &gt; eml7currentac__512781.zip / FNB _-) R170.00 reserved for purchase @ Sparkling Auto Nelsp from Current a_c..512781 using card..2924.  3Feb 11_35.eml</x:v>
      </x:c>
    </x:row>
    <x:row r="173">
      <x:c r="A173" s="34" t="n">
        <x:v>46056.50347222222</x:v>
      </x:c>
      <x:c r="B173" s="15" t="str">
        <x:v>card..2924</x:v>
      </x:c>
      <x:c r="C173" s="15" t="str">
        <x:v>Superspar The Grove</x:v>
      </x:c>
      <x:c r="D173" s="38" t="n">
        <x:v>299.97</x:v>
      </x:c>
      <x:c r="E173" s="15" t="str">
        <x:v>ZAR</x:v>
      </x:c>
      <x:c r="F173" s="15" t="str">
        <x:v>Supplier payments</x:v>
      </x:c>
      <x:c r="G173" s="15" t="str">
        <x:v>No</x:v>
      </x:c>
      <x:c r="H173" s="38" t="n">
        <x:v>-299.97</x:v>
      </x:c>
      <x:c r="I173" s="15" t="str"/>
      <x:c r="J173" s="15" t="str">
        <x:v>eml_ALL_currentac__512781 (2).zip &gt; eml7currentac__512781.zip / FNB _-) R299.97 reserved for purchase @ Superspar The Grove from Current a_c..512781 using card..2924.  3Feb 12_05.eml</x:v>
      </x:c>
    </x:row>
    <x:row r="174">
      <x:c r="A174" s="34" t="n">
        <x:v>46056.54375</x:v>
      </x:c>
      <x:c r="B174" s="15" t="str">
        <x:v>card..2924</x:v>
      </x:c>
      <x:c r="C174" s="15" t="str">
        <x:v>Engen Prime Corner C</x:v>
      </x:c>
      <x:c r="D174" s="38" t="n">
        <x:v>500</x:v>
      </x:c>
      <x:c r="E174" s="15" t="str">
        <x:v>ZAR</x:v>
      </x:c>
      <x:c r="F174" s="15" t="str">
        <x:v>Fuel / transport</x:v>
      </x:c>
      <x:c r="G174" s="15" t="str">
        <x:v>No</x:v>
      </x:c>
      <x:c r="H174" s="38" t="n">
        <x:v>-500</x:v>
      </x:c>
      <x:c r="I174" s="15" t="str"/>
      <x:c r="J174" s="15" t="str">
        <x:v>eml_ALL_currentac__512781 (2).zip &gt; eml7currentac__512781.zip / FNB _-) R500.00 reserved for purchase @ Engen Prime Corner C from Current a_c..512781 using card..2924.  3Feb 13_03.eml</x:v>
      </x:c>
    </x:row>
    <x:row r="175">
      <x:c r="A175" s="34" t="n">
        <x:v>46057.62986111111</x:v>
      </x:c>
      <x:c r="B175" s="15" t="str">
        <x:v>card..2924</x:v>
      </x:c>
      <x:c r="C175" s="15" t="str">
        <x:v>Savemor Marloth</x:v>
      </x:c>
      <x:c r="D175" s="38" t="n">
        <x:v>524.81</x:v>
      </x:c>
      <x:c r="E175" s="15" t="str">
        <x:v>ZAR</x:v>
      </x:c>
      <x:c r="F175" s="15" t="str">
        <x:v>Supplier payments</x:v>
      </x:c>
      <x:c r="G175" s="15" t="str">
        <x:v>No</x:v>
      </x:c>
      <x:c r="H175" s="38" t="n">
        <x:v>-524.81</x:v>
      </x:c>
      <x:c r="I175" s="15" t="str"/>
      <x:c r="J175" s="15" t="str">
        <x:v>eml_ALL_currentac__512781 (2).zip &gt; eml7currentac__512781.zip / FNB _-) R524.81 reserved for purchase @ Savemor Marloth from Current a_c..512781 using card..2924.  4Feb 15_07.eml</x:v>
      </x:c>
    </x:row>
    <x:row r="176">
      <x:c r="A176" s="34" t="n">
        <x:v>46058.490277777775</x:v>
      </x:c>
      <x:c r="B176" s="15" t="str">
        <x:v>card..2924</x:v>
      </x:c>
      <x:c r="C176" s="15" t="str">
        <x:v>Superspar Komatipoor</x:v>
      </x:c>
      <x:c r="D176" s="38" t="n">
        <x:v>1791.43</x:v>
      </x:c>
      <x:c r="E176" s="15" t="str">
        <x:v>ZAR</x:v>
      </x:c>
      <x:c r="F176" s="15" t="str">
        <x:v>Supplier payments</x:v>
      </x:c>
      <x:c r="G176" s="15" t="str">
        <x:v>No</x:v>
      </x:c>
      <x:c r="H176" s="38" t="n">
        <x:v>-1791.43</x:v>
      </x:c>
      <x:c r="I176" s="15" t="str"/>
      <x:c r="J176" s="15" t="str">
        <x:v>eml_ALL_currentac__512781 (2).zip &gt; eml7currentac__512781.zip / FNB _-) R1791.43 reserved for purchase @ Superspar Komatipoor from Current a_c..512781 using card..2924.  5Feb 11_46.eml</x:v>
      </x:c>
    </x:row>
    <x:row r="177">
      <x:c r="A177" s="34" t="n">
        <x:v>46058.50486111111</x:v>
      </x:c>
      <x:c r="B177" s="15" t="str">
        <x:v>card..2924</x:v>
      </x:c>
      <x:c r="C177" s="15" t="str">
        <x:v>Obaro Komatipoort Fc</x:v>
      </x:c>
      <x:c r="D177" s="38" t="n">
        <x:v>600</x:v>
      </x:c>
      <x:c r="E177" s="15" t="str">
        <x:v>ZAR</x:v>
      </x:c>
      <x:c r="F177" s="15" t="str">
        <x:v>Supplier payments</x:v>
      </x:c>
      <x:c r="G177" s="15" t="str">
        <x:v>No</x:v>
      </x:c>
      <x:c r="H177" s="38" t="n">
        <x:v>-600</x:v>
      </x:c>
      <x:c r="I177" s="15" t="str"/>
      <x:c r="J177" s="15" t="str">
        <x:v>eml_ALL_currentac__512781 (2).zip &gt; eml7currentac__512781.zip / FNB _-) R600.00 reserved for purchase @ Obaro Komatipoort Fc from Current a_c..512781 using card..2924.  5Feb 12_07.eml</x:v>
      </x:c>
    </x:row>
    <x:row r="178">
      <x:c r="A178" s="34" t="n">
        <x:v>46058.510416666664</x:v>
      </x:c>
      <x:c r="B178" s="15" t="str">
        <x:v>card..2924</x:v>
      </x:c>
      <x:c r="C178" s="15" t="str">
        <x:v>Oasis Water Komatipo</x:v>
      </x:c>
      <x:c r="D178" s="38" t="n">
        <x:v>254.4</x:v>
      </x:c>
      <x:c r="E178" s="15" t="str">
        <x:v>ZAR</x:v>
      </x:c>
      <x:c r="F178" s="15" t="str">
        <x:v>Supplier payments</x:v>
      </x:c>
      <x:c r="G178" s="15" t="str">
        <x:v>No</x:v>
      </x:c>
      <x:c r="H178" s="38" t="n">
        <x:v>-254.4</x:v>
      </x:c>
      <x:c r="I178" s="15" t="str"/>
      <x:c r="J178" s="15" t="str">
        <x:v>eml_ALL_currentac__512781 (2).zip &gt; eml7currentac__512781.zip / FNB _-) R254.40 reserved for purchase @ Oasis Water Komatipo from Current a_c..512781 using card..2924.  5Feb 12_15.eml</x:v>
      </x:c>
    </x:row>
    <x:row r="179">
      <x:c r="A179" s="34" t="n">
        <x:v>46059.40833333333</x:v>
      </x:c>
      <x:c r="B179" s="15" t="str">
        <x:v>card..2924</x:v>
      </x:c>
      <x:c r="C179" s="15" t="str">
        <x:v>Savemor Marloth</x:v>
      </x:c>
      <x:c r="D179" s="38" t="n">
        <x:v>499.99</x:v>
      </x:c>
      <x:c r="E179" s="15" t="str">
        <x:v>ZAR</x:v>
      </x:c>
      <x:c r="F179" s="15" t="str">
        <x:v>Supplier payments</x:v>
      </x:c>
      <x:c r="G179" s="15" t="str">
        <x:v>No</x:v>
      </x:c>
      <x:c r="H179" s="38" t="n">
        <x:v>-499.99</x:v>
      </x:c>
      <x:c r="I179" s="15" t="str"/>
      <x:c r="J179" s="15" t="str">
        <x:v>eml_ALL_currentac__512781 (2).zip &gt; eml6currentac__512781.zip / FNB _-) R499.99 reserved for purchase @ Savemor Marloth from Current a_c..512781 using card..2924.  6Feb 09_48.eml</x:v>
      </x:c>
    </x:row>
    <x:row r="180">
      <x:c r="A180" s="34" t="n">
        <x:v>46059.48819444444</x:v>
      </x:c>
      <x:c r="B180" s="15" t="str">
        <x:v>card..2924</x:v>
      </x:c>
      <x:c r="C180" s="15" t="str">
        <x:v>Engen Siyaya Numbi</x:v>
      </x:c>
      <x:c r="D180" s="38" t="n">
        <x:v>573.5</x:v>
      </x:c>
      <x:c r="E180" s="15" t="str">
        <x:v>ZAR</x:v>
      </x:c>
      <x:c r="F180" s="15" t="str">
        <x:v>Fuel / transport</x:v>
      </x:c>
      <x:c r="G180" s="15" t="str">
        <x:v>No</x:v>
      </x:c>
      <x:c r="H180" s="38" t="n">
        <x:v>-573.5</x:v>
      </x:c>
      <x:c r="I180" s="15" t="str"/>
      <x:c r="J180" s="15" t="str">
        <x:v>eml_ALL_currentac__512781 (2).zip &gt; eml6currentac__512781.zip / FNB _-) R573.50 reserved for purchase @ Engen Siyaya Numbi from Current a_c..512781 using card..2924.  6Feb 11_43.eml</x:v>
      </x:c>
    </x:row>
    <x:row r="181">
      <x:c r="A181" s="34" t="n">
        <x:v>46059.73472222222</x:v>
      </x:c>
      <x:c r="B181" s="15" t="str">
        <x:v>card..2924</x:v>
      </x:c>
      <x:c r="C181" s="15" t="str">
        <x:v>Savemor Marloth Liqu</x:v>
      </x:c>
      <x:c r="D181" s="38" t="n">
        <x:v>469.95</x:v>
      </x:c>
      <x:c r="E181" s="15" t="str">
        <x:v>ZAR</x:v>
      </x:c>
      <x:c r="F181" s="15" t="str">
        <x:v>Meals / restaurants / entertainment</x:v>
      </x:c>
      <x:c r="G181" s="15" t="str">
        <x:v>No</x:v>
      </x:c>
      <x:c r="H181" s="38" t="n">
        <x:v>-469.95</x:v>
      </x:c>
      <x:c r="I181" s="15" t="str"/>
      <x:c r="J181" s="15" t="str">
        <x:v>eml_ALL_currentac__512781 (2).zip &gt; eml6currentac__512781.zip / FNB _-) R469.95 reserved for purchase @ Savemor Marloth Liqu from Current a_c..512781 using card..2924.  6Feb 17_38.eml</x:v>
      </x:c>
    </x:row>
    <x:row r="182">
      <x:c r="A182" s="34" t="n">
        <x:v>46060.42083333333</x:v>
      </x:c>
      <x:c r="B182" s="15" t="str">
        <x:v>card..2924</x:v>
      </x:c>
      <x:c r="C182" s="15" t="str">
        <x:v>Sasol Emkhatsini</x:v>
      </x:c>
      <x:c r="D182" s="38" t="n">
        <x:v>500</x:v>
      </x:c>
      <x:c r="E182" s="15" t="str">
        <x:v>ZAR</x:v>
      </x:c>
      <x:c r="F182" s="15" t="str">
        <x:v>Fuel / transport</x:v>
      </x:c>
      <x:c r="G182" s="15" t="str">
        <x:v>No</x:v>
      </x:c>
      <x:c r="H182" s="38" t="n">
        <x:v>-500</x:v>
      </x:c>
      <x:c r="I182" s="15" t="str"/>
      <x:c r="J182" s="15" t="str">
        <x:v>eml_ALL_currentac__512781 (2).zip &gt; eml6currentac__512781.zip / FNB _-) R500.00 reserved for purchase @ Sasol Emkhatsini from Current a_c..512781 using card..2924.  7Feb 10_06.eml</x:v>
      </x:c>
    </x:row>
    <x:row r="183">
      <x:c r="A183" s="34" t="n">
        <x:v>46060.45763888889</x:v>
      </x:c>
      <x:c r="B183" s="15" t="str">
        <x:v>card..2924</x:v>
      </x:c>
      <x:c r="C183" s="15" t="str">
        <x:v>Superspar Malelane</x:v>
      </x:c>
      <x:c r="D183" s="38" t="n">
        <x:v>339.97</x:v>
      </x:c>
      <x:c r="E183" s="15" t="str">
        <x:v>ZAR</x:v>
      </x:c>
      <x:c r="F183" s="15" t="str">
        <x:v>Supplier payments</x:v>
      </x:c>
      <x:c r="G183" s="15" t="str">
        <x:v>No</x:v>
      </x:c>
      <x:c r="H183" s="38" t="n">
        <x:v>-339.97</x:v>
      </x:c>
      <x:c r="I183" s="15" t="str"/>
      <x:c r="J183" s="15" t="str">
        <x:v>eml_ALL_currentac__512781 (2).zip &gt; eml6currentac__512781.zip / FNB _-) R339.97 reserved for purchase @ Superspar Malelane from Current a_c..512781 using card..2924.  7Feb 10_59.eml</x:v>
      </x:c>
    </x:row>
    <x:row r="184">
      <x:c r="A184" s="34" t="n">
        <x:v>46060.53402777778</x:v>
      </x:c>
      <x:c r="B184" s="15" t="str">
        <x:v>card..2924</x:v>
      </x:c>
      <x:c r="C184" s="15" t="str">
        <x:v>Atmh11960000001</x:v>
      </x:c>
      <x:c r="D184" s="38" t="n">
        <x:v>200</x:v>
      </x:c>
      <x:c r="E184" s="15" t="str">
        <x:v>ZAR</x:v>
      </x:c>
      <x:c r="F184" s="15" t="str">
        <x:v>Cash withdrawal</x:v>
      </x:c>
      <x:c r="G184" s="15" t="str">
        <x:v>No</x:v>
      </x:c>
      <x:c r="H184" s="38" t="n">
        <x:v>-200</x:v>
      </x:c>
      <x:c r="I184" s="15" t="str">
        <x:v>Atmh11960000001</x:v>
      </x:c>
      <x:c r="J184" s="15" t="str">
        <x:v>eml_ALL_currentac__512781 (2).zip &gt; eml6currentac__512781.zip / FNB _-) R200.00 withdrawn from Current a_c..512781 using card..2924 @ Atmh11960000001.  7Feb 12_49.eml</x:v>
      </x:c>
    </x:row>
    <x:row r="185">
      <x:c r="A185" s="34" t="n">
        <x:v>46060.535416666666</x:v>
      </x:c>
      <x:c r="B185" s="15" t="str">
        <x:v>card..2924</x:v>
      </x:c>
      <x:c r="C185" s="15" t="str">
        <x:v>Atmh11960000001</x:v>
      </x:c>
      <x:c r="D185" s="38" t="n">
        <x:v>200</x:v>
      </x:c>
      <x:c r="E185" s="15" t="str">
        <x:v>ZAR</x:v>
      </x:c>
      <x:c r="F185" s="15" t="str">
        <x:v>Cash withdrawal</x:v>
      </x:c>
      <x:c r="G185" s="15" t="str">
        <x:v>No</x:v>
      </x:c>
      <x:c r="H185" s="38" t="n">
        <x:v>-200</x:v>
      </x:c>
      <x:c r="I185" s="15" t="str">
        <x:v>Atmh11960000001</x:v>
      </x:c>
      <x:c r="J185" s="15" t="str">
        <x:v>eml_ALL_currentac__512781 (2).zip &gt; eml6currentac__512781.zip / FNB _-) R200.00 withdrawn from Current a_c..512781 using card..2924 @ Atmh11960000001.  7Feb 12_51.eml</x:v>
      </x:c>
    </x:row>
    <x:row r="186">
      <x:c r="A186" s="34" t="n">
        <x:v>46060.54652777778</x:v>
      </x:c>
      <x:c r="B186" s="15" t="str">
        <x:v>card..2924</x:v>
      </x:c>
      <x:c r="C186" s="15" t="str">
        <x:v>Savemor Marloth</x:v>
      </x:c>
      <x:c r="D186" s="38" t="n">
        <x:v>351.88</x:v>
      </x:c>
      <x:c r="E186" s="15" t="str">
        <x:v>ZAR</x:v>
      </x:c>
      <x:c r="F186" s="15" t="str">
        <x:v>Supplier payments</x:v>
      </x:c>
      <x:c r="G186" s="15" t="str">
        <x:v>No</x:v>
      </x:c>
      <x:c r="H186" s="38" t="n">
        <x:v>-351.88</x:v>
      </x:c>
      <x:c r="I186" s="15" t="str"/>
      <x:c r="J186" s="15" t="str">
        <x:v>eml_ALL_currentac__512781 (2).zip &gt; eml6currentac__512781.zip / FNB _-) R351.88 reserved for purchase @ Savemor Marloth from Current a_c..512781 using card..2924.  7Feb 13_07.eml</x:v>
      </x:c>
    </x:row>
    <x:row r="187">
      <x:c r="A187" s="34" t="n">
        <x:v>46062.63263888889</x:v>
      </x:c>
      <x:c r="B187" s="15" t="str">
        <x:v>card..2924</x:v>
      </x:c>
      <x:c r="C187" s="15" t="str">
        <x:v>Savemor Marloth</x:v>
      </x:c>
      <x:c r="D187" s="38" t="n">
        <x:v>242.9</x:v>
      </x:c>
      <x:c r="E187" s="15" t="str">
        <x:v>ZAR</x:v>
      </x:c>
      <x:c r="F187" s="15" t="str">
        <x:v>Supplier payments</x:v>
      </x:c>
      <x:c r="G187" s="15" t="str">
        <x:v>No</x:v>
      </x:c>
      <x:c r="H187" s="38" t="n">
        <x:v>-242.9</x:v>
      </x:c>
      <x:c r="I187" s="15" t="str"/>
      <x:c r="J187" s="15" t="str">
        <x:v>eml_ALL_currentac__512781 (2).zip &gt; eml6currentac__512781.zip / FNB _-) R242.90 reserved for purchase @ Savemor Marloth from Current a_c..512781 using card..2924.  9Feb 15_11.eml</x:v>
      </x:c>
    </x:row>
    <x:row r="188">
      <x:c r="A188" s="34" t="n">
        <x:v>46062.82430555556</x:v>
      </x:c>
      <x:c r="B188" s="15" t="str">
        <x:v>card..2924</x:v>
      </x:c>
      <x:c r="C188" s="15" t="str">
        <x:v>The Tin Shack</x:v>
      </x:c>
      <x:c r="D188" s="38" t="n">
        <x:v>380</x:v>
      </x:c>
      <x:c r="E188" s="15" t="str">
        <x:v>ZAR</x:v>
      </x:c>
      <x:c r="F188" s="15" t="str">
        <x:v>Meals / restaurants / entertainment</x:v>
      </x:c>
      <x:c r="G188" s="15" t="str">
        <x:v>No</x:v>
      </x:c>
      <x:c r="H188" s="38" t="n">
        <x:v>-380</x:v>
      </x:c>
      <x:c r="I188" s="15" t="str"/>
      <x:c r="J188" s="15" t="str">
        <x:v>eml_ALL_currentac__512781 (2).zip &gt; eml6currentac__512781.zip / FNB _-) R380.00 reserved for purchase @ The Tin Shack from Current a_c..512781 using card..2924.  9Feb 19_47.eml</x:v>
      </x:c>
    </x:row>
    <x:row r="189">
      <x:c r="A189" s="34" t="n">
        <x:v>46063.45</x:v>
      </x:c>
      <x:c r="B189" s="15" t="str">
        <x:v>card..2924</x:v>
      </x:c>
      <x:c r="C189" s="15" t="str">
        <x:v>Shoprite Komatipoort</x:v>
      </x:c>
      <x:c r="D189" s="38" t="n">
        <x:v>489.84</x:v>
      </x:c>
      <x:c r="E189" s="15" t="str">
        <x:v>ZAR</x:v>
      </x:c>
      <x:c r="F189" s="15" t="str">
        <x:v>Supplier payments</x:v>
      </x:c>
      <x:c r="G189" s="15" t="str">
        <x:v>No</x:v>
      </x:c>
      <x:c r="H189" s="38" t="n">
        <x:v>-489.84</x:v>
      </x:c>
      <x:c r="I189" s="15" t="str"/>
      <x:c r="J189" s="15" t="str">
        <x:v>eml_ALL_currentac__512781 (2).zip &gt; eml6currentac__512781.zip / FNB _-) R489.84 reserved for purchase @ Shoprite Komatipoort from Current a_c..512781 using card..2924. 10Feb 10_48.eml</x:v>
      </x:c>
    </x:row>
    <x:row r="190">
      <x:c r="A190" s="34" t="n">
        <x:v>46063.472916666666</x:v>
      </x:c>
      <x:c r="B190" s="15" t="str">
        <x:v>card..2924</x:v>
      </x:c>
      <x:c r="C190" s="15" t="str">
        <x:v>Buco Komatipoort 116</x:v>
      </x:c>
      <x:c r="D190" s="38" t="n">
        <x:v>769.67</x:v>
      </x:c>
      <x:c r="E190" s="15" t="str">
        <x:v>ZAR</x:v>
      </x:c>
      <x:c r="F190" s="15" t="str">
        <x:v>Supplier payments</x:v>
      </x:c>
      <x:c r="G190" s="15" t="str">
        <x:v>No</x:v>
      </x:c>
      <x:c r="H190" s="38" t="n">
        <x:v>-769.67</x:v>
      </x:c>
      <x:c r="I190" s="15" t="str"/>
      <x:c r="J190" s="15" t="str">
        <x:v>eml_ALL_currentac__512781 (2).zip &gt; eml6currentac__512781.zip / FNB _-) R769.67 reserved for purchase @ Buco Komatipoort 116 from Current a_c..512781 using card..2924. 10Feb 11_21.eml</x:v>
      </x:c>
    </x:row>
    <x:row r="191">
      <x:c r="A191" s="34" t="n">
        <x:v>46063.490277777775</x:v>
      </x:c>
      <x:c r="B191" s="15" t="str">
        <x:v>card..2924</x:v>
      </x:c>
      <x:c r="C191" s="15" t="str">
        <x:v>Pep Home 5771 Komati</x:v>
      </x:c>
      <x:c r="D191" s="38" t="n">
        <x:v>395.99</x:v>
      </x:c>
      <x:c r="E191" s="15" t="str">
        <x:v>ZAR</x:v>
      </x:c>
      <x:c r="F191" s="15" t="str">
        <x:v>Supplier payments</x:v>
      </x:c>
      <x:c r="G191" s="15" t="str">
        <x:v>No</x:v>
      </x:c>
      <x:c r="H191" s="38" t="n">
        <x:v>-395.99</x:v>
      </x:c>
      <x:c r="I191" s="15" t="str"/>
      <x:c r="J191" s="15" t="str">
        <x:v>eml_ALL_currentac__512781 (2).zip &gt; eml6currentac__512781.zip / FNB _-) R395.99 reserved for purchase @ Pep Home 5771 Komati from Current a_c..512781 using card..2924. 10Feb 11_46.eml</x:v>
      </x:c>
    </x:row>
    <x:row r="192">
      <x:c r="A192" s="34" t="n">
        <x:v>46063.53958333333</x:v>
      </x:c>
      <x:c r="B192" s="15" t="str">
        <x:v>card..2924</x:v>
      </x:c>
      <x:c r="C192" s="15" t="str">
        <x:v>Superspar Komatipoor</x:v>
      </x:c>
      <x:c r="D192" s="38" t="n">
        <x:v>1433.22</x:v>
      </x:c>
      <x:c r="E192" s="15" t="str">
        <x:v>ZAR</x:v>
      </x:c>
      <x:c r="F192" s="15" t="str">
        <x:v>Supplier payments</x:v>
      </x:c>
      <x:c r="G192" s="15" t="str">
        <x:v>No</x:v>
      </x:c>
      <x:c r="H192" s="38" t="n">
        <x:v>-1433.22</x:v>
      </x:c>
      <x:c r="I192" s="15" t="str"/>
      <x:c r="J192" s="15" t="str">
        <x:v>eml_ALL_currentac__512781 (2).zip &gt; eml6currentac__512781.zip / FNB _-) R1433.22 reserved for purchase @ Superspar Komatipoor from Current a_c..512781 using card..2924. 10Feb 12_57.eml</x:v>
      </x:c>
    </x:row>
    <x:row r="193">
      <x:c r="A193" s="34" t="n">
        <x:v>46064.404861111114</x:v>
      </x:c>
      <x:c r="B193" s="15" t="str">
        <x:v>card..2924</x:v>
      </x:c>
      <x:c r="C193" s="15" t="str">
        <x:v>Marlothi Petrol Stat</x:v>
      </x:c>
      <x:c r="D193" s="38" t="n">
        <x:v>200</x:v>
      </x:c>
      <x:c r="E193" s="15" t="str">
        <x:v>ZAR</x:v>
      </x:c>
      <x:c r="F193" s="15" t="str">
        <x:v>Fuel / transport</x:v>
      </x:c>
      <x:c r="G193" s="15" t="str">
        <x:v>No</x:v>
      </x:c>
      <x:c r="H193" s="38" t="n">
        <x:v>-200</x:v>
      </x:c>
      <x:c r="I193" s="15" t="str"/>
      <x:c r="J193" s="15" t="str">
        <x:v>eml_ALL_currentac__512781 (2).zip &gt; eml6currentac__512781.zip / FNB _-) R200.00 reserved for purchase @ Marlothi Petrol Stat from Current a_c..512781 using card..2924. 11Feb 09_43.eml</x:v>
      </x:c>
    </x:row>
    <x:row r="194">
      <x:c r="A194" s="34" t="n">
        <x:v>46064.529861111114</x:v>
      </x:c>
      <x:c r="B194" s="15" t="str">
        <x:v>card..2924</x:v>
      </x:c>
      <x:c r="C194" s="15" t="str">
        <x:v>Superspar Komatipoor</x:v>
      </x:c>
      <x:c r="D194" s="38" t="n">
        <x:v>135.61</x:v>
      </x:c>
      <x:c r="E194" s="15" t="str">
        <x:v>ZAR</x:v>
      </x:c>
      <x:c r="F194" s="15" t="str">
        <x:v>Supplier payments</x:v>
      </x:c>
      <x:c r="G194" s="15" t="str">
        <x:v>No</x:v>
      </x:c>
      <x:c r="H194" s="38" t="n">
        <x:v>-135.61</x:v>
      </x:c>
      <x:c r="I194" s="15" t="str"/>
      <x:c r="J194" s="15" t="str">
        <x:v>eml_ALL_currentac__512781 (2).zip &gt; eml6currentac__512781.zip / FNB _-) R135.61 reserved for purchase @ Superspar Komatipoor from Current a_c..512781 using card..2924. 11Feb 12_43.eml</x:v>
      </x:c>
    </x:row>
    <x:row r="195">
      <x:c r="A195" s="34" t="n">
        <x:v>46064.549305555556</x:v>
      </x:c>
      <x:c r="B195" s="15" t="str">
        <x:v>card..2924</x:v>
      </x:c>
      <x:c r="C195" s="15" t="str">
        <x:v>Obaro Komatipoort</x:v>
      </x:c>
      <x:c r="D195" s="38" t="n">
        <x:v>233</x:v>
      </x:c>
      <x:c r="E195" s="15" t="str">
        <x:v>ZAR</x:v>
      </x:c>
      <x:c r="F195" s="15" t="str">
        <x:v>Supplier payments</x:v>
      </x:c>
      <x:c r="G195" s="15" t="str">
        <x:v>No</x:v>
      </x:c>
      <x:c r="H195" s="38" t="n">
        <x:v>-233</x:v>
      </x:c>
      <x:c r="I195" s="15" t="str"/>
      <x:c r="J195" s="15" t="str">
        <x:v>eml_ALL_currentac__512781 (2).zip &gt; eml6currentac__512781.zip / FNB _-) R233.00 reserved for purchase @ Obaro Komatipoort from Current a_c..512781 using card..2924. 11Feb 13_11.eml</x:v>
      </x:c>
    </x:row>
    <x:row r="196">
      <x:c r="A196" s="34" t="n">
        <x:v>46064.61944444444</x:v>
      </x:c>
      <x:c r="B196" s="15" t="str">
        <x:v>card..2924</x:v>
      </x:c>
      <x:c r="C196" s="15" t="str">
        <x:v>Marlothi Petrol Stat</x:v>
      </x:c>
      <x:c r="D196" s="38" t="n">
        <x:v>400</x:v>
      </x:c>
      <x:c r="E196" s="15" t="str">
        <x:v>ZAR</x:v>
      </x:c>
      <x:c r="F196" s="15" t="str">
        <x:v>Fuel / transport</x:v>
      </x:c>
      <x:c r="G196" s="15" t="str">
        <x:v>No</x:v>
      </x:c>
      <x:c r="H196" s="38" t="n">
        <x:v>-400</x:v>
      </x:c>
      <x:c r="I196" s="15" t="str"/>
      <x:c r="J196" s="15" t="str">
        <x:v>eml_ALL_currentac__512781 (2).zip &gt; eml6currentac__512781.zip / FNB _-) R400.00 reserved for purchase @ Marlothi Petrol Stat from Current a_c..512781 using card..2924. 11Feb 14_52.eml</x:v>
      </x:c>
    </x:row>
    <x:row r="197">
      <x:c r="A197" s="34" t="n">
        <x:v>46065.506944444445</x:v>
      </x:c>
      <x:c r="B197" s="15" t="str">
        <x:v>card..2924</x:v>
      </x:c>
      <x:c r="C197" s="15" t="str">
        <x:v>Hpy*vodafone Cellula</x:v>
      </x:c>
      <x:c r="D197" s="38" t="n">
        <x:v>150</x:v>
      </x:c>
      <x:c r="E197" s="15" t="str">
        <x:v>ZAR</x:v>
      </x:c>
      <x:c r="F197" s="15" t="str">
        <x:v>Card spend</x:v>
      </x:c>
      <x:c r="G197" s="15" t="str">
        <x:v>No</x:v>
      </x:c>
      <x:c r="H197" s="38" t="n">
        <x:v>-150</x:v>
      </x:c>
      <x:c r="I197" s="15" t="str"/>
      <x:c r="J197" s="15" t="str">
        <x:v>eml_ALL_currentac__512781 (2).zip &gt; eml6currentac__512781.zip / FNB _-) R150.00 reserved for purchase @ Hpy_vodafone Cellula from Current a_c..512781 using card..2924. 12Feb 12_10.eml</x:v>
      </x:c>
    </x:row>
    <x:row r="198">
      <x:c r="A198" s="34" t="n">
        <x:v>46065.521527777775</x:v>
      </x:c>
      <x:c r="B198" s="15" t="str">
        <x:v>card..2924</x:v>
      </x:c>
      <x:c r="C198" s="15" t="str">
        <x:v>Superspar Komatipoor</x:v>
      </x:c>
      <x:c r="D198" s="38" t="n">
        <x:v>489.46</x:v>
      </x:c>
      <x:c r="E198" s="15" t="str">
        <x:v>ZAR</x:v>
      </x:c>
      <x:c r="F198" s="15" t="str">
        <x:v>Supplier payments</x:v>
      </x:c>
      <x:c r="G198" s="15" t="str">
        <x:v>No</x:v>
      </x:c>
      <x:c r="H198" s="38" t="n">
        <x:v>-489.46</x:v>
      </x:c>
      <x:c r="I198" s="15" t="str"/>
      <x:c r="J198" s="15" t="str">
        <x:v>eml_ALL_currentac__512781 (2).zip &gt; eml6currentac__512781.zip / FNB _-) R489.46 reserved for purchase @ Superspar Komatipoor from Current a_c..512781 using card..2924. 12Feb 12_31.eml</x:v>
      </x:c>
    </x:row>
    <x:row r="199">
      <x:c r="A199" s="34" t="n">
        <x:v>46065.558333333334</x:v>
      </x:c>
      <x:c r="B199" s="15" t="str">
        <x:v>card..2924</x:v>
      </x:c>
      <x:c r="C199" s="15" t="str">
        <x:v>Goldwagen Komatipoor</x:v>
      </x:c>
      <x:c r="D199" s="38" t="n">
        <x:v>575</x:v>
      </x:c>
      <x:c r="E199" s="15" t="str">
        <x:v>ZAR</x:v>
      </x:c>
      <x:c r="F199" s="15" t="str">
        <x:v>Card spend</x:v>
      </x:c>
      <x:c r="G199" s="15" t="str">
        <x:v>No</x:v>
      </x:c>
      <x:c r="H199" s="38" t="n">
        <x:v>-575</x:v>
      </x:c>
      <x:c r="I199" s="15" t="str"/>
      <x:c r="J199" s="15" t="str">
        <x:v>eml_ALL_currentac__512781 (2).zip &gt; eml6currentac__512781.zip / FNB _-) R575.00 reserved for purchase @ Goldwagen Komatipoor from Current a_c..512781 using card..2924. 12Feb 13_24.eml</x:v>
      </x:c>
    </x:row>
    <x:row r="200">
      <x:c r="A200" s="34" t="n">
        <x:v>46066.490277777775</x:v>
      </x:c>
      <x:c r="B200" s="15" t="str">
        <x:v>card..2924</x:v>
      </x:c>
      <x:c r="C200" s="15" t="str">
        <x:v>Buco Komatipoort 116</x:v>
      </x:c>
      <x:c r="D200" s="38" t="n">
        <x:v>2021.17</x:v>
      </x:c>
      <x:c r="E200" s="15" t="str">
        <x:v>ZAR</x:v>
      </x:c>
      <x:c r="F200" s="15" t="str">
        <x:v>Supplier payments</x:v>
      </x:c>
      <x:c r="G200" s="15" t="str">
        <x:v>No</x:v>
      </x:c>
      <x:c r="H200" s="38" t="n">
        <x:v>-2021.17</x:v>
      </x:c>
      <x:c r="I200" s="15" t="str"/>
      <x:c r="J200" s="15" t="str">
        <x:v>eml_ALL_currentac__512781 (2).zip &gt; eml6currentac__512781.zip / FNB _-) R2021.17 reserved for purchase @ Buco Komatipoort 116 from Current a_c..512781 using card..2924. 13Feb 11_46.eml</x:v>
      </x:c>
    </x:row>
    <x:row r="201">
      <x:c r="A201" s="34" t="n">
        <x:v>46066.504166666666</x:v>
      </x:c>
      <x:c r="B201" s="15" t="str">
        <x:v>card..2924</x:v>
      </x:c>
      <x:c r="C201" s="15" t="str">
        <x:v>Goldwagen Komatipoor</x:v>
      </x:c>
      <x:c r="D201" s="38" t="n">
        <x:v>355</x:v>
      </x:c>
      <x:c r="E201" s="15" t="str">
        <x:v>ZAR</x:v>
      </x:c>
      <x:c r="F201" s="15" t="str">
        <x:v>Card spend</x:v>
      </x:c>
      <x:c r="G201" s="15" t="str">
        <x:v>No</x:v>
      </x:c>
      <x:c r="H201" s="38" t="n">
        <x:v>-355</x:v>
      </x:c>
      <x:c r="I201" s="15" t="str"/>
      <x:c r="J201" s="15" t="str">
        <x:v>eml_ALL_currentac__512781 (2).zip &gt; eml6currentac__512781.zip / FNB _-) R355.00 reserved for purchase @ Goldwagen Komatipoor from Current a_c..512781 using card..2924. 13Feb 12_06.eml</x:v>
      </x:c>
    </x:row>
    <x:row r="202">
      <x:c r="A202" s="34" t="n">
        <x:v>46066.59444444445</x:v>
      </x:c>
      <x:c r="B202" s="15" t="str">
        <x:v>card..2924</x:v>
      </x:c>
      <x:c r="C202" s="15" t="str">
        <x:v>Superspar Komatipoor</x:v>
      </x:c>
      <x:c r="D202" s="38" t="n">
        <x:v>2621.98</x:v>
      </x:c>
      <x:c r="E202" s="15" t="str">
        <x:v>ZAR</x:v>
      </x:c>
      <x:c r="F202" s="15" t="str">
        <x:v>Supplier payments</x:v>
      </x:c>
      <x:c r="G202" s="15" t="str">
        <x:v>No</x:v>
      </x:c>
      <x:c r="H202" s="38" t="n">
        <x:v>-2621.98</x:v>
      </x:c>
      <x:c r="I202" s="15" t="str"/>
      <x:c r="J202" s="15" t="str">
        <x:v>eml_ALL_currentac__512781 (2).zip &gt; eml6currentac__512781.zip / FNB _-) R2621.98 reserved for purchase @ Superspar Komatipoor from Current a_c..512781 using card..2924. 13Feb 14_16.eml</x:v>
      </x:c>
    </x:row>
    <x:row r="203">
      <x:c r="A203" s="34" t="n">
        <x:v>46066.60277777778</x:v>
      </x:c>
      <x:c r="B203" s="15" t="str">
        <x:v>card..2924</x:v>
      </x:c>
      <x:c r="C203" s="15" t="str">
        <x:v>Obaro Komatipoort Fc</x:v>
      </x:c>
      <x:c r="D203" s="38" t="n">
        <x:v>500</x:v>
      </x:c>
      <x:c r="E203" s="15" t="str">
        <x:v>ZAR</x:v>
      </x:c>
      <x:c r="F203" s="15" t="str">
        <x:v>Supplier payments</x:v>
      </x:c>
      <x:c r="G203" s="15" t="str">
        <x:v>No</x:v>
      </x:c>
      <x:c r="H203" s="38" t="n">
        <x:v>-500</x:v>
      </x:c>
      <x:c r="I203" s="15" t="str"/>
      <x:c r="J203" s="15" t="str">
        <x:v>eml_ALL_currentac__512781 (2).zip &gt; eml6currentac__512781.zip / FNB _-) R500.00 reserved for purchase @ Obaro Komatipoort Fc from Current a_c..512781 using card..2924. 13Feb 14_28.eml</x:v>
      </x:c>
    </x:row>
    <x:row r="204">
      <x:c r="A204" s="34" t="n">
        <x:v>46066.62777777778</x:v>
      </x:c>
      <x:c r="B204" s="15" t="str">
        <x:v>card..2924</x:v>
      </x:c>
      <x:c r="C204" s="15" t="str">
        <x:v>Savemor Marloth</x:v>
      </x:c>
      <x:c r="D204" s="38" t="n">
        <x:v>450.97</x:v>
      </x:c>
      <x:c r="E204" s="15" t="str">
        <x:v>ZAR</x:v>
      </x:c>
      <x:c r="F204" s="15" t="str">
        <x:v>Supplier payments</x:v>
      </x:c>
      <x:c r="G204" s="15" t="str">
        <x:v>No</x:v>
      </x:c>
      <x:c r="H204" s="38" t="n">
        <x:v>-450.97</x:v>
      </x:c>
      <x:c r="I204" s="15" t="str"/>
      <x:c r="J204" s="15" t="str">
        <x:v>eml_ALL_currentac__512781 (2).zip &gt; eml6currentac__512781.zip / FNB _-) R450.97 reserved for purchase @ Savemor Marloth from Current a_c..512781 using card..2924. 13Feb 15_04.eml</x:v>
      </x:c>
    </x:row>
    <x:row r="205">
      <x:c r="A205" s="34" t="n">
        <x:v>46066.63125</x:v>
      </x:c>
      <x:c r="B205" s="15" t="str">
        <x:v>card..2924</x:v>
      </x:c>
      <x:c r="C205" s="15" t="str">
        <x:v>Savemor Marloth Liqu</x:v>
      </x:c>
      <x:c r="D205" s="38" t="n">
        <x:v>330.96</x:v>
      </x:c>
      <x:c r="E205" s="15" t="str">
        <x:v>ZAR</x:v>
      </x:c>
      <x:c r="F205" s="15" t="str">
        <x:v>Meals / restaurants / entertainment</x:v>
      </x:c>
      <x:c r="G205" s="15" t="str">
        <x:v>No</x:v>
      </x:c>
      <x:c r="H205" s="38" t="n">
        <x:v>-330.96</x:v>
      </x:c>
      <x:c r="I205" s="15" t="str"/>
      <x:c r="J205" s="15" t="str">
        <x:v>eml_ALL_currentac__512781 (2).zip &gt; eml6currentac__512781.zip / FNB _-) R330.96 reserved for purchase @ Savemor Marloth Liqu from Current a_c..512781 using card..2924. 13Feb 15_09.eml</x:v>
      </x:c>
    </x:row>
    <x:row r="206">
      <x:c r="A206" s="34" t="n">
        <x:v>46067.525</x:v>
      </x:c>
      <x:c r="B206" s="15" t="str">
        <x:v>card..2924</x:v>
      </x:c>
      <x:c r="C206" s="15" t="str">
        <x:v>Sqsp* Websit</x:v>
      </x:c>
      <x:c r="D206" s="38" t="n">
        <x:v>620.09</x:v>
      </x:c>
      <x:c r="E206" s="15" t="str">
        <x:v>ZAR</x:v>
      </x:c>
      <x:c r="F206" s="15" t="str">
        <x:v>Software / subscriptions</x:v>
      </x:c>
      <x:c r="G206" s="15" t="str">
        <x:v>No</x:v>
      </x:c>
      <x:c r="H206" s="38" t="n">
        <x:v>-620.09</x:v>
      </x:c>
      <x:c r="I206" s="15" t="str"/>
      <x:c r="J206" s="15" t="str">
        <x:v>eml_ALL_currentac__512781 (2).zip &gt; eml6currentac__512781.zip / FNB _-) R620.09 reserved for purchase @ Sqsp_ Websit from Current a_c..512781 using card..2924. 14Feb 12_36.eml</x:v>
      </x:c>
    </x:row>
    <x:row r="207">
      <x:c r="A207" s="34" t="n">
        <x:v>46069.572916666664</x:v>
      </x:c>
      <x:c r="B207" s="15" t="str">
        <x:v>card..2924</x:v>
      </x:c>
      <x:c r="C207" s="15" t="str">
        <x:v>Shoprite Komatipoort</x:v>
      </x:c>
      <x:c r="D207" s="38" t="n">
        <x:v>628.86</x:v>
      </x:c>
      <x:c r="E207" s="15" t="str">
        <x:v>ZAR</x:v>
      </x:c>
      <x:c r="F207" s="15" t="str">
        <x:v>Supplier payments</x:v>
      </x:c>
      <x:c r="G207" s="15" t="str">
        <x:v>No</x:v>
      </x:c>
      <x:c r="H207" s="38" t="n">
        <x:v>-628.86</x:v>
      </x:c>
      <x:c r="I207" s="15" t="str"/>
      <x:c r="J207" s="15" t="str">
        <x:v>eml_ALL_currentac__512781 (2).zip &gt; eml6currentac__512781.zip / FNB _-) R628.86 reserved for purchase @ Shoprite Komatipoort from Current a_c..512781 using card..2924. 16Feb 13_45.eml</x:v>
      </x:c>
    </x:row>
    <x:row r="208">
      <x:c r="A208" s="34" t="n">
        <x:v>46069.61875</x:v>
      </x:c>
      <x:c r="B208" s="15" t="str">
        <x:v>card..2924</x:v>
      </x:c>
      <x:c r="C208" s="15" t="str">
        <x:v>Superspar Komatipoor</x:v>
      </x:c>
      <x:c r="D208" s="38" t="n">
        <x:v>1817.3</x:v>
      </x:c>
      <x:c r="E208" s="15" t="str">
        <x:v>ZAR</x:v>
      </x:c>
      <x:c r="F208" s="15" t="str">
        <x:v>Supplier payments</x:v>
      </x:c>
      <x:c r="G208" s="15" t="str">
        <x:v>No</x:v>
      </x:c>
      <x:c r="H208" s="38" t="n">
        <x:v>-1817.3</x:v>
      </x:c>
      <x:c r="I208" s="15" t="str"/>
      <x:c r="J208" s="15" t="str">
        <x:v>eml_ALL_currentac__512781 (2).zip &gt; eml6currentac__512781.zip / FNB _-) R1817.30 reserved for purchase @ Superspar Komatipoor from Current a_c..512781 using card..2924. 16Feb 14_51.eml</x:v>
      </x:c>
    </x:row>
    <x:row r="209">
      <x:c r="A209" s="34" t="n">
        <x:v>46070.479166666664</x:v>
      </x:c>
      <x:c r="B209" s="15" t="str">
        <x:v>card..2924</x:v>
      </x:c>
      <x:c r="C209" s="15" t="str">
        <x:v>Superspar Malelane</x:v>
      </x:c>
      <x:c r="D209" s="38" t="n">
        <x:v>316.54</x:v>
      </x:c>
      <x:c r="E209" s="15" t="str">
        <x:v>ZAR</x:v>
      </x:c>
      <x:c r="F209" s="15" t="str">
        <x:v>Supplier payments</x:v>
      </x:c>
      <x:c r="G209" s="15" t="str">
        <x:v>No</x:v>
      </x:c>
      <x:c r="H209" s="38" t="n">
        <x:v>-316.54</x:v>
      </x:c>
      <x:c r="I209" s="15" t="str"/>
      <x:c r="J209" s="15" t="str">
        <x:v>eml_ALL_currentac__512781 (2).zip &gt; eml6currentac__512781.zip / FNB _-) R316.54 reserved for purchase @ Superspar Malelane from Current a_c..512781 using card..2924. 17Feb 11_30.eml</x:v>
      </x:c>
    </x:row>
    <x:row r="210">
      <x:c r="A210" s="34" t="n">
        <x:v>46070.48611111111</x:v>
      </x:c>
      <x:c r="B210" s="15" t="str">
        <x:v>card..2924</x:v>
      </x:c>
      <x:c r="C210" s="15" t="str">
        <x:v>Tops Malelane</x:v>
      </x:c>
      <x:c r="D210" s="38" t="n">
        <x:v>186</x:v>
      </x:c>
      <x:c r="E210" s="15" t="str">
        <x:v>ZAR</x:v>
      </x:c>
      <x:c r="F210" s="15" t="str">
        <x:v>Meals / restaurants / entertainment</x:v>
      </x:c>
      <x:c r="G210" s="15" t="str">
        <x:v>No</x:v>
      </x:c>
      <x:c r="H210" s="38" t="n">
        <x:v>-186</x:v>
      </x:c>
      <x:c r="I210" s="15" t="str"/>
      <x:c r="J210" s="15" t="str">
        <x:v>eml_ALL_currentac__512781 (2).zip &gt; eml6currentac__512781.zip / FNB _-) R186.00 reserved for purchase @ Tops Malelane from Current a_c..512781 using card..2924. 17Feb 11_40.eml</x:v>
      </x:c>
    </x:row>
    <x:row r="211">
      <x:c r="A211" s="34" t="n">
        <x:v>46070.48888888889</x:v>
      </x:c>
      <x:c r="B211" s="15" t="str">
        <x:v>card..2924</x:v>
      </x:c>
      <x:c r="C211" s="15" t="str">
        <x:v>Paystack *zoho Co</x:v>
      </x:c>
      <x:c r="D211" s="38" t="n">
        <x:v>228.85</x:v>
      </x:c>
      <x:c r="E211" s="15" t="str">
        <x:v>ZAR</x:v>
      </x:c>
      <x:c r="F211" s="15" t="str">
        <x:v>Software / subscriptions</x:v>
      </x:c>
      <x:c r="G211" s="15" t="str">
        <x:v>No</x:v>
      </x:c>
      <x:c r="H211" s="38" t="n">
        <x:v>-228.85</x:v>
      </x:c>
      <x:c r="I211" s="15" t="str"/>
      <x:c r="J211" s="15" t="str">
        <x:v>eml_ALL_currentac__512781 (2).zip &gt; eml6currentac__512781.zip / FNB _-) R228.85 reserved for purchase @ Paystack _zoho Co from Current a_c..512781 using card..2924. 17Feb 11_44.eml</x:v>
      </x:c>
    </x:row>
    <x:row r="212">
      <x:c r="A212" s="34" t="n">
        <x:v>46070.61597222222</x:v>
      </x:c>
      <x:c r="B212" s="15" t="str">
        <x:v>card..2924</x:v>
      </x:c>
      <x:c r="C212" s="15" t="str">
        <x:v>Savemor Marloth</x:v>
      </x:c>
      <x:c r="D212" s="38" t="n">
        <x:v>300.1</x:v>
      </x:c>
      <x:c r="E212" s="15" t="str">
        <x:v>ZAR</x:v>
      </x:c>
      <x:c r="F212" s="15" t="str">
        <x:v>Supplier payments</x:v>
      </x:c>
      <x:c r="G212" s="15" t="str">
        <x:v>No</x:v>
      </x:c>
      <x:c r="H212" s="38" t="n">
        <x:v>-300.1</x:v>
      </x:c>
      <x:c r="I212" s="15" t="str"/>
      <x:c r="J212" s="15" t="str">
        <x:v>eml_ALL_currentac__512781 (2).zip &gt; eml6currentac__512781.zip / FNB _-) R300.10 reserved for purchase @ Savemor Marloth from Current a_c..512781 using card..2924. 17Feb 14_47.eml</x:v>
      </x:c>
    </x:row>
    <x:row r="213">
      <x:c r="A213" s="34" t="n">
        <x:v>46071.45347222222</x:v>
      </x:c>
      <x:c r="B213" s="15" t="str">
        <x:v>card..2924</x:v>
      </x:c>
      <x:c r="C213" s="15" t="str">
        <x:v>Savemor Marloth</x:v>
      </x:c>
      <x:c r="D213" s="38" t="n">
        <x:v>1499.99</x:v>
      </x:c>
      <x:c r="E213" s="15" t="str">
        <x:v>ZAR</x:v>
      </x:c>
      <x:c r="F213" s="15" t="str">
        <x:v>Supplier payments</x:v>
      </x:c>
      <x:c r="G213" s="15" t="str">
        <x:v>No</x:v>
      </x:c>
      <x:c r="H213" s="38" t="n">
        <x:v>-1499.99</x:v>
      </x:c>
      <x:c r="I213" s="15" t="str"/>
      <x:c r="J213" s="15" t="str">
        <x:v>eml_ALL_currentac__512781 (2).zip &gt; eml6currentac__512781.zip / FNB _-) R1499.99 reserved for purchase @ Savemor Marloth from Current a_c..512781 using card..2924. 18Feb 10_53.eml</x:v>
      </x:c>
    </x:row>
    <x:row r="214">
      <x:c r="A214" s="34" t="n">
        <x:v>46071.45625</x:v>
      </x:c>
      <x:c r="B214" s="15" t="str">
        <x:v>card..2924</x:v>
      </x:c>
      <x:c r="C214" s="15" t="str">
        <x:v>Marlothi Petrol Stat</x:v>
      </x:c>
      <x:c r="D214" s="38" t="n">
        <x:v>500</x:v>
      </x:c>
      <x:c r="E214" s="15" t="str">
        <x:v>ZAR</x:v>
      </x:c>
      <x:c r="F214" s="15" t="str">
        <x:v>Fuel / transport</x:v>
      </x:c>
      <x:c r="G214" s="15" t="str">
        <x:v>No</x:v>
      </x:c>
      <x:c r="H214" s="38" t="n">
        <x:v>-500</x:v>
      </x:c>
      <x:c r="I214" s="15" t="str"/>
      <x:c r="J214" s="15" t="str">
        <x:v>eml_ALL_currentac__512781 (2).zip &gt; eml6currentac__512781.zip / FNB _-) R500.00 reserved for purchase @ Marlothi Petrol Stat from Current a_c..512781 using card..2924. 18Feb 10_57.eml</x:v>
      </x:c>
    </x:row>
    <x:row r="215">
      <x:c r="A215" s="34" t="n">
        <x:v>46071.853472222225</x:v>
      </x:c>
      <x:c r="B215" s="15" t="str">
        <x:v>card..2924</x:v>
      </x:c>
      <x:c r="C215" s="15" t="str">
        <x:v>K2025744041 Sou 262</x:v>
      </x:c>
      <x:c r="D215" s="38" t="n">
        <x:v>470</x:v>
      </x:c>
      <x:c r="E215" s="15" t="str">
        <x:v>ZAR</x:v>
      </x:c>
      <x:c r="F215" s="15" t="str">
        <x:v>Card spend</x:v>
      </x:c>
      <x:c r="G215" s="15" t="str">
        <x:v>No</x:v>
      </x:c>
      <x:c r="H215" s="38" t="n">
        <x:v>-470</x:v>
      </x:c>
      <x:c r="I215" s="15" t="str"/>
      <x:c r="J215" s="15" t="str">
        <x:v>eml_ALL_currentac__512781 (2).zip &gt; eml6currentac__512781.zip / FNB _-) R470.00 reserved for purchase @ K2025744041 Sou 262 from Current a_c..512781 using card..2924. 18Feb 20_29.eml</x:v>
      </x:c>
    </x:row>
    <x:row r="216">
      <x:c r="A216" s="34" t="n">
        <x:v>46072.74375</x:v>
      </x:c>
      <x:c r="B216" s="15" t="str">
        <x:v>card..2924</x:v>
      </x:c>
      <x:c r="C216" s="15" t="str">
        <x:v>Savemor Marloth</x:v>
      </x:c>
      <x:c r="D216" s="38" t="n">
        <x:v>171.37</x:v>
      </x:c>
      <x:c r="E216" s="15" t="str">
        <x:v>ZAR</x:v>
      </x:c>
      <x:c r="F216" s="15" t="str">
        <x:v>Supplier payments</x:v>
      </x:c>
      <x:c r="G216" s="15" t="str">
        <x:v>No</x:v>
      </x:c>
      <x:c r="H216" s="38" t="n">
        <x:v>-171.37</x:v>
      </x:c>
      <x:c r="I216" s="15" t="str"/>
      <x:c r="J216" s="15" t="str">
        <x:v>eml_ALL_currentac__512781 (2).zip &gt; eml6currentac__512781.zip / FNB _-) R171.37 reserved for purchase @ Savemor Marloth from Current a_c..512781 using card..2924. 19Feb 17_51.eml</x:v>
      </x:c>
    </x:row>
    <x:row r="217">
      <x:c r="A217" s="34" t="n">
        <x:v>46073.69652777778</x:v>
      </x:c>
      <x:c r="B217" s="15" t="str">
        <x:v>card..2924</x:v>
      </x:c>
      <x:c r="C217" s="15" t="str">
        <x:v>Oasis Water Komatipo</x:v>
      </x:c>
      <x:c r="D217" s="38" t="n">
        <x:v>149.7</x:v>
      </x:c>
      <x:c r="E217" s="15" t="str">
        <x:v>ZAR</x:v>
      </x:c>
      <x:c r="F217" s="15" t="str">
        <x:v>Supplier payments</x:v>
      </x:c>
      <x:c r="G217" s="15" t="str">
        <x:v>No</x:v>
      </x:c>
      <x:c r="H217" s="38" t="n">
        <x:v>-149.7</x:v>
      </x:c>
      <x:c r="I217" s="15" t="str"/>
      <x:c r="J217" s="15" t="str">
        <x:v>eml_ALL_currentac__512781 (2).zip &gt; eml6currentac__512781.zip / FNB _-) R149.70 reserved for purchase @ Oasis Water Komatipo from Current a_c..512781 using card..2924. 20Feb 16_43.eml</x:v>
      </x:c>
    </x:row>
    <x:row r="218">
      <x:c r="A218" s="34" t="n">
        <x:v>46073.711805555555</x:v>
      </x:c>
      <x:c r="B218" s="15" t="str">
        <x:v>card..2924</x:v>
      </x:c>
      <x:c r="C218" s="15" t="str">
        <x:v>Superspar Komatipoor</x:v>
      </x:c>
      <x:c r="D218" s="38" t="n">
        <x:v>693.43</x:v>
      </x:c>
      <x:c r="E218" s="15" t="str">
        <x:v>ZAR</x:v>
      </x:c>
      <x:c r="F218" s="15" t="str">
        <x:v>Supplier payments</x:v>
      </x:c>
      <x:c r="G218" s="15" t="str">
        <x:v>No</x:v>
      </x:c>
      <x:c r="H218" s="38" t="n">
        <x:v>-693.43</x:v>
      </x:c>
      <x:c r="I218" s="15" t="str"/>
      <x:c r="J218" s="15" t="str">
        <x:v>eml_ALL_currentac__512781 (2).zip &gt; eml6currentac__512781.zip / FNB _-) R693.43 reserved for purchase @ Superspar Komatipoor from Current a_c..512781 using card..2924. 20Feb 17_05.eml</x:v>
      </x:c>
    </x:row>
    <x:row r="219">
      <x:c r="A219" s="34" t="n">
        <x:v>46073.84305555555</x:v>
      </x:c>
      <x:c r="B219" s="15" t="str">
        <x:v>card..2924</x:v>
      </x:c>
      <x:c r="C219" s="15" t="str">
        <x:v>The Tin Shack</x:v>
      </x:c>
      <x:c r="D219" s="38" t="n">
        <x:v>185</x:v>
      </x:c>
      <x:c r="E219" s="15" t="str">
        <x:v>ZAR</x:v>
      </x:c>
      <x:c r="F219" s="15" t="str">
        <x:v>Meals / restaurants / entertainment</x:v>
      </x:c>
      <x:c r="G219" s="15" t="str">
        <x:v>No</x:v>
      </x:c>
      <x:c r="H219" s="38" t="n">
        <x:v>-185</x:v>
      </x:c>
      <x:c r="I219" s="15" t="str"/>
      <x:c r="J219" s="15" t="str">
        <x:v>eml_ALL_currentac__512781 (2).zip &gt; eml6currentac__512781.zip / FNB _-) R185.00 reserved for purchase @ The Tin Shack from Current a_c..512781 using card..2924. 20Feb 20_14.eml</x:v>
      </x:c>
    </x:row>
    <x:row r="220">
      <x:c r="A220" s="34" t="n">
        <x:v>46074.433333333334</x:v>
      </x:c>
      <x:c r="B220" s="15" t="str">
        <x:v>card..2924</x:v>
      </x:c>
      <x:c r="C220" s="15" t="str">
        <x:v>Savemor Marloth</x:v>
      </x:c>
      <x:c r="D220" s="38" t="n">
        <x:v>1201.4</x:v>
      </x:c>
      <x:c r="E220" s="15" t="str">
        <x:v>ZAR</x:v>
      </x:c>
      <x:c r="F220" s="15" t="str">
        <x:v>Supplier payments</x:v>
      </x:c>
      <x:c r="G220" s="15" t="str">
        <x:v>No</x:v>
      </x:c>
      <x:c r="H220" s="38" t="n">
        <x:v>-1201.4</x:v>
      </x:c>
      <x:c r="I220" s="15" t="str"/>
      <x:c r="J220" s="15" t="str">
        <x:v>eml_ALL_currentac__512781 (2).zip &gt; eml6currentac__512781.zip / FNB _-) R1201.40 reserved for purchase @ Savemor Marloth from Current a_c..512781 using card..2924. 21Feb 10_24.eml</x:v>
      </x:c>
    </x:row>
    <x:row r="221">
      <x:c r="A221" s="34" t="n">
        <x:v>46074.45486111111</x:v>
      </x:c>
      <x:c r="B221" s="15" t="str">
        <x:v>card..2924</x:v>
      </x:c>
      <x:c r="C221" s="15" t="str">
        <x:v>Komati Liquor</x:v>
      </x:c>
      <x:c r="D221" s="38" t="n">
        <x:v>316</x:v>
      </x:c>
      <x:c r="E221" s="15" t="str">
        <x:v>ZAR</x:v>
      </x:c>
      <x:c r="F221" s="15" t="str">
        <x:v>Meals / restaurants / entertainment</x:v>
      </x:c>
      <x:c r="G221" s="15" t="str">
        <x:v>No</x:v>
      </x:c>
      <x:c r="H221" s="38" t="n">
        <x:v>-316</x:v>
      </x:c>
      <x:c r="I221" s="15" t="str"/>
      <x:c r="J221" s="15" t="str">
        <x:v>eml_ALL_currentac__512781 (2).zip &gt; eml6currentac__512781.zip / FNB _-) R316.00 reserved for purchase @ Komati Liquor from Current a_c..512781 using card..2924. 21Feb 10_55.eml</x:v>
      </x:c>
    </x:row>
    <x:row r="222">
      <x:c r="A222" s="34" t="n">
        <x:v>46074.461805555555</x:v>
      </x:c>
      <x:c r="B222" s="15" t="str">
        <x:v>card..2924</x:v>
      </x:c>
      <x:c r="C222" s="15" t="str">
        <x:v>Eastern Border Fuels</x:v>
      </x:c>
      <x:c r="D222" s="38" t="n">
        <x:v>700</x:v>
      </x:c>
      <x:c r="E222" s="15" t="str">
        <x:v>ZAR</x:v>
      </x:c>
      <x:c r="F222" s="15" t="str">
        <x:v>Fuel / transport</x:v>
      </x:c>
      <x:c r="G222" s="15" t="str">
        <x:v>No</x:v>
      </x:c>
      <x:c r="H222" s="38" t="n">
        <x:v>-700</x:v>
      </x:c>
      <x:c r="I222" s="15" t="str"/>
      <x:c r="J222" s="15" t="str">
        <x:v>eml_ALL_currentac__512781 (2).zip &gt; eml6currentac__512781.zip / FNB _-) R700.00 reserved for purchase @ Eastern Border Fuels from Current a_c..512781 using card..2924. 21Feb 11_05.eml</x:v>
      </x:c>
    </x:row>
    <x:row r="223">
      <x:c r="A223" s="34" t="n">
        <x:v>46074.481944444444</x:v>
      </x:c>
      <x:c r="B223" s="15" t="str">
        <x:v>card..2924</x:v>
      </x:c>
      <x:c r="C223" s="15" t="str">
        <x:v>Superspar Komatipoor</x:v>
      </x:c>
      <x:c r="D223" s="38" t="n">
        <x:v>475.39</x:v>
      </x:c>
      <x:c r="E223" s="15" t="str">
        <x:v>ZAR</x:v>
      </x:c>
      <x:c r="F223" s="15" t="str">
        <x:v>Supplier payments</x:v>
      </x:c>
      <x:c r="G223" s="15" t="str">
        <x:v>No</x:v>
      </x:c>
      <x:c r="H223" s="38" t="n">
        <x:v>-475.39</x:v>
      </x:c>
      <x:c r="I223" s="15" t="str"/>
      <x:c r="J223" s="15" t="str">
        <x:v>eml_ALL_currentac__512781 (2).zip &gt; eml6currentac__512781.zip / FNB _-) R475.39 reserved for purchase @ Superspar Komatipoor from Current a_c..512781 using card..2924. 21Feb 11_34.eml</x:v>
      </x:c>
    </x:row>
    <x:row r="224">
      <x:c r="A224" s="34" t="n">
        <x:v>46074.52222222222</x:v>
      </x:c>
      <x:c r="B224" s="15" t="str">
        <x:v>card..2924</x:v>
      </x:c>
      <x:c r="C224" s="15" t="str">
        <x:v>Marlothi Petrol Stat</x:v>
      </x:c>
      <x:c r="D224" s="38" t="n">
        <x:v>200</x:v>
      </x:c>
      <x:c r="E224" s="15" t="str">
        <x:v>ZAR</x:v>
      </x:c>
      <x:c r="F224" s="15" t="str">
        <x:v>Fuel / transport</x:v>
      </x:c>
      <x:c r="G224" s="15" t="str">
        <x:v>No</x:v>
      </x:c>
      <x:c r="H224" s="38" t="n">
        <x:v>-200</x:v>
      </x:c>
      <x:c r="I224" s="15" t="str"/>
      <x:c r="J224" s="15" t="str">
        <x:v>eml_ALL_currentac__512781 (2).zip &gt; eml6currentac__512781.zip / FNB _-) R200.00 reserved for purchase @ Marlothi Petrol Stat from Current a_c..512781 using card..2924. 21Feb 12_32.eml</x:v>
      </x:c>
    </x:row>
    <x:row r="225">
      <x:c r="A225" s="34" t="n">
        <x:v>46074.527083333334</x:v>
      </x:c>
      <x:c r="B225" s="15" t="str">
        <x:v>card..2924</x:v>
      </x:c>
      <x:c r="C225" s="15" t="str">
        <x:v>Savemor Marloth</x:v>
      </x:c>
      <x:c r="D225" s="38" t="n">
        <x:v>161.96</x:v>
      </x:c>
      <x:c r="E225" s="15" t="str">
        <x:v>ZAR</x:v>
      </x:c>
      <x:c r="F225" s="15" t="str">
        <x:v>Supplier payments</x:v>
      </x:c>
      <x:c r="G225" s="15" t="str">
        <x:v>No</x:v>
      </x:c>
      <x:c r="H225" s="38" t="n">
        <x:v>-161.96</x:v>
      </x:c>
      <x:c r="I225" s="15" t="str"/>
      <x:c r="J225" s="15" t="str">
        <x:v>eml_ALL_currentac__512781 (2).zip &gt; eml6currentac__512781.zip / FNB _-) R161.96 reserved for purchase @ Savemor Marloth from Current a_c..512781 using card..2924. 21Feb 12_39.eml</x:v>
      </x:c>
    </x:row>
    <x:row r="226">
      <x:c r="A226" s="34" t="n">
        <x:v>46075.525</x:v>
      </x:c>
      <x:c r="B226" s="15" t="str">
        <x:v>card..2924</x:v>
      </x:c>
      <x:c r="C226" s="15" t="str">
        <x:v>Savemor Marloth</x:v>
      </x:c>
      <x:c r="D226" s="38" t="n">
        <x:v>650.99</x:v>
      </x:c>
      <x:c r="E226" s="15" t="str">
        <x:v>ZAR</x:v>
      </x:c>
      <x:c r="F226" s="15" t="str">
        <x:v>Supplier payments</x:v>
      </x:c>
      <x:c r="G226" s="15" t="str">
        <x:v>No</x:v>
      </x:c>
      <x:c r="H226" s="38" t="n">
        <x:v>-650.99</x:v>
      </x:c>
      <x:c r="I226" s="15" t="str"/>
      <x:c r="J226" s="15" t="str">
        <x:v>eml_ALL_currentac__512781 (2).zip &gt; eml6currentac__512781.zip / FNB _-) R650.99 reserved for purchase @ Savemor Marloth from Current a_c..512781 using card..2924. 22Feb 12_36.eml</x:v>
      </x:c>
    </x:row>
    <x:row r="227">
      <x:c r="A227" s="34" t="n">
        <x:v>46075.56805555556</x:v>
      </x:c>
      <x:c r="B227" s="15" t="str">
        <x:v>card..2924</x:v>
      </x:c>
      <x:c r="C227" s="15" t="str">
        <x:v>Savemor Marloth Liqu</x:v>
      </x:c>
      <x:c r="D227" s="38" t="n">
        <x:v>179.98</x:v>
      </x:c>
      <x:c r="E227" s="15" t="str">
        <x:v>ZAR</x:v>
      </x:c>
      <x:c r="F227" s="15" t="str">
        <x:v>Meals / restaurants / entertainment</x:v>
      </x:c>
      <x:c r="G227" s="15" t="str">
        <x:v>No</x:v>
      </x:c>
      <x:c r="H227" s="38" t="n">
        <x:v>-179.98</x:v>
      </x:c>
      <x:c r="I227" s="15" t="str"/>
      <x:c r="J227" s="15" t="str">
        <x:v>eml_ALL_currentac__512781 (2).zip &gt; eml5currentac__512781.zip / FNB _-) R179.98 reserved for purchase @ Savemor Marloth Liqu from Current a_c..512781 using card..2924. 22Feb 13_38.eml</x:v>
      </x:c>
    </x:row>
    <x:row r="228">
      <x:c r="A228" s="34" t="n">
        <x:v>46076.475</x:v>
      </x:c>
      <x:c r="B228" s="15" t="str">
        <x:v>card..2924</x:v>
      </x:c>
      <x:c r="C228" s="15" t="str">
        <x:v>Pep 5668 Malelane</x:v>
      </x:c>
      <x:c r="D228" s="38" t="n">
        <x:v>306</x:v>
      </x:c>
      <x:c r="E228" s="15" t="str">
        <x:v>ZAR</x:v>
      </x:c>
      <x:c r="F228" s="15" t="str">
        <x:v>Supplier payments</x:v>
      </x:c>
      <x:c r="G228" s="15" t="str">
        <x:v>No</x:v>
      </x:c>
      <x:c r="H228" s="38" t="n">
        <x:v>-306</x:v>
      </x:c>
      <x:c r="I228" s="15" t="str"/>
      <x:c r="J228" s="15" t="str">
        <x:v>eml_ALL_currentac__512781 (2).zip &gt; eml5currentac__512781.zip / FNB _-) R306.00 reserved for purchase @ Pep 5668 Malelane from Current a_c..512781 using card..2924. 23Feb 11_24.eml</x:v>
      </x:c>
    </x:row>
    <x:row r="229">
      <x:c r="A229" s="34" t="n">
        <x:v>46076.49236111111</x:v>
      </x:c>
      <x:c r="B229" s="15" t="str">
        <x:v>card..2924</x:v>
      </x:c>
      <x:c r="C229" s="15" t="str">
        <x:v>Clicks Malelane Ingw</x:v>
      </x:c>
      <x:c r="D229" s="38" t="n">
        <x:v>539.9</x:v>
      </x:c>
      <x:c r="E229" s="15" t="str">
        <x:v>ZAR</x:v>
      </x:c>
      <x:c r="F229" s="15" t="str">
        <x:v>Supplier payments</x:v>
      </x:c>
      <x:c r="G229" s="15" t="str">
        <x:v>No</x:v>
      </x:c>
      <x:c r="H229" s="38" t="n">
        <x:v>-539.9</x:v>
      </x:c>
      <x:c r="I229" s="15" t="str"/>
      <x:c r="J229" s="15" t="str">
        <x:v>eml_ALL_currentac__512781 (2).zip &gt; eml5currentac__512781.zip / FNB _-) R539.90 reserved for purchase @ Clicks Malelane Ingw from Current a_c..512781 using card..2924. 23Feb 11_49.eml</x:v>
      </x:c>
    </x:row>
    <x:row r="230">
      <x:c r="A230" s="34" t="n">
        <x:v>46076.51527777778</x:v>
      </x:c>
      <x:c r="B230" s="15" t="str">
        <x:v>card..2924</x:v>
      </x:c>
      <x:c r="C230" s="15" t="str">
        <x:v>Woolworths</x:v>
      </x:c>
      <x:c r="D230" s="38" t="n">
        <x:v>585.76</x:v>
      </x:c>
      <x:c r="E230" s="15" t="str">
        <x:v>ZAR</x:v>
      </x:c>
      <x:c r="F230" s="15" t="str">
        <x:v>Supplier payments</x:v>
      </x:c>
      <x:c r="G230" s="15" t="str">
        <x:v>No</x:v>
      </x:c>
      <x:c r="H230" s="38" t="n">
        <x:v>-585.76</x:v>
      </x:c>
      <x:c r="I230" s="15" t="str"/>
      <x:c r="J230" s="15" t="str">
        <x:v>eml_ALL_currentac__512781 (2).zip &gt; eml5currentac__512781.zip / FNB _-) R585.76 reserved for purchase @ Woolworths from Current a_c..512781 using card..2924. 23Feb 12_22.eml</x:v>
      </x:c>
    </x:row>
    <x:row r="231">
      <x:c r="A231" s="34" t="n">
        <x:v>46076.57916666667</x:v>
      </x:c>
      <x:c r="B231" s="15" t="str">
        <x:v>card..2924</x:v>
      </x:c>
      <x:c r="C231" s="15" t="str">
        <x:v>Superspar Malelane</x:v>
      </x:c>
      <x:c r="D231" s="38" t="n">
        <x:v>2441.61</x:v>
      </x:c>
      <x:c r="E231" s="15" t="str">
        <x:v>ZAR</x:v>
      </x:c>
      <x:c r="F231" s="15" t="str">
        <x:v>Supplier payments</x:v>
      </x:c>
      <x:c r="G231" s="15" t="str">
        <x:v>No</x:v>
      </x:c>
      <x:c r="H231" s="38" t="n">
        <x:v>-2441.61</x:v>
      </x:c>
      <x:c r="I231" s="15" t="str"/>
      <x:c r="J231" s="15" t="str">
        <x:v>eml_ALL_currentac__512781 (2).zip &gt; eml5currentac__512781.zip / FNB _-) R2441.61 reserved for purchase @ Superspar Malelane from Current a_c..512781 using card..2924. 23Feb 13_54.eml</x:v>
      </x:c>
    </x:row>
    <x:row r="232">
      <x:c r="A232" s="34" t="n">
        <x:v>46079.46875</x:v>
      </x:c>
      <x:c r="B232" s="15" t="str">
        <x:v>card..2924</x:v>
      </x:c>
      <x:c r="C232" s="15" t="str">
        <x:v>Nkomazi Local Munici</x:v>
      </x:c>
      <x:c r="D232" s="38" t="n">
        <x:v>8233.82</x:v>
      </x:c>
      <x:c r="E232" s="15" t="str">
        <x:v>ZAR</x:v>
      </x:c>
      <x:c r="F232" s="15" t="str">
        <x:v>Card spend</x:v>
      </x:c>
      <x:c r="G232" s="15" t="str">
        <x:v>No</x:v>
      </x:c>
      <x:c r="H232" s="38" t="n">
        <x:v>-8233.82</x:v>
      </x:c>
      <x:c r="I232" s="15" t="str"/>
      <x:c r="J232" s="15" t="str">
        <x:v>eml_ALL_currentac__512781 (2).zip &gt; eml5currentac__512781.zip / FNB _-) R8233.82 reserved for purchase @ Nkomazi Local Munici from Current a_c..512781 using card..2924. 26Feb 11_15.eml</x:v>
      </x:c>
    </x:row>
    <x:row r="233">
      <x:c r="A233" s="34" t="n">
        <x:v>46080.61944444444</x:v>
      </x:c>
      <x:c r="B233" s="15" t="str">
        <x:v>card..2924</x:v>
      </x:c>
      <x:c r="C233" s="15" t="str">
        <x:v>Savemor Marloth</x:v>
      </x:c>
      <x:c r="D233" s="38" t="n">
        <x:v>123.48</x:v>
      </x:c>
      <x:c r="E233" s="15" t="str">
        <x:v>ZAR</x:v>
      </x:c>
      <x:c r="F233" s="15" t="str">
        <x:v>Supplier payments</x:v>
      </x:c>
      <x:c r="G233" s="15" t="str">
        <x:v>No</x:v>
      </x:c>
      <x:c r="H233" s="38" t="n">
        <x:v>-123.48</x:v>
      </x:c>
      <x:c r="I233" s="15" t="str"/>
      <x:c r="J233" s="15" t="str">
        <x:v>eml_ALL_currentac__512781 (2).zip &gt; eml5currentac__512781.zip / FNB _-) R123.48 reserved for purchase @ Savemor Marloth from Current a_c..512781 using card..2924. 27Feb 14_52.eml</x:v>
      </x:c>
    </x:row>
    <x:row r="234">
      <x:c r="A234" s="34" t="n">
        <x:v>46080.83194444444</x:v>
      </x:c>
      <x:c r="B234" s="15" t="str">
        <x:v>card..2924</x:v>
      </x:c>
      <x:c r="C234" s="15" t="str">
        <x:v>Amazing Kruger</x:v>
      </x:c>
      <x:c r="D234" s="38" t="n">
        <x:v>460</x:v>
      </x:c>
      <x:c r="E234" s="15" t="str">
        <x:v>ZAR</x:v>
      </x:c>
      <x:c r="F234" s="15" t="str">
        <x:v>Card spend</x:v>
      </x:c>
      <x:c r="G234" s="15" t="str">
        <x:v>No</x:v>
      </x:c>
      <x:c r="H234" s="38" t="n">
        <x:v>-460</x:v>
      </x:c>
      <x:c r="I234" s="15" t="str"/>
      <x:c r="J234" s="15" t="str">
        <x:v>eml_ALL_currentac__512781 (2).zip &gt; eml5currentac__512781.zip / FNB _-) R460.00 reserved for purchase @ Amazing Kruger from Current a_c..512781 using card..2924. 27Feb 19_58.eml</x:v>
      </x:c>
    </x:row>
    <x:row r="235">
      <x:c r="A235" s="34" t="n">
        <x:v>46081.38055555556</x:v>
      </x:c>
      <x:c r="B235" s="15" t="str">
        <x:v>card..2924</x:v>
      </x:c>
      <x:c r="C235" s="15" t="str">
        <x:v>Toppies Hardware 66</x:v>
      </x:c>
      <x:c r="D235" s="38" t="n">
        <x:v>419.91</x:v>
      </x:c>
      <x:c r="E235" s="15" t="str">
        <x:v>ZAR</x:v>
      </x:c>
      <x:c r="F235" s="15" t="str">
        <x:v>Supplier payments</x:v>
      </x:c>
      <x:c r="G235" s="15" t="str">
        <x:v>No</x:v>
      </x:c>
      <x:c r="H235" s="38" t="n">
        <x:v>-419.91</x:v>
      </x:c>
      <x:c r="I235" s="15" t="str"/>
      <x:c r="J235" s="15" t="str">
        <x:v>eml_ALL_currentac__512781 (2).zip &gt; eml5currentac__512781.zip / FNB _-) R419.91 reserved for purchase @ Toppies Hardware 66 from Current a_c..512781 using card..2924. 28Feb 09_08.eml</x:v>
      </x:c>
    </x:row>
    <x:row r="236">
      <x:c r="A236" s="34" t="n">
        <x:v>46081.59583333333</x:v>
      </x:c>
      <x:c r="B236" s="15" t="str">
        <x:v>card..2924</x:v>
      </x:c>
      <x:c r="C236" s="15" t="str">
        <x:v>Atmh11960000001</x:v>
      </x:c>
      <x:c r="D236" s="38" t="n">
        <x:v>300</x:v>
      </x:c>
      <x:c r="E236" s="15" t="str">
        <x:v>ZAR</x:v>
      </x:c>
      <x:c r="F236" s="15" t="str">
        <x:v>Cash withdrawal</x:v>
      </x:c>
      <x:c r="G236" s="15" t="str">
        <x:v>No</x:v>
      </x:c>
      <x:c r="H236" s="38" t="n">
        <x:v>-300</x:v>
      </x:c>
      <x:c r="I236" s="15" t="str">
        <x:v>Atmh11960000001</x:v>
      </x:c>
      <x:c r="J236" s="15" t="str">
        <x:v>eml_ALL_currentac__512781 (2).zip &gt; eml5currentac__512781.zip / FNB _-) R300.00 withdrawn from Current a_c..512781 using card..2924 @ Atmh11960000001. 28Feb 14_18.eml</x:v>
      </x:c>
    </x:row>
    <x:row r="237">
      <x:c r="A237" s="34" t="n">
        <x:v>46082.330555555556</x:v>
      </x:c>
      <x:c r="B237" s="15" t="str">
        <x:v>card..2924</x:v>
      </x:c>
      <x:c r="C237" s="15" t="str">
        <x:v>Frontier Fuels</x:v>
      </x:c>
      <x:c r="D237" s="38" t="n">
        <x:v>1280</x:v>
      </x:c>
      <x:c r="E237" s="15" t="str">
        <x:v>ZAR</x:v>
      </x:c>
      <x:c r="F237" s="15" t="str">
        <x:v>Fuel / transport</x:v>
      </x:c>
      <x:c r="G237" s="15" t="str">
        <x:v>No</x:v>
      </x:c>
      <x:c r="H237" s="38" t="n">
        <x:v>-1280</x:v>
      </x:c>
      <x:c r="I237" s="15" t="str"/>
      <x:c r="J237" s="15" t="str">
        <x:v>eml_ALL_currentac__512781 (2).zip &gt; eml5currentac__512781.zip / FNB _-) R1280.00 reserved for purchase @ Frontier Fuels from Current a_c..512781 using card..2924.  1Mar 07_56.eml</x:v>
      </x:c>
    </x:row>
    <x:row r="238">
      <x:c r="A238" s="34" t="n">
        <x:v>46082.33819444444</x:v>
      </x:c>
      <x:c r="B238" s="15" t="str">
        <x:v>card..2924</x:v>
      </x:c>
      <x:c r="C238" s="15" t="str">
        <x:v>Buco Komatipoort</x:v>
      </x:c>
      <x:c r="D238" s="38" t="n">
        <x:v>222.4</x:v>
      </x:c>
      <x:c r="E238" s="15" t="str">
        <x:v>ZAR</x:v>
      </x:c>
      <x:c r="F238" s="15" t="str">
        <x:v>Supplier payments</x:v>
      </x:c>
      <x:c r="G238" s="15" t="str">
        <x:v>No</x:v>
      </x:c>
      <x:c r="H238" s="38" t="n">
        <x:v>-222.4</x:v>
      </x:c>
      <x:c r="I238" s="15" t="str"/>
      <x:c r="J238" s="15" t="str">
        <x:v>eml_ALL_currentac__512781 (2).zip &gt; eml5currentac__512781.zip / FNB _-) R222.40 reserved for purchase @ Buco Komatipoort from Current a_c..512781 using card..2924.  1Mar 08_07.eml</x:v>
      </x:c>
    </x:row>
    <x:row r="239">
      <x:c r="A239" s="34" t="n">
        <x:v>46082.55069444444</x:v>
      </x:c>
      <x:c r="B239" s="15" t="str">
        <x:v>card..2924</x:v>
      </x:c>
      <x:c r="C239" s="15" t="str">
        <x:v>Savemor Marloth</x:v>
      </x:c>
      <x:c r="D239" s="38" t="n">
        <x:v>649.95</x:v>
      </x:c>
      <x:c r="E239" s="15" t="str">
        <x:v>ZAR</x:v>
      </x:c>
      <x:c r="F239" s="15" t="str">
        <x:v>Supplier payments</x:v>
      </x:c>
      <x:c r="G239" s="15" t="str">
        <x:v>No</x:v>
      </x:c>
      <x:c r="H239" s="38" t="n">
        <x:v>-649.95</x:v>
      </x:c>
      <x:c r="I239" s="15" t="str"/>
      <x:c r="J239" s="15" t="str">
        <x:v>eml_ALL_currentac__512781 (2).zip &gt; eml5currentac__512781.zip / FNB _-) R649.95 reserved for purchase @ Savemor Marloth from Current a_c..512781 using card..2924.  1Mar 13_13.eml</x:v>
      </x:c>
    </x:row>
    <x:row r="240">
      <x:c r="A240" s="34" t="n">
        <x:v>46083.4</x:v>
      </x:c>
      <x:c r="B240" s="15" t="str">
        <x:v>card..2924</x:v>
      </x:c>
      <x:c r="C240" s="15" t="str">
        <x:v>Superspar Komatipoor</x:v>
      </x:c>
      <x:c r="D240" s="38" t="n">
        <x:v>328.72</x:v>
      </x:c>
      <x:c r="E240" s="15" t="str">
        <x:v>ZAR</x:v>
      </x:c>
      <x:c r="F240" s="15" t="str">
        <x:v>Supplier payments</x:v>
      </x:c>
      <x:c r="G240" s="15" t="str">
        <x:v>No</x:v>
      </x:c>
      <x:c r="H240" s="38" t="n">
        <x:v>-328.72</x:v>
      </x:c>
      <x:c r="I240" s="15" t="str"/>
      <x:c r="J240" s="15" t="str">
        <x:v>eml_ALL_currentac__512781 (2).zip &gt; eml5currentac__512781.zip / FNB _-) R328.72 reserved for purchase @ Superspar Komatipoor from Current a_c..512781 using card..2924.  2Mar 09_36.eml</x:v>
      </x:c>
    </x:row>
    <x:row r="241">
      <x:c r="A241" s="34" t="n">
        <x:v>46083.40347222222</x:v>
      </x:c>
      <x:c r="B241" s="15" t="str">
        <x:v>card..2924</x:v>
      </x:c>
      <x:c r="C241" s="15" t="str">
        <x:v>Buco Komatipoort 116</x:v>
      </x:c>
      <x:c r="D241" s="38" t="n">
        <x:v>429.97</x:v>
      </x:c>
      <x:c r="E241" s="15" t="str">
        <x:v>ZAR</x:v>
      </x:c>
      <x:c r="F241" s="15" t="str">
        <x:v>Supplier payments</x:v>
      </x:c>
      <x:c r="G241" s="15" t="str">
        <x:v>No</x:v>
      </x:c>
      <x:c r="H241" s="38" t="n">
        <x:v>-429.97</x:v>
      </x:c>
      <x:c r="I241" s="15" t="str"/>
      <x:c r="J241" s="15" t="str">
        <x:v>eml_ALL_currentac__512781 (2).zip &gt; eml5currentac__512781.zip / FNB _-) R429.97 reserved for purchase @ Buco Komatipoort 116 from Current a_c..512781 using card..2924.  2Mar 09_41.eml</x:v>
      </x:c>
    </x:row>
    <x:row r="242">
      <x:c r="A242" s="34" t="n">
        <x:v>46083.419444444444</x:v>
      </x:c>
      <x:c r="B242" s="15" t="str">
        <x:v>card..2924</x:v>
      </x:c>
      <x:c r="C242" s="15" t="str">
        <x:v>Oasis Water Komatipo</x:v>
      </x:c>
      <x:c r="D242" s="38" t="n">
        <x:v>254.4</x:v>
      </x:c>
      <x:c r="E242" s="15" t="str">
        <x:v>ZAR</x:v>
      </x:c>
      <x:c r="F242" s="15" t="str">
        <x:v>Supplier payments</x:v>
      </x:c>
      <x:c r="G242" s="15" t="str">
        <x:v>No</x:v>
      </x:c>
      <x:c r="H242" s="38" t="n">
        <x:v>-254.4</x:v>
      </x:c>
      <x:c r="I242" s="15" t="str"/>
      <x:c r="J242" s="15" t="str">
        <x:v>eml_ALL_currentac__512781 (2).zip &gt; eml5currentac__512781.zip / FNB _-) R254.40 reserved for purchase @ Oasis Water Komatipo from Current a_c..512781 using card..2924.  2Mar 10_04.eml</x:v>
      </x:c>
    </x:row>
    <x:row r="243">
      <x:c r="A243" s="34" t="n">
        <x:v>46083.63125</x:v>
      </x:c>
      <x:c r="B243" s="15" t="str">
        <x:v>card..2924</x:v>
      </x:c>
      <x:c r="C243" s="15" t="str">
        <x:v>Savemor Marloth</x:v>
      </x:c>
      <x:c r="D243" s="38" t="n">
        <x:v>197.95</x:v>
      </x:c>
      <x:c r="E243" s="15" t="str">
        <x:v>ZAR</x:v>
      </x:c>
      <x:c r="F243" s="15" t="str">
        <x:v>Supplier payments</x:v>
      </x:c>
      <x:c r="G243" s="15" t="str">
        <x:v>No</x:v>
      </x:c>
      <x:c r="H243" s="38" t="n">
        <x:v>-197.95</x:v>
      </x:c>
      <x:c r="I243" s="15" t="str"/>
      <x:c r="J243" s="15" t="str">
        <x:v>eml_ALL_currentac__512781 (2).zip &gt; eml5currentac__512781.zip / FNB _-) R197.95 reserved for purchase @ Savemor Marloth from Current a_c..512781 using card..2924.  2Mar 15_09.eml</x:v>
      </x:c>
    </x:row>
    <x:row r="244">
      <x:c r="A244" s="34" t="n">
        <x:v>46083.63958333333</x:v>
      </x:c>
      <x:c r="B244" s="15" t="str">
        <x:v>card..2924</x:v>
      </x:c>
      <x:c r="C244" s="15" t="str">
        <x:v>Savemor Marloth Liqu</x:v>
      </x:c>
      <x:c r="D244" s="38" t="n">
        <x:v>253.95</x:v>
      </x:c>
      <x:c r="E244" s="15" t="str">
        <x:v>ZAR</x:v>
      </x:c>
      <x:c r="F244" s="15" t="str">
        <x:v>Meals / restaurants / entertainment</x:v>
      </x:c>
      <x:c r="G244" s="15" t="str">
        <x:v>No</x:v>
      </x:c>
      <x:c r="H244" s="38" t="n">
        <x:v>-253.95</x:v>
      </x:c>
      <x:c r="I244" s="15" t="str"/>
      <x:c r="J244" s="15" t="str">
        <x:v>eml_ALL_currentac__512781 (2).zip &gt; eml5currentac__512781.zip / FNB _-) R253.95 reserved for purchase @ Savemor Marloth Liqu from Current a_c..512781 using card..2924.  2Mar 15_21.eml</x:v>
      </x:c>
    </x:row>
    <x:row r="245">
      <x:c r="A245" s="34" t="n">
        <x:v>46084.677777777775</x:v>
      </x:c>
      <x:c r="B245" s="15" t="str">
        <x:v>card..2924</x:v>
      </x:c>
      <x:c r="C245" s="15" t="str">
        <x:v>Ingwe Supermarket146</x:v>
      </x:c>
      <x:c r="D245" s="38" t="n">
        <x:v>574.4</x:v>
      </x:c>
      <x:c r="E245" s="15" t="str">
        <x:v>ZAR</x:v>
      </x:c>
      <x:c r="F245" s="15" t="str">
        <x:v>Card spend</x:v>
      </x:c>
      <x:c r="G245" s="15" t="str">
        <x:v>No</x:v>
      </x:c>
      <x:c r="H245" s="38" t="n">
        <x:v>-574.4</x:v>
      </x:c>
      <x:c r="I245" s="15" t="str"/>
      <x:c r="J245" s="15" t="str">
        <x:v>eml_ALL_currentac__512781 (2).zip &gt; eml5currentac__512781.zip / FNB _-) R574.40 reserved for purchase @ Ingwe Supermarket146 from Current a_c..512781 using card..2924.  3Mar 16_16.eml</x:v>
      </x:c>
    </x:row>
    <x:row r="246">
      <x:c r="A246" s="34" t="n">
        <x:v>46085.55694444444</x:v>
      </x:c>
      <x:c r="B246" s="15" t="str">
        <x:v>card..2924</x:v>
      </x:c>
      <x:c r="C246" s="15" t="str">
        <x:v>Komati Pharmacy</x:v>
      </x:c>
      <x:c r="D246" s="38" t="n">
        <x:v>382.97</x:v>
      </x:c>
      <x:c r="E246" s="15" t="str">
        <x:v>ZAR</x:v>
      </x:c>
      <x:c r="F246" s="15" t="str">
        <x:v>Supplier payments</x:v>
      </x:c>
      <x:c r="G246" s="15" t="str">
        <x:v>No</x:v>
      </x:c>
      <x:c r="H246" s="38" t="n">
        <x:v>-382.97</x:v>
      </x:c>
      <x:c r="I246" s="15" t="str"/>
      <x:c r="J246" s="15" t="str">
        <x:v>eml_ALL_currentac__512781 (2).zip &gt; eml5currentac__512781.zip / FNB _-) R382.97 reserved for purchase @ Komati Pharmacy from Current a_c..512781 using card..2924.  4Mar 13_22.eml</x:v>
      </x:c>
    </x:row>
    <x:row r="247">
      <x:c r="A247" s="34" t="n">
        <x:v>46085.55763888889</x:v>
      </x:c>
      <x:c r="B247" s="15" t="str">
        <x:v>card..2924</x:v>
      </x:c>
      <x:c r="C247" s="15" t="str">
        <x:v>Komati Pharmacy</x:v>
      </x:c>
      <x:c r="D247" s="38" t="n">
        <x:v>108.09</x:v>
      </x:c>
      <x:c r="E247" s="15" t="str">
        <x:v>ZAR</x:v>
      </x:c>
      <x:c r="F247" s="15" t="str">
        <x:v>Supplier payments</x:v>
      </x:c>
      <x:c r="G247" s="15" t="str">
        <x:v>No</x:v>
      </x:c>
      <x:c r="H247" s="38" t="n">
        <x:v>-108.09</x:v>
      </x:c>
      <x:c r="I247" s="15" t="str"/>
      <x:c r="J247" s="15" t="str">
        <x:v>eml_ALL_currentac__512781 (2).zip &gt; eml5currentac__512781.zip / FNB _-) R108.09 reserved for purchase @ Komati Pharmacy from Current a_c..512781 using card..2924.  4Mar 13_23.eml</x:v>
      </x:c>
    </x:row>
    <x:row r="248">
      <x:c r="A248" s="34" t="n">
        <x:v>46085.606944444444</x:v>
      </x:c>
      <x:c r="B248" s="15" t="str">
        <x:v>card..2924</x:v>
      </x:c>
      <x:c r="C248" s="15" t="str">
        <x:v>Superspar Komatipoor</x:v>
      </x:c>
      <x:c r="D248" s="38" t="n">
        <x:v>1423.76</x:v>
      </x:c>
      <x:c r="E248" s="15" t="str">
        <x:v>ZAR</x:v>
      </x:c>
      <x:c r="F248" s="15" t="str">
        <x:v>Supplier payments</x:v>
      </x:c>
      <x:c r="G248" s="15" t="str">
        <x:v>No</x:v>
      </x:c>
      <x:c r="H248" s="38" t="n">
        <x:v>-1423.76</x:v>
      </x:c>
      <x:c r="I248" s="15" t="str"/>
      <x:c r="J248" s="15" t="str">
        <x:v>eml_ALL_currentac__512781 (2).zip &gt; eml5currentac__512781.zip / FNB _-) R1423.76 reserved for purchase @ Superspar Komatipoor from Current a_c..512781 using card..2924.  4Mar 14_34.eml</x:v>
      </x:c>
    </x:row>
    <x:row r="249">
      <x:c r="A249" s="34" t="n">
        <x:v>46085.61736111111</x:v>
      </x:c>
      <x:c r="B249" s="15" t="str">
        <x:v>card..2924</x:v>
      </x:c>
      <x:c r="C249" s="15" t="str">
        <x:v>Ae Komatipoort</x:v>
      </x:c>
      <x:c r="D249" s="38" t="n">
        <x:v>200</x:v>
      </x:c>
      <x:c r="E249" s="15" t="str">
        <x:v>ZAR</x:v>
      </x:c>
      <x:c r="F249" s="15" t="str">
        <x:v>Card spend</x:v>
      </x:c>
      <x:c r="G249" s="15" t="str">
        <x:v>No</x:v>
      </x:c>
      <x:c r="H249" s="38" t="n">
        <x:v>-200</x:v>
      </x:c>
      <x:c r="I249" s="15" t="str"/>
      <x:c r="J249" s="15" t="str">
        <x:v>eml_ALL_currentac__512781 (2).zip &gt; eml5currentac__512781.zip / FNB _-) R200.00 reserved for purchase @ Ae Komatipoort from Current a_c..512781 using card..2924.  4Mar 14_49.eml</x:v>
      </x:c>
    </x:row>
    <x:row r="250">
      <x:c r="A250" s="34" t="n">
        <x:v>46087.48819444444</x:v>
      </x:c>
      <x:c r="B250" s="15" t="str">
        <x:v>card..2924</x:v>
      </x:c>
      <x:c r="C250" s="15" t="str">
        <x:v>Hpy*twin City Fabric</x:v>
      </x:c>
      <x:c r="D250" s="38" t="n">
        <x:v>166.5</x:v>
      </x:c>
      <x:c r="E250" s="15" t="str">
        <x:v>ZAR</x:v>
      </x:c>
      <x:c r="F250" s="15" t="str">
        <x:v>Card spend</x:v>
      </x:c>
      <x:c r="G250" s="15" t="str">
        <x:v>No</x:v>
      </x:c>
      <x:c r="H250" s="38" t="n">
        <x:v>-166.5</x:v>
      </x:c>
      <x:c r="I250" s="15" t="str"/>
      <x:c r="J250" s="15" t="str">
        <x:v>eml_ALL_currentac__512781 (2).zip &gt; eml5currentac__512781.zip / FNB _-) R166.50 reserved for purchase @ Hpy_twin City Fabric from Current a_c..512781 using card..2924.  6Mar 11_43.eml</x:v>
      </x:c>
    </x:row>
    <x:row r="251">
      <x:c r="A251" s="34" t="n">
        <x:v>46087.51736111111</x:v>
      </x:c>
      <x:c r="B251" s="15" t="str">
        <x:v>card..2924</x:v>
      </x:c>
      <x:c r="C251" s="15" t="str">
        <x:v>Woolworths</x:v>
      </x:c>
      <x:c r="D251" s="38" t="n">
        <x:v>542.89</x:v>
      </x:c>
      <x:c r="E251" s="15" t="str">
        <x:v>ZAR</x:v>
      </x:c>
      <x:c r="F251" s="15" t="str">
        <x:v>Supplier payments</x:v>
      </x:c>
      <x:c r="G251" s="15" t="str">
        <x:v>No</x:v>
      </x:c>
      <x:c r="H251" s="38" t="n">
        <x:v>-542.89</x:v>
      </x:c>
      <x:c r="I251" s="15" t="str"/>
      <x:c r="J251" s="15" t="str">
        <x:v>eml_ALL_currentac__512781 (2).zip &gt; eml5currentac__512781.zip / FNB _-) R542.89 reserved for purchase @ Woolworths from Current a_c..512781 using card..2924.  6Mar 12_25.eml</x:v>
      </x:c>
    </x:row>
    <x:row r="252">
      <x:c r="A252" s="34" t="n">
        <x:v>46087.54791666667</x:v>
      </x:c>
      <x:c r="B252" s="15" t="str">
        <x:v>card..2924</x:v>
      </x:c>
      <x:c r="C252" s="15" t="str">
        <x:v>Superspar Malelane</x:v>
      </x:c>
      <x:c r="D252" s="38" t="n">
        <x:v>580.11</x:v>
      </x:c>
      <x:c r="E252" s="15" t="str">
        <x:v>ZAR</x:v>
      </x:c>
      <x:c r="F252" s="15" t="str">
        <x:v>Supplier payments</x:v>
      </x:c>
      <x:c r="G252" s="15" t="str">
        <x:v>No</x:v>
      </x:c>
      <x:c r="H252" s="38" t="n">
        <x:v>-580.11</x:v>
      </x:c>
      <x:c r="I252" s="15" t="str"/>
      <x:c r="J252" s="15" t="str">
        <x:v>eml_ALL_currentac__512781 (2).zip &gt; eml5currentac__512781.zip / FNB _-) R580.11 reserved for purchase @ Superspar Malelane from Current a_c..512781 using card..2924.  6Mar 13_09.eml</x:v>
      </x:c>
    </x:row>
    <x:row r="253">
      <x:c r="A253" s="34" t="n">
        <x:v>46088.56805555556</x:v>
      </x:c>
      <x:c r="B253" s="15" t="str">
        <x:v>card..2924</x:v>
      </x:c>
      <x:c r="C253" s="15" t="str">
        <x:v>Ingwe Supermarket146</x:v>
      </x:c>
      <x:c r="D253" s="38" t="n">
        <x:v>214.99</x:v>
      </x:c>
      <x:c r="E253" s="15" t="str">
        <x:v>ZAR</x:v>
      </x:c>
      <x:c r="F253" s="15" t="str">
        <x:v>Card spend</x:v>
      </x:c>
      <x:c r="G253" s="15" t="str">
        <x:v>No</x:v>
      </x:c>
      <x:c r="H253" s="38" t="n">
        <x:v>-214.99</x:v>
      </x:c>
      <x:c r="I253" s="15" t="str"/>
      <x:c r="J253" s="15" t="str">
        <x:v>eml_ALL_currentac__512781 (2).zip &gt; eml5currentac__512781.zip / FNB _-) R214.99 reserved for purchase @ Ingwe Supermarket146 from Current a_c..512781 using card..2924.  7Mar 13_38.eml</x:v>
      </x:c>
    </x:row>
    <x:row r="254">
      <x:c r="A254" s="34" t="n">
        <x:v>46089.552777777775</x:v>
      </x:c>
      <x:c r="B254" s="15" t="str">
        <x:v>card..2924</x:v>
      </x:c>
      <x:c r="C254" s="15" t="str">
        <x:v>Savemor Marloth</x:v>
      </x:c>
      <x:c r="D254" s="38" t="n">
        <x:v>541.52</x:v>
      </x:c>
      <x:c r="E254" s="15" t="str">
        <x:v>ZAR</x:v>
      </x:c>
      <x:c r="F254" s="15" t="str">
        <x:v>Supplier payments</x:v>
      </x:c>
      <x:c r="G254" s="15" t="str">
        <x:v>No</x:v>
      </x:c>
      <x:c r="H254" s="38" t="n">
        <x:v>-541.52</x:v>
      </x:c>
      <x:c r="I254" s="15" t="str"/>
      <x:c r="J254" s="15" t="str">
        <x:v>eml_ALL_currentac__512781 (2).zip &gt; eml5currentac__512781.zip / FNB _-) R541.52 reserved for purchase @ Savemor Marloth from Current a_c..512781 using card..2924.  8Mar 13_16.eml</x:v>
      </x:c>
    </x:row>
    <x:row r="255">
      <x:c r="A255" s="34" t="n">
        <x:v>46089.555555555555</x:v>
      </x:c>
      <x:c r="B255" s="15" t="str">
        <x:v>card..2924</x:v>
      </x:c>
      <x:c r="C255" s="15" t="str">
        <x:v>Marlothi Petrol Stat</x:v>
      </x:c>
      <x:c r="D255" s="38" t="n">
        <x:v>200</x:v>
      </x:c>
      <x:c r="E255" s="15" t="str">
        <x:v>ZAR</x:v>
      </x:c>
      <x:c r="F255" s="15" t="str">
        <x:v>Fuel / transport</x:v>
      </x:c>
      <x:c r="G255" s="15" t="str">
        <x:v>No</x:v>
      </x:c>
      <x:c r="H255" s="38" t="n">
        <x:v>-200</x:v>
      </x:c>
      <x:c r="I255" s="15" t="str"/>
      <x:c r="J255" s="15" t="str">
        <x:v>eml_ALL_currentac__512781 (2).zip &gt; eml5currentac__512781.zip / FNB _-) R200.00 reserved for purchase @ Marlothi Petrol Stat from Current a_c..512781 using card..2924.  8Mar 13_20.eml</x:v>
      </x:c>
    </x:row>
    <x:row r="256">
      <x:c r="A256" s="34" t="n">
        <x:v>46090.54375</x:v>
      </x:c>
      <x:c r="B256" s="15" t="str">
        <x:v>card..2924</x:v>
      </x:c>
      <x:c r="C256" s="15" t="str">
        <x:v>Savemor Marloth</x:v>
      </x:c>
      <x:c r="D256" s="38" t="n">
        <x:v>342.92</x:v>
      </x:c>
      <x:c r="E256" s="15" t="str">
        <x:v>ZAR</x:v>
      </x:c>
      <x:c r="F256" s="15" t="str">
        <x:v>Supplier payments</x:v>
      </x:c>
      <x:c r="G256" s="15" t="str">
        <x:v>No</x:v>
      </x:c>
      <x:c r="H256" s="38" t="n">
        <x:v>-342.92</x:v>
      </x:c>
      <x:c r="I256" s="15" t="str"/>
      <x:c r="J256" s="15" t="str">
        <x:v>eml_ALL_currentac__512781 (2).zip &gt; eml5currentac__512781.zip / FNB _-) R342.92 reserved for purchase @ Savemor Marloth from Current a_c..512781 using card..2924.  9Mar 13_03.eml</x:v>
      </x:c>
    </x:row>
    <x:row r="257">
      <x:c r="A257" s="34" t="n">
        <x:v>46090.62708333333</x:v>
      </x:c>
      <x:c r="B257" s="15" t="str">
        <x:v>card..2924</x:v>
      </x:c>
      <x:c r="C257" s="15" t="str">
        <x:v>Ingwe Supermarket</x:v>
      </x:c>
      <x:c r="D257" s="38" t="n">
        <x:v>128.01</x:v>
      </x:c>
      <x:c r="E257" s="15" t="str">
        <x:v>ZAR</x:v>
      </x:c>
      <x:c r="F257" s="15" t="str">
        <x:v>Card spend</x:v>
      </x:c>
      <x:c r="G257" s="15" t="str">
        <x:v>No</x:v>
      </x:c>
      <x:c r="H257" s="38" t="n">
        <x:v>-128.01</x:v>
      </x:c>
      <x:c r="I257" s="15" t="str"/>
      <x:c r="J257" s="15" t="str">
        <x:v>eml_ALL_currentac__512781 (2).zip &gt; eml5currentac__512781.zip / FNB _-) R128.01 reserved for purchase @ Ingwe Supermarket from Current a_c..512781 using card..2924.  9Mar 15_03.eml</x:v>
      </x:c>
    </x:row>
    <x:row r="258">
      <x:c r="A258" s="34" t="n">
        <x:v>46090.63333333333</x:v>
      </x:c>
      <x:c r="B258" s="15" t="str">
        <x:v>card..2924</x:v>
      </x:c>
      <x:c r="C258" s="15" t="str">
        <x:v>Toppies Hardware 66</x:v>
      </x:c>
      <x:c r="D258" s="38" t="n">
        <x:v>265.98</x:v>
      </x:c>
      <x:c r="E258" s="15" t="str">
        <x:v>ZAR</x:v>
      </x:c>
      <x:c r="F258" s="15" t="str">
        <x:v>Supplier payments</x:v>
      </x:c>
      <x:c r="G258" s="15" t="str">
        <x:v>No</x:v>
      </x:c>
      <x:c r="H258" s="38" t="n">
        <x:v>-265.98</x:v>
      </x:c>
      <x:c r="I258" s="15" t="str"/>
      <x:c r="J258" s="15" t="str">
        <x:v>eml_ALL_currentac__512781 (2).zip &gt; eml5currentac__512781.zip / FNB _-) R265.98 reserved for purchase @ Toppies Hardware 66 from Current a_c..512781 using card..2924.  9Mar 15_12.eml</x:v>
      </x:c>
    </x:row>
    <x:row r="259">
      <x:c r="A259" s="34" t="n">
        <x:v>46091.50555555556</x:v>
      </x:c>
      <x:c r="B259" s="15" t="str">
        <x:v>card..2924</x:v>
      </x:c>
      <x:c r="C259" s="15" t="str">
        <x:v>Buco Komatipoort 116</x:v>
      </x:c>
      <x:c r="D259" s="38" t="n">
        <x:v>1287.85</x:v>
      </x:c>
      <x:c r="E259" s="15" t="str">
        <x:v>ZAR</x:v>
      </x:c>
      <x:c r="F259" s="15" t="str">
        <x:v>Supplier payments</x:v>
      </x:c>
      <x:c r="G259" s="15" t="str">
        <x:v>No</x:v>
      </x:c>
      <x:c r="H259" s="38" t="n">
        <x:v>-1287.85</x:v>
      </x:c>
      <x:c r="I259" s="15" t="str"/>
      <x:c r="J259" s="15" t="str">
        <x:v>eml_ALL_currentac__512781 (2).zip &gt; eml5currentac__512781.zip / FNB _-) R1287.85 reserved for purchase @ Buco Komatipoort 116 from Current a_c..512781 using card..2924. 10Mar 12_08.eml</x:v>
      </x:c>
    </x:row>
    <x:row r="260">
      <x:c r="A260" s="34" t="n">
        <x:v>46091.558333333334</x:v>
      </x:c>
      <x:c r="B260" s="15" t="str">
        <x:v>card..2924</x:v>
      </x:c>
      <x:c r="C260" s="15" t="str">
        <x:v>Superspar Komatipoor</x:v>
      </x:c>
      <x:c r="D260" s="38" t="n">
        <x:v>625.53</x:v>
      </x:c>
      <x:c r="E260" s="15" t="str">
        <x:v>ZAR</x:v>
      </x:c>
      <x:c r="F260" s="15" t="str">
        <x:v>Supplier payments</x:v>
      </x:c>
      <x:c r="G260" s="15" t="str">
        <x:v>No</x:v>
      </x:c>
      <x:c r="H260" s="38" t="n">
        <x:v>-625.53</x:v>
      </x:c>
      <x:c r="I260" s="15" t="str"/>
      <x:c r="J260" s="15" t="str">
        <x:v>eml_ALL_currentac__512781 (2).zip &gt; eml5currentac__512781.zip / FNB _-) R625.53 reserved for purchase @ Superspar Komatipoor from Current a_c..512781 using card..2924. 10Mar 13_24.eml</x:v>
      </x:c>
    </x:row>
    <x:row r="261">
      <x:c r="A261" s="34" t="n">
        <x:v>46091.62430555555</x:v>
      </x:c>
      <x:c r="B261" s="15" t="str">
        <x:v>card..2924</x:v>
      </x:c>
      <x:c r="C261" s="15" t="str">
        <x:v>Savemor Marloth</x:v>
      </x:c>
      <x:c r="D261" s="38" t="n">
        <x:v>114.49</x:v>
      </x:c>
      <x:c r="E261" s="15" t="str">
        <x:v>ZAR</x:v>
      </x:c>
      <x:c r="F261" s="15" t="str">
        <x:v>Supplier payments</x:v>
      </x:c>
      <x:c r="G261" s="15" t="str">
        <x:v>No</x:v>
      </x:c>
      <x:c r="H261" s="38" t="n">
        <x:v>-114.49</x:v>
      </x:c>
      <x:c r="I261" s="15" t="str"/>
      <x:c r="J261" s="15" t="str">
        <x:v>eml_ALL_currentac__512781 (2).zip &gt; eml5currentac__512781.zip / FNB _-) R114.49 reserved for purchase @ Savemor Marloth from Current a_c..512781 using card..2924. 10Mar 14_59.eml</x:v>
      </x:c>
    </x:row>
    <x:row r="262">
      <x:c r="A262" s="34" t="n">
        <x:v>46093.47361111111</x:v>
      </x:c>
      <x:c r="B262" s="15" t="str">
        <x:v>card..2924</x:v>
      </x:c>
      <x:c r="C262" s="15" t="str">
        <x:v>Superspar Komatipoor</x:v>
      </x:c>
      <x:c r="D262" s="38" t="n">
        <x:v>1102.67</x:v>
      </x:c>
      <x:c r="E262" s="15" t="str">
        <x:v>ZAR</x:v>
      </x:c>
      <x:c r="F262" s="15" t="str">
        <x:v>Supplier payments</x:v>
      </x:c>
      <x:c r="G262" s="15" t="str">
        <x:v>No</x:v>
      </x:c>
      <x:c r="H262" s="38" t="n">
        <x:v>-1102.67</x:v>
      </x:c>
      <x:c r="I262" s="15" t="str"/>
      <x:c r="J262" s="15" t="str">
        <x:v>eml_ALL_currentac__512781 (2).zip &gt; eml5currentac__512781.zip / FNB _-) R1102.67 reserved for purchase @ Superspar Komatipoor from Current a_c..512781 using card..2924. 12Mar 11_22.eml</x:v>
      </x:c>
    </x:row>
    <x:row r="263">
      <x:c r="A263" s="34" t="n">
        <x:v>46095.524305555555</x:v>
      </x:c>
      <x:c r="B263" s="15" t="str">
        <x:v>card..2924</x:v>
      </x:c>
      <x:c r="C263" s="15" t="str">
        <x:v>Sqsp* Websit</x:v>
      </x:c>
      <x:c r="D263" s="38" t="n">
        <x:v>636.02</x:v>
      </x:c>
      <x:c r="E263" s="15" t="str">
        <x:v>ZAR</x:v>
      </x:c>
      <x:c r="F263" s="15" t="str">
        <x:v>Software / subscriptions</x:v>
      </x:c>
      <x:c r="G263" s="15" t="str">
        <x:v>No</x:v>
      </x:c>
      <x:c r="H263" s="38" t="n">
        <x:v>-636.02</x:v>
      </x:c>
      <x:c r="I263" s="15" t="str"/>
      <x:c r="J263" s="15" t="str">
        <x:v>eml_ALL_currentac__512781 (2).zip &gt; eml5currentac__512781.zip / FNB _-) R636.02 reserved for purchase @ Sqsp_ Websit from Current a_c..512781 using card..2924. 14Mar 12_35.eml</x:v>
      </x:c>
    </x:row>
    <x:row r="264">
      <x:c r="A264" s="34" t="n">
        <x:v>46095.58263888889</x:v>
      </x:c>
      <x:c r="B264" s="15" t="str">
        <x:v>card..2924</x:v>
      </x:c>
      <x:c r="C264" s="15" t="str">
        <x:v>Ingwe Supermarket</x:v>
      </x:c>
      <x:c r="D264" s="38" t="n">
        <x:v>264.32</x:v>
      </x:c>
      <x:c r="E264" s="15" t="str">
        <x:v>ZAR</x:v>
      </x:c>
      <x:c r="F264" s="15" t="str">
        <x:v>Card spend</x:v>
      </x:c>
      <x:c r="G264" s="15" t="str">
        <x:v>No</x:v>
      </x:c>
      <x:c r="H264" s="38" t="n">
        <x:v>-264.32</x:v>
      </x:c>
      <x:c r="I264" s="15" t="str"/>
      <x:c r="J264" s="15" t="str">
        <x:v>eml_ALL_currentac__512781 (2).zip &gt; eml5currentac__512781.zip / FNB _-) R264.32 reserved for purchase @ Ingwe Supermarket from Current a_c..512781 using card..2924. 14Mar 13_59.eml</x:v>
      </x:c>
    </x:row>
    <x:row r="265">
      <x:c r="A265" s="34" t="n">
        <x:v>46096.410416666666</x:v>
      </x:c>
      <x:c r="B265" s="15" t="str">
        <x:v>card..2924</x:v>
      </x:c>
      <x:c r="C265" s="15" t="str">
        <x:v>Marlothi Petrol Stat</x:v>
      </x:c>
      <x:c r="D265" s="38" t="n">
        <x:v>200</x:v>
      </x:c>
      <x:c r="E265" s="15" t="str">
        <x:v>ZAR</x:v>
      </x:c>
      <x:c r="F265" s="15" t="str">
        <x:v>Fuel / transport</x:v>
      </x:c>
      <x:c r="G265" s="15" t="str">
        <x:v>No</x:v>
      </x:c>
      <x:c r="H265" s="38" t="n">
        <x:v>-200</x:v>
      </x:c>
      <x:c r="I265" s="15" t="str"/>
      <x:c r="J265" s="15" t="str">
        <x:v>eml_ALL_currentac__512781 (2).zip &gt; eml5currentac__512781.zip / FNB _-) R200.00 reserved for purchase @ Marlothi Petrol Stat from Current a_c..512781 using card..2924. 15Mar 09_51.eml</x:v>
      </x:c>
    </x:row>
    <x:row r="266">
      <x:c r="A266" s="34" t="n">
        <x:v>46096.43472222222</x:v>
      </x:c>
      <x:c r="B266" s="15" t="str">
        <x:v>card..2924</x:v>
      </x:c>
      <x:c r="C266" s="15" t="str">
        <x:v>Buco Komatipoort 116</x:v>
      </x:c>
      <x:c r="D266" s="38" t="n">
        <x:v>153.99</x:v>
      </x:c>
      <x:c r="E266" s="15" t="str">
        <x:v>ZAR</x:v>
      </x:c>
      <x:c r="F266" s="15" t="str">
        <x:v>Supplier payments</x:v>
      </x:c>
      <x:c r="G266" s="15" t="str">
        <x:v>No</x:v>
      </x:c>
      <x:c r="H266" s="38" t="n">
        <x:v>-153.99</x:v>
      </x:c>
      <x:c r="I266" s="15" t="str"/>
      <x:c r="J266" s="15" t="str">
        <x:v>eml_ALL_currentac__512781 (2).zip &gt; eml5currentac__512781.zip / FNB _-) R153.99 reserved for purchase @ Buco Komatipoort 116 from Current a_c..512781 using card..2924. 15Mar 10_26.eml</x:v>
      </x:c>
    </x:row>
    <x:row r="267">
      <x:c r="A267" s="34" t="n">
        <x:v>46096.46388888889</x:v>
      </x:c>
      <x:c r="B267" s="15" t="str">
        <x:v>card..2924</x:v>
      </x:c>
      <x:c r="C267" s="15" t="str">
        <x:v>Superspar Komatipoor</x:v>
      </x:c>
      <x:c r="D267" s="38" t="n">
        <x:v>877.76</x:v>
      </x:c>
      <x:c r="E267" s="15" t="str">
        <x:v>ZAR</x:v>
      </x:c>
      <x:c r="F267" s="15" t="str">
        <x:v>Supplier payments</x:v>
      </x:c>
      <x:c r="G267" s="15" t="str">
        <x:v>No</x:v>
      </x:c>
      <x:c r="H267" s="38" t="n">
        <x:v>-877.76</x:v>
      </x:c>
      <x:c r="I267" s="15" t="str"/>
      <x:c r="J267" s="15" t="str">
        <x:v>eml_ALL_currentac__512781 (2).zip &gt; eml5currentac__512781.zip / FNB _-) R877.76 reserved for purchase @ Superspar Komatipoor from Current a_c..512781 using card..2924. 15Mar 11_08.eml</x:v>
      </x:c>
    </x:row>
    <x:row r="268">
      <x:c r="A268" s="34" t="n">
        <x:v>46098.43263888889</x:v>
      </x:c>
      <x:c r="B268" s="15" t="str">
        <x:v>card..2924</x:v>
      </x:c>
      <x:c r="C268" s="15" t="str">
        <x:v>Paystack *zoho Co</x:v>
      </x:c>
      <x:c r="D268" s="38" t="n">
        <x:v>228.85</x:v>
      </x:c>
      <x:c r="E268" s="15" t="str">
        <x:v>ZAR</x:v>
      </x:c>
      <x:c r="F268" s="15" t="str">
        <x:v>Software / subscriptions</x:v>
      </x:c>
      <x:c r="G268" s="15" t="str">
        <x:v>No</x:v>
      </x:c>
      <x:c r="H268" s="38" t="n">
        <x:v>-228.85</x:v>
      </x:c>
      <x:c r="I268" s="15" t="str"/>
      <x:c r="J268" s="15" t="str">
        <x:v>eml_ALL_currentac__512781 (2).zip &gt; eml5currentac__512781.zip / FNB _-) R228.85 reserved for purchase @ Paystack _zoho Co from Current a_c..512781 using card..2924. 17Mar 10_23.eml</x:v>
      </x:c>
    </x:row>
    <x:row r="269">
      <x:c r="A269" s="34" t="n">
        <x:v>46098.535416666666</x:v>
      </x:c>
      <x:c r="B269" s="15" t="str">
        <x:v>card..2924</x:v>
      </x:c>
      <x:c r="C269" s="15" t="str">
        <x:v>Savemor Marloth</x:v>
      </x:c>
      <x:c r="D269" s="38" t="n">
        <x:v>318.29</x:v>
      </x:c>
      <x:c r="E269" s="15" t="str">
        <x:v>ZAR</x:v>
      </x:c>
      <x:c r="F269" s="15" t="str">
        <x:v>Supplier payments</x:v>
      </x:c>
      <x:c r="G269" s="15" t="str">
        <x:v>No</x:v>
      </x:c>
      <x:c r="H269" s="38" t="n">
        <x:v>-318.29</x:v>
      </x:c>
      <x:c r="I269" s="15" t="str"/>
      <x:c r="J269" s="15" t="str">
        <x:v>eml_ALL_currentac__512781 (2).zip &gt; eml5currentac__512781.zip / FNB _-) R318.29 reserved for purchase @ Savemor Marloth from Current a_c..512781 using card..2924. 17Mar 12_51.eml</x:v>
      </x:c>
    </x:row>
    <x:row r="270">
      <x:c r="A270" s="34" t="n">
        <x:v>46098.53958333333</x:v>
      </x:c>
      <x:c r="B270" s="15" t="str">
        <x:v>card..2924</x:v>
      </x:c>
      <x:c r="C270" s="15" t="str">
        <x:v>Savemor Marloth Liqu</x:v>
      </x:c>
      <x:c r="D270" s="38" t="n">
        <x:v>219.97</x:v>
      </x:c>
      <x:c r="E270" s="15" t="str">
        <x:v>ZAR</x:v>
      </x:c>
      <x:c r="F270" s="15" t="str">
        <x:v>Meals / restaurants / entertainment</x:v>
      </x:c>
      <x:c r="G270" s="15" t="str">
        <x:v>No</x:v>
      </x:c>
      <x:c r="H270" s="38" t="n">
        <x:v>-219.97</x:v>
      </x:c>
      <x:c r="I270" s="15" t="str"/>
      <x:c r="J270" s="15" t="str">
        <x:v>eml_ALL_currentac__512781 (2).zip &gt; eml5currentac__512781.zip / FNB _-) R219.97 reserved for purchase @ Savemor Marloth Liqu from Current a_c..512781 using card..2924. 17Mar 12_57.eml</x:v>
      </x:c>
    </x:row>
    <x:row r="271">
      <x:c r="A271" s="34" t="n">
        <x:v>46098.55138888889</x:v>
      </x:c>
      <x:c r="B271" s="15" t="str">
        <x:v>card..2924</x:v>
      </x:c>
      <x:c r="C271" s="15" t="str">
        <x:v>At Wild Butchery 133</x:v>
      </x:c>
      <x:c r="D271" s="38" t="n">
        <x:v>148.25</x:v>
      </x:c>
      <x:c r="E271" s="15" t="str">
        <x:v>ZAR</x:v>
      </x:c>
      <x:c r="F271" s="15" t="str">
        <x:v>Supplier payments</x:v>
      </x:c>
      <x:c r="G271" s="15" t="str">
        <x:v>No</x:v>
      </x:c>
      <x:c r="H271" s="38" t="n">
        <x:v>-148.25</x:v>
      </x:c>
      <x:c r="I271" s="15" t="str"/>
      <x:c r="J271" s="15" t="str">
        <x:v>eml_ALL_currentac__512781 (2).zip &gt; eml5currentac__512781.zip / FNB _-) R148.25 reserved for purchase @ At Wild Butchery 133 from Current a_c..512781 using card..2924. 17Mar 13_14.eml</x:v>
      </x:c>
    </x:row>
    <x:row r="272">
      <x:c r="A272" s="34" t="n">
        <x:v>46099.77847222222</x:v>
      </x:c>
      <x:c r="B272" s="15" t="str">
        <x:v>card..2924</x:v>
      </x:c>
      <x:c r="C272" s="15" t="str">
        <x:v>The Tin Shack</x:v>
      </x:c>
      <x:c r="D272" s="38" t="n">
        <x:v>204</x:v>
      </x:c>
      <x:c r="E272" s="15" t="str">
        <x:v>ZAR</x:v>
      </x:c>
      <x:c r="F272" s="15" t="str">
        <x:v>Meals / restaurants / entertainment</x:v>
      </x:c>
      <x:c r="G272" s="15" t="str">
        <x:v>No</x:v>
      </x:c>
      <x:c r="H272" s="38" t="n">
        <x:v>-204</x:v>
      </x:c>
      <x:c r="I272" s="15" t="str"/>
      <x:c r="J272" s="15" t="str">
        <x:v>eml_ALL_currentac__512781 (2).zip &gt; eml4currentac__512781.zip / FNB _-) R204.00 reserved for purchase @ The Tin Shack from Current a_c..512781 using card..2924. 18Mar 18_41.eml</x:v>
      </x:c>
    </x:row>
    <x:row r="273">
      <x:c r="A273" s="34" t="n">
        <x:v>46100.45138888889</x:v>
      </x:c>
      <x:c r="B273" s="15" t="str">
        <x:v>card..2924</x:v>
      </x:c>
      <x:c r="C273" s="15" t="str">
        <x:v>Superspar Komatipoor</x:v>
      </x:c>
      <x:c r="D273" s="38" t="n">
        <x:v>1069.68</x:v>
      </x:c>
      <x:c r="E273" s="15" t="str">
        <x:v>ZAR</x:v>
      </x:c>
      <x:c r="F273" s="15" t="str">
        <x:v>Supplier payments</x:v>
      </x:c>
      <x:c r="G273" s="15" t="str">
        <x:v>No</x:v>
      </x:c>
      <x:c r="H273" s="38" t="n">
        <x:v>-1069.68</x:v>
      </x:c>
      <x:c r="I273" s="15" t="str"/>
      <x:c r="J273" s="15" t="str">
        <x:v>eml_ALL_currentac__512781 (2).zip &gt; eml4currentac__512781.zip / FNB _-) R1069.68 reserved for purchase @ Superspar Komatipoor from Current a_c..512781 using card..2924. 19Mar 10_50.eml</x:v>
      </x:c>
    </x:row>
    <x:row r="274">
      <x:c r="A274" s="34" t="n">
        <x:v>46101.62569444445</x:v>
      </x:c>
      <x:c r="B274" s="15" t="str">
        <x:v>card..2924</x:v>
      </x:c>
      <x:c r="C274" s="15" t="str">
        <x:v>Savemor Marloth</x:v>
      </x:c>
      <x:c r="D274" s="38" t="n">
        <x:v>130.97</x:v>
      </x:c>
      <x:c r="E274" s="15" t="str">
        <x:v>ZAR</x:v>
      </x:c>
      <x:c r="F274" s="15" t="str">
        <x:v>Supplier payments</x:v>
      </x:c>
      <x:c r="G274" s="15" t="str">
        <x:v>No</x:v>
      </x:c>
      <x:c r="H274" s="38" t="n">
        <x:v>-130.97</x:v>
      </x:c>
      <x:c r="I274" s="15" t="str"/>
      <x:c r="J274" s="15" t="str">
        <x:v>eml_ALL_currentac__512781 (2).zip &gt; eml4currentac__512781.zip / FNB _-) R130.97 reserved for purchase @ Savemor Marloth from Current a_c..512781 using card..2924. 20Mar 15_01.eml</x:v>
      </x:c>
    </x:row>
    <x:row r="275">
      <x:c r="A275" s="34" t="n">
        <x:v>46101.629166666666</x:v>
      </x:c>
      <x:c r="B275" s="15" t="str">
        <x:v>card..2924</x:v>
      </x:c>
      <x:c r="C275" s="15" t="str">
        <x:v>Marlothi Petrol Stat</x:v>
      </x:c>
      <x:c r="D275" s="38" t="n">
        <x:v>200</x:v>
      </x:c>
      <x:c r="E275" s="15" t="str">
        <x:v>ZAR</x:v>
      </x:c>
      <x:c r="F275" s="15" t="str">
        <x:v>Fuel / transport</x:v>
      </x:c>
      <x:c r="G275" s="15" t="str">
        <x:v>No</x:v>
      </x:c>
      <x:c r="H275" s="38" t="n">
        <x:v>-200</x:v>
      </x:c>
      <x:c r="I275" s="15" t="str"/>
      <x:c r="J275" s="15" t="str">
        <x:v>eml_ALL_currentac__512781 (2).zip &gt; eml4currentac__512781.zip / FNB _-) R200.00 reserved for purchase @ Marlothi Petrol Stat from Current a_c..512781 using card..2924. 20Mar 15_06.eml</x:v>
      </x:c>
    </x:row>
    <x:row r="276">
      <x:c r="A276" s="34" t="n">
        <x:v>46102.479166666664</x:v>
      </x:c>
      <x:c r="B276" s="15" t="str">
        <x:v>card..2924</x:v>
      </x:c>
      <x:c r="C276" s="15" t="str">
        <x:v>Superspar Komatipoor</x:v>
      </x:c>
      <x:c r="D276" s="38" t="n">
        <x:v>365.96</x:v>
      </x:c>
      <x:c r="E276" s="15" t="str">
        <x:v>ZAR</x:v>
      </x:c>
      <x:c r="F276" s="15" t="str">
        <x:v>Supplier payments</x:v>
      </x:c>
      <x:c r="G276" s="15" t="str">
        <x:v>No</x:v>
      </x:c>
      <x:c r="H276" s="38" t="n">
        <x:v>-365.96</x:v>
      </x:c>
      <x:c r="I276" s="15" t="str"/>
      <x:c r="J276" s="15" t="str">
        <x:v>eml_ALL_currentac__512781 (2).zip &gt; eml4currentac__512781.zip / FNB _-) R365.96 reserved for purchase @ Superspar Komatipoor from Current a_c..512781 using card..2924. 21Mar 11_30.eml</x:v>
      </x:c>
    </x:row>
    <x:row r="277">
      <x:c r="A277" s="34" t="n">
        <x:v>46104.68125</x:v>
      </x:c>
      <x:c r="B277" s="15" t="str">
        <x:v>card..2924</x:v>
      </x:c>
      <x:c r="C277" s="15" t="str">
        <x:v>Superspar Komatipoor</x:v>
      </x:c>
      <x:c r="D277" s="38" t="n">
        <x:v>668.69</x:v>
      </x:c>
      <x:c r="E277" s="15" t="str">
        <x:v>ZAR</x:v>
      </x:c>
      <x:c r="F277" s="15" t="str">
        <x:v>Supplier payments</x:v>
      </x:c>
      <x:c r="G277" s="15" t="str">
        <x:v>No</x:v>
      </x:c>
      <x:c r="H277" s="38" t="n">
        <x:v>-668.69</x:v>
      </x:c>
      <x:c r="I277" s="15" t="str"/>
      <x:c r="J277" s="15" t="str">
        <x:v>eml_ALL_currentac__512781 (2).zip &gt; eml4currentac__512781.zip / FNB _-) R668.69 reserved for purchase @ Superspar Komatipoor from Current a_c..512781 using card..2924. 23Mar 16_21.eml</x:v>
      </x:c>
    </x:row>
    <x:row r="278">
      <x:c r="A278" s="34" t="n">
        <x:v>46105.63611111111</x:v>
      </x:c>
      <x:c r="B278" s="15" t="str">
        <x:v>card..2924</x:v>
      </x:c>
      <x:c r="C278" s="15" t="str">
        <x:v>Savemor Marloth</x:v>
      </x:c>
      <x:c r="D278" s="38" t="n">
        <x:v>153.97</x:v>
      </x:c>
      <x:c r="E278" s="15" t="str">
        <x:v>ZAR</x:v>
      </x:c>
      <x:c r="F278" s="15" t="str">
        <x:v>Supplier payments</x:v>
      </x:c>
      <x:c r="G278" s="15" t="str">
        <x:v>No</x:v>
      </x:c>
      <x:c r="H278" s="38" t="n">
        <x:v>-153.97</x:v>
      </x:c>
      <x:c r="I278" s="15" t="str"/>
      <x:c r="J278" s="15" t="str">
        <x:v>eml_ALL_currentac__512781 (2).zip &gt; eml4currentac__512781.zip / FNB _-) R153.97 reserved for purchase @ Savemor Marloth from Current a_c..512781 using card..2924. 24Mar 15_16.eml</x:v>
      </x:c>
    </x:row>
    <x:row r="279">
      <x:c r="A279" s="34" t="n">
        <x:v>46106.48333333333</x:v>
      </x:c>
      <x:c r="B279" s="15" t="str">
        <x:v>card..2924</x:v>
      </x:c>
      <x:c r="C279" s="15" t="str">
        <x:v>Pep Home 5771 Komati</x:v>
      </x:c>
      <x:c r="D279" s="38" t="n">
        <x:v>292.96</x:v>
      </x:c>
      <x:c r="E279" s="15" t="str">
        <x:v>ZAR</x:v>
      </x:c>
      <x:c r="F279" s="15" t="str">
        <x:v>Supplier payments</x:v>
      </x:c>
      <x:c r="G279" s="15" t="str">
        <x:v>No</x:v>
      </x:c>
      <x:c r="H279" s="38" t="n">
        <x:v>-292.96</x:v>
      </x:c>
      <x:c r="I279" s="15" t="str"/>
      <x:c r="J279" s="15" t="str">
        <x:v>eml_ALL_currentac__512781 (2).zip &gt; eml4currentac__512781.zip / FNB _-) R292.96 reserved for purchase @ Pep Home 5771 Komati from Current a_c..512781 using card..2924. 25Mar 11_36.eml</x:v>
      </x:c>
    </x:row>
    <x:row r="280">
      <x:c r="A280" s="34" t="n">
        <x:v>46106.48819444444</x:v>
      </x:c>
      <x:c r="B280" s="15" t="str">
        <x:v>card..2924</x:v>
      </x:c>
      <x:c r="C280" s="15" t="str">
        <x:v>Pep Home 5771 Komati</x:v>
      </x:c>
      <x:c r="D280" s="38" t="n">
        <x:v>119.97</x:v>
      </x:c>
      <x:c r="E280" s="15" t="str">
        <x:v>ZAR</x:v>
      </x:c>
      <x:c r="F280" s="15" t="str">
        <x:v>Supplier payments</x:v>
      </x:c>
      <x:c r="G280" s="15" t="str">
        <x:v>No</x:v>
      </x:c>
      <x:c r="H280" s="38" t="n">
        <x:v>-119.97</x:v>
      </x:c>
      <x:c r="I280" s="15" t="str"/>
      <x:c r="J280" s="15" t="str">
        <x:v>eml_ALL_currentac__512781 (2).zip &gt; eml4currentac__512781.zip / FNB _-) R119.97 reserved for purchase @ Pep Home 5771 Komati from Current a_c..512781 using card..2924. 25Mar 11_43.eml</x:v>
      </x:c>
    </x:row>
    <x:row r="281">
      <x:c r="A281" s="34" t="n">
        <x:v>46106.53402777778</x:v>
      </x:c>
      <x:c r="B281" s="15" t="str">
        <x:v>card..2924</x:v>
      </x:c>
      <x:c r="C281" s="15" t="str">
        <x:v>Superspar Komatipoor</x:v>
      </x:c>
      <x:c r="D281" s="38" t="n">
        <x:v>1730.48</x:v>
      </x:c>
      <x:c r="E281" s="15" t="str">
        <x:v>ZAR</x:v>
      </x:c>
      <x:c r="F281" s="15" t="str">
        <x:v>Supplier payments</x:v>
      </x:c>
      <x:c r="G281" s="15" t="str">
        <x:v>No</x:v>
      </x:c>
      <x:c r="H281" s="38" t="n">
        <x:v>-1730.48</x:v>
      </x:c>
      <x:c r="I281" s="15" t="str"/>
      <x:c r="J281" s="15" t="str">
        <x:v>eml_ALL_currentac__512781 (2).zip &gt; eml4currentac__512781.zip / FNB _-) R1730.48 reserved for purchase @ Superspar Komatipoor from Current a_c..512781 using card..2924. 25Mar 12_49.eml</x:v>
      </x:c>
    </x:row>
    <x:row r="282">
      <x:c r="A282" s="34" t="n">
        <x:v>46106.566666666666</x:v>
      </x:c>
      <x:c r="B282" s="15" t="str">
        <x:v>card..2924</x:v>
      </x:c>
      <x:c r="C282" s="15" t="str">
        <x:v>Mascor Komatipoort F</x:v>
      </x:c>
      <x:c r="D282" s="38" t="n">
        <x:v>200</x:v>
      </x:c>
      <x:c r="E282" s="15" t="str">
        <x:v>ZAR</x:v>
      </x:c>
      <x:c r="F282" s="15" t="str">
        <x:v>Card spend</x:v>
      </x:c>
      <x:c r="G282" s="15" t="str">
        <x:v>No</x:v>
      </x:c>
      <x:c r="H282" s="38" t="n">
        <x:v>-200</x:v>
      </x:c>
      <x:c r="I282" s="15" t="str"/>
      <x:c r="J282" s="15" t="str">
        <x:v>eml_ALL_currentac__512781 (2).zip &gt; eml4currentac__512781.zip / FNB _-) R200.00 reserved for purchase @ Mascor Komatipoort F from Current a_c..512781 using card..2924. 25Mar 13_36.eml</x:v>
      </x:c>
    </x:row>
    <x:row r="283">
      <x:c r="A283" s="34" t="n">
        <x:v>46106.575694444444</x:v>
      </x:c>
      <x:c r="B283" s="15" t="str">
        <x:v>card..2924</x:v>
      </x:c>
      <x:c r="C283" s="15" t="str">
        <x:v>Oasis Water Komatipo</x:v>
      </x:c>
      <x:c r="D283" s="38" t="n">
        <x:v>240.2</x:v>
      </x:c>
      <x:c r="E283" s="15" t="str">
        <x:v>ZAR</x:v>
      </x:c>
      <x:c r="F283" s="15" t="str">
        <x:v>Supplier payments</x:v>
      </x:c>
      <x:c r="G283" s="15" t="str">
        <x:v>No</x:v>
      </x:c>
      <x:c r="H283" s="38" t="n">
        <x:v>-240.2</x:v>
      </x:c>
      <x:c r="I283" s="15" t="str"/>
      <x:c r="J283" s="15" t="str">
        <x:v>eml_ALL_currentac__512781 (2).zip &gt; eml4currentac__512781.zip / FNB _-) R240.20 reserved for purchase @ Oasis Water Komatipo from Current a_c..512781 using card..2924. 25Mar 13_49.eml</x:v>
      </x:c>
    </x:row>
    <x:row r="284">
      <x:c r="A284" s="34" t="n">
        <x:v>46106.58263888889</x:v>
      </x:c>
      <x:c r="B284" s="15" t="str">
        <x:v>card..2924</x:v>
      </x:c>
      <x:c r="C284" s="15" t="str">
        <x:v>Oasis Water Komatipo</x:v>
      </x:c>
      <x:c r="D284" s="38" t="n">
        <x:v>112.8</x:v>
      </x:c>
      <x:c r="E284" s="15" t="str">
        <x:v>ZAR</x:v>
      </x:c>
      <x:c r="F284" s="15" t="str">
        <x:v>Supplier payments</x:v>
      </x:c>
      <x:c r="G284" s="15" t="str">
        <x:v>No</x:v>
      </x:c>
      <x:c r="H284" s="38" t="n">
        <x:v>-112.8</x:v>
      </x:c>
      <x:c r="I284" s="15" t="str"/>
      <x:c r="J284" s="15" t="str">
        <x:v>eml_ALL_currentac__512781 (2).zip &gt; eml4currentac__512781.zip / FNB _-) R112.80 reserved for purchase @ Oasis Water Komatipo from Current a_c..512781 using card..2924. 25Mar 13_59.eml</x:v>
      </x:c>
    </x:row>
    <x:row r="285">
      <x:c r="A285" s="34" t="n">
        <x:v>46107.59097222222</x:v>
      </x:c>
      <x:c r="B285" s="15" t="str">
        <x:v>card..2924</x:v>
      </x:c>
      <x:c r="C285" s="15" t="str">
        <x:v>Jabula Lodge 73</x:v>
      </x:c>
      <x:c r="D285" s="38" t="n">
        <x:v>150</x:v>
      </x:c>
      <x:c r="E285" s="15" t="str">
        <x:v>ZAR</x:v>
      </x:c>
      <x:c r="F285" s="15" t="str">
        <x:v>Accommodation / hotels</x:v>
      </x:c>
      <x:c r="G285" s="15" t="str">
        <x:v>No</x:v>
      </x:c>
      <x:c r="H285" s="38" t="n">
        <x:v>-150</x:v>
      </x:c>
      <x:c r="I285" s="15" t="str"/>
      <x:c r="J285" s="15" t="str">
        <x:v>eml_ALL_currentac__512781 (2).zip &gt; eml4currentac__512781.zip / FNB _-) R150.00 reserved for purchase @ Jabula Lodge 73 from Current a_c..512781 using card..2924. 26Mar 14_11.eml</x:v>
      </x:c>
    </x:row>
    <x:row r="286">
      <x:c r="A286" s="34" t="n">
        <x:v>46107.606944444444</x:v>
      </x:c>
      <x:c r="B286" s="15" t="str">
        <x:v>card..2924</x:v>
      </x:c>
      <x:c r="C286" s="15" t="str">
        <x:v>Savemor Marloth Liqu</x:v>
      </x:c>
      <x:c r="D286" s="38" t="n">
        <x:v>265.96</x:v>
      </x:c>
      <x:c r="E286" s="15" t="str">
        <x:v>ZAR</x:v>
      </x:c>
      <x:c r="F286" s="15" t="str">
        <x:v>Meals / restaurants / entertainment</x:v>
      </x:c>
      <x:c r="G286" s="15" t="str">
        <x:v>No</x:v>
      </x:c>
      <x:c r="H286" s="38" t="n">
        <x:v>-265.96</x:v>
      </x:c>
      <x:c r="I286" s="15" t="str"/>
      <x:c r="J286" s="15" t="str">
        <x:v>eml_ALL_currentac__512781 (2).zip &gt; eml4currentac__512781.zip / FNB _-) R265.96 reserved for purchase @ Savemor Marloth Liqu from Current a_c..512781 using card..2924. 26Mar 14_34.eml</x:v>
      </x:c>
    </x:row>
    <x:row r="287">
      <x:c r="A287" s="34" t="n">
        <x:v>46107.626388888886</x:v>
      </x:c>
      <x:c r="B287" s="15" t="str">
        <x:v>card..2924</x:v>
      </x:c>
      <x:c r="C287" s="15" t="str">
        <x:v>Toppies Hardware 66</x:v>
      </x:c>
      <x:c r="D287" s="38" t="n">
        <x:v>200.01</x:v>
      </x:c>
      <x:c r="E287" s="15" t="str">
        <x:v>ZAR</x:v>
      </x:c>
      <x:c r="F287" s="15" t="str">
        <x:v>Supplier payments</x:v>
      </x:c>
      <x:c r="G287" s="15" t="str">
        <x:v>No</x:v>
      </x:c>
      <x:c r="H287" s="38" t="n">
        <x:v>-200.01</x:v>
      </x:c>
      <x:c r="I287" s="15" t="str"/>
      <x:c r="J287" s="15" t="str">
        <x:v>eml_ALL_currentac__512781 (2).zip &gt; eml4currentac__512781.zip / FNB _-) R200.01 reserved for purchase @ Toppies Hardware 66 from Current a_c..512781 using card..2924. 26Mar 15_02.eml</x:v>
      </x:c>
    </x:row>
    <x:row r="288">
      <x:c r="A288" s="34" t="n">
        <x:v>46108.52777777778</x:v>
      </x:c>
      <x:c r="B288" s="15" t="str">
        <x:v>card..2924</x:v>
      </x:c>
      <x:c r="C288" s="15" t="str">
        <x:v>Superspar Komatipoor</x:v>
      </x:c>
      <x:c r="D288" s="38" t="n">
        <x:v>842.37</x:v>
      </x:c>
      <x:c r="E288" s="15" t="str">
        <x:v>ZAR</x:v>
      </x:c>
      <x:c r="F288" s="15" t="str">
        <x:v>Supplier payments</x:v>
      </x:c>
      <x:c r="G288" s="15" t="str">
        <x:v>No</x:v>
      </x:c>
      <x:c r="H288" s="38" t="n">
        <x:v>-842.37</x:v>
      </x:c>
      <x:c r="I288" s="15" t="str"/>
      <x:c r="J288" s="15" t="str">
        <x:v>eml_ALL_currentac__512781 (2).zip &gt; eml4currentac__512781.zip / FNB _-) R842.37 reserved for purchase @ Superspar Komatipoor from Current a_c..512781 using card..2924. 27Mar 12_40.eml</x:v>
      </x:c>
    </x:row>
    <x:row r="289">
      <x:c r="A289" s="34" t="n">
        <x:v>46108.53194444445</x:v>
      </x:c>
      <x:c r="B289" s="15" t="str">
        <x:v>card..2924</x:v>
      </x:c>
      <x:c r="C289" s="15" t="str">
        <x:v>Superspar Komatipoor</x:v>
      </x:c>
      <x:c r="D289" s="38" t="n">
        <x:v>450</x:v>
      </x:c>
      <x:c r="E289" s="15" t="str">
        <x:v>ZAR</x:v>
      </x:c>
      <x:c r="F289" s="15" t="str">
        <x:v>Supplier payments</x:v>
      </x:c>
      <x:c r="G289" s="15" t="str">
        <x:v>No</x:v>
      </x:c>
      <x:c r="H289" s="38" t="n">
        <x:v>-450</x:v>
      </x:c>
      <x:c r="I289" s="15" t="str"/>
      <x:c r="J289" s="15" t="str">
        <x:v>eml_ALL_currentac__512781 (2).zip &gt; eml4currentac__512781.zip / FNB _-) R450.00 reserved for purchase @ Superspar Komatipoor from Current a_c..512781 using card..2924. 27Mar 12_46.eml</x:v>
      </x:c>
    </x:row>
    <x:row r="290">
      <x:c r="A290" s="34" t="n">
        <x:v>46109.77916666667</x:v>
      </x:c>
      <x:c r="B290" s="15" t="str">
        <x:v>card..2924</x:v>
      </x:c>
      <x:c r="C290" s="15" t="str">
        <x:v>Amazing Kruger</x:v>
      </x:c>
      <x:c r="D290" s="38" t="n">
        <x:v>240</x:v>
      </x:c>
      <x:c r="E290" s="15" t="str">
        <x:v>ZAR</x:v>
      </x:c>
      <x:c r="F290" s="15" t="str">
        <x:v>Card spend</x:v>
      </x:c>
      <x:c r="G290" s="15" t="str">
        <x:v>No</x:v>
      </x:c>
      <x:c r="H290" s="38" t="n">
        <x:v>-240</x:v>
      </x:c>
      <x:c r="I290" s="15" t="str"/>
      <x:c r="J290" s="15" t="str">
        <x:v>eml_ALL_currentac__512781 (2).zip &gt; eml4currentac__512781.zip / FNB _-) R240.00 reserved for purchase @ Amazing Kruger from Current a_c..512781 using card..2924. 28Mar 18_42.eml</x:v>
      </x:c>
    </x:row>
    <x:row r="291">
      <x:c r="A291" s="34" t="n">
        <x:v>46110.53611111111</x:v>
      </x:c>
      <x:c r="B291" s="15" t="str">
        <x:v>card..2924</x:v>
      </x:c>
      <x:c r="C291" s="15" t="str">
        <x:v>Marlothi Petrol Stat</x:v>
      </x:c>
      <x:c r="D291" s="38" t="n">
        <x:v>724.38</x:v>
      </x:c>
      <x:c r="E291" s="15" t="str">
        <x:v>ZAR</x:v>
      </x:c>
      <x:c r="F291" s="15" t="str">
        <x:v>Fuel / transport</x:v>
      </x:c>
      <x:c r="G291" s="15" t="str">
        <x:v>No</x:v>
      </x:c>
      <x:c r="H291" s="38" t="n">
        <x:v>-724.38</x:v>
      </x:c>
      <x:c r="I291" s="15" t="str"/>
      <x:c r="J291" s="15" t="str">
        <x:v>eml_ALL_currentac__512781 (2).zip &gt; eml4currentac__512781.zip / FNB _-) R724.38 reserved for purchase @ Marlothi Petrol Stat from Current a_c..512781 using card..2924. 29Mar 12_52.eml</x:v>
      </x:c>
    </x:row>
    <x:row r="292">
      <x:c r="A292" s="34" t="n">
        <x:v>46110.75069444445</x:v>
      </x:c>
      <x:c r="B292" s="15" t="str">
        <x:v>card..2924</x:v>
      </x:c>
      <x:c r="C292" s="15" t="str">
        <x:v>The Tin Shack</x:v>
      </x:c>
      <x:c r="D292" s="38" t="n">
        <x:v>250</x:v>
      </x:c>
      <x:c r="E292" s="15" t="str">
        <x:v>ZAR</x:v>
      </x:c>
      <x:c r="F292" s="15" t="str">
        <x:v>Meals / restaurants / entertainment</x:v>
      </x:c>
      <x:c r="G292" s="15" t="str">
        <x:v>No</x:v>
      </x:c>
      <x:c r="H292" s="38" t="n">
        <x:v>-250</x:v>
      </x:c>
      <x:c r="I292" s="15" t="str"/>
      <x:c r="J292" s="15" t="str">
        <x:v>eml_ALL_currentac__512781 (2).zip &gt; eml4currentac__512781.zip / FNB _-) R250.00 reserved for purchase @ The Tin Shack from Current a_c..512781 using card..2924. 29Mar 18_01.eml</x:v>
      </x:c>
    </x:row>
    <x:row r="293">
      <x:c r="A293" s="34" t="n">
        <x:v>46111.631944444445</x:v>
      </x:c>
      <x:c r="B293" s="15" t="str">
        <x:v>card..2924</x:v>
      </x:c>
      <x:c r="C293" s="15" t="str">
        <x:v>Savemor Marloth</x:v>
      </x:c>
      <x:c r="D293" s="38" t="n">
        <x:v>105.61</x:v>
      </x:c>
      <x:c r="E293" s="15" t="str">
        <x:v>ZAR</x:v>
      </x:c>
      <x:c r="F293" s="15" t="str">
        <x:v>Supplier payments</x:v>
      </x:c>
      <x:c r="G293" s="15" t="str">
        <x:v>No</x:v>
      </x:c>
      <x:c r="H293" s="38" t="n">
        <x:v>-105.61</x:v>
      </x:c>
      <x:c r="I293" s="15" t="str"/>
      <x:c r="J293" s="15" t="str">
        <x:v>eml_ALL_currentac__512781 (2).zip &gt; eml4currentac__512781.zip / FNB _-) R105.61 reserved for purchase @ Savemor Marloth from Current a_c..512781 using card..2924. 30Mar 15_10.eml</x:v>
      </x:c>
    </x:row>
    <x:row r="294">
      <x:c r="A294" s="34" t="n">
        <x:v>46112.57361111111</x:v>
      </x:c>
      <x:c r="B294" s="15" t="str">
        <x:v>card..2924</x:v>
      </x:c>
      <x:c r="C294" s="15" t="str">
        <x:v>Superspar Komatipoor</x:v>
      </x:c>
      <x:c r="D294" s="38" t="n">
        <x:v>973.88</x:v>
      </x:c>
      <x:c r="E294" s="15" t="str">
        <x:v>ZAR</x:v>
      </x:c>
      <x:c r="F294" s="15" t="str">
        <x:v>Supplier payments</x:v>
      </x:c>
      <x:c r="G294" s="15" t="str">
        <x:v>No</x:v>
      </x:c>
      <x:c r="H294" s="38" t="n">
        <x:v>-973.88</x:v>
      </x:c>
      <x:c r="I294" s="15" t="str"/>
      <x:c r="J294" s="15" t="str">
        <x:v>eml_ALL_currentac__512781 (2).zip &gt; eml4currentac__512781.zip / FNB _-) R973.88 reserved for purchase @ Superspar Komatipoor from Current a_c..512781 using card..2924. 31Mar 13_46.eml</x:v>
      </x:c>
    </x:row>
    <x:row r="295">
      <x:c r="A295" s="34" t="n">
        <x:v>46113.57083333333</x:v>
      </x:c>
      <x:c r="B295" s="15" t="str">
        <x:v>card..2924</x:v>
      </x:c>
      <x:c r="C295" s="15" t="str">
        <x:v>Shoprite Komatipoort</x:v>
      </x:c>
      <x:c r="D295" s="38" t="n">
        <x:v>1486.59</x:v>
      </x:c>
      <x:c r="E295" s="15" t="str">
        <x:v>ZAR</x:v>
      </x:c>
      <x:c r="F295" s="15" t="str">
        <x:v>Supplier payments</x:v>
      </x:c>
      <x:c r="G295" s="15" t="str">
        <x:v>No</x:v>
      </x:c>
      <x:c r="H295" s="38" t="n">
        <x:v>-1486.59</x:v>
      </x:c>
      <x:c r="I295" s="15" t="str"/>
      <x:c r="J295" s="15" t="str">
        <x:v>eml_ALL_currentac__512781 (2).zip &gt; eml4currentac__512781.zip / FNB _-) R1486.59 reserved for purchase @ Shoprite Komatipoort from Current a_c..512781 using card..2924.  1Apr 13_42.eml</x:v>
      </x:c>
    </x:row>
    <x:row r="296">
      <x:c r="A296" s="34" t="n">
        <x:v>46113.583333333336</x:v>
      </x:c>
      <x:c r="B296" s="15" t="str">
        <x:v>card..2924</x:v>
      </x:c>
      <x:c r="C296" s="15" t="str">
        <x:v>Lebombo Butchery</x:v>
      </x:c>
      <x:c r="D296" s="38" t="n">
        <x:v>122.3</x:v>
      </x:c>
      <x:c r="E296" s="15" t="str">
        <x:v>ZAR</x:v>
      </x:c>
      <x:c r="F296" s="15" t="str">
        <x:v>Supplier payments</x:v>
      </x:c>
      <x:c r="G296" s="15" t="str">
        <x:v>No</x:v>
      </x:c>
      <x:c r="H296" s="38" t="n">
        <x:v>-122.3</x:v>
      </x:c>
      <x:c r="I296" s="15" t="str"/>
      <x:c r="J296" s="15" t="str">
        <x:v>eml_ALL_currentac__512781 (2).zip &gt; eml4currentac__512781.zip / FNB _-) R122.30 reserved for purchase @ Lebombo Butchery from Current a_c..512781 using card..2924.  1Apr 14_00.eml</x:v>
      </x:c>
    </x:row>
    <x:row r="297">
      <x:c r="A297" s="34" t="n">
        <x:v>46114.501388888886</x:v>
      </x:c>
      <x:c r="B297" s="15" t="str">
        <x:v>card..2924</x:v>
      </x:c>
      <x:c r="C297" s="15" t="str">
        <x:v>Woolworths</x:v>
      </x:c>
      <x:c r="D297" s="38" t="n">
        <x:v>1137.33</x:v>
      </x:c>
      <x:c r="E297" s="15" t="str">
        <x:v>ZAR</x:v>
      </x:c>
      <x:c r="F297" s="15" t="str">
        <x:v>Supplier payments</x:v>
      </x:c>
      <x:c r="G297" s="15" t="str">
        <x:v>No</x:v>
      </x:c>
      <x:c r="H297" s="38" t="n">
        <x:v>-1137.33</x:v>
      </x:c>
      <x:c r="I297" s="15" t="str"/>
      <x:c r="J297" s="15" t="str">
        <x:v>eml_ALL_currentac__512781 (2).zip &gt; eml4currentac__512781.zip / FNB _-) R1137.33 reserved for purchase @ Woolworths from Current a_c..512781 using card..2924.  2Apr 12_02.eml</x:v>
      </x:c>
    </x:row>
    <x:row r="298">
      <x:c r="A298" s="34" t="n">
        <x:v>46114.55972222222</x:v>
      </x:c>
      <x:c r="B298" s="15" t="str">
        <x:v>card..2924</x:v>
      </x:c>
      <x:c r="C298" s="15" t="str">
        <x:v>Superspar Malelane</x:v>
      </x:c>
      <x:c r="D298" s="38" t="n">
        <x:v>918.06</x:v>
      </x:c>
      <x:c r="E298" s="15" t="str">
        <x:v>ZAR</x:v>
      </x:c>
      <x:c r="F298" s="15" t="str">
        <x:v>Supplier payments</x:v>
      </x:c>
      <x:c r="G298" s="15" t="str">
        <x:v>No</x:v>
      </x:c>
      <x:c r="H298" s="38" t="n">
        <x:v>-918.06</x:v>
      </x:c>
      <x:c r="I298" s="15" t="str"/>
      <x:c r="J298" s="15" t="str">
        <x:v>eml_ALL_currentac__512781 (2).zip &gt; eml4currentac__512781.zip / FNB _-) R918.06 reserved for purchase @ Superspar Malelane from Current a_c..512781 using card..2924.  2Apr 13_26.eml</x:v>
      </x:c>
    </x:row>
    <x:row r="299">
      <x:c r="A299" s="34" t="n">
        <x:v>46114.57361111111</x:v>
      </x:c>
      <x:c r="B299" s="15" t="str">
        <x:v>card..2924</x:v>
      </x:c>
      <x:c r="C299" s="15" t="str">
        <x:v>Oasis Water Malelane</x:v>
      </x:c>
      <x:c r="D299" s="38" t="n">
        <x:v>254.2</x:v>
      </x:c>
      <x:c r="E299" s="15" t="str">
        <x:v>ZAR</x:v>
      </x:c>
      <x:c r="F299" s="15" t="str">
        <x:v>Supplier payments</x:v>
      </x:c>
      <x:c r="G299" s="15" t="str">
        <x:v>No</x:v>
      </x:c>
      <x:c r="H299" s="38" t="n">
        <x:v>-254.2</x:v>
      </x:c>
      <x:c r="I299" s="15" t="str"/>
      <x:c r="J299" s="15" t="str">
        <x:v>eml_ALL_currentac__512781 (2).zip &gt; eml4currentac__512781.zip / FNB _-) R254.20 reserved for purchase @ Oasis Water Malelane from Current a_c..512781 using card..2924.  2Apr 13_46.eml</x:v>
      </x:c>
    </x:row>
    <x:row r="300">
      <x:c r="A300" s="34" t="n">
        <x:v>46114.73125</x:v>
      </x:c>
      <x:c r="B300" s="15" t="str">
        <x:v>card..2924</x:v>
      </x:c>
      <x:c r="C300" s="15" t="str">
        <x:v>The Tin Shack</x:v>
      </x:c>
      <x:c r="D300" s="38" t="n">
        <x:v>500</x:v>
      </x:c>
      <x:c r="E300" s="15" t="str">
        <x:v>ZAR</x:v>
      </x:c>
      <x:c r="F300" s="15" t="str">
        <x:v>Meals / restaurants / entertainment</x:v>
      </x:c>
      <x:c r="G300" s="15" t="str">
        <x:v>No</x:v>
      </x:c>
      <x:c r="H300" s="38" t="n">
        <x:v>-500</x:v>
      </x:c>
      <x:c r="I300" s="15" t="str"/>
      <x:c r="J300" s="15" t="str">
        <x:v>eml_ALL_currentac__512781 (2).zip &gt; eml4currentac__512781.zip / FNB _-) R500.00 reserved for purchase @ The Tin Shack from Current a_c..512781 using card..2924.  2Apr 17_33.eml</x:v>
      </x:c>
    </x:row>
    <x:row r="301">
      <x:c r="A301" s="34" t="n">
        <x:v>46115.44236111111</x:v>
      </x:c>
      <x:c r="B301" s="15" t="str">
        <x:v>card..2924</x:v>
      </x:c>
      <x:c r="C301" s="15" t="str">
        <x:v>Savemor Marloth</x:v>
      </x:c>
      <x:c r="D301" s="38" t="n">
        <x:v>329.96</x:v>
      </x:c>
      <x:c r="E301" s="15" t="str">
        <x:v>ZAR</x:v>
      </x:c>
      <x:c r="F301" s="15" t="str">
        <x:v>Supplier payments</x:v>
      </x:c>
      <x:c r="G301" s="15" t="str">
        <x:v>No</x:v>
      </x:c>
      <x:c r="H301" s="38" t="n">
        <x:v>-329.96</x:v>
      </x:c>
      <x:c r="I301" s="15" t="str"/>
      <x:c r="J301" s="15" t="str">
        <x:v>eml_ALL_currentac__512781 (2).zip &gt; eml4currentac__512781.zip / FNB _-) R329.96 reserved for purchase @ Savemor Marloth from Current a_c..512781 using card..2924.  3Apr 10_37.eml</x:v>
      </x:c>
    </x:row>
    <x:row r="302">
      <x:c r="A302" s="34" t="n">
        <x:v>46115.868055555555</x:v>
      </x:c>
      <x:c r="B302" s="15" t="str">
        <x:v>card..2924</x:v>
      </x:c>
      <x:c r="C302" s="15" t="str">
        <x:v>Yoco *k2025744041</x:v>
      </x:c>
      <x:c r="D302" s="38" t="n">
        <x:v>335</x:v>
      </x:c>
      <x:c r="E302" s="15" t="str">
        <x:v>ZAR</x:v>
      </x:c>
      <x:c r="F302" s="15" t="str">
        <x:v>Card spend</x:v>
      </x:c>
      <x:c r="G302" s="15" t="str">
        <x:v>No</x:v>
      </x:c>
      <x:c r="H302" s="38" t="n">
        <x:v>-335</x:v>
      </x:c>
      <x:c r="I302" s="15" t="str"/>
      <x:c r="J302" s="15" t="str">
        <x:v>eml_ALL_currentac__512781 (2).zip &gt; eml4currentac__512781.zip / FNB _-) R335.00 reserved for purchase @ Yoco _k2025744041 from Current a_c..512781 using card..2924.  3Apr 20_50.eml</x:v>
      </x:c>
    </x:row>
    <x:row r="303">
      <x:c r="A303" s="34" t="n">
        <x:v>46116.50486111111</x:v>
      </x:c>
      <x:c r="B303" s="15" t="str">
        <x:v>card..2924</x:v>
      </x:c>
      <x:c r="C303" s="15" t="str">
        <x:v>Woolworths</x:v>
      </x:c>
      <x:c r="D303" s="38" t="n">
        <x:v>736.86</x:v>
      </x:c>
      <x:c r="E303" s="15" t="str">
        <x:v>ZAR</x:v>
      </x:c>
      <x:c r="F303" s="15" t="str">
        <x:v>Supplier payments</x:v>
      </x:c>
      <x:c r="G303" s="15" t="str">
        <x:v>No</x:v>
      </x:c>
      <x:c r="H303" s="38" t="n">
        <x:v>-736.86</x:v>
      </x:c>
      <x:c r="I303" s="15" t="str"/>
      <x:c r="J303" s="15" t="str">
        <x:v>eml_ALL_currentac__512781 (2).zip &gt; eml4currentac__512781.zip / FNB _-) R736.86 reserved for purchase @ Woolworths from Current a_c..512781 using card..2924.  4Apr 12_07.eml</x:v>
      </x:c>
    </x:row>
    <x:row r="304">
      <x:c r="A304" s="34" t="n">
        <x:v>46116.53611111111</x:v>
      </x:c>
      <x:c r="B304" s="15" t="str">
        <x:v>card..2924</x:v>
      </x:c>
      <x:c r="C304" s="15" t="str">
        <x:v>Superspar Malelane</x:v>
      </x:c>
      <x:c r="D304" s="38" t="n">
        <x:v>731.35</x:v>
      </x:c>
      <x:c r="E304" s="15" t="str">
        <x:v>ZAR</x:v>
      </x:c>
      <x:c r="F304" s="15" t="str">
        <x:v>Supplier payments</x:v>
      </x:c>
      <x:c r="G304" s="15" t="str">
        <x:v>No</x:v>
      </x:c>
      <x:c r="H304" s="38" t="n">
        <x:v>-731.35</x:v>
      </x:c>
      <x:c r="I304" s="15" t="str"/>
      <x:c r="J304" s="15" t="str">
        <x:v>eml_ALL_currentac__512781 (2).zip &gt; eml4currentac__512781.zip / FNB _-) R731.35 reserved for purchase @ Superspar Malelane from Current a_c..512781 using card..2924.  4Apr 12_52.eml</x:v>
      </x:c>
    </x:row>
    <x:row r="305">
      <x:c r="A305" s="34" t="n">
        <x:v>46117.50763888889</x:v>
      </x:c>
      <x:c r="B305" s="15" t="str">
        <x:v>card..2924</x:v>
      </x:c>
      <x:c r="C305" s="15" t="str">
        <x:v>Atmh11960000001</x:v>
      </x:c>
      <x:c r="D305" s="38" t="n">
        <x:v>400</x:v>
      </x:c>
      <x:c r="E305" s="15" t="str">
        <x:v>ZAR</x:v>
      </x:c>
      <x:c r="F305" s="15" t="str">
        <x:v>Cash withdrawal</x:v>
      </x:c>
      <x:c r="G305" s="15" t="str">
        <x:v>No</x:v>
      </x:c>
      <x:c r="H305" s="38" t="n">
        <x:v>-400</x:v>
      </x:c>
      <x:c r="I305" s="15" t="str">
        <x:v>Atmh11960000001</x:v>
      </x:c>
      <x:c r="J305" s="15" t="str">
        <x:v>eml_ALL_currentac__512781 (2).zip &gt; eml4currentac__512781.zip / FNB _-) R400.00 withdrawn from Current a_c..512781 using card..2924 @ Atmh11960000001.  5Apr 12_11.eml</x:v>
      </x:c>
    </x:row>
    <x:row r="306">
      <x:c r="A306" s="34" t="n">
        <x:v>46118.53055555555</x:v>
      </x:c>
      <x:c r="B306" s="15" t="str">
        <x:v>card..2924</x:v>
      </x:c>
      <x:c r="C306" s="15" t="str">
        <x:v>Savemor Marloth</x:v>
      </x:c>
      <x:c r="D306" s="38" t="n">
        <x:v>169.96</x:v>
      </x:c>
      <x:c r="E306" s="15" t="str">
        <x:v>ZAR</x:v>
      </x:c>
      <x:c r="F306" s="15" t="str">
        <x:v>Supplier payments</x:v>
      </x:c>
      <x:c r="G306" s="15" t="str">
        <x:v>No</x:v>
      </x:c>
      <x:c r="H306" s="38" t="n">
        <x:v>-169.96</x:v>
      </x:c>
      <x:c r="I306" s="15" t="str"/>
      <x:c r="J306" s="15" t="str">
        <x:v>eml_ALL_currentac__512781 (2).zip &gt; eml4currentac__512781.zip / FNB _-) R169.96 reserved for purchase @ Savemor Marloth from Current a_c..512781 using card..2924.  6Apr 12_44.eml</x:v>
      </x:c>
    </x:row>
    <x:row r="307">
      <x:c r="A307" s="34" t="n">
        <x:v>46119.552777777775</x:v>
      </x:c>
      <x:c r="B307" s="15" t="str">
        <x:v>card..2924</x:v>
      </x:c>
      <x:c r="C307" s="15" t="str">
        <x:v>Pep Home 5771 Komati</x:v>
      </x:c>
      <x:c r="D307" s="38" t="n">
        <x:v>129.61</x:v>
      </x:c>
      <x:c r="E307" s="15" t="str">
        <x:v>ZAR</x:v>
      </x:c>
      <x:c r="F307" s="15" t="str">
        <x:v>Supplier payments</x:v>
      </x:c>
      <x:c r="G307" s="15" t="str">
        <x:v>No</x:v>
      </x:c>
      <x:c r="H307" s="38" t="n">
        <x:v>-129.61</x:v>
      </x:c>
      <x:c r="I307" s="15" t="str"/>
      <x:c r="J307" s="15" t="str">
        <x:v>eml_ALL_currentac__512781 (2).zip &gt; eml4currentac__512781.zip / FNB _-) R129.61 reserved for purchase @ Pep Home 5771 Komati from Current a_c..512781 using card..2924.  7Apr 13_16.eml</x:v>
      </x:c>
    </x:row>
    <x:row r="308">
      <x:c r="A308" s="34" t="n">
        <x:v>46119.59444444445</x:v>
      </x:c>
      <x:c r="B308" s="15" t="str">
        <x:v>card..2924</x:v>
      </x:c>
      <x:c r="C308" s="15" t="str">
        <x:v>Superspar Komatipoor</x:v>
      </x:c>
      <x:c r="D308" s="38" t="n">
        <x:v>1285.78</x:v>
      </x:c>
      <x:c r="E308" s="15" t="str">
        <x:v>ZAR</x:v>
      </x:c>
      <x:c r="F308" s="15" t="str">
        <x:v>Supplier payments</x:v>
      </x:c>
      <x:c r="G308" s="15" t="str">
        <x:v>No</x:v>
      </x:c>
      <x:c r="H308" s="38" t="n">
        <x:v>-1285.78</x:v>
      </x:c>
      <x:c r="I308" s="15" t="str"/>
      <x:c r="J308" s="15" t="str">
        <x:v>eml_ALL_currentac__512781 (2).zip &gt; eml4currentac__512781.zip / FNB _-) R1285.78 reserved for purchase @ Superspar Komatipoor from Current a_c..512781 using card..2924.  7Apr 14_16.eml</x:v>
      </x:c>
    </x:row>
    <x:row r="309">
      <x:c r="A309" s="34" t="n">
        <x:v>46119.600694444445</x:v>
      </x:c>
      <x:c r="B309" s="15" t="str">
        <x:v>card..2924</x:v>
      </x:c>
      <x:c r="C309" s="15" t="str">
        <x:v>The Crazy Store Koma</x:v>
      </x:c>
      <x:c r="D309" s="38" t="n">
        <x:v>164.89</x:v>
      </x:c>
      <x:c r="E309" s="15" t="str">
        <x:v>ZAR</x:v>
      </x:c>
      <x:c r="F309" s="15" t="str">
        <x:v>Card spend</x:v>
      </x:c>
      <x:c r="G309" s="15" t="str">
        <x:v>No</x:v>
      </x:c>
      <x:c r="H309" s="38" t="n">
        <x:v>-164.89</x:v>
      </x:c>
      <x:c r="I309" s="15" t="str"/>
      <x:c r="J309" s="15" t="str">
        <x:v>eml_ALL_currentac__512781 (2).zip &gt; eml4currentac__512781.zip / FNB _-) R164.89 reserved for purchase @ The Crazy Store Koma from Current a_c..512781 using card..2924.  7Apr 14_25.eml</x:v>
      </x:c>
    </x:row>
    <x:row r="310">
      <x:c r="A310" s="34" t="n">
        <x:v>46121.580555555556</x:v>
      </x:c>
      <x:c r="B310" s="15" t="str">
        <x:v>card..2924</x:v>
      </x:c>
      <x:c r="C310" s="15" t="str">
        <x:v>Superspar Komatipoor</x:v>
      </x:c>
      <x:c r="D310" s="38" t="n">
        <x:v>905.75</x:v>
      </x:c>
      <x:c r="E310" s="15" t="str">
        <x:v>ZAR</x:v>
      </x:c>
      <x:c r="F310" s="15" t="str">
        <x:v>Supplier payments</x:v>
      </x:c>
      <x:c r="G310" s="15" t="str">
        <x:v>No</x:v>
      </x:c>
      <x:c r="H310" s="38" t="n">
        <x:v>-905.75</x:v>
      </x:c>
      <x:c r="I310" s="15" t="str"/>
      <x:c r="J310" s="15" t="str">
        <x:v>eml_ALL_currentac__512781 (2).zip &gt; eml4currentac__512781.zip / FNB _-) R905.75 reserved for purchase @ Superspar Komatipoor from Current a_c..512781 using card..2924.  9Apr 13_56.eml</x:v>
      </x:c>
    </x:row>
    <x:row r="311">
      <x:c r="A311" s="34" t="n">
        <x:v>46121.59930555556</x:v>
      </x:c>
      <x:c r="B311" s="15" t="str">
        <x:v>card..2924</x:v>
      </x:c>
      <x:c r="C311" s="15" t="str">
        <x:v>Oasis Water Komatipo</x:v>
      </x:c>
      <x:c r="D311" s="38" t="n">
        <x:v>235.2</x:v>
      </x:c>
      <x:c r="E311" s="15" t="str">
        <x:v>ZAR</x:v>
      </x:c>
      <x:c r="F311" s="15" t="str">
        <x:v>Supplier payments</x:v>
      </x:c>
      <x:c r="G311" s="15" t="str">
        <x:v>No</x:v>
      </x:c>
      <x:c r="H311" s="38" t="n">
        <x:v>-235.2</x:v>
      </x:c>
      <x:c r="I311" s="15" t="str"/>
      <x:c r="J311" s="15" t="str">
        <x:v>eml_ALL_currentac__512781 (2).zip &gt; eml4currentac__512781.zip / FNB _-) R235.20 reserved for purchase @ Oasis Water Komatipo from Current a_c..512781 using card..2924.  9Apr 14_23.eml</x:v>
      </x:c>
    </x:row>
    <x:row r="312">
      <x:c r="A312" s="34" t="n">
        <x:v>46122.77569444444</x:v>
      </x:c>
      <x:c r="B312" s="15" t="str">
        <x:v>card..2924</x:v>
      </x:c>
      <x:c r="C312" s="15" t="str">
        <x:v>The Tin Shack</x:v>
      </x:c>
      <x:c r="D312" s="38" t="n">
        <x:v>210</x:v>
      </x:c>
      <x:c r="E312" s="15" t="str">
        <x:v>ZAR</x:v>
      </x:c>
      <x:c r="F312" s="15" t="str">
        <x:v>Meals / restaurants / entertainment</x:v>
      </x:c>
      <x:c r="G312" s="15" t="str">
        <x:v>No</x:v>
      </x:c>
      <x:c r="H312" s="38" t="n">
        <x:v>-210</x:v>
      </x:c>
      <x:c r="I312" s="15" t="str"/>
      <x:c r="J312" s="15" t="str">
        <x:v>eml_ALL_currentac__512781 (2).zip &gt; eml4currentac__512781.zip / FNB _-) R210.00 reserved for purchase @ The Tin Shack from Current a_c..512781 using card..2924. 10Apr 18_37.eml</x:v>
      </x:c>
    </x:row>
    <x:row r="313">
      <x:c r="A313" s="34" t="n">
        <x:v>46123.46388888889</x:v>
      </x:c>
      <x:c r="B313" s="15" t="str">
        <x:v>card..2924</x:v>
      </x:c>
      <x:c r="C313" s="15" t="str">
        <x:v>Buco Komatipoort 116</x:v>
      </x:c>
      <x:c r="D313" s="38" t="n">
        <x:v>174.98</x:v>
      </x:c>
      <x:c r="E313" s="15" t="str">
        <x:v>ZAR</x:v>
      </x:c>
      <x:c r="F313" s="15" t="str">
        <x:v>Supplier payments</x:v>
      </x:c>
      <x:c r="G313" s="15" t="str">
        <x:v>No</x:v>
      </x:c>
      <x:c r="H313" s="38" t="n">
        <x:v>-174.98</x:v>
      </x:c>
      <x:c r="I313" s="15" t="str"/>
      <x:c r="J313" s="15" t="str">
        <x:v>eml_ALL_currentac__512781 (2).zip &gt; eml4currentac__512781.zip / FNB _-) R174.98 reserved for purchase @ Buco Komatipoort 116 from Current a_c..512781 using card..2924. 11Apr 11_08.eml</x:v>
      </x:c>
    </x:row>
    <x:row r="314">
      <x:c r="A314" s="34" t="n">
        <x:v>46123.49097222222</x:v>
      </x:c>
      <x:c r="B314" s="15" t="str">
        <x:v>card..2924</x:v>
      </x:c>
      <x:c r="C314" s="15" t="str">
        <x:v>Superspar Komatipoor</x:v>
      </x:c>
      <x:c r="D314" s="38" t="n">
        <x:v>534.31</x:v>
      </x:c>
      <x:c r="E314" s="15" t="str">
        <x:v>ZAR</x:v>
      </x:c>
      <x:c r="F314" s="15" t="str">
        <x:v>Supplier payments</x:v>
      </x:c>
      <x:c r="G314" s="15" t="str">
        <x:v>No</x:v>
      </x:c>
      <x:c r="H314" s="38" t="n">
        <x:v>-534.31</x:v>
      </x:c>
      <x:c r="I314" s="15" t="str"/>
      <x:c r="J314" s="15" t="str">
        <x:v>eml_ALL_currentac__512781 (2).zip &gt; eml4currentac__512781.zip / FNB _-) R534.31 reserved for purchase @ Superspar Komatipoor from Current a_c..512781 using card..2924. 11Apr 11_47.eml</x:v>
      </x:c>
    </x:row>
    <x:row r="315">
      <x:c r="A315" s="34" t="n">
        <x:v>46123.501388888886</x:v>
      </x:c>
      <x:c r="B315" s="15" t="str">
        <x:v>card..2924</x:v>
      </x:c>
      <x:c r="C315" s="15" t="str">
        <x:v>Komati Pharmacy</x:v>
      </x:c>
      <x:c r="D315" s="38" t="n">
        <x:v>138.49</x:v>
      </x:c>
      <x:c r="E315" s="15" t="str">
        <x:v>ZAR</x:v>
      </x:c>
      <x:c r="F315" s="15" t="str">
        <x:v>Supplier payments</x:v>
      </x:c>
      <x:c r="G315" s="15" t="str">
        <x:v>No</x:v>
      </x:c>
      <x:c r="H315" s="38" t="n">
        <x:v>-138.49</x:v>
      </x:c>
      <x:c r="I315" s="15" t="str"/>
      <x:c r="J315" s="15" t="str">
        <x:v>eml_ALL_currentac__512781 (2).zip &gt; eml4currentac__512781.zip / FNB _-) R138.49 reserved for purchase @ Komati Pharmacy from Current a_c..512781 using card..2924. 11Apr 12_02.eml</x:v>
      </x:c>
    </x:row>
    <x:row r="316">
      <x:c r="A316" s="34" t="n">
        <x:v>46123.50625</x:v>
      </x:c>
      <x:c r="B316" s="15" t="str">
        <x:v>card..2924</x:v>
      </x:c>
      <x:c r="C316" s="15" t="str">
        <x:v>Tops Komatipoort</x:v>
      </x:c>
      <x:c r="D316" s="38" t="n">
        <x:v>214.96</x:v>
      </x:c>
      <x:c r="E316" s="15" t="str">
        <x:v>ZAR</x:v>
      </x:c>
      <x:c r="F316" s="15" t="str">
        <x:v>Meals / restaurants / entertainment</x:v>
      </x:c>
      <x:c r="G316" s="15" t="str">
        <x:v>No</x:v>
      </x:c>
      <x:c r="H316" s="38" t="n">
        <x:v>-214.96</x:v>
      </x:c>
      <x:c r="I316" s="15" t="str"/>
      <x:c r="J316" s="15" t="str">
        <x:v>eml_ALL_currentac__512781 (2).zip &gt; eml4currentac__512781.zip / FNB _-) R214.96 reserved for purchase @ Tops Komatipoort from Current a_c..512781 using card..2924. 11Apr 12_09.eml</x:v>
      </x:c>
    </x:row>
    <x:row r="317">
      <x:c r="A317" s="34" t="n">
        <x:v>46123.513194444444</x:v>
      </x:c>
      <x:c r="B317" s="15" t="str">
        <x:v>card..2924</x:v>
      </x:c>
      <x:c r="C317" s="15" t="str">
        <x:v>Ae Komatipoort</x:v>
      </x:c>
      <x:c r="D317" s="38" t="n">
        <x:v>200</x:v>
      </x:c>
      <x:c r="E317" s="15" t="str">
        <x:v>ZAR</x:v>
      </x:c>
      <x:c r="F317" s="15" t="str">
        <x:v>Card spend</x:v>
      </x:c>
      <x:c r="G317" s="15" t="str">
        <x:v>No</x:v>
      </x:c>
      <x:c r="H317" s="38" t="n">
        <x:v>-200</x:v>
      </x:c>
      <x:c r="I317" s="15" t="str"/>
      <x:c r="J317" s="15" t="str">
        <x:v>eml_ALL_currentac__512781 (2).zip &gt; eml3currentac__512781.zip / FNB _-) R200.00 reserved for purchase @ Ae Komatipoort from Current a_c..512781 using card..2924. 11Apr 12_19.eml</x:v>
      </x:c>
    </x:row>
    <x:row r="318">
      <x:c r="A318" s="34" t="n">
        <x:v>46124.54027777778</x:v>
      </x:c>
      <x:c r="B318" s="15" t="str">
        <x:v>card..2924</x:v>
      </x:c>
      <x:c r="C318" s="15" t="str">
        <x:v>Atmh11960000001</x:v>
      </x:c>
      <x:c r="D318" s="38" t="n">
        <x:v>550</x:v>
      </x:c>
      <x:c r="E318" s="15" t="str">
        <x:v>ZAR</x:v>
      </x:c>
      <x:c r="F318" s="15" t="str">
        <x:v>Cash withdrawal</x:v>
      </x:c>
      <x:c r="G318" s="15" t="str">
        <x:v>No</x:v>
      </x:c>
      <x:c r="H318" s="38" t="n">
        <x:v>-550</x:v>
      </x:c>
      <x:c r="I318" s="15" t="str">
        <x:v>Atmh11960000001</x:v>
      </x:c>
      <x:c r="J318" s="15" t="str">
        <x:v>eml_ALL_currentac__512781 (2).zip &gt; eml3currentac__512781.zip / FNB _-) R550.00 withdrawn from Current a_c..512781 using card..2924 @ Atmh11960000001. 12Apr 12_58.eml</x:v>
      </x:c>
    </x:row>
    <x:row r="319">
      <x:c r="A319" s="34" t="n">
        <x:v>46124.6125</x:v>
      </x:c>
      <x:c r="B319" s="15" t="str">
        <x:v>card..0104</x:v>
      </x:c>
      <x:c r="C319" s="15" t="str">
        <x:v>Openai *chatgpt Subscr+14</x:v>
      </x:c>
      <x:c r="D319" s="38" t="n">
        <x:v>399</x:v>
      </x:c>
      <x:c r="E319" s="15" t="str">
        <x:v>ZAR</x:v>
      </x:c>
      <x:c r="F319" s="15" t="str">
        <x:v>Software / subscriptions</x:v>
      </x:c>
      <x:c r="G319" s="15" t="str">
        <x:v>No</x:v>
      </x:c>
      <x:c r="H319" s="38" t="n">
        <x:v>-399</x:v>
      </x:c>
      <x:c r="I319" s="15" t="str"/>
      <x:c r="J319" s="15" t="str">
        <x:v>eml_ALL_currentac__512781 (2).zip &gt; eml3currentac__512781.zip / FNB _-) R399.00 reserved for purchase @ Openai _chatgpt Subscr+14 from Current a_c..512781 using card..0104. 12Apr 14_42.eml</x:v>
      </x:c>
    </x:row>
    <x:row r="320">
      <x:c r="A320" s="34" t="n">
        <x:v>46126.50555555556</x:v>
      </x:c>
      <x:c r="B320" s="15" t="str">
        <x:v>card..2924</x:v>
      </x:c>
      <x:c r="C320" s="15" t="str">
        <x:v>Sqsp* Websit</x:v>
      </x:c>
      <x:c r="D320" s="38" t="n">
        <x:v>632.48</x:v>
      </x:c>
      <x:c r="E320" s="15" t="str">
        <x:v>ZAR</x:v>
      </x:c>
      <x:c r="F320" s="15" t="str">
        <x:v>Software / subscriptions</x:v>
      </x:c>
      <x:c r="G320" s="15" t="str">
        <x:v>No</x:v>
      </x:c>
      <x:c r="H320" s="38" t="n">
        <x:v>-632.48</x:v>
      </x:c>
      <x:c r="I320" s="15" t="str"/>
      <x:c r="J320" s="15" t="str">
        <x:v>eml_ALL_currentac__512781 (2).zip &gt; eml3currentac__512781.zip / FNB _-) R632.48 reserved for purchase @ Sqsp_ Websit from Current a_c..512781 using card..2924. 14Apr 12_08.eml</x:v>
      </x:c>
    </x:row>
    <x:row r="321">
      <x:c r="A321" s="34" t="n">
        <x:v>46126.55138888889</x:v>
      </x:c>
      <x:c r="B321" s="15" t="str">
        <x:v>card..2924</x:v>
      </x:c>
      <x:c r="C321" s="15" t="str">
        <x:v>Superspar Komatipoor</x:v>
      </x:c>
      <x:c r="D321" s="38" t="n">
        <x:v>1416.72</x:v>
      </x:c>
      <x:c r="E321" s="15" t="str">
        <x:v>ZAR</x:v>
      </x:c>
      <x:c r="F321" s="15" t="str">
        <x:v>Supplier payments</x:v>
      </x:c>
      <x:c r="G321" s="15" t="str">
        <x:v>No</x:v>
      </x:c>
      <x:c r="H321" s="38" t="n">
        <x:v>-1416.72</x:v>
      </x:c>
      <x:c r="I321" s="15" t="str"/>
      <x:c r="J321" s="15" t="str">
        <x:v>eml_ALL_currentac__512781 (2).zip &gt; eml3currentac__512781.zip / FNB _-) R1416.72 reserved for purchase @ Superspar Komatipoor from Current a_c..512781 using card..2924. 14Apr 13_14.eml</x:v>
      </x:c>
    </x:row>
    <x:row r="322">
      <x:c r="A322" s="34" t="n">
        <x:v>46126.57083333333</x:v>
      </x:c>
      <x:c r="B322" s="15" t="str">
        <x:v>card..2924</x:v>
      </x:c>
      <x:c r="C322" s="15" t="str">
        <x:v>Buco Komatipoort 116</x:v>
      </x:c>
      <x:c r="D322" s="38" t="n">
        <x:v>252.74</x:v>
      </x:c>
      <x:c r="E322" s="15" t="str">
        <x:v>ZAR</x:v>
      </x:c>
      <x:c r="F322" s="15" t="str">
        <x:v>Supplier payments</x:v>
      </x:c>
      <x:c r="G322" s="15" t="str">
        <x:v>No</x:v>
      </x:c>
      <x:c r="H322" s="38" t="n">
        <x:v>-252.74</x:v>
      </x:c>
      <x:c r="I322" s="15" t="str"/>
      <x:c r="J322" s="15" t="str">
        <x:v>eml_ALL_currentac__512781 (2).zip &gt; eml3currentac__512781.zip / FNB _-) R252.74 reserved for purchase @ Buco Komatipoort 116 from Current a_c..512781 using card..2924. 14Apr 13_42.eml</x:v>
      </x:c>
    </x:row>
    <x:row r="323">
      <x:c r="A323" s="34" t="n">
        <x:v>46127.629166666666</x:v>
      </x:c>
      <x:c r="B323" s="15" t="str">
        <x:v>card..2924</x:v>
      </x:c>
      <x:c r="C323" s="15" t="str">
        <x:v>Savemor Marloth</x:v>
      </x:c>
      <x:c r="D323" s="38" t="n">
        <x:v>118.57</x:v>
      </x:c>
      <x:c r="E323" s="15" t="str">
        <x:v>ZAR</x:v>
      </x:c>
      <x:c r="F323" s="15" t="str">
        <x:v>Supplier payments</x:v>
      </x:c>
      <x:c r="G323" s="15" t="str">
        <x:v>No</x:v>
      </x:c>
      <x:c r="H323" s="38" t="n">
        <x:v>-118.57</x:v>
      </x:c>
      <x:c r="I323" s="15" t="str"/>
      <x:c r="J323" s="15" t="str">
        <x:v>eml_ALL_currentac__512781 (2).zip &gt; eml3currentac__512781.zip / FNB _-) R118.57 reserved for purchase @ Savemor Marloth from Current a_c..512781 using card..2924. 15Apr 15_06.eml</x:v>
      </x:c>
    </x:row>
    <x:row r="324">
      <x:c r="A324" s="34" t="n">
        <x:v>46128.618055555555</x:v>
      </x:c>
      <x:c r="B324" s="15" t="str">
        <x:v>card..2924</x:v>
      </x:c>
      <x:c r="C324" s="15" t="str">
        <x:v>Marlothi Petrol Stat</x:v>
      </x:c>
      <x:c r="D324" s="38" t="n">
        <x:v>200</x:v>
      </x:c>
      <x:c r="E324" s="15" t="str">
        <x:v>ZAR</x:v>
      </x:c>
      <x:c r="F324" s="15" t="str">
        <x:v>Fuel / transport</x:v>
      </x:c>
      <x:c r="G324" s="15" t="str">
        <x:v>No</x:v>
      </x:c>
      <x:c r="H324" s="38" t="n">
        <x:v>-200</x:v>
      </x:c>
      <x:c r="I324" s="15" t="str"/>
      <x:c r="J324" s="15" t="str">
        <x:v>eml_ALL_currentac__512781 (2).zip &gt; eml3currentac__512781.zip / FNB _-) R200.00 reserved for purchase @ Marlothi Petrol Stat from Current a_c..512781 using card..2924. 16Apr 14_50.eml</x:v>
      </x:c>
    </x:row>
    <x:row r="325">
      <x:c r="A325" s="34" t="n">
        <x:v>46129.44375</x:v>
      </x:c>
      <x:c r="B325" s="15" t="str">
        <x:v>card..2924</x:v>
      </x:c>
      <x:c r="C325" s="15" t="str">
        <x:v>Paystack *zoho Co</x:v>
      </x:c>
      <x:c r="D325" s="38" t="n">
        <x:v>228.85</x:v>
      </x:c>
      <x:c r="E325" s="15" t="str">
        <x:v>ZAR</x:v>
      </x:c>
      <x:c r="F325" s="15" t="str">
        <x:v>Software / subscriptions</x:v>
      </x:c>
      <x:c r="G325" s="15" t="str">
        <x:v>No</x:v>
      </x:c>
      <x:c r="H325" s="38" t="n">
        <x:v>-228.85</x:v>
      </x:c>
      <x:c r="I325" s="15" t="str"/>
      <x:c r="J325" s="15" t="str">
        <x:v>eml_ALL_currentac__512781 (2).zip &gt; eml3currentac__512781.zip / FNB _-) R228.85 reserved for purchase @ Paystack _zoho Co from Current a_c..512781 using card..2924. 17Apr 10_39.eml</x:v>
      </x:c>
    </x:row>
    <x:row r="326">
      <x:c r="A326" s="34" t="n">
        <x:v>46129.93402777778</x:v>
      </x:c>
      <x:c r="B326" s="15" t="str">
        <x:v>card..0104</x:v>
      </x:c>
      <x:c r="C326" s="15" t="str">
        <x:v>Openai *chatgpt Subscr+14</x:v>
      </x:c>
      <x:c r="D326" s="38" t="n">
        <x:v>1511.34</x:v>
      </x:c>
      <x:c r="E326" s="15" t="str">
        <x:v>ZAR</x:v>
      </x:c>
      <x:c r="F326" s="15" t="str">
        <x:v>Software / subscriptions</x:v>
      </x:c>
      <x:c r="G326" s="15" t="str">
        <x:v>No</x:v>
      </x:c>
      <x:c r="H326" s="38" t="n">
        <x:v>-1511.34</x:v>
      </x:c>
      <x:c r="I326" s="15" t="str"/>
      <x:c r="J326" s="15" t="str">
        <x:v>eml_ALL_currentac__512781 (2).zip &gt; eml3currentac__512781.zip / FNB _-) R1511.34 reserved for purchase @ Openai _chatgpt Subscr+14 from Current a_c..512781 using card..0104. 17Apr 22_25.eml</x:v>
      </x:c>
    </x:row>
    <x:row r="327">
      <x:c r="A327" s="34" t="n">
        <x:v>46130.47638888889</x:v>
      </x:c>
      <x:c r="B327" s="15" t="str">
        <x:v>card..2924</x:v>
      </x:c>
      <x:c r="C327" s="15" t="str">
        <x:v>Buco Komatipoort 116</x:v>
      </x:c>
      <x:c r="D327" s="38" t="n">
        <x:v>579</x:v>
      </x:c>
      <x:c r="E327" s="15" t="str">
        <x:v>ZAR</x:v>
      </x:c>
      <x:c r="F327" s="15" t="str">
        <x:v>Supplier payments</x:v>
      </x:c>
      <x:c r="G327" s="15" t="str">
        <x:v>No</x:v>
      </x:c>
      <x:c r="H327" s="38" t="n">
        <x:v>-579</x:v>
      </x:c>
      <x:c r="I327" s="15" t="str"/>
      <x:c r="J327" s="15" t="str">
        <x:v>eml_ALL_currentac__512781 (2).zip &gt; eml3currentac__512781.zip / FNB _-) R579.00 reserved for purchase @ Buco Komatipoort 116 from Current a_c..512781 using card..2924. 18Apr 11_26.eml</x:v>
      </x:c>
    </x:row>
    <x:row r="328">
      <x:c r="A328" s="34" t="n">
        <x:v>46130.509722222225</x:v>
      </x:c>
      <x:c r="B328" s="15" t="str">
        <x:v>card..2924</x:v>
      </x:c>
      <x:c r="C328" s="15" t="str">
        <x:v>Superspar Komatipoor</x:v>
      </x:c>
      <x:c r="D328" s="38" t="n">
        <x:v>1093.9</x:v>
      </x:c>
      <x:c r="E328" s="15" t="str">
        <x:v>ZAR</x:v>
      </x:c>
      <x:c r="F328" s="15" t="str">
        <x:v>Supplier payments</x:v>
      </x:c>
      <x:c r="G328" s="15" t="str">
        <x:v>No</x:v>
      </x:c>
      <x:c r="H328" s="38" t="n">
        <x:v>-1093.9</x:v>
      </x:c>
      <x:c r="I328" s="15" t="str"/>
      <x:c r="J328" s="15" t="str">
        <x:v>eml_ALL_currentac__512781 (2).zip &gt; eml3currentac__512781.zip / FNB _-) R1093.90 reserved for purchase @ Superspar Komatipoor from Current a_c..512781 using card..2924. 18Apr 12_14.eml</x:v>
      </x:c>
    </x:row>
    <x:row r="329">
      <x:c r="A329" s="34" t="n">
        <x:v>46131.555555555555</x:v>
      </x:c>
      <x:c r="B329" s="15" t="str">
        <x:v>card..2924</x:v>
      </x:c>
      <x:c r="C329" s="15" t="str">
        <x:v>Savemor Marloth</x:v>
      </x:c>
      <x:c r="D329" s="38" t="n">
        <x:v>329.98</x:v>
      </x:c>
      <x:c r="E329" s="15" t="str">
        <x:v>ZAR</x:v>
      </x:c>
      <x:c r="F329" s="15" t="str">
        <x:v>Supplier payments</x:v>
      </x:c>
      <x:c r="G329" s="15" t="str">
        <x:v>No</x:v>
      </x:c>
      <x:c r="H329" s="38" t="n">
        <x:v>-329.98</x:v>
      </x:c>
      <x:c r="I329" s="15" t="str"/>
      <x:c r="J329" s="15" t="str">
        <x:v>eml_ALL_currentac__512781 (2).zip &gt; eml3currentac__512781.zip / FNB _-) R329.98 reserved for purchase @ Savemor Marloth from Current a_c..512781 using card..2924. 19Apr 13_20.eml</x:v>
      </x:c>
    </x:row>
    <x:row r="330">
      <x:c r="A330" s="34" t="n">
        <x:v>46133.39444444444</x:v>
      </x:c>
      <x:c r="B330" s="15" t="str">
        <x:v>card..2924</x:v>
      </x:c>
      <x:c r="C330" s="15" t="str">
        <x:v>Toppies Hardware 66</x:v>
      </x:c>
      <x:c r="D330" s="38" t="n">
        <x:v>2015.02</x:v>
      </x:c>
      <x:c r="E330" s="15" t="str">
        <x:v>ZAR</x:v>
      </x:c>
      <x:c r="F330" s="15" t="str">
        <x:v>Supplier payments</x:v>
      </x:c>
      <x:c r="G330" s="15" t="str">
        <x:v>No</x:v>
      </x:c>
      <x:c r="H330" s="38" t="n">
        <x:v>-2015.02</x:v>
      </x:c>
      <x:c r="I330" s="15" t="str"/>
      <x:c r="J330" s="15" t="str">
        <x:v>eml_ALL_currentac__512781 (2).zip &gt; eml3currentac__512781.zip / FNB _-) R2015.02 reserved for purchase @ Toppies Hardware 66 from Current a_c..512781 using card..2924. 21Apr 09_28.eml</x:v>
      </x:c>
    </x:row>
    <x:row r="331">
      <x:c r="A331" s="34" t="n">
        <x:v>46133.498611111114</x:v>
      </x:c>
      <x:c r="B331" s="15" t="str">
        <x:v>card..2924</x:v>
      </x:c>
      <x:c r="C331" s="15" t="str">
        <x:v>Superspar Komatipoor</x:v>
      </x:c>
      <x:c r="D331" s="38" t="n">
        <x:v>1854.99</x:v>
      </x:c>
      <x:c r="E331" s="15" t="str">
        <x:v>ZAR</x:v>
      </x:c>
      <x:c r="F331" s="15" t="str">
        <x:v>Supplier payments</x:v>
      </x:c>
      <x:c r="G331" s="15" t="str">
        <x:v>No</x:v>
      </x:c>
      <x:c r="H331" s="38" t="n">
        <x:v>-1854.99</x:v>
      </x:c>
      <x:c r="I331" s="15" t="str"/>
      <x:c r="J331" s="15" t="str">
        <x:v>eml_ALL_currentac__512781 (2).zip &gt; eml3currentac__512781.zip / FNB _-) R1854.99 reserved for purchase @ Superspar Komatipoor from Current a_c..512781 using card..2924. 21Apr 11_58.eml</x:v>
      </x:c>
    </x:row>
    <x:row r="332">
      <x:c r="A332" s="34" t="n">
        <x:v>46133.50347222222</x:v>
      </x:c>
      <x:c r="B332" s="15" t="str">
        <x:v>card..2924</x:v>
      </x:c>
      <x:c r="C332" s="15" t="str">
        <x:v>Tops Komatipoort</x:v>
      </x:c>
      <x:c r="D332" s="38" t="n">
        <x:v>194.97</x:v>
      </x:c>
      <x:c r="E332" s="15" t="str">
        <x:v>ZAR</x:v>
      </x:c>
      <x:c r="F332" s="15" t="str">
        <x:v>Meals / restaurants / entertainment</x:v>
      </x:c>
      <x:c r="G332" s="15" t="str">
        <x:v>No</x:v>
      </x:c>
      <x:c r="H332" s="38" t="n">
        <x:v>-194.97</x:v>
      </x:c>
      <x:c r="I332" s="15" t="str"/>
      <x:c r="J332" s="15" t="str">
        <x:v>eml_ALL_currentac__512781 (2).zip &gt; eml3currentac__512781.zip / FNB _-) R194.97 reserved for purchase @ Tops Komatipoort from Current a_c..512781 using card..2924. 21Apr 12_05.eml</x:v>
      </x:c>
    </x:row>
    <x:row r="333">
      <x:c r="A333" s="34" t="n">
        <x:v>46134.63333333333</x:v>
      </x:c>
      <x:c r="B333" s="15" t="str">
        <x:v>card..2924</x:v>
      </x:c>
      <x:c r="C333" s="15" t="str">
        <x:v>Savemor Marloth</x:v>
      </x:c>
      <x:c r="D333" s="38" t="n">
        <x:v>333.37</x:v>
      </x:c>
      <x:c r="E333" s="15" t="str">
        <x:v>ZAR</x:v>
      </x:c>
      <x:c r="F333" s="15" t="str">
        <x:v>Supplier payments</x:v>
      </x:c>
      <x:c r="G333" s="15" t="str">
        <x:v>No</x:v>
      </x:c>
      <x:c r="H333" s="38" t="n">
        <x:v>-333.37</x:v>
      </x:c>
      <x:c r="I333" s="15" t="str"/>
      <x:c r="J333" s="15" t="str">
        <x:v>eml_ALL_currentac__512781 (2).zip &gt; eml3currentac__512781.zip / FNB _-) R333.37 reserved for purchase @ Savemor Marloth from Current a_c..512781 using card..2924. 22Apr 15_12.eml</x:v>
      </x:c>
    </x:row>
    <x:row r="334">
      <x:c r="A334" s="34" t="n">
        <x:v>46134.64791666667</x:v>
      </x:c>
      <x:c r="B334" s="15" t="str">
        <x:v>card..2924</x:v>
      </x:c>
      <x:c r="C334" s="15" t="str">
        <x:v>Marlothi Petrol Stat</x:v>
      </x:c>
      <x:c r="D334" s="38" t="n">
        <x:v>200</x:v>
      </x:c>
      <x:c r="E334" s="15" t="str">
        <x:v>ZAR</x:v>
      </x:c>
      <x:c r="F334" s="15" t="str">
        <x:v>Fuel / transport</x:v>
      </x:c>
      <x:c r="G334" s="15" t="str">
        <x:v>No</x:v>
      </x:c>
      <x:c r="H334" s="38" t="n">
        <x:v>-200</x:v>
      </x:c>
      <x:c r="I334" s="15" t="str"/>
      <x:c r="J334" s="15" t="str">
        <x:v>eml_ALL_currentac__512781 (2).zip &gt; eml3currentac__512781.zip / FNB _-) R200.00 reserved for purchase @ Marlothi Petrol Stat from Current a_c..512781 using card..2924. 22Apr 15_33.eml</x:v>
      </x:c>
    </x:row>
    <x:row r="335">
      <x:c r="A335" s="34" t="n">
        <x:v>46135.51527777778</x:v>
      </x:c>
      <x:c r="B335" s="15" t="str">
        <x:v>card..2924</x:v>
      </x:c>
      <x:c r="C335" s="15" t="str">
        <x:v>Shoprite Komatipoort</x:v>
      </x:c>
      <x:c r="D335" s="38" t="n">
        <x:v>831.04</x:v>
      </x:c>
      <x:c r="E335" s="15" t="str">
        <x:v>ZAR</x:v>
      </x:c>
      <x:c r="F335" s="15" t="str">
        <x:v>Supplier payments</x:v>
      </x:c>
      <x:c r="G335" s="15" t="str">
        <x:v>No</x:v>
      </x:c>
      <x:c r="H335" s="38" t="n">
        <x:v>-831.04</x:v>
      </x:c>
      <x:c r="I335" s="15" t="str"/>
      <x:c r="J335" s="15" t="str">
        <x:v>eml_ALL_currentac__512781 (2).zip &gt; eml3currentac__512781.zip / FNB _-) R831.04 reserved for purchase @ Shoprite Komatipoort from Current a_c..512781 using card..2924. 23Apr 12_22.eml</x:v>
      </x:c>
    </x:row>
    <x:row r="336">
      <x:c r="A336" s="34" t="n">
        <x:v>46135.527083333334</x:v>
      </x:c>
      <x:c r="B336" s="15" t="str">
        <x:v>card..2924</x:v>
      </x:c>
      <x:c r="C336" s="15" t="str">
        <x:v>Agrico Pty Ltd</x:v>
      </x:c>
      <x:c r="D336" s="38" t="n">
        <x:v>304.29</x:v>
      </x:c>
      <x:c r="E336" s="15" t="str">
        <x:v>ZAR</x:v>
      </x:c>
      <x:c r="F336" s="15" t="str">
        <x:v>Supplier payments</x:v>
      </x:c>
      <x:c r="G336" s="15" t="str">
        <x:v>No</x:v>
      </x:c>
      <x:c r="H336" s="38" t="n">
        <x:v>-304.29</x:v>
      </x:c>
      <x:c r="I336" s="15" t="str"/>
      <x:c r="J336" s="15" t="str">
        <x:v>eml_ALL_currentac__512781 (2).zip &gt; eml3currentac__512781.zip / FNB _-) R304.29 reserved for purchase @ Agrico Pty Ltd from Current a_c..512781 using card..2924. 23Apr 12_39.eml</x:v>
      </x:c>
    </x:row>
    <x:row r="337">
      <x:c r="A337" s="34" t="n">
        <x:v>46135.56319444445</x:v>
      </x:c>
      <x:c r="B337" s="15" t="str">
        <x:v>card..2924</x:v>
      </x:c>
      <x:c r="C337" s="15" t="str">
        <x:v>Tops Komatipoort</x:v>
      </x:c>
      <x:c r="D337" s="38" t="n">
        <x:v>273.99</x:v>
      </x:c>
      <x:c r="E337" s="15" t="str">
        <x:v>ZAR</x:v>
      </x:c>
      <x:c r="F337" s="15" t="str">
        <x:v>Meals / restaurants / entertainment</x:v>
      </x:c>
      <x:c r="G337" s="15" t="str">
        <x:v>No</x:v>
      </x:c>
      <x:c r="H337" s="38" t="n">
        <x:v>-273.99</x:v>
      </x:c>
      <x:c r="I337" s="15" t="str"/>
      <x:c r="J337" s="15" t="str">
        <x:v>eml_ALL_currentac__512781 (2).zip &gt; eml3currentac__512781.zip / FNB _-) R273.99 reserved for purchase @ Tops Komatipoort from Current a_c..512781 using card..2924. 23Apr 13_31.eml</x:v>
      </x:c>
    </x:row>
    <x:row r="338">
      <x:c r="A338" s="34" t="n">
        <x:v>46135.83611111111</x:v>
      </x:c>
      <x:c r="B338" s="15" t="str">
        <x:v>card..2924</x:v>
      </x:c>
      <x:c r="C338" s="15" t="str">
        <x:v>The Tin Shack</x:v>
      </x:c>
      <x:c r="D338" s="38" t="n">
        <x:v>503</x:v>
      </x:c>
      <x:c r="E338" s="15" t="str">
        <x:v>ZAR</x:v>
      </x:c>
      <x:c r="F338" s="15" t="str">
        <x:v>Meals / restaurants / entertainment</x:v>
      </x:c>
      <x:c r="G338" s="15" t="str">
        <x:v>No</x:v>
      </x:c>
      <x:c r="H338" s="38" t="n">
        <x:v>-503</x:v>
      </x:c>
      <x:c r="I338" s="15" t="str"/>
      <x:c r="J338" s="15" t="str">
        <x:v>eml_ALL_currentac__512781 (2).zip &gt; eml3currentac__512781.zip / FNB _-) R503.00 reserved for purchase @ The Tin Shack from Current a_c..512781 using card..2924. 23Apr 20_04.eml</x:v>
      </x:c>
    </x:row>
    <x:row r="339">
      <x:c r="A339" s="34" t="n">
        <x:v>46136.62291666667</x:v>
      </x:c>
      <x:c r="B339" s="15" t="str">
        <x:v>card..2924</x:v>
      </x:c>
      <x:c r="C339" s="15" t="str">
        <x:v>Savemor Marloth</x:v>
      </x:c>
      <x:c r="D339" s="38" t="n">
        <x:v>269.99</x:v>
      </x:c>
      <x:c r="E339" s="15" t="str">
        <x:v>ZAR</x:v>
      </x:c>
      <x:c r="F339" s="15" t="str">
        <x:v>Supplier payments</x:v>
      </x:c>
      <x:c r="G339" s="15" t="str">
        <x:v>No</x:v>
      </x:c>
      <x:c r="H339" s="38" t="n">
        <x:v>-269.99</x:v>
      </x:c>
      <x:c r="I339" s="15" t="str"/>
      <x:c r="J339" s="15" t="str">
        <x:v>eml_ALL_currentac__512781 (2).zip &gt; eml3currentac__512781.zip / FNB _-) R269.99 reserved for purchase @ Savemor Marloth from Current a_c..512781 using card..2924. 24Apr 14_57.eml</x:v>
      </x:c>
    </x:row>
    <x:row r="340">
      <x:c r="A340" s="34" t="n">
        <x:v>46137.493055555555</x:v>
      </x:c>
      <x:c r="B340" s="15" t="str">
        <x:v>card..2924</x:v>
      </x:c>
      <x:c r="C340" s="15" t="str">
        <x:v>Shoprite Komatipoort</x:v>
      </x:c>
      <x:c r="D340" s="38" t="n">
        <x:v>523.48</x:v>
      </x:c>
      <x:c r="E340" s="15" t="str">
        <x:v>ZAR</x:v>
      </x:c>
      <x:c r="F340" s="15" t="str">
        <x:v>Supplier payments</x:v>
      </x:c>
      <x:c r="G340" s="15" t="str">
        <x:v>No</x:v>
      </x:c>
      <x:c r="H340" s="38" t="n">
        <x:v>-523.48</x:v>
      </x:c>
      <x:c r="I340" s="15" t="str"/>
      <x:c r="J340" s="15" t="str">
        <x:v>eml_ALL_currentac__512781 (2).zip &gt; eml3currentac__512781.zip / FNB _-) R523.48 reserved for purchase @ Shoprite Komatipoort from Current a_c..512781 using card..2924. 25Apr 11_50.eml</x:v>
      </x:c>
    </x:row>
    <x:row r="341">
      <x:c r="A341" s="34" t="n">
        <x:v>46137.51875</x:v>
      </x:c>
      <x:c r="B341" s="15" t="str">
        <x:v>card..2924</x:v>
      </x:c>
      <x:c r="C341" s="15" t="str">
        <x:v>Superspar Komatipoor</x:v>
      </x:c>
      <x:c r="D341" s="38" t="n">
        <x:v>431.53</x:v>
      </x:c>
      <x:c r="E341" s="15" t="str">
        <x:v>ZAR</x:v>
      </x:c>
      <x:c r="F341" s="15" t="str">
        <x:v>Supplier payments</x:v>
      </x:c>
      <x:c r="G341" s="15" t="str">
        <x:v>No</x:v>
      </x:c>
      <x:c r="H341" s="38" t="n">
        <x:v>-431.53</x:v>
      </x:c>
      <x:c r="I341" s="15" t="str"/>
      <x:c r="J341" s="15" t="str">
        <x:v>eml_ALL_currentac__512781 (2).zip &gt; eml3currentac__512781.zip / FNB _-) R431.53 reserved for purchase @ Superspar Komatipoor from Current a_c..512781 using card..2924. 25Apr 12_27.eml</x:v>
      </x:c>
    </x:row>
    <x:row r="342">
      <x:c r="A342" s="34" t="n">
        <x:v>46137.52777777778</x:v>
      </x:c>
      <x:c r="B342" s="15" t="str">
        <x:v>card..2924</x:v>
      </x:c>
      <x:c r="C342" s="15" t="str">
        <x:v>The Crazy Store Koma</x:v>
      </x:c>
      <x:c r="D342" s="38" t="n">
        <x:v>267.86</x:v>
      </x:c>
      <x:c r="E342" s="15" t="str">
        <x:v>ZAR</x:v>
      </x:c>
      <x:c r="F342" s="15" t="str">
        <x:v>Card spend</x:v>
      </x:c>
      <x:c r="G342" s="15" t="str">
        <x:v>No</x:v>
      </x:c>
      <x:c r="H342" s="38" t="n">
        <x:v>-267.86</x:v>
      </x:c>
      <x:c r="I342" s="15" t="str"/>
      <x:c r="J342" s="15" t="str">
        <x:v>eml_ALL_currentac__512781 (2).zip &gt; eml3currentac__512781.zip / FNB _-) R267.86 reserved for purchase @ The Crazy Store Koma from Current a_c..512781 using card..2924. 25Apr 12_40.eml</x:v>
      </x:c>
    </x:row>
    <x:row r="343">
      <x:c r="A343" s="34" t="n">
        <x:v>46137.53055555555</x:v>
      </x:c>
      <x:c r="B343" s="15" t="str">
        <x:v>card..2924</x:v>
      </x:c>
      <x:c r="C343" s="15" t="str">
        <x:v>Tops Komatipoort</x:v>
      </x:c>
      <x:c r="D343" s="38" t="n">
        <x:v>241.46</x:v>
      </x:c>
      <x:c r="E343" s="15" t="str">
        <x:v>ZAR</x:v>
      </x:c>
      <x:c r="F343" s="15" t="str">
        <x:v>Meals / restaurants / entertainment</x:v>
      </x:c>
      <x:c r="G343" s="15" t="str">
        <x:v>No</x:v>
      </x:c>
      <x:c r="H343" s="38" t="n">
        <x:v>-241.46</x:v>
      </x:c>
      <x:c r="I343" s="15" t="str"/>
      <x:c r="J343" s="15" t="str">
        <x:v>eml_ALL_currentac__512781 (2).zip &gt; eml3currentac__512781.zip / FNB _-) R241.46 reserved for purchase @ Tops Komatipoort from Current a_c..512781 using card..2924. 25Apr 12_44.eml</x:v>
      </x:c>
    </x:row>
    <x:row r="344">
      <x:c r="A344" s="34" t="n">
        <x:v>46137.729166666664</x:v>
      </x:c>
      <x:c r="B344" s="15" t="str">
        <x:v>card..2924</x:v>
      </x:c>
      <x:c r="C344" s="15" t="str">
        <x:v>Savemor Marloth</x:v>
      </x:c>
      <x:c r="D344" s="38" t="n">
        <x:v>102.95</x:v>
      </x:c>
      <x:c r="E344" s="15" t="str">
        <x:v>ZAR</x:v>
      </x:c>
      <x:c r="F344" s="15" t="str">
        <x:v>Supplier payments</x:v>
      </x:c>
      <x:c r="G344" s="15" t="str">
        <x:v>No</x:v>
      </x:c>
      <x:c r="H344" s="38" t="n">
        <x:v>-102.95</x:v>
      </x:c>
      <x:c r="I344" s="15" t="str"/>
      <x:c r="J344" s="15" t="str">
        <x:v>eml_ALL_currentac__512781 (2).zip &gt; eml3currentac__512781.zip / FNB _-) R102.95 reserved for purchase @ Savemor Marloth from Current a_c..512781 using card..2924. 25Apr 17_30.eml</x:v>
      </x:c>
    </x:row>
    <x:row r="345">
      <x:c r="A345" s="34" t="n">
        <x:v>46138.55902777778</x:v>
      </x:c>
      <x:c r="B345" s="15" t="str">
        <x:v>card..2924</x:v>
      </x:c>
      <x:c r="C345" s="15" t="str">
        <x:v>Savemor Marloth</x:v>
      </x:c>
      <x:c r="D345" s="38" t="n">
        <x:v>616.97</x:v>
      </x:c>
      <x:c r="E345" s="15" t="str">
        <x:v>ZAR</x:v>
      </x:c>
      <x:c r="F345" s="15" t="str">
        <x:v>Supplier payments</x:v>
      </x:c>
      <x:c r="G345" s="15" t="str">
        <x:v>No</x:v>
      </x:c>
      <x:c r="H345" s="38" t="n">
        <x:v>-616.97</x:v>
      </x:c>
      <x:c r="I345" s="15" t="str"/>
      <x:c r="J345" s="15" t="str">
        <x:v>eml_ALL_currentac__512781 (2).zip &gt; eml3currentac__512781.zip / FNB _-) R616.97 reserved for purchase @ Savemor Marloth from Current a_c..512781 using card..2924. 26Apr 13_25.eml</x:v>
      </x:c>
    </x:row>
    <x:row r="346">
      <x:c r="A346" s="34" t="n">
        <x:v>46139.30347222222</x:v>
      </x:c>
      <x:c r="B346" s="15" t="str">
        <x:v>card..2924</x:v>
      </x:c>
      <x:c r="C346" s="15" t="str">
        <x:v>Marlothi Petrol Stat</x:v>
      </x:c>
      <x:c r="D346" s="38" t="n">
        <x:v>200</x:v>
      </x:c>
      <x:c r="E346" s="15" t="str">
        <x:v>ZAR</x:v>
      </x:c>
      <x:c r="F346" s="15" t="str">
        <x:v>Fuel / transport</x:v>
      </x:c>
      <x:c r="G346" s="15" t="str">
        <x:v>No</x:v>
      </x:c>
      <x:c r="H346" s="38" t="n">
        <x:v>-200</x:v>
      </x:c>
      <x:c r="I346" s="15" t="str"/>
      <x:c r="J346" s="15" t="str">
        <x:v>eml_ALL_currentac__512781 (2).zip &gt; eml3currentac__512781.zip / FNB _-) R200.00 reserved for purchase @ Marlothi Petrol Stat from Current a_c..512781 using card..2924. 27Apr 07_17.eml</x:v>
      </x:c>
    </x:row>
    <x:row r="347">
      <x:c r="A347" s="34" t="n">
        <x:v>46140.563888888886</x:v>
      </x:c>
      <x:c r="B347" s="15" t="str">
        <x:v>card..2924</x:v>
      </x:c>
      <x:c r="C347" s="15" t="str">
        <x:v>Superspar Komatipoor</x:v>
      </x:c>
      <x:c r="D347" s="38" t="n">
        <x:v>567.74</x:v>
      </x:c>
      <x:c r="E347" s="15" t="str">
        <x:v>ZAR</x:v>
      </x:c>
      <x:c r="F347" s="15" t="str">
        <x:v>Supplier payments</x:v>
      </x:c>
      <x:c r="G347" s="15" t="str">
        <x:v>No</x:v>
      </x:c>
      <x:c r="H347" s="38" t="n">
        <x:v>-567.74</x:v>
      </x:c>
      <x:c r="I347" s="15" t="str"/>
      <x:c r="J347" s="15" t="str">
        <x:v>eml_ALL_currentac__512781 (2).zip &gt; eml3currentac__512781.zip / FNB _-) R567.74 reserved for purchase @ Superspar Komatipoor from Current a_c..512781 using card..2924. 28Apr 13_32.eml</x:v>
      </x:c>
    </x:row>
    <x:row r="348">
      <x:c r="A348" s="34" t="n">
        <x:v>46140.592361111114</x:v>
      </x:c>
      <x:c r="B348" s="15" t="str">
        <x:v>card..2924</x:v>
      </x:c>
      <x:c r="C348" s="15" t="str">
        <x:v>Shoprite Komatipoort</x:v>
      </x:c>
      <x:c r="D348" s="38" t="n">
        <x:v>177.07</x:v>
      </x:c>
      <x:c r="E348" s="15" t="str">
        <x:v>ZAR</x:v>
      </x:c>
      <x:c r="F348" s="15" t="str">
        <x:v>Supplier payments</x:v>
      </x:c>
      <x:c r="G348" s="15" t="str">
        <x:v>No</x:v>
      </x:c>
      <x:c r="H348" s="38" t="n">
        <x:v>-177.07</x:v>
      </x:c>
      <x:c r="I348" s="15" t="str"/>
      <x:c r="J348" s="15" t="str">
        <x:v>eml_ALL_currentac__512781 (2).zip &gt; eml3currentac__512781.zip / FNB _-) R177.07 reserved for purchase @ Shoprite Komatipoort from Current a_c..512781 using card..2924. 28Apr 14_13.eml</x:v>
      </x:c>
    </x:row>
    <x:row r="349">
      <x:c r="A349" s="34" t="n">
        <x:v>46140.603472222225</x:v>
      </x:c>
      <x:c r="B349" s="15" t="str">
        <x:v>card..2924</x:v>
      </x:c>
      <x:c r="C349" s="15" t="str">
        <x:v>Yoco *locksmart Pt</x:v>
      </x:c>
      <x:c r="D349" s="38" t="n">
        <x:v>125</x:v>
      </x:c>
      <x:c r="E349" s="15" t="str">
        <x:v>ZAR</x:v>
      </x:c>
      <x:c r="F349" s="15" t="str">
        <x:v>Card spend</x:v>
      </x:c>
      <x:c r="G349" s="15" t="str">
        <x:v>No</x:v>
      </x:c>
      <x:c r="H349" s="38" t="n">
        <x:v>-125</x:v>
      </x:c>
      <x:c r="I349" s="15" t="str"/>
      <x:c r="J349" s="15" t="str">
        <x:v>eml_ALL_currentac__512781 (2).zip &gt; eml3currentac__512781.zip / FNB _-) R125.00 reserved for purchase @ Yoco _locksmart Pt from Current a_c..512781 using card..2924. 28Apr 14_29.eml</x:v>
      </x:c>
    </x:row>
    <x:row r="350">
      <x:c r="A350" s="34" t="n">
        <x:v>46141.540972222225</x:v>
      </x:c>
      <x:c r="B350" s="15" t="str">
        <x:v>card..2924</x:v>
      </x:c>
      <x:c r="C350" s="15" t="str">
        <x:v>Toppies Hardware 66</x:v>
      </x:c>
      <x:c r="D350" s="38" t="n">
        <x:v>189.98</x:v>
      </x:c>
      <x:c r="E350" s="15" t="str">
        <x:v>ZAR</x:v>
      </x:c>
      <x:c r="F350" s="15" t="str">
        <x:v>Supplier payments</x:v>
      </x:c>
      <x:c r="G350" s="15" t="str">
        <x:v>No</x:v>
      </x:c>
      <x:c r="H350" s="38" t="n">
        <x:v>-189.98</x:v>
      </x:c>
      <x:c r="I350" s="15" t="str"/>
      <x:c r="J350" s="15" t="str">
        <x:v>eml_ALL_currentac__512781 (2).zip &gt; eml3currentac__512781.zip / FNB _-) R189.98 reserved for purchase @ Toppies Hardware 66 from Current a_c..512781 using card..2924. 29Apr 12_59.eml</x:v>
      </x:c>
    </x:row>
    <x:row r="351">
      <x:c r="A351" s="34" t="n">
        <x:v>46141.64513888889</x:v>
      </x:c>
      <x:c r="B351" s="15" t="str">
        <x:v>card..2924</x:v>
      </x:c>
      <x:c r="C351" s="15" t="str">
        <x:v>Savemor Marloth</x:v>
      </x:c>
      <x:c r="D351" s="38" t="n">
        <x:v>283.98</x:v>
      </x:c>
      <x:c r="E351" s="15" t="str">
        <x:v>ZAR</x:v>
      </x:c>
      <x:c r="F351" s="15" t="str">
        <x:v>Supplier payments</x:v>
      </x:c>
      <x:c r="G351" s="15" t="str">
        <x:v>No</x:v>
      </x:c>
      <x:c r="H351" s="38" t="n">
        <x:v>-283.98</x:v>
      </x:c>
      <x:c r="I351" s="15" t="str"/>
      <x:c r="J351" s="15" t="str">
        <x:v>eml_ALL_currentac__512781 (2).zip &gt; eml3currentac__512781.zip / FNB _-) R283.98 reserved for purchase @ Savemor Marloth from Current a_c..512781 using card..2924. 29Apr 15_29.eml</x:v>
      </x:c>
    </x:row>
    <x:row r="352">
      <x:c r="A352" s="34" t="n">
        <x:v>46142.495833333334</x:v>
      </x:c>
      <x:c r="B352" s="15" t="str">
        <x:v>card..2924</x:v>
      </x:c>
      <x:c r="C352" s="15" t="str">
        <x:v>Pep 5668 Malelane</x:v>
      </x:c>
      <x:c r="D352" s="38" t="n">
        <x:v>428.98</x:v>
      </x:c>
      <x:c r="E352" s="15" t="str">
        <x:v>ZAR</x:v>
      </x:c>
      <x:c r="F352" s="15" t="str">
        <x:v>Supplier payments</x:v>
      </x:c>
      <x:c r="G352" s="15" t="str">
        <x:v>No</x:v>
      </x:c>
      <x:c r="H352" s="38" t="n">
        <x:v>-428.98</x:v>
      </x:c>
      <x:c r="I352" s="15" t="str"/>
      <x:c r="J352" s="15" t="str">
        <x:v>eml_ALL_currentac__512781 (2).zip &gt; eml3currentac__512781.zip / FNB _-) R428.98 reserved for purchase @ Pep 5668 Malelane from Current a_c..512781 using card..2924. 30Apr 11_54.eml</x:v>
      </x:c>
    </x:row>
    <x:row r="353">
      <x:c r="A353" s="34" t="n">
        <x:v>46142.54236111111</x:v>
      </x:c>
      <x:c r="B353" s="15" t="str">
        <x:v>card..2924</x:v>
      </x:c>
      <x:c r="C353" s="15" t="str">
        <x:v>Shoprite Malelane</x:v>
      </x:c>
      <x:c r="D353" s="38" t="n">
        <x:v>668.78</x:v>
      </x:c>
      <x:c r="E353" s="15" t="str">
        <x:v>ZAR</x:v>
      </x:c>
      <x:c r="F353" s="15" t="str">
        <x:v>Supplier payments</x:v>
      </x:c>
      <x:c r="G353" s="15" t="str">
        <x:v>No</x:v>
      </x:c>
      <x:c r="H353" s="38" t="n">
        <x:v>-668.78</x:v>
      </x:c>
      <x:c r="I353" s="15" t="str"/>
      <x:c r="J353" s="15" t="str">
        <x:v>eml_ALL_currentac__512781 (2).zip &gt; eml3currentac__512781.zip / FNB _-) R668.78 reserved for purchase @ Shoprite Malelane from Current a_c..512781 using card..2924. 30Apr 13_01.eml</x:v>
      </x:c>
    </x:row>
    <x:row r="354">
      <x:c r="A354" s="34" t="n">
        <x:v>46142.56736111111</x:v>
      </x:c>
      <x:c r="B354" s="15" t="str">
        <x:v>card..2924</x:v>
      </x:c>
      <x:c r="C354" s="15" t="str">
        <x:v>Woolworths</x:v>
      </x:c>
      <x:c r="D354" s="38" t="n">
        <x:v>1098.88</x:v>
      </x:c>
      <x:c r="E354" s="15" t="str">
        <x:v>ZAR</x:v>
      </x:c>
      <x:c r="F354" s="15" t="str">
        <x:v>Supplier payments</x:v>
      </x:c>
      <x:c r="G354" s="15" t="str">
        <x:v>No</x:v>
      </x:c>
      <x:c r="H354" s="38" t="n">
        <x:v>-1098.88</x:v>
      </x:c>
      <x:c r="I354" s="15" t="str"/>
      <x:c r="J354" s="15" t="str">
        <x:v>eml_ALL_currentac__512781 (2).zip &gt; eml3currentac__512781.zip / FNB _-) R1098.88 reserved for purchase @ Woolworths from Current a_c..512781 using card..2924. 30Apr 13_37.eml</x:v>
      </x:c>
    </x:row>
    <x:row r="355">
      <x:c r="A355" s="34" t="n">
        <x:v>46142.60138888889</x:v>
      </x:c>
      <x:c r="B355" s="15" t="str">
        <x:v>card..2924</x:v>
      </x:c>
      <x:c r="C355" s="15" t="str">
        <x:v>Superspar Malelane</x:v>
      </x:c>
      <x:c r="D355" s="38" t="n">
        <x:v>1022.89</x:v>
      </x:c>
      <x:c r="E355" s="15" t="str">
        <x:v>ZAR</x:v>
      </x:c>
      <x:c r="F355" s="15" t="str">
        <x:v>Supplier payments</x:v>
      </x:c>
      <x:c r="G355" s="15" t="str">
        <x:v>No</x:v>
      </x:c>
      <x:c r="H355" s="38" t="n">
        <x:v>-1022.89</x:v>
      </x:c>
      <x:c r="I355" s="15" t="str"/>
      <x:c r="J355" s="15" t="str">
        <x:v>eml_ALL_currentac__512781 (2).zip &gt; eml3currentac__512781.zip / FNB _-) R1022.89 reserved for purchase @ Superspar Malelane from Current a_c..512781 using card..2924. 30Apr 14_26.eml</x:v>
      </x:c>
    </x:row>
    <x:row r="356">
      <x:c r="A356" s="34" t="n">
        <x:v>46142.618055555555</x:v>
      </x:c>
      <x:c r="B356" s="15" t="str">
        <x:v>card..2924</x:v>
      </x:c>
      <x:c r="C356" s="15" t="str">
        <x:v>Tops Malelane</x:v>
      </x:c>
      <x:c r="D356" s="38" t="n">
        <x:v>721.96</x:v>
      </x:c>
      <x:c r="E356" s="15" t="str">
        <x:v>ZAR</x:v>
      </x:c>
      <x:c r="F356" s="15" t="str">
        <x:v>Meals / restaurants / entertainment</x:v>
      </x:c>
      <x:c r="G356" s="15" t="str">
        <x:v>No</x:v>
      </x:c>
      <x:c r="H356" s="38" t="n">
        <x:v>-721.96</x:v>
      </x:c>
      <x:c r="I356" s="15" t="str"/>
      <x:c r="J356" s="15" t="str">
        <x:v>eml_ALL_currentac__512781 (2).zip &gt; eml3currentac__512781.zip / FNB _-) R721.96 reserved for purchase @ Tops Malelane from Current a_c..512781 using card..2924. 30Apr 14_50.eml</x:v>
      </x:c>
    </x:row>
    <x:row r="357">
      <x:c r="A357" s="34" t="n">
        <x:v>46142.64861111111</x:v>
      </x:c>
      <x:c r="B357" s="15" t="str">
        <x:v>card..2924</x:v>
      </x:c>
      <x:c r="C357" s="15" t="str">
        <x:v>Engen Hectorspruit</x:v>
      </x:c>
      <x:c r="D357" s="38" t="n">
        <x:v>200</x:v>
      </x:c>
      <x:c r="E357" s="15" t="str">
        <x:v>ZAR</x:v>
      </x:c>
      <x:c r="F357" s="15" t="str">
        <x:v>Fuel / transport</x:v>
      </x:c>
      <x:c r="G357" s="15" t="str">
        <x:v>No</x:v>
      </x:c>
      <x:c r="H357" s="38" t="n">
        <x:v>-200</x:v>
      </x:c>
      <x:c r="I357" s="15" t="str"/>
      <x:c r="J357" s="15" t="str">
        <x:v>eml_ALL_currentac__512781 (2).zip &gt; eml3currentac__512781.zip / FNB _-) R200.00 reserved for purchase @ Engen Hectorspruit from Current a_c..512781 using card..2924. 30Apr 15_34.eml</x:v>
      </x:c>
    </x:row>
    <x:row r="358">
      <x:c r="A358" s="34" t="n">
        <x:v>46143.55069444444</x:v>
      </x:c>
      <x:c r="B358" s="15" t="str">
        <x:v>card..2924</x:v>
      </x:c>
      <x:c r="C358" s="15" t="str">
        <x:v>Savemor Marloth</x:v>
      </x:c>
      <x:c r="D358" s="38" t="n">
        <x:v>112.77</x:v>
      </x:c>
      <x:c r="E358" s="15" t="str">
        <x:v>ZAR</x:v>
      </x:c>
      <x:c r="F358" s="15" t="str">
        <x:v>Supplier payments</x:v>
      </x:c>
      <x:c r="G358" s="15" t="str">
        <x:v>No</x:v>
      </x:c>
      <x:c r="H358" s="38" t="n">
        <x:v>-112.77</x:v>
      </x:c>
      <x:c r="I358" s="15" t="str"/>
      <x:c r="J358" s="15" t="str">
        <x:v>eml_ALL_currentac__512781 (2).zip &gt; eml3currentac__512781.zip / FNB _-) R112.77 reserved for purchase @ Savemor Marloth from Current a_c..512781 using card..2924.  1May 13_13.eml</x:v>
      </x:c>
    </x:row>
    <x:row r="359">
      <x:c r="A359" s="34" t="n">
        <x:v>46144.51944444444</x:v>
      </x:c>
      <x:c r="B359" s="15" t="str">
        <x:v>card..2924</x:v>
      </x:c>
      <x:c r="C359" s="15" t="str">
        <x:v>Komati Pharmacy</x:v>
      </x:c>
      <x:c r="D359" s="38" t="n">
        <x:v>267.5</x:v>
      </x:c>
      <x:c r="E359" s="15" t="str">
        <x:v>ZAR</x:v>
      </x:c>
      <x:c r="F359" s="15" t="str">
        <x:v>Supplier payments</x:v>
      </x:c>
      <x:c r="G359" s="15" t="str">
        <x:v>No</x:v>
      </x:c>
      <x:c r="H359" s="38" t="n">
        <x:v>-267.5</x:v>
      </x:c>
      <x:c r="I359" s="15" t="str"/>
      <x:c r="J359" s="15" t="str">
        <x:v>eml_ALL_currentac__512781 (2).zip &gt; eml3currentac__512781.zip / FNB _-) R267.50 reserved for purchase @ Komati Pharmacy from Current a_c..512781 using card..2924.  2May 12_28.eml</x:v>
      </x:c>
    </x:row>
    <x:row r="360">
      <x:c r="A360" s="34" t="n">
        <x:v>46144.54722222222</x:v>
      </x:c>
      <x:c r="B360" s="15" t="str">
        <x:v>card..2924</x:v>
      </x:c>
      <x:c r="C360" s="15" t="str">
        <x:v>Superspar Komatipoor</x:v>
      </x:c>
      <x:c r="D360" s="38" t="n">
        <x:v>856.06</x:v>
      </x:c>
      <x:c r="E360" s="15" t="str">
        <x:v>ZAR</x:v>
      </x:c>
      <x:c r="F360" s="15" t="str">
        <x:v>Supplier payments</x:v>
      </x:c>
      <x:c r="G360" s="15" t="str">
        <x:v>No</x:v>
      </x:c>
      <x:c r="H360" s="38" t="n">
        <x:v>-856.06</x:v>
      </x:c>
      <x:c r="I360" s="15" t="str"/>
      <x:c r="J360" s="15" t="str">
        <x:v>eml_ALL_currentac__512781 (2).zip &gt; eml3currentac__512781.zip / FNB _-) R856.06 reserved for purchase @ Superspar Komatipoor from Current a_c..512781 using card..2924.  2May 13_08.eml</x:v>
      </x:c>
    </x:row>
    <x:row r="361">
      <x:c r="A361" s="34" t="n">
        <x:v>46144.55138888889</x:v>
      </x:c>
      <x:c r="B361" s="15" t="str">
        <x:v>card..2924</x:v>
      </x:c>
      <x:c r="C361" s="15" t="str">
        <x:v>Tops Komatipoort</x:v>
      </x:c>
      <x:c r="D361" s="38" t="n">
        <x:v>269.99</x:v>
      </x:c>
      <x:c r="E361" s="15" t="str">
        <x:v>ZAR</x:v>
      </x:c>
      <x:c r="F361" s="15" t="str">
        <x:v>Meals / restaurants / entertainment</x:v>
      </x:c>
      <x:c r="G361" s="15" t="str">
        <x:v>No</x:v>
      </x:c>
      <x:c r="H361" s="38" t="n">
        <x:v>-269.99</x:v>
      </x:c>
      <x:c r="I361" s="15" t="str"/>
      <x:c r="J361" s="15" t="str">
        <x:v>eml_ALL_currentac__512781 (2).zip &gt; eml3currentac__512781.zip / FNB _-) R269.99 reserved for purchase @ Tops Komatipoort from Current a_c..512781 using card..2924.  2May 13_14.eml</x:v>
      </x:c>
    </x:row>
    <x:row r="362">
      <x:c r="A362" s="34" t="n">
        <x:v>46144.566666666666</x:v>
      </x:c>
      <x:c r="B362" s="15" t="str">
        <x:v>card..2924</x:v>
      </x:c>
      <x:c r="C362" s="15" t="str">
        <x:v>Pep Home 5771 Komati</x:v>
      </x:c>
      <x:c r="D362" s="38" t="n">
        <x:v>211.94</x:v>
      </x:c>
      <x:c r="E362" s="15" t="str">
        <x:v>ZAR</x:v>
      </x:c>
      <x:c r="F362" s="15" t="str">
        <x:v>Supplier payments</x:v>
      </x:c>
      <x:c r="G362" s="15" t="str">
        <x:v>No</x:v>
      </x:c>
      <x:c r="H362" s="38" t="n">
        <x:v>-211.94</x:v>
      </x:c>
      <x:c r="I362" s="15" t="str"/>
      <x:c r="J362" s="15" t="str">
        <x:v>eml_ALL_currentac__512781 (2).zip &gt; eml3currentac__512781.zip / FNB _-) R211.94 reserved for purchase @ Pep Home 5771 Komati from Current a_c..512781 using card..2924.  2May 13_36.eml</x:v>
      </x:c>
    </x:row>
    <x:row r="363">
      <x:c r="A363" s="34" t="n">
        <x:v>46144.77847222222</x:v>
      </x:c>
      <x:c r="B363" s="15" t="str">
        <x:v>card..2924</x:v>
      </x:c>
      <x:c r="C363" s="15" t="str">
        <x:v>Yoco *k2025744041</x:v>
      </x:c>
      <x:c r="D363" s="38" t="n">
        <x:v>320</x:v>
      </x:c>
      <x:c r="E363" s="15" t="str">
        <x:v>ZAR</x:v>
      </x:c>
      <x:c r="F363" s="15" t="str">
        <x:v>Card spend</x:v>
      </x:c>
      <x:c r="G363" s="15" t="str">
        <x:v>No</x:v>
      </x:c>
      <x:c r="H363" s="38" t="n">
        <x:v>-320</x:v>
      </x:c>
      <x:c r="I363" s="15" t="str"/>
      <x:c r="J363" s="15" t="str">
        <x:v>eml_ALL_currentac__512781 (2).zip &gt; eml3currentac__512781.zip / FNB _-) R320.00 reserved for purchase @ Yoco _k2025744041 from Current a_c..512781 using card..2924.  2May 18_41.eml</x:v>
      </x:c>
    </x:row>
    <x:row r="364">
      <x:c r="A364" s="34" t="n">
        <x:v>46146.62847222222</x:v>
      </x:c>
      <x:c r="B364" s="15" t="str">
        <x:v>card..2924</x:v>
      </x:c>
      <x:c r="C364" s="15" t="str">
        <x:v>Marlothi Petrol Stat</x:v>
      </x:c>
      <x:c r="D364" s="38" t="n">
        <x:v>400</x:v>
      </x:c>
      <x:c r="E364" s="15" t="str">
        <x:v>ZAR</x:v>
      </x:c>
      <x:c r="F364" s="15" t="str">
        <x:v>Fuel / transport</x:v>
      </x:c>
      <x:c r="G364" s="15" t="str">
        <x:v>No</x:v>
      </x:c>
      <x:c r="H364" s="38" t="n">
        <x:v>-400</x:v>
      </x:c>
      <x:c r="I364" s="15" t="str"/>
      <x:c r="J364" s="15" t="str">
        <x:v>eml_ALL_currentac__512781 (2).zip &gt; eml3currentac__512781.zip / FNB _-) R400.00 reserved for purchase @ Marlothi Petrol Stat from Current a_c..512781 using card..2924.  4May 15_05.eml</x:v>
      </x:c>
    </x:row>
    <x:row r="365">
      <x:c r="A365" s="34" t="n">
        <x:v>46147.55625</x:v>
      </x:c>
      <x:c r="B365" s="15" t="str">
        <x:v>card..2924</x:v>
      </x:c>
      <x:c r="C365" s="15" t="str">
        <x:v>Ingwe Supermarket146</x:v>
      </x:c>
      <x:c r="D365" s="38" t="n">
        <x:v>131.99</x:v>
      </x:c>
      <x:c r="E365" s="15" t="str">
        <x:v>ZAR</x:v>
      </x:c>
      <x:c r="F365" s="15" t="str">
        <x:v>Card spend</x:v>
      </x:c>
      <x:c r="G365" s="15" t="str">
        <x:v>No</x:v>
      </x:c>
      <x:c r="H365" s="38" t="n">
        <x:v>-131.99</x:v>
      </x:c>
      <x:c r="I365" s="15" t="str"/>
      <x:c r="J365" s="15" t="str">
        <x:v>eml_ALL_currentac__512781 (2).zip &gt; eml3currentac__512781.zip / FNB _-) R131.99 reserved for purchase @ Ingwe Supermarket146 from Current a_c..512781 using card..2924.  5May 13_21.eml</x:v>
      </x:c>
    </x:row>
    <x:row r="366">
      <x:c r="A366" s="34" t="n">
        <x:v>46147.635416666664</x:v>
      </x:c>
      <x:c r="B366" s="15" t="str">
        <x:v>card..2924</x:v>
      </x:c>
      <x:c r="C366" s="15" t="str">
        <x:v>Marlothi Petrol Stat</x:v>
      </x:c>
      <x:c r="D366" s="38" t="n">
        <x:v>475.72</x:v>
      </x:c>
      <x:c r="E366" s="15" t="str">
        <x:v>ZAR</x:v>
      </x:c>
      <x:c r="F366" s="15" t="str">
        <x:v>Fuel / transport</x:v>
      </x:c>
      <x:c r="G366" s="15" t="str">
        <x:v>No</x:v>
      </x:c>
      <x:c r="H366" s="38" t="n">
        <x:v>-475.72</x:v>
      </x:c>
      <x:c r="I366" s="15" t="str"/>
      <x:c r="J366" s="15" t="str">
        <x:v>eml_ALL_currentac__512781 (2).zip &gt; eml2currentac__512781.zip / FNB _-) R475.72 reserved for purchase @ Marlothi Petrol Stat from Current a_c..512781 using card..2924.  5May 15_15.eml</x:v>
      </x:c>
    </x:row>
    <x:row r="367">
      <x:c r="A367" s="34" t="n">
        <x:v>46148.64166666667</x:v>
      </x:c>
      <x:c r="B367" s="15" t="str">
        <x:v>card..2924</x:v>
      </x:c>
      <x:c r="C367" s="15" t="str">
        <x:v>Savemor Marloth</x:v>
      </x:c>
      <x:c r="D367" s="38" t="n">
        <x:v>239.03</x:v>
      </x:c>
      <x:c r="E367" s="15" t="str">
        <x:v>ZAR</x:v>
      </x:c>
      <x:c r="F367" s="15" t="str">
        <x:v>Supplier payments</x:v>
      </x:c>
      <x:c r="G367" s="15" t="str">
        <x:v>No</x:v>
      </x:c>
      <x:c r="H367" s="38" t="n">
        <x:v>-239.03</x:v>
      </x:c>
      <x:c r="I367" s="15" t="str"/>
      <x:c r="J367" s="15" t="str">
        <x:v>eml_ALL_currentac__512781 (2).zip &gt; eml2currentac__512781.zip / FNB _-) R239.03 reserved for purchase @ Savemor Marloth from Current a_c..512781 using card..2924.  6May 15_24.eml</x:v>
      </x:c>
    </x:row>
    <x:row r="368">
      <x:c r="A368" s="34" t="n">
        <x:v>46149.55</x:v>
      </x:c>
      <x:c r="B368" s="15" t="str">
        <x:v>card..2924</x:v>
      </x:c>
      <x:c r="C368" s="15" t="str">
        <x:v>Shoprite Komatipoort</x:v>
      </x:c>
      <x:c r="D368" s="38" t="n">
        <x:v>834.37</x:v>
      </x:c>
      <x:c r="E368" s="15" t="str">
        <x:v>ZAR</x:v>
      </x:c>
      <x:c r="F368" s="15" t="str">
        <x:v>Supplier payments</x:v>
      </x:c>
      <x:c r="G368" s="15" t="str">
        <x:v>No</x:v>
      </x:c>
      <x:c r="H368" s="38" t="n">
        <x:v>-834.37</x:v>
      </x:c>
      <x:c r="I368" s="15" t="str"/>
      <x:c r="J368" s="15" t="str">
        <x:v>eml_ALL_currentac__512781 (2).zip &gt; eml2currentac__512781.zip / FNB _-) R834.37 reserved for purchase @ Shoprite Komatipoort from Current a_c..512781 using card..2924.  7May 13_12.eml</x:v>
      </x:c>
    </x:row>
    <x:row r="369">
      <x:c r="A369" s="34" t="n">
        <x:v>46149.57986111111</x:v>
      </x:c>
      <x:c r="B369" s="15" t="str">
        <x:v>card..2924</x:v>
      </x:c>
      <x:c r="C369" s="15" t="str">
        <x:v>Pep Home 5771 Komati</x:v>
      </x:c>
      <x:c r="D369" s="38" t="n">
        <x:v>570.86</x:v>
      </x:c>
      <x:c r="E369" s="15" t="str">
        <x:v>ZAR</x:v>
      </x:c>
      <x:c r="F369" s="15" t="str">
        <x:v>Supplier payments</x:v>
      </x:c>
      <x:c r="G369" s="15" t="str">
        <x:v>No</x:v>
      </x:c>
      <x:c r="H369" s="38" t="n">
        <x:v>-570.86</x:v>
      </x:c>
      <x:c r="I369" s="15" t="str"/>
      <x:c r="J369" s="15" t="str">
        <x:v>eml_ALL_currentac__512781 (2).zip &gt; eml2currentac__512781.zip / FNB _-) R570.86 reserved for purchase @ Pep Home 5771 Komati from Current a_c..512781 using card..2924.  7May 13_55.eml</x:v>
      </x:c>
    </x:row>
    <x:row r="370">
      <x:c r="A370" s="34" t="n">
        <x:v>46149.62847222222</x:v>
      </x:c>
      <x:c r="B370" s="15" t="str">
        <x:v>card..2924</x:v>
      </x:c>
      <x:c r="C370" s="15" t="str">
        <x:v>Superspar Komatipoor</x:v>
      </x:c>
      <x:c r="D370" s="38" t="n">
        <x:v>969.81</x:v>
      </x:c>
      <x:c r="E370" s="15" t="str">
        <x:v>ZAR</x:v>
      </x:c>
      <x:c r="F370" s="15" t="str">
        <x:v>Supplier payments</x:v>
      </x:c>
      <x:c r="G370" s="15" t="str">
        <x:v>No</x:v>
      </x:c>
      <x:c r="H370" s="38" t="n">
        <x:v>-969.81</x:v>
      </x:c>
      <x:c r="I370" s="15" t="str"/>
      <x:c r="J370" s="15" t="str">
        <x:v>eml_ALL_currentac__512781 (2).zip &gt; eml2currentac__512781.zip / FNB _-) R969.81 reserved for purchase @ Superspar Komatipoor from Current a_c..512781 using card..2924.  7May 15_05.eml</x:v>
      </x:c>
    </x:row>
    <x:row r="371">
      <x:c r="A371" s="34" t="n">
        <x:v>46151.61111111111</x:v>
      </x:c>
      <x:c r="B371" s="15" t="str">
        <x:v>card..2924</x:v>
      </x:c>
      <x:c r="C371" s="15" t="str">
        <x:v>Superspar Komatipoor</x:v>
      </x:c>
      <x:c r="D371" s="38" t="n">
        <x:v>1601.05</x:v>
      </x:c>
      <x:c r="E371" s="15" t="str">
        <x:v>ZAR</x:v>
      </x:c>
      <x:c r="F371" s="15" t="str">
        <x:v>Supplier payments</x:v>
      </x:c>
      <x:c r="G371" s="15" t="str">
        <x:v>No</x:v>
      </x:c>
      <x:c r="H371" s="38" t="n">
        <x:v>-1601.05</x:v>
      </x:c>
      <x:c r="I371" s="15" t="str"/>
      <x:c r="J371" s="15" t="str">
        <x:v>eml_ALL_currentac__512781 (2).zip &gt; eml2currentac__512781.zip / FNB _-) R1601.05 reserved for purchase @ Superspar Komatipoor from Current a_c..512781 using card..2924.  9May 14_40.eml</x:v>
      </x:c>
    </x:row>
    <x:row r="372">
      <x:c r="A372" s="34" t="n">
        <x:v>46155.493055555555</x:v>
      </x:c>
      <x:c r="B372" s="15" t="str">
        <x:v>card..2924</x:v>
      </x:c>
      <x:c r="C372" s="15" t="str">
        <x:v>Shoprite Malelane</x:v>
      </x:c>
      <x:c r="D372" s="38" t="n">
        <x:v>687.78</x:v>
      </x:c>
      <x:c r="E372" s="15" t="str">
        <x:v>ZAR</x:v>
      </x:c>
      <x:c r="F372" s="15" t="str">
        <x:v>Supplier payments</x:v>
      </x:c>
      <x:c r="G372" s="15" t="str">
        <x:v>No</x:v>
      </x:c>
      <x:c r="H372" s="38" t="n">
        <x:v>-687.78</x:v>
      </x:c>
      <x:c r="I372" s="15" t="str"/>
      <x:c r="J372" s="15" t="str">
        <x:v>eml_ALL_currentac__512781 (2).zip &gt; eml2currentac__512781.zip / FNB _-) R687.78 reserved for purchase @ Shoprite Malelane from Current a_c..512781 using card..2924. 13May 11_50.eml</x:v>
      </x:c>
    </x:row>
    <x:row r="373">
      <x:c r="A373" s="34" t="n">
        <x:v>46155.572222222225</x:v>
      </x:c>
      <x:c r="B373" s="15" t="str">
        <x:v>card..2924</x:v>
      </x:c>
      <x:c r="C373" s="15" t="str">
        <x:v>Superspar Malelane</x:v>
      </x:c>
      <x:c r="D373" s="38" t="n">
        <x:v>534.02</x:v>
      </x:c>
      <x:c r="E373" s="15" t="str">
        <x:v>ZAR</x:v>
      </x:c>
      <x:c r="F373" s="15" t="str">
        <x:v>Supplier payments</x:v>
      </x:c>
      <x:c r="G373" s="15" t="str">
        <x:v>No</x:v>
      </x:c>
      <x:c r="H373" s="38" t="n">
        <x:v>-534.02</x:v>
      </x:c>
      <x:c r="I373" s="15" t="str"/>
      <x:c r="J373" s="15" t="str">
        <x:v>eml_ALL_currentac__512781 (2).zip &gt; eml2currentac__512781.zip / FNB _-) R534.02 reserved for purchase @ Superspar Malelane from Current a_c..512781 using card..2924. 13May 13_44.eml</x:v>
      </x:c>
    </x:row>
    <x:row r="374">
      <x:c r="A374" s="34" t="n">
        <x:v>46155.58125</x:v>
      </x:c>
      <x:c r="B374" s="15" t="str">
        <x:v>card..2924</x:v>
      </x:c>
      <x:c r="C374" s="15" t="str">
        <x:v>Oasis Water Malelane</x:v>
      </x:c>
      <x:c r="D374" s="38" t="n">
        <x:v>259.2</x:v>
      </x:c>
      <x:c r="E374" s="15" t="str">
        <x:v>ZAR</x:v>
      </x:c>
      <x:c r="F374" s="15" t="str">
        <x:v>Supplier payments</x:v>
      </x:c>
      <x:c r="G374" s="15" t="str">
        <x:v>No</x:v>
      </x:c>
      <x:c r="H374" s="38" t="n">
        <x:v>-259.2</x:v>
      </x:c>
      <x:c r="I374" s="15" t="str"/>
      <x:c r="J374" s="15" t="str">
        <x:v>eml_ALL_currentac__512781 (2).zip &gt; eml2currentac__512781.zip / FNB _-) R259.20 reserved for purchase @ Oasis Water Malelane from Current a_c..512781 using card..2924. 13May 13_57.eml</x:v>
      </x:c>
    </x:row>
    <x:row r="375">
      <x:c r="A375" s="34" t="n">
        <x:v>46155.88958333333</x:v>
      </x:c>
      <x:c r="B375" s="15" t="str">
        <x:v>card..0104</x:v>
      </x:c>
      <x:c r="C375" s="15" t="str">
        <x:v>Moment_*dstv Joh</x:v>
      </x:c>
      <x:c r="D375" s="38" t="n">
        <x:v>676.45</x:v>
      </x:c>
      <x:c r="E375" s="15" t="str">
        <x:v>ZAR</x:v>
      </x:c>
      <x:c r="F375" s="15" t="str">
        <x:v>Card spend</x:v>
      </x:c>
      <x:c r="G375" s="15" t="str">
        <x:v>No</x:v>
      </x:c>
      <x:c r="H375" s="38" t="n">
        <x:v>-676.45</x:v>
      </x:c>
      <x:c r="I375" s="15" t="str"/>
      <x:c r="J375" s="15" t="str">
        <x:v>eml_ALL_currentac__512781 (2).zip &gt; eml2currentac__512781.zip / FNB _-) R676.45 reserved for purchase @ Moment__dstv Joh from Current a_c..512781 using card..0104. 13May 21_21.eml</x:v>
      </x:c>
    </x:row>
    <x:row r="376">
      <x:c r="A376" s="34" t="n">
        <x:v>46156.524305555555</x:v>
      </x:c>
      <x:c r="B376" s="15" t="str">
        <x:v>card..2924</x:v>
      </x:c>
      <x:c r="C376" s="15" t="str">
        <x:v>Sqsp* Websit</x:v>
      </x:c>
      <x:c r="D376" s="38" t="n">
        <x:v>634.15</x:v>
      </x:c>
      <x:c r="E376" s="15" t="str">
        <x:v>ZAR</x:v>
      </x:c>
      <x:c r="F376" s="15" t="str">
        <x:v>Software / subscriptions</x:v>
      </x:c>
      <x:c r="G376" s="15" t="str">
        <x:v>No</x:v>
      </x:c>
      <x:c r="H376" s="38" t="n">
        <x:v>-634.15</x:v>
      </x:c>
      <x:c r="I376" s="15" t="str"/>
      <x:c r="J376" s="15" t="str">
        <x:v>eml_ALL_currentac__512781 (2).zip &gt; eml2currentac__512781.zip / FNB _-) R634.15 reserved for purchase @ Sqsp_ Websit from Current a_c..512781 using card..2924. 14May 12_35.eml</x:v>
      </x:c>
    </x:row>
    <x:row r="377">
      <x:c r="A377" s="34" t="n">
        <x:v>46156.62847222222</x:v>
      </x:c>
      <x:c r="B377" s="15" t="str">
        <x:v>card..2924</x:v>
      </x:c>
      <x:c r="C377" s="15" t="str">
        <x:v>Savemor Marloth</x:v>
      </x:c>
      <x:c r="D377" s="38" t="n">
        <x:v>180.75</x:v>
      </x:c>
      <x:c r="E377" s="15" t="str">
        <x:v>ZAR</x:v>
      </x:c>
      <x:c r="F377" s="15" t="str">
        <x:v>Supplier payments</x:v>
      </x:c>
      <x:c r="G377" s="15" t="str">
        <x:v>No</x:v>
      </x:c>
      <x:c r="H377" s="38" t="n">
        <x:v>-180.75</x:v>
      </x:c>
      <x:c r="I377" s="15" t="str"/>
      <x:c r="J377" s="15" t="str">
        <x:v>eml_ALL_currentac__512781 (2).zip &gt; eml2currentac__512781.zip / FNB _-) R180.75 reserved for purchase @ Savemor Marloth from Current a_c..512781 using card..2924. 14May 15_05.eml</x:v>
      </x:c>
    </x:row>
    <x:row r="378">
      <x:c r="A378" s="34" t="n">
        <x:v>46158.458333333336</x:v>
      </x:c>
      <x:c r="B378" s="15" t="str">
        <x:v>card..2924</x:v>
      </x:c>
      <x:c r="C378" s="15" t="str">
        <x:v>Superspar Komatipoor</x:v>
      </x:c>
      <x:c r="D378" s="38" t="n">
        <x:v>1084.09</x:v>
      </x:c>
      <x:c r="E378" s="15" t="str">
        <x:v>ZAR</x:v>
      </x:c>
      <x:c r="F378" s="15" t="str">
        <x:v>Supplier payments</x:v>
      </x:c>
      <x:c r="G378" s="15" t="str">
        <x:v>No</x:v>
      </x:c>
      <x:c r="H378" s="38" t="n">
        <x:v>-1084.09</x:v>
      </x:c>
      <x:c r="I378" s="15" t="str"/>
      <x:c r="J378" s="15" t="str">
        <x:v>eml_ALL_currentac__512781 (2).zip &gt; eml2currentac__512781.zip / FNB _-) R1084.09 reserved for purchase @ Superspar Komatipoor from Current a_c..512781 using card..2924. 16May 11_00.eml</x:v>
      </x:c>
    </x:row>
    <x:row r="379">
      <x:c r="A379" s="34" t="n">
        <x:v>46159.43472222222</x:v>
      </x:c>
      <x:c r="B379" s="15" t="str">
        <x:v>card..2924</x:v>
      </x:c>
      <x:c r="C379" s="15" t="str">
        <x:v>Paystack *zoho Co</x:v>
      </x:c>
      <x:c r="D379" s="38" t="n">
        <x:v>228.85</x:v>
      </x:c>
      <x:c r="E379" s="15" t="str">
        <x:v>ZAR</x:v>
      </x:c>
      <x:c r="F379" s="15" t="str">
        <x:v>Software / subscriptions</x:v>
      </x:c>
      <x:c r="G379" s="15" t="str">
        <x:v>No</x:v>
      </x:c>
      <x:c r="H379" s="38" t="n">
        <x:v>-228.85</x:v>
      </x:c>
      <x:c r="I379" s="15" t="str"/>
      <x:c r="J379" s="15" t="str">
        <x:v>eml_ALL_currentac__512781 (2).zip &gt; eml2currentac__512781.zip / FNB _-) R228.85 reserved for purchase @ Paystack _zoho Co from Current a_c..512781 using card..2924. 17May 10_26.eml</x:v>
      </x:c>
    </x:row>
    <x:row r="380">
      <x:c r="A380" s="34" t="n">
        <x:v>46159.64166666667</x:v>
      </x:c>
      <x:c r="B380" s="15" t="str">
        <x:v>card..2924</x:v>
      </x:c>
      <x:c r="C380" s="15" t="str">
        <x:v>Giraffe Pub And Gril</x:v>
      </x:c>
      <x:c r="D380" s="38" t="n">
        <x:v>600</x:v>
      </x:c>
      <x:c r="E380" s="15" t="str">
        <x:v>ZAR</x:v>
      </x:c>
      <x:c r="F380" s="15" t="str">
        <x:v>Meals / restaurants / entertainment</x:v>
      </x:c>
      <x:c r="G380" s="15" t="str">
        <x:v>No</x:v>
      </x:c>
      <x:c r="H380" s="38" t="n">
        <x:v>-600</x:v>
      </x:c>
      <x:c r="I380" s="15" t="str"/>
      <x:c r="J380" s="15" t="str">
        <x:v>eml_ALL_currentac__512781 (2).zip &gt; eml2currentac__512781.zip / FNB _-) R600.00 reserved for purchase @ Giraffe Pub And Gril from Current a_c..512781 using card..2924. 17May 15_24.eml</x:v>
      </x:c>
    </x:row>
    <x:row r="381">
      <x:c r="A381" s="34" t="n">
        <x:v>46159.97638888889</x:v>
      </x:c>
      <x:c r="B381" s="15" t="str">
        <x:v>card..0104</x:v>
      </x:c>
      <x:c r="C381" s="15" t="str">
        <x:v>Openai *chatgpt Subscr+14</x:v>
      </x:c>
      <x:c r="D381" s="38" t="n">
        <x:v>149</x:v>
      </x:c>
      <x:c r="E381" s="15" t="str">
        <x:v>ZAR</x:v>
      </x:c>
      <x:c r="F381" s="15" t="str">
        <x:v>Software / subscriptions</x:v>
      </x:c>
      <x:c r="G381" s="15" t="str">
        <x:v>No</x:v>
      </x:c>
      <x:c r="H381" s="38" t="n">
        <x:v>-149</x:v>
      </x:c>
      <x:c r="I381" s="15" t="str"/>
      <x:c r="J381" s="15" t="str">
        <x:v>eml_ALL_currentac__512781 (2).zip &gt; eml2currentac__512781.zip / FNB _-) R149.00 reserved for purchase @ Openai _chatgpt Subscr+14 from Current a_c..512781 using card..0104. 17May 23_26.eml</x:v>
      </x:c>
    </x:row>
    <x:row r="382">
      <x:c r="A382" s="34" t="n">
        <x:v>46160.5625</x:v>
      </x:c>
      <x:c r="B382" s="15" t="str">
        <x:v>card..2924</x:v>
      </x:c>
      <x:c r="C382" s="15" t="str">
        <x:v>Superspar Komatipoor</x:v>
      </x:c>
      <x:c r="D382" s="38" t="n">
        <x:v>1017.17</x:v>
      </x:c>
      <x:c r="E382" s="15" t="str">
        <x:v>ZAR</x:v>
      </x:c>
      <x:c r="F382" s="15" t="str">
        <x:v>Supplier payments</x:v>
      </x:c>
      <x:c r="G382" s="15" t="str">
        <x:v>No</x:v>
      </x:c>
      <x:c r="H382" s="38" t="n">
        <x:v>-1017.17</x:v>
      </x:c>
      <x:c r="I382" s="15" t="str"/>
      <x:c r="J382" s="15" t="str">
        <x:v>eml_ALL_currentac__512781 (2).zip &gt; eml2currentac__512781.zip / FNB _-) R1017.17 reserved for purchase @ Superspar Komatipoor from Current a_c..512781 using card..2924. 18May 13_30.eml</x:v>
      </x:c>
    </x:row>
    <x:row r="383">
      <x:c r="A383" s="34" t="n">
        <x:v>46161.46319444444</x:v>
      </x:c>
      <x:c r="B383" s="15" t="str">
        <x:v>card..2924</x:v>
      </x:c>
      <x:c r="C383" s="15" t="str">
        <x:v>Marlothi Petrol Stat</x:v>
      </x:c>
      <x:c r="D383" s="38" t="n">
        <x:v>200</x:v>
      </x:c>
      <x:c r="E383" s="15" t="str">
        <x:v>ZAR</x:v>
      </x:c>
      <x:c r="F383" s="15" t="str">
        <x:v>Fuel / transport</x:v>
      </x:c>
      <x:c r="G383" s="15" t="str">
        <x:v>No</x:v>
      </x:c>
      <x:c r="H383" s="38" t="n">
        <x:v>-200</x:v>
      </x:c>
      <x:c r="I383" s="15" t="str"/>
      <x:c r="J383" s="15" t="str">
        <x:v>eml_ALL_currentac__512781 (2).zip &gt; eml2currentac__512781.zip / FNB _-) R200.00 reserved for purchase @ Marlothi Petrol Stat from Current a_c..512781 using card..2924. 19May 11_07.eml</x:v>
      </x:c>
    </x:row>
    <x:row r="384">
      <x:c r="A384" s="34" t="n">
        <x:v>46161.69097222222</x:v>
      </x:c>
      <x:c r="B384" s="15" t="str">
        <x:v>card..2924</x:v>
      </x:c>
      <x:c r="C384" s="15" t="str">
        <x:v>Savemor Marloth</x:v>
      </x:c>
      <x:c r="D384" s="38" t="n">
        <x:v>285.95</x:v>
      </x:c>
      <x:c r="E384" s="15" t="str">
        <x:v>ZAR</x:v>
      </x:c>
      <x:c r="F384" s="15" t="str">
        <x:v>Supplier payments</x:v>
      </x:c>
      <x:c r="G384" s="15" t="str">
        <x:v>No</x:v>
      </x:c>
      <x:c r="H384" s="38" t="n">
        <x:v>-285.95</x:v>
      </x:c>
      <x:c r="I384" s="15" t="str"/>
      <x:c r="J384" s="15" t="str">
        <x:v>eml_ALL_currentac__512781 (2).zip &gt; eml2currentac__512781.zip / FNB _-) R285.95 reserved for purchase @ Savemor Marloth from Current a_c..512781 using card..2924. 19May 16_35.eml</x:v>
      </x:c>
    </x:row>
    <x:row r="385">
      <x:c r="A385" s="34" t="n">
        <x:v>46161.694444444445</x:v>
      </x:c>
      <x:c r="B385" s="15" t="str">
        <x:v>card..2924</x:v>
      </x:c>
      <x:c r="C385" s="15" t="str">
        <x:v>Savemor Marloth Liqu</x:v>
      </x:c>
      <x:c r="D385" s="38" t="n">
        <x:v>269.97</x:v>
      </x:c>
      <x:c r="E385" s="15" t="str">
        <x:v>ZAR</x:v>
      </x:c>
      <x:c r="F385" s="15" t="str">
        <x:v>Meals / restaurants / entertainment</x:v>
      </x:c>
      <x:c r="G385" s="15" t="str">
        <x:v>No</x:v>
      </x:c>
      <x:c r="H385" s="38" t="n">
        <x:v>-269.97</x:v>
      </x:c>
      <x:c r="I385" s="15" t="str"/>
      <x:c r="J385" s="15" t="str">
        <x:v>eml_ALL_currentac__512781 (2).zip &gt; eml2currentac__512781.zip / FNB _-) R269.97 reserved for purchase @ Savemor Marloth Liqu from Current a_c..512781 using card..2924. 19May 16_40.eml</x:v>
      </x:c>
    </x:row>
    <x:row r="386">
      <x:c r="A386" s="34" t="n">
        <x:v>46162.45694444444</x:v>
      </x:c>
      <x:c r="B386" s="15" t="str">
        <x:v>card..0104</x:v>
      </x:c>
      <x:c r="C386" s="15" t="str">
        <x:v>Claude.ai Subscription+14</x:v>
      </x:c>
      <x:c r="D386" s="38" t="n">
        <x:v>395.68</x:v>
      </x:c>
      <x:c r="E386" s="15" t="str">
        <x:v>ZAR</x:v>
      </x:c>
      <x:c r="F386" s="15" t="str">
        <x:v>Software / subscriptions</x:v>
      </x:c>
      <x:c r="G386" s="15" t="str">
        <x:v>No</x:v>
      </x:c>
      <x:c r="H386" s="38" t="n">
        <x:v>-395.68</x:v>
      </x:c>
      <x:c r="I386" s="15" t="str"/>
      <x:c r="J386" s="15" t="str">
        <x:v>eml_ALL_currentac__512781 (2).zip &gt; eml2currentac__512781.zip / FNB _-) R395.68 reserved for purchase @ Claude.ai Subscription+14 from Current a_c..512781 using card..0104. 20May 10_58.eml</x:v>
      </x:c>
    </x:row>
    <x:row r="387">
      <x:c r="A387" s="34" t="n">
        <x:v>46162.48055555556</x:v>
      </x:c>
      <x:c r="B387" s="15" t="str">
        <x:v>card..2924</x:v>
      </x:c>
      <x:c r="C387" s="15" t="str">
        <x:v>Pep 5668 Malelane</x:v>
      </x:c>
      <x:c r="D387" s="38" t="n">
        <x:v>172.96</x:v>
      </x:c>
      <x:c r="E387" s="15" t="str">
        <x:v>ZAR</x:v>
      </x:c>
      <x:c r="F387" s="15" t="str">
        <x:v>Supplier payments</x:v>
      </x:c>
      <x:c r="G387" s="15" t="str">
        <x:v>No</x:v>
      </x:c>
      <x:c r="H387" s="38" t="n">
        <x:v>-172.96</x:v>
      </x:c>
      <x:c r="I387" s="15" t="str"/>
      <x:c r="J387" s="15" t="str">
        <x:v>eml_ALL_currentac__512781 (2).zip &gt; eml2currentac__512781.zip / FNB _-) R172.96 reserved for purchase @ Pep 5668 Malelane from Current a_c..512781 using card..2924. 20May 11_32.eml</x:v>
      </x:c>
    </x:row>
    <x:row r="388">
      <x:c r="A388" s="34" t="n">
        <x:v>46162.5</x:v>
      </x:c>
      <x:c r="B388" s="15" t="str">
        <x:v>card..2924</x:v>
      </x:c>
      <x:c r="C388" s="15" t="str">
        <x:v>Shoprite Malelane</x:v>
      </x:c>
      <x:c r="D388" s="38" t="n">
        <x:v>410.49</x:v>
      </x:c>
      <x:c r="E388" s="15" t="str">
        <x:v>ZAR</x:v>
      </x:c>
      <x:c r="F388" s="15" t="str">
        <x:v>Supplier payments</x:v>
      </x:c>
      <x:c r="G388" s="15" t="str">
        <x:v>No</x:v>
      </x:c>
      <x:c r="H388" s="38" t="n">
        <x:v>-410.49</x:v>
      </x:c>
      <x:c r="I388" s="15" t="str"/>
      <x:c r="J388" s="15" t="str">
        <x:v>eml_ALL_currentac__512781 (2).zip &gt; eml2currentac__512781.zip / FNB _-) R410.49 reserved for purchase @ Shoprite Malelane from Current a_c..512781 using card..2924. 20May 12_00.eml</x:v>
      </x:c>
    </x:row>
    <x:row r="389">
      <x:c r="A389" s="34" t="n">
        <x:v>46162.518055555556</x:v>
      </x:c>
      <x:c r="B389" s="15" t="str">
        <x:v>card..2924</x:v>
      </x:c>
      <x:c r="C389" s="15" t="str">
        <x:v>Woolworths</x:v>
      </x:c>
      <x:c r="D389" s="38" t="n">
        <x:v>178.45</x:v>
      </x:c>
      <x:c r="E389" s="15" t="str">
        <x:v>ZAR</x:v>
      </x:c>
      <x:c r="F389" s="15" t="str">
        <x:v>Supplier payments</x:v>
      </x:c>
      <x:c r="G389" s="15" t="str">
        <x:v>No</x:v>
      </x:c>
      <x:c r="H389" s="38" t="n">
        <x:v>-178.45</x:v>
      </x:c>
      <x:c r="I389" s="15" t="str"/>
      <x:c r="J389" s="15" t="str">
        <x:v>eml_ALL_currentac__512781 (2).zip &gt; eml2currentac__512781.zip / FNB _-) R178.45 reserved for purchase @ Woolworths from Current a_c..512781 using card..2924. 20May 12_26.eml</x:v>
      </x:c>
    </x:row>
    <x:row r="390">
      <x:c r="A390" s="34" t="n">
        <x:v>46162.54305555556</x:v>
      </x:c>
      <x:c r="B390" s="15" t="str">
        <x:v>card..0104</x:v>
      </x:c>
      <x:c r="C390" s="15" t="str">
        <x:v>Claude.ai Subscription+14</x:v>
      </x:c>
      <x:c r="D390" s="38" t="n">
        <x:v>3562.33</x:v>
      </x:c>
      <x:c r="E390" s="15" t="str">
        <x:v>ZAR</x:v>
      </x:c>
      <x:c r="F390" s="15" t="str">
        <x:v>Software / subscriptions</x:v>
      </x:c>
      <x:c r="G390" s="15" t="str">
        <x:v>No</x:v>
      </x:c>
      <x:c r="H390" s="38" t="n">
        <x:v>-3562.33</x:v>
      </x:c>
      <x:c r="I390" s="15" t="str"/>
      <x:c r="J390" s="15" t="str">
        <x:v>eml_ALL_currentac__512781 (2).zip &gt; eml2currentac__512781.zip / FNB _-) R3562.33 reserved for purchase @ Claude.ai Subscription+14 from Current a_c..512781 using card..0104. 20May 13_02.eml</x:v>
      </x:c>
    </x:row>
    <x:row r="391">
      <x:c r="A391" s="34" t="n">
        <x:v>46162.561111111114</x:v>
      </x:c>
      <x:c r="B391" s="15" t="str">
        <x:v>card..2924</x:v>
      </x:c>
      <x:c r="C391" s="15" t="str">
        <x:v>Superspar Malelane</x:v>
      </x:c>
      <x:c r="D391" s="38" t="n">
        <x:v>956.42</x:v>
      </x:c>
      <x:c r="E391" s="15" t="str">
        <x:v>ZAR</x:v>
      </x:c>
      <x:c r="F391" s="15" t="str">
        <x:v>Supplier payments</x:v>
      </x:c>
      <x:c r="G391" s="15" t="str">
        <x:v>No</x:v>
      </x:c>
      <x:c r="H391" s="38" t="n">
        <x:v>-956.42</x:v>
      </x:c>
      <x:c r="I391" s="15" t="str"/>
      <x:c r="J391" s="15" t="str">
        <x:v>eml_ALL_currentac__512781 (2).zip &gt; eml2currentac__512781.zip / FNB _-) R956.42 reserved for purchase @ Superspar Malelane from Current a_c..512781 using card..2924. 20May 13_28.eml</x:v>
      </x:c>
    </x:row>
    <x:row r="392">
      <x:c r="A392" s="34" t="n">
        <x:v>46163.64444444444</x:v>
      </x:c>
      <x:c r="B392" s="15" t="str">
        <x:v>card..2924</x:v>
      </x:c>
      <x:c r="C392" s="15" t="str">
        <x:v>Savemor Marloth</x:v>
      </x:c>
      <x:c r="D392" s="38" t="n">
        <x:v>276.38</x:v>
      </x:c>
      <x:c r="E392" s="15" t="str">
        <x:v>ZAR</x:v>
      </x:c>
      <x:c r="F392" s="15" t="str">
        <x:v>Supplier payments</x:v>
      </x:c>
      <x:c r="G392" s="15" t="str">
        <x:v>No</x:v>
      </x:c>
      <x:c r="H392" s="38" t="n">
        <x:v>-276.38</x:v>
      </x:c>
      <x:c r="I392" s="15" t="str"/>
      <x:c r="J392" s="15" t="str">
        <x:v>eml_ALL_currentac__512781 (2).zip &gt; eml2currentac__512781.zip / FNB _-) R276.38 reserved for purchase @ Savemor Marloth from Current a_c..512781 using card..2924. 21May 15_28.eml</x:v>
      </x:c>
    </x:row>
    <x:row r="393">
      <x:c r="A393" s="34" t="n">
        <x:v>46163.64722222222</x:v>
      </x:c>
      <x:c r="B393" s="15" t="str">
        <x:v>card..2924</x:v>
      </x:c>
      <x:c r="C393" s="15" t="str">
        <x:v>Marlothi Petrol Stat</x:v>
      </x:c>
      <x:c r="D393" s="38" t="n">
        <x:v>200</x:v>
      </x:c>
      <x:c r="E393" s="15" t="str">
        <x:v>ZAR</x:v>
      </x:c>
      <x:c r="F393" s="15" t="str">
        <x:v>Fuel / transport</x:v>
      </x:c>
      <x:c r="G393" s="15" t="str">
        <x:v>No</x:v>
      </x:c>
      <x:c r="H393" s="38" t="n">
        <x:v>-200</x:v>
      </x:c>
      <x:c r="I393" s="15" t="str"/>
      <x:c r="J393" s="15" t="str">
        <x:v>eml_ALL_currentac__512781 (2).zip &gt; eml2currentac__512781.zip / FNB _-) R200.00 reserved for purchase @ Marlothi Petrol Stat from Current a_c..512781 using card..2924. 21May 15_32.eml</x:v>
      </x:c>
    </x:row>
    <x:row r="394">
      <x:c r="A394" s="34" t="n">
        <x:v>46164.57430555556</x:v>
      </x:c>
      <x:c r="B394" s="15" t="str">
        <x:v>card..2924</x:v>
      </x:c>
      <x:c r="C394" s="15" t="str">
        <x:v>Shoprite Komatipoort</x:v>
      </x:c>
      <x:c r="D394" s="38" t="n">
        <x:v>552.88</x:v>
      </x:c>
      <x:c r="E394" s="15" t="str">
        <x:v>ZAR</x:v>
      </x:c>
      <x:c r="F394" s="15" t="str">
        <x:v>Supplier payments</x:v>
      </x:c>
      <x:c r="G394" s="15" t="str">
        <x:v>No</x:v>
      </x:c>
      <x:c r="H394" s="38" t="n">
        <x:v>-552.88</x:v>
      </x:c>
      <x:c r="I394" s="15" t="str"/>
      <x:c r="J394" s="15" t="str">
        <x:v>eml_ALL_currentac__512781 (2).zip &gt; eml2currentac__512781.zip / FNB _-) R552.88 reserved for purchase @ Shoprite Komatipoort from Current a_c..512781 using card..2924. 22May 13_47.eml</x:v>
      </x:c>
    </x:row>
    <x:row r="395">
      <x:c r="A395" s="34" t="n">
        <x:v>46164.597916666666</x:v>
      </x:c>
      <x:c r="B395" s="15" t="str">
        <x:v>card..2924</x:v>
      </x:c>
      <x:c r="C395" s="15" t="str">
        <x:v>Liquorshop Komatipoo</x:v>
      </x:c>
      <x:c r="D395" s="38" t="n">
        <x:v>239.99</x:v>
      </x:c>
      <x:c r="E395" s="15" t="str">
        <x:v>ZAR</x:v>
      </x:c>
      <x:c r="F395" s="15" t="str">
        <x:v>Meals / restaurants / entertainment</x:v>
      </x:c>
      <x:c r="G395" s="15" t="str">
        <x:v>No</x:v>
      </x:c>
      <x:c r="H395" s="38" t="n">
        <x:v>-239.99</x:v>
      </x:c>
      <x:c r="I395" s="15" t="str"/>
      <x:c r="J395" s="15" t="str">
        <x:v>eml_ALL_currentac__512781 (2).zip &gt; eml2currentac__512781.zip / FNB _-) R239.99 reserved for purchase @ Liquorshop Komatipoo from Current a_c..512781 using card..2924. 22May 14_21.eml</x:v>
      </x:c>
    </x:row>
    <x:row r="396">
      <x:c r="A396" s="34" t="n">
        <x:v>46164.63680555556</x:v>
      </x:c>
      <x:c r="B396" s="15" t="str">
        <x:v>card..2924</x:v>
      </x:c>
      <x:c r="C396" s="15" t="str">
        <x:v>Superspar Komatipoor</x:v>
      </x:c>
      <x:c r="D396" s="38" t="n">
        <x:v>756.39</x:v>
      </x:c>
      <x:c r="E396" s="15" t="str">
        <x:v>ZAR</x:v>
      </x:c>
      <x:c r="F396" s="15" t="str">
        <x:v>Supplier payments</x:v>
      </x:c>
      <x:c r="G396" s="15" t="str">
        <x:v>No</x:v>
      </x:c>
      <x:c r="H396" s="38" t="n">
        <x:v>-756.39</x:v>
      </x:c>
      <x:c r="I396" s="15" t="str"/>
      <x:c r="J396" s="15" t="str">
        <x:v>eml_ALL_currentac__512781 (2).zip &gt; eml2currentac__512781.zip / FNB _-) R756.39 reserved for purchase @ Superspar Komatipoor from Current a_c..512781 using card..2924. 22May 15_17.eml</x:v>
      </x:c>
    </x:row>
    <x:row r="397">
      <x:c r="A397" s="34" t="n">
        <x:v>46164.65347222222</x:v>
      </x:c>
      <x:c r="B397" s="15" t="str">
        <x:v>card..2924</x:v>
      </x:c>
      <x:c r="C397" s="15" t="str">
        <x:v>Oasis Water Komatipo</x:v>
      </x:c>
      <x:c r="D397" s="38" t="n">
        <x:v>259.2</x:v>
      </x:c>
      <x:c r="E397" s="15" t="str">
        <x:v>ZAR</x:v>
      </x:c>
      <x:c r="F397" s="15" t="str">
        <x:v>Supplier payments</x:v>
      </x:c>
      <x:c r="G397" s="15" t="str">
        <x:v>No</x:v>
      </x:c>
      <x:c r="H397" s="38" t="n">
        <x:v>-259.2</x:v>
      </x:c>
      <x:c r="I397" s="15" t="str"/>
      <x:c r="J397" s="15" t="str">
        <x:v>eml_ALL_currentac__512781 (2).zip &gt; eml2currentac__512781.zip / FNB _-) R259.20 reserved for purchase @ Oasis Water Komatipo from Current a_c..512781 using card..2924. 22May 15_41.eml</x:v>
      </x:c>
    </x:row>
    <x:row r="398">
      <x:c r="A398" s="34" t="n">
        <x:v>46166.54027777778</x:v>
      </x:c>
      <x:c r="B398" s="15" t="str">
        <x:v>card..2924</x:v>
      </x:c>
      <x:c r="C398" s="15" t="str">
        <x:v>Savemor Marloth</x:v>
      </x:c>
      <x:c r="D398" s="38" t="n">
        <x:v>266.99</x:v>
      </x:c>
      <x:c r="E398" s="15" t="str">
        <x:v>ZAR</x:v>
      </x:c>
      <x:c r="F398" s="15" t="str">
        <x:v>Supplier payments</x:v>
      </x:c>
      <x:c r="G398" s="15" t="str">
        <x:v>No</x:v>
      </x:c>
      <x:c r="H398" s="38" t="n">
        <x:v>-266.99</x:v>
      </x:c>
      <x:c r="I398" s="15" t="str"/>
      <x:c r="J398" s="15" t="str">
        <x:v>eml_ALL_currentac__512781 (2).zip &gt; eml2currentac__512781.zip / FNB _-) R266.99 reserved for purchase @ Savemor Marloth from Current a_c..512781 using card..2924. 24May 12_58.eml</x:v>
      </x:c>
    </x:row>
    <x:row r="399">
      <x:c r="A399" s="34" t="n">
        <x:v>46166.54861111111</x:v>
      </x:c>
      <x:c r="B399" s="15" t="str">
        <x:v>card..2924</x:v>
      </x:c>
      <x:c r="C399" s="15" t="str">
        <x:v>Savemor Marloth Liqu</x:v>
      </x:c>
      <x:c r="D399" s="38" t="n">
        <x:v>149.98</x:v>
      </x:c>
      <x:c r="E399" s="15" t="str">
        <x:v>ZAR</x:v>
      </x:c>
      <x:c r="F399" s="15" t="str">
        <x:v>Meals / restaurants / entertainment</x:v>
      </x:c>
      <x:c r="G399" s="15" t="str">
        <x:v>No</x:v>
      </x:c>
      <x:c r="H399" s="38" t="n">
        <x:v>-149.98</x:v>
      </x:c>
      <x:c r="I399" s="15" t="str"/>
      <x:c r="J399" s="15" t="str">
        <x:v>eml_ALL_currentac__512781 (2).zip &gt; eml2currentac__512781.zip / FNB _-) R149.98 reserved for purchase @ Savemor Marloth Liqu from Current a_c..512781 using card..2924. 24May 13_10.eml</x:v>
      </x:c>
    </x:row>
    <x:row r="400">
      <x:c r="A400" s="34" t="n">
        <x:v>46166.614583333336</x:v>
      </x:c>
      <x:c r="B400" s="15" t="str">
        <x:v>card..2924</x:v>
      </x:c>
      <x:c r="C400" s="15" t="str">
        <x:v>Giraffe Pub And Gril</x:v>
      </x:c>
      <x:c r="D400" s="38" t="n">
        <x:v>750</x:v>
      </x:c>
      <x:c r="E400" s="15" t="str">
        <x:v>ZAR</x:v>
      </x:c>
      <x:c r="F400" s="15" t="str">
        <x:v>Meals / restaurants / entertainment</x:v>
      </x:c>
      <x:c r="G400" s="15" t="str">
        <x:v>No</x:v>
      </x:c>
      <x:c r="H400" s="38" t="n">
        <x:v>-750</x:v>
      </x:c>
      <x:c r="I400" s="15" t="str"/>
      <x:c r="J400" s="15" t="str">
        <x:v>eml_ALL_currentac__512781 (2).zip &gt; eml2currentac__512781.zip / FNB _-) R750.00 reserved for purchase @ Giraffe Pub And Gril from Current a_c..512781 using card..2924. 24May 14_45.eml</x:v>
      </x:c>
    </x:row>
    <x:row r="401">
      <x:c r="A401" s="34" t="n">
        <x:v>46167.48541666667</x:v>
      </x:c>
      <x:c r="B401" s="15" t="str">
        <x:v>card..2924</x:v>
      </x:c>
      <x:c r="C401" s="15" t="str">
        <x:v>Marlothi Petrol Stat</x:v>
      </x:c>
      <x:c r="D401" s="38" t="n">
        <x:v>200</x:v>
      </x:c>
      <x:c r="E401" s="15" t="str">
        <x:v>ZAR</x:v>
      </x:c>
      <x:c r="F401" s="15" t="str">
        <x:v>Fuel / transport</x:v>
      </x:c>
      <x:c r="G401" s="15" t="str">
        <x:v>No</x:v>
      </x:c>
      <x:c r="H401" s="38" t="n">
        <x:v>-200</x:v>
      </x:c>
      <x:c r="I401" s="15" t="str"/>
      <x:c r="J401" s="15" t="str">
        <x:v>eml_ALL_currentac__512781 (2).zip &gt; eml2currentac__512781.zip / FNB _-) R200.00 reserved for purchase @ Marlothi Petrol Stat from Current a_c..512781 using card..2924. 25May 11_39.eml</x:v>
      </x:c>
    </x:row>
    <x:row r="402">
      <x:c r="A402" s="34" t="n">
        <x:v>46167.506944444445</x:v>
      </x:c>
      <x:c r="B402" s="15" t="str">
        <x:v>card..2924</x:v>
      </x:c>
      <x:c r="C402" s="15" t="str">
        <x:v>Lebombo Butchery</x:v>
      </x:c>
      <x:c r="D402" s="38" t="n">
        <x:v>260</x:v>
      </x:c>
      <x:c r="E402" s="15" t="str">
        <x:v>ZAR</x:v>
      </x:c>
      <x:c r="F402" s="15" t="str">
        <x:v>Supplier payments</x:v>
      </x:c>
      <x:c r="G402" s="15" t="str">
        <x:v>No</x:v>
      </x:c>
      <x:c r="H402" s="38" t="n">
        <x:v>-260</x:v>
      </x:c>
      <x:c r="I402" s="15" t="str"/>
      <x:c r="J402" s="15" t="str">
        <x:v>eml_ALL_currentac__512781 (2).zip &gt; eml2currentac__512781.zip / FNB _-) R260.00 reserved for purchase @ Lebombo Butchery from Current a_c..512781 using card..2924. 25May 12_10.eml</x:v>
      </x:c>
    </x:row>
    <x:row r="403">
      <x:c r="A403" s="34" t="n">
        <x:v>46167.53333333333</x:v>
      </x:c>
      <x:c r="B403" s="15" t="str">
        <x:v>card..2924</x:v>
      </x:c>
      <x:c r="C403" s="15" t="str">
        <x:v>Superspar Komatipoor</x:v>
      </x:c>
      <x:c r="D403" s="38" t="n">
        <x:v>763.84</x:v>
      </x:c>
      <x:c r="E403" s="15" t="str">
        <x:v>ZAR</x:v>
      </x:c>
      <x:c r="F403" s="15" t="str">
        <x:v>Supplier payments</x:v>
      </x:c>
      <x:c r="G403" s="15" t="str">
        <x:v>No</x:v>
      </x:c>
      <x:c r="H403" s="38" t="n">
        <x:v>-763.84</x:v>
      </x:c>
      <x:c r="I403" s="15" t="str"/>
      <x:c r="J403" s="15" t="str">
        <x:v>eml_ALL_currentac__512781 (2).zip &gt; eml2currentac__512781.zip / FNB _-) R763.84 reserved for purchase @ Superspar Komatipoor from Current a_c..512781 using card..2924. 25May 12_48.eml</x:v>
      </x:c>
    </x:row>
    <x:row r="404">
      <x:c r="A404" s="34" t="n">
        <x:v>46168.631944444445</x:v>
      </x:c>
      <x:c r="B404" s="15" t="str">
        <x:v>card..2924</x:v>
      </x:c>
      <x:c r="C404" s="15" t="str">
        <x:v>Savemor Marloth</x:v>
      </x:c>
      <x:c r="D404" s="38" t="n">
        <x:v>361.08</x:v>
      </x:c>
      <x:c r="E404" s="15" t="str">
        <x:v>ZAR</x:v>
      </x:c>
      <x:c r="F404" s="15" t="str">
        <x:v>Supplier payments</x:v>
      </x:c>
      <x:c r="G404" s="15" t="str">
        <x:v>No</x:v>
      </x:c>
      <x:c r="H404" s="38" t="n">
        <x:v>-361.08</x:v>
      </x:c>
      <x:c r="I404" s="15" t="str"/>
      <x:c r="J404" s="15" t="str">
        <x:v>eml_ALL_currentac__512781 (2).zip &gt; eml2currentac__512781.zip / FNB _-) R361.08 reserved for purchase @ Savemor Marloth from Current a_c..512781 using card..2924. 26May 15_10.eml</x:v>
      </x:c>
    </x:row>
    <x:row r="405">
      <x:c r="A405" s="34" t="n">
        <x:v>46169.63263888889</x:v>
      </x:c>
      <x:c r="B405" s="15" t="str">
        <x:v>card..2924</x:v>
      </x:c>
      <x:c r="C405" s="15" t="str">
        <x:v>Savemor Marloth</x:v>
      </x:c>
      <x:c r="D405" s="38" t="n">
        <x:v>101.94</x:v>
      </x:c>
      <x:c r="E405" s="15" t="str">
        <x:v>ZAR</x:v>
      </x:c>
      <x:c r="F405" s="15" t="str">
        <x:v>Supplier payments</x:v>
      </x:c>
      <x:c r="G405" s="15" t="str">
        <x:v>No</x:v>
      </x:c>
      <x:c r="H405" s="38" t="n">
        <x:v>-101.94</x:v>
      </x:c>
      <x:c r="I405" s="15" t="str"/>
      <x:c r="J405" s="15" t="str">
        <x:v>eml_ALL_currentac__512781 (2).zip &gt; eml1currentac__512781.zip / FNB _-) R101.94 reserved for purchase @ Savemor Marloth from Current a_c..512781 using card..2924. 27May 15_11.eml</x:v>
      </x:c>
    </x:row>
    <x:row r="406">
      <x:c r="A406" s="34" t="n">
        <x:v>46170.54791666667</x:v>
      </x:c>
      <x:c r="B406" s="15" t="str">
        <x:v>card..2924</x:v>
      </x:c>
      <x:c r="C406" s="15" t="str">
        <x:v>Shoprite Komatipoort</x:v>
      </x:c>
      <x:c r="D406" s="38" t="n">
        <x:v>414.46</x:v>
      </x:c>
      <x:c r="E406" s="15" t="str">
        <x:v>ZAR</x:v>
      </x:c>
      <x:c r="F406" s="15" t="str">
        <x:v>Supplier payments</x:v>
      </x:c>
      <x:c r="G406" s="15" t="str">
        <x:v>No</x:v>
      </x:c>
      <x:c r="H406" s="38" t="n">
        <x:v>-414.46</x:v>
      </x:c>
      <x:c r="I406" s="15" t="str"/>
      <x:c r="J406" s="15" t="str">
        <x:v>eml_ALL_currentac__512781 (2).zip &gt; eml1currentac__512781.zip / FNB _-) R414.46 reserved for purchase @ Shoprite Komatipoort from Current a_c..512781 using card..2924. 28May 13_09.eml</x:v>
      </x:c>
    </x:row>
    <x:row r="407">
      <x:c r="A407" s="34" t="n">
        <x:v>46170.57847222222</x:v>
      </x:c>
      <x:c r="B407" s="15" t="str">
        <x:v>card..2924</x:v>
      </x:c>
      <x:c r="C407" s="15" t="str">
        <x:v>Superspar Komatipoor</x:v>
      </x:c>
      <x:c r="D407" s="38" t="n">
        <x:v>1568.76</x:v>
      </x:c>
      <x:c r="E407" s="15" t="str">
        <x:v>ZAR</x:v>
      </x:c>
      <x:c r="F407" s="15" t="str">
        <x:v>Supplier payments</x:v>
      </x:c>
      <x:c r="G407" s="15" t="str">
        <x:v>No</x:v>
      </x:c>
      <x:c r="H407" s="38" t="n">
        <x:v>-1568.76</x:v>
      </x:c>
      <x:c r="I407" s="15" t="str"/>
      <x:c r="J407" s="15" t="str">
        <x:v>eml_ALL_currentac__512781 (2).zip &gt; eml1currentac__512781.zip / FNB _-) R1568.76 reserved for purchase @ Superspar Komatipoor from Current a_c..512781 using card..2924. 28May 13_53.eml</x:v>
      </x:c>
    </x:row>
    <x:row r="408">
      <x:c r="A408" s="34" t="n">
        <x:v>46170.583333333336</x:v>
      </x:c>
      <x:c r="B408" s="15" t="str">
        <x:v>card..2924</x:v>
      </x:c>
      <x:c r="C408" s="15" t="str">
        <x:v>Tops Komatipoort</x:v>
      </x:c>
      <x:c r="D408" s="38" t="n">
        <x:v>349.95</x:v>
      </x:c>
      <x:c r="E408" s="15" t="str">
        <x:v>ZAR</x:v>
      </x:c>
      <x:c r="F408" s="15" t="str">
        <x:v>Meals / restaurants / entertainment</x:v>
      </x:c>
      <x:c r="G408" s="15" t="str">
        <x:v>No</x:v>
      </x:c>
      <x:c r="H408" s="38" t="n">
        <x:v>-349.95</x:v>
      </x:c>
      <x:c r="I408" s="15" t="str"/>
      <x:c r="J408" s="15" t="str">
        <x:v>eml_ALL_currentac__512781 (2).zip &gt; eml1currentac__512781.zip / FNB _-) R349.95 reserved for purchase @ Tops Komatipoort from Current a_c..512781 using card..2924. 28May 14_00.eml</x:v>
      </x:c>
    </x:row>
    <x:row r="409">
      <x:c r="A409" s="34" t="n">
        <x:v>46172.55138888889</x:v>
      </x:c>
      <x:c r="B409" s="15" t="str">
        <x:v>card..2924</x:v>
      </x:c>
      <x:c r="C409" s="15" t="str">
        <x:v>Savemor Marloth</x:v>
      </x:c>
      <x:c r="D409" s="38" t="n">
        <x:v>341.98</x:v>
      </x:c>
      <x:c r="E409" s="15" t="str">
        <x:v>ZAR</x:v>
      </x:c>
      <x:c r="F409" s="15" t="str">
        <x:v>Supplier payments</x:v>
      </x:c>
      <x:c r="G409" s="15" t="str">
        <x:v>No</x:v>
      </x:c>
      <x:c r="H409" s="38" t="n">
        <x:v>-341.98</x:v>
      </x:c>
      <x:c r="I409" s="15" t="str"/>
      <x:c r="J409" s="15" t="str">
        <x:v>eml_ALL_currentac__512781 (2).zip &gt; eml1currentac__512781.zip / FNB _-) R341.98 reserved for purchase @ Savemor Marloth from Current a_c..512781 using card..2924. 30May 13_14.eml</x:v>
      </x:c>
    </x:row>
    <x:row r="410">
      <x:c r="A410" s="34" t="n">
        <x:v>46172.55486111111</x:v>
      </x:c>
      <x:c r="B410" s="15" t="str">
        <x:v>card..2924</x:v>
      </x:c>
      <x:c r="C410" s="15" t="str">
        <x:v>Marlothi Petrol Stat</x:v>
      </x:c>
      <x:c r="D410" s="38" t="n">
        <x:v>200</x:v>
      </x:c>
      <x:c r="E410" s="15" t="str">
        <x:v>ZAR</x:v>
      </x:c>
      <x:c r="F410" s="15" t="str">
        <x:v>Fuel / transport</x:v>
      </x:c>
      <x:c r="G410" s="15" t="str">
        <x:v>No</x:v>
      </x:c>
      <x:c r="H410" s="38" t="n">
        <x:v>-200</x:v>
      </x:c>
      <x:c r="I410" s="15" t="str"/>
      <x:c r="J410" s="15" t="str">
        <x:v>eml_ALL_currentac__512781 (2).zip &gt; eml1currentac__512781.zip / FNB _-) R200.00 reserved for purchase @ Marlothi Petrol Stat from Current a_c..512781 using card..2924. 30May 13_19.eml</x:v>
      </x:c>
    </x:row>
    <x:row r="411">
      <x:c r="A411" s="34" t="n">
        <x:v>46174.63333333333</x:v>
      </x:c>
      <x:c r="B411" s="15" t="str">
        <x:v>card..2924</x:v>
      </x:c>
      <x:c r="C411" s="15" t="str">
        <x:v>Absa Bush Centr</x:v>
      </x:c>
      <x:c r="D411" s="38" t="n">
        <x:v>250</x:v>
      </x:c>
      <x:c r="E411" s="15" t="str">
        <x:v>ZAR</x:v>
      </x:c>
      <x:c r="F411" s="15" t="str">
        <x:v>Cash withdrawal</x:v>
      </x:c>
      <x:c r="G411" s="15" t="str">
        <x:v>No</x:v>
      </x:c>
      <x:c r="H411" s="38" t="n">
        <x:v>-250</x:v>
      </x:c>
      <x:c r="I411" s="15" t="str">
        <x:v>Absa Bush Centr</x:v>
      </x:c>
      <x:c r="J411" s="15" t="str">
        <x:v>eml_ALL_currentac__512781 (2).zip &gt; eml1currentac__512781.zip / FNB _-) R250.00 withdrawn from Current a_c..512781 using card..2924 @ Absa Bush Centr.  1Jun 15_12.eml</x:v>
      </x:c>
    </x:row>
    <x:row r="412">
      <x:c r="A412" s="34" t="n">
        <x:v>46175.60486111111</x:v>
      </x:c>
      <x:c r="B412" s="15" t="str">
        <x:v>card..2924</x:v>
      </x:c>
      <x:c r="C412" s="15" t="str">
        <x:v>Superspar Komatipoor</x:v>
      </x:c>
      <x:c r="D412" s="38" t="n">
        <x:v>1143.93</x:v>
      </x:c>
      <x:c r="E412" s="15" t="str">
        <x:v>ZAR</x:v>
      </x:c>
      <x:c r="F412" s="15" t="str">
        <x:v>Supplier payments</x:v>
      </x:c>
      <x:c r="G412" s="15" t="str">
        <x:v>No</x:v>
      </x:c>
      <x:c r="H412" s="38" t="n">
        <x:v>-1143.93</x:v>
      </x:c>
      <x:c r="I412" s="15" t="str"/>
      <x:c r="J412" s="15" t="str">
        <x:v>eml_ALL_currentac__512781 (2).zip &gt; eml1currentac__512781.zip / FNB _-) R1143.93 reserved for purchase @ Superspar Komatipoor from Current a_c..512781 using card..2924.  2Jun 14_31.eml</x:v>
      </x:c>
    </x:row>
    <x:row r="413">
      <x:c r="A413" s="34" t="n">
        <x:v>46175.64722222222</x:v>
      </x:c>
      <x:c r="B413" s="15" t="str">
        <x:v>card..2924</x:v>
      </x:c>
      <x:c r="C413" s="15" t="str">
        <x:v>Ae Komatipoort</x:v>
      </x:c>
      <x:c r="D413" s="38" t="n">
        <x:v>500</x:v>
      </x:c>
      <x:c r="E413" s="15" t="str">
        <x:v>ZAR</x:v>
      </x:c>
      <x:c r="F413" s="15" t="str">
        <x:v>Card spend</x:v>
      </x:c>
      <x:c r="G413" s="15" t="str">
        <x:v>No</x:v>
      </x:c>
      <x:c r="H413" s="38" t="n">
        <x:v>-500</x:v>
      </x:c>
      <x:c r="I413" s="15" t="str"/>
      <x:c r="J413" s="15" t="str">
        <x:v>eml_ALL_currentac__512781 (2).zip &gt; eml1currentac__512781.zip / FNB _-) R500.00 reserved for purchase @ Ae Komatipoort from Current a_c..512781 using card..2924.  2Jun 15_32.eml</x:v>
      </x:c>
    </x:row>
    <x:row r="414">
      <x:c r="A414" s="34" t="n">
        <x:v>46178.53611111111</x:v>
      </x:c>
      <x:c r="B414" s="15" t="str">
        <x:v>card..2924</x:v>
      </x:c>
      <x:c r="C414" s="15" t="str">
        <x:v>Superspar Komatipoor</x:v>
      </x:c>
      <x:c r="D414" s="38" t="n">
        <x:v>608.68</x:v>
      </x:c>
      <x:c r="E414" s="15" t="str">
        <x:v>ZAR</x:v>
      </x:c>
      <x:c r="F414" s="15" t="str">
        <x:v>Supplier payments</x:v>
      </x:c>
      <x:c r="G414" s="15" t="str">
        <x:v>No</x:v>
      </x:c>
      <x:c r="H414" s="38" t="n">
        <x:v>-608.68</x:v>
      </x:c>
      <x:c r="I414" s="15" t="str"/>
      <x:c r="J414" s="15" t="str">
        <x:v>eml_ALL_currentac__512781 (2).zip &gt; eml1currentac__512781.zip / FNB _-) R608.68 reserved for purchase @ Superspar Komatipoor from Current a_c..512781 using card..2924.  5Jun 12_52.eml</x:v>
      </x:c>
    </x:row>
    <x:row r="415">
      <x:c r="A415" s="34" t="n">
        <x:v>46178.82083333333</x:v>
      </x:c>
      <x:c r="B415" s="15" t="str">
        <x:v>card..2924</x:v>
      </x:c>
      <x:c r="C415" s="15" t="str">
        <x:v>Ik *park Horizons Pt</x:v>
      </x:c>
      <x:c r="D415" s="38" t="n">
        <x:v>420</x:v>
      </x:c>
      <x:c r="E415" s="15" t="str">
        <x:v>ZAR</x:v>
      </x:c>
      <x:c r="F415" s="15" t="str">
        <x:v>Card spend</x:v>
      </x:c>
      <x:c r="G415" s="15" t="str">
        <x:v>No</x:v>
      </x:c>
      <x:c r="H415" s="38" t="n">
        <x:v>-420</x:v>
      </x:c>
      <x:c r="I415" s="15" t="str"/>
      <x:c r="J415" s="15" t="str">
        <x:v>eml_ALL_currentac__512781 (2).zip &gt; eml1currentac__512781.zip / FNB _-) R420.00 reserved for purchase @ Ik _park Horizons Pt from Current a_c..512781 using card..2924.  5Jun 19_42.eml</x:v>
      </x:c>
    </x:row>
    <x:row r="416">
      <x:c r="A416" s="34" t="n">
        <x:v>46180.58888888889</x:v>
      </x:c>
      <x:c r="B416" s="15" t="str">
        <x:v>card..2924</x:v>
      </x:c>
      <x:c r="C416" s="15" t="str">
        <x:v>Giraffe Pub And Gril</x:v>
      </x:c>
      <x:c r="D416" s="38" t="n">
        <x:v>550</x:v>
      </x:c>
      <x:c r="E416" s="15" t="str">
        <x:v>ZAR</x:v>
      </x:c>
      <x:c r="F416" s="15" t="str">
        <x:v>Meals / restaurants / entertainment</x:v>
      </x:c>
      <x:c r="G416" s="15" t="str">
        <x:v>No</x:v>
      </x:c>
      <x:c r="H416" s="38" t="n">
        <x:v>-550</x:v>
      </x:c>
      <x:c r="I416" s="15" t="str"/>
      <x:c r="J416" s="15" t="str">
        <x:v>eml_ALL_currentac__512781 (2).zip &gt; eml1currentac__512781.zip / FNB _-) R550.00 reserved for purchase @ Giraffe Pub And Gril from Current a_c..512781 using card..2924.  7Jun 14_08.eml</x:v>
      </x:c>
    </x:row>
    <x:row r="417">
      <x:c r="A417" s="34" t="n">
        <x:v>46181.541666666664</x:v>
      </x:c>
      <x:c r="B417" s="15" t="str">
        <x:v>card..2924</x:v>
      </x:c>
      <x:c r="C417" s="15" t="str">
        <x:v>Shoprite Komatipoort</x:v>
      </x:c>
      <x:c r="D417" s="38" t="n">
        <x:v>296.4</x:v>
      </x:c>
      <x:c r="E417" s="15" t="str">
        <x:v>ZAR</x:v>
      </x:c>
      <x:c r="F417" s="15" t="str">
        <x:v>Supplier payments</x:v>
      </x:c>
      <x:c r="G417" s="15" t="str">
        <x:v>No</x:v>
      </x:c>
      <x:c r="H417" s="38" t="n">
        <x:v>-296.4</x:v>
      </x:c>
      <x:c r="I417" s="15" t="str"/>
      <x:c r="J417" s="15" t="str">
        <x:v>eml_ALL_currentac__512781 (2).zip &gt; eml1currentac__512781.zip / FNB _-) R296.40 reserved for purchase @ Shoprite Komatipoort from Current a_c..512781 using card..2924.  8Jun 13_00.eml</x:v>
      </x:c>
    </x:row>
    <x:row r="418">
      <x:c r="A418" s="34" t="n">
        <x:v>46181.58263888889</x:v>
      </x:c>
      <x:c r="B418" s="15" t="str">
        <x:v>card..2924</x:v>
      </x:c>
      <x:c r="C418" s="15" t="str">
        <x:v>Superspar Komatipoor</x:v>
      </x:c>
      <x:c r="D418" s="38" t="n">
        <x:v>391.12</x:v>
      </x:c>
      <x:c r="E418" s="15" t="str">
        <x:v>ZAR</x:v>
      </x:c>
      <x:c r="F418" s="15" t="str">
        <x:v>Supplier payments</x:v>
      </x:c>
      <x:c r="G418" s="15" t="str">
        <x:v>No</x:v>
      </x:c>
      <x:c r="H418" s="38" t="n">
        <x:v>-391.12</x:v>
      </x:c>
      <x:c r="I418" s="15" t="str"/>
      <x:c r="J418" s="15" t="str">
        <x:v>eml_ALL_currentac__512781 (2).zip &gt; eml1currentac__512781.zip / FNB _-) R391.12 reserved for purchase @ Superspar Komatipoor from Current a_c..512781 using card..2924.  8Jun 13_59.eml</x:v>
      </x:c>
    </x:row>
    <x:row r="419">
      <x:c r="A419" s="34" t="n">
        <x:v>46181.597916666666</x:v>
      </x:c>
      <x:c r="B419" s="15" t="str">
        <x:v>card..2924</x:v>
      </x:c>
      <x:c r="C419" s="15" t="str">
        <x:v>Komati Liquor</x:v>
      </x:c>
      <x:c r="D419" s="38" t="n">
        <x:v>395.8</x:v>
      </x:c>
      <x:c r="E419" s="15" t="str">
        <x:v>ZAR</x:v>
      </x:c>
      <x:c r="F419" s="15" t="str">
        <x:v>Meals / restaurants / entertainment</x:v>
      </x:c>
      <x:c r="G419" s="15" t="str">
        <x:v>No</x:v>
      </x:c>
      <x:c r="H419" s="38" t="n">
        <x:v>-395.8</x:v>
      </x:c>
      <x:c r="I419" s="15" t="str"/>
      <x:c r="J419" s="15" t="str">
        <x:v>eml_ALL_currentac__512781 (2).zip &gt; eml1currentac__512781.zip / FNB _-) R395.80 reserved for purchase @ Komati Liquor from Current a_c..512781 using card..2924.  8Jun 14_21.eml</x:v>
      </x:c>
    </x:row>
    <x:row r="420">
      <x:c r="A420" s="34" t="n">
        <x:v>46182.59097222222</x:v>
      </x:c>
      <x:c r="B420" s="15" t="str">
        <x:v>card..2924</x:v>
      </x:c>
      <x:c r="C420" s="15" t="str">
        <x:v>Lebombo Butchery</x:v>
      </x:c>
      <x:c r="D420" s="38" t="n">
        <x:v>265.8</x:v>
      </x:c>
      <x:c r="E420" s="15" t="str">
        <x:v>ZAR</x:v>
      </x:c>
      <x:c r="F420" s="15" t="str">
        <x:v>Supplier payments</x:v>
      </x:c>
      <x:c r="G420" s="15" t="str">
        <x:v>No</x:v>
      </x:c>
      <x:c r="H420" s="38" t="n">
        <x:v>-265.8</x:v>
      </x:c>
      <x:c r="I420" s="15" t="str"/>
      <x:c r="J420" s="15" t="str">
        <x:v>eml_ALL_currentac__512781 (2).zip &gt; eml1currentac__512781.zip / FNB _-) R265.80 reserved for purchase @ Lebombo Butchery from Current a_c..512781 using card..2924.  9Jun 14_11.eml</x:v>
      </x:c>
    </x:row>
    <x:row r="421">
      <x:c r="A421" s="34" t="n">
        <x:v>46182.60138888889</x:v>
      </x:c>
      <x:c r="B421" s="15" t="str">
        <x:v>card..2924</x:v>
      </x:c>
      <x:c r="C421" s="15" t="str">
        <x:v>Superspar Komatipoor</x:v>
      </x:c>
      <x:c r="D421" s="38" t="n">
        <x:v>108.89</x:v>
      </x:c>
      <x:c r="E421" s="15" t="str">
        <x:v>ZAR</x:v>
      </x:c>
      <x:c r="F421" s="15" t="str">
        <x:v>Supplier payments</x:v>
      </x:c>
      <x:c r="G421" s="15" t="str">
        <x:v>No</x:v>
      </x:c>
      <x:c r="H421" s="38" t="n">
        <x:v>-108.89</x:v>
      </x:c>
      <x:c r="I421" s="15" t="str"/>
      <x:c r="J421" s="15" t="str">
        <x:v>eml_ALL_currentac__512781 (2).zip &gt; eml1currentac__512781.zip / FNB _-) R108.89 reserved for purchase @ Superspar Komatipoor from Current a_c..512781 using card..2924.  9Jun 14_26.eml</x:v>
      </x:c>
    </x:row>
    <x:row r="422">
      <x:c r="A422" s="34" t="n">
        <x:v>46183.51944444444</x:v>
      </x:c>
      <x:c r="B422" s="15" t="str">
        <x:v>card..2924</x:v>
      </x:c>
      <x:c r="C422" s="15" t="str">
        <x:v>Machado Tap N Go</x:v>
      </x:c>
      <x:c r="D422" s="38" t="n">
        <x:v>126</x:v>
      </x:c>
      <x:c r="E422" s="15" t="str">
        <x:v>ZAR</x:v>
      </x:c>
      <x:c r="F422" s="15" t="str">
        <x:v>Card spend</x:v>
      </x:c>
      <x:c r="G422" s="15" t="str">
        <x:v>No</x:v>
      </x:c>
      <x:c r="H422" s="38" t="n">
        <x:v>-126</x:v>
      </x:c>
      <x:c r="I422" s="15" t="str"/>
      <x:c r="J422" s="15" t="str">
        <x:v>eml_ALL_currentac__512781 (2).zip &gt; eml1currentac__512781.zip / FNB _-) R126.00 reserved for purchase @ Machado Tap N Go from Current a_c..512781 using card..2924. 10Jun 12_28.eml</x:v>
      </x:c>
    </x:row>
    <x:row r="423">
      <x:c r="A423" s="34" t="n">
        <x:v>46183.52569444444</x:v>
      </x:c>
      <x:c r="B423" s="15" t="str">
        <x:v>card..2924</x:v>
      </x:c>
      <x:c r="C423" s="15" t="str">
        <x:v>Ae Millys</x:v>
      </x:c>
      <x:c r="D423" s="38" t="n">
        <x:v>300</x:v>
      </x:c>
      <x:c r="E423" s="15" t="str">
        <x:v>ZAR</x:v>
      </x:c>
      <x:c r="F423" s="15" t="str">
        <x:v>Card spend</x:v>
      </x:c>
      <x:c r="G423" s="15" t="str">
        <x:v>No</x:v>
      </x:c>
      <x:c r="H423" s="38" t="n">
        <x:v>-300</x:v>
      </x:c>
      <x:c r="I423" s="15" t="str"/>
      <x:c r="J423" s="15" t="str">
        <x:v>eml_ALL_currentac__512781 (2).zip &gt; eml1currentac__512781.zip / FNB _-) R300.00 reserved for purchase @ Ae Millys from Current a_c..512781 using card..2924. 10Jun 12_37.eml</x:v>
      </x:c>
    </x:row>
    <x:row r="424">
      <x:c r="A424" s="34" t="n">
        <x:v>46183.62986111111</x:v>
      </x:c>
      <x:c r="B424" s="15" t="str">
        <x:v>card..2924</x:v>
      </x:c>
      <x:c r="C424" s="15" t="str">
        <x:v>Checkers Bronkhorsts</x:v>
      </x:c>
      <x:c r="D424" s="38" t="n">
        <x:v>593.35</x:v>
      </x:c>
      <x:c r="E424" s="15" t="str">
        <x:v>ZAR</x:v>
      </x:c>
      <x:c r="F424" s="15" t="str">
        <x:v>Supplier payments</x:v>
      </x:c>
      <x:c r="G424" s="15" t="str">
        <x:v>No</x:v>
      </x:c>
      <x:c r="H424" s="38" t="n">
        <x:v>-593.35</x:v>
      </x:c>
      <x:c r="I424" s="15" t="str"/>
      <x:c r="J424" s="15" t="str">
        <x:v>eml_ALL_currentac__512781 (2).zip &gt; eml1currentac__512781.zip / FNB _-) R593.35 reserved for purchase @ Checkers Bronkhorsts from Current a_c..512781 using card..2924. 10Jun 15_07.eml</x:v>
      </x:c>
    </x:row>
    <x:row r="425">
      <x:c r="A425" s="34" t="n">
        <x:v>46187.525</x:v>
      </x:c>
      <x:c r="B425" s="15" t="str">
        <x:v>card..2924</x:v>
      </x:c>
      <x:c r="C425" s="15" t="str">
        <x:v>Sqsp* Websit</x:v>
      </x:c>
      <x:c r="D425" s="38" t="n">
        <x:v>619.52</x:v>
      </x:c>
      <x:c r="E425" s="15" t="str">
        <x:v>ZAR</x:v>
      </x:c>
      <x:c r="F425" s="15" t="str">
        <x:v>Software / subscriptions</x:v>
      </x:c>
      <x:c r="G425" s="15" t="str">
        <x:v>No</x:v>
      </x:c>
      <x:c r="H425" s="38" t="n">
        <x:v>-619.52</x:v>
      </x:c>
      <x:c r="I425" s="15" t="str"/>
      <x:c r="J425" s="15" t="str">
        <x:v>eml_ALL_currentac__512781 (2).zip &gt; eml1currentac__512781.zip / FNB _-) R619.52 reserved for purchase @ Sqsp_ Websit from Current a_c..512781 using card..2924. 14Jun 12_36.eml</x:v>
      </x:c>
    </x:row>
    <x:row r="426">
      <x:c r="A426" s="34" t="n">
        <x:v>46187.589583333334</x:v>
      </x:c>
      <x:c r="B426" s="15" t="str">
        <x:v>card..2924</x:v>
      </x:c>
      <x:c r="C426" s="15" t="str">
        <x:v>Pnp Fam Bronkhorstsp</x:v>
      </x:c>
      <x:c r="D426" s="38" t="n">
        <x:v>793.26</x:v>
      </x:c>
      <x:c r="E426" s="15" t="str">
        <x:v>ZAR</x:v>
      </x:c>
      <x:c r="F426" s="15" t="str">
        <x:v>Card spend</x:v>
      </x:c>
      <x:c r="G426" s="15" t="str">
        <x:v>No</x:v>
      </x:c>
      <x:c r="H426" s="38" t="n">
        <x:v>-793.26</x:v>
      </x:c>
      <x:c r="I426" s="15" t="str"/>
      <x:c r="J426" s="15" t="str">
        <x:v>eml_ALL_currentac__512781 (2).zip &gt; eml1currentac__512781.zip / FNB _-) R793.26 reserved for purchase @ Pnp Fam Bronkhorstsp from Current a_c..512781 using card..2924. 14Jun 14_09.eml</x:v>
      </x:c>
    </x:row>
    <x:row r="427">
      <x:c r="A427" s="34" t="n">
        <x:v>46187.600694444445</x:v>
      </x:c>
      <x:c r="B427" s="15" t="str">
        <x:v>card..2924</x:v>
      </x:c>
      <x:c r="C427" s="15" t="str">
        <x:v>Hokaai Fuels</x:v>
      </x:c>
      <x:c r="D427" s="38" t="n">
        <x:v>400</x:v>
      </x:c>
      <x:c r="E427" s="15" t="str">
        <x:v>ZAR</x:v>
      </x:c>
      <x:c r="F427" s="15" t="str">
        <x:v>Fuel / transport</x:v>
      </x:c>
      <x:c r="G427" s="15" t="str">
        <x:v>No</x:v>
      </x:c>
      <x:c r="H427" s="38" t="n">
        <x:v>-400</x:v>
      </x:c>
      <x:c r="I427" s="15" t="str"/>
      <x:c r="J427" s="15" t="str">
        <x:v>eml_ALL_currentac__512781 (2).zip &gt; eml1currentac__512781.zip / FNB _-) R400.00 reserved for purchase @ Hokaai Fuels from Current a_c..512781 using card..2924. 14Jun 14_25.eml</x:v>
      </x:c>
    </x:row>
    <x:row r="428">
      <x:c r="A428" s="34" t="n">
        <x:v>46188.43541666667</x:v>
      </x:c>
      <x:c r="B428" s="15" t="str">
        <x:v>card..2924</x:v>
      </x:c>
      <x:c r="C428" s="15" t="str">
        <x:v>Machado Tap N Go</x:v>
      </x:c>
      <x:c r="D428" s="38" t="n">
        <x:v>126</x:v>
      </x:c>
      <x:c r="E428" s="15" t="str">
        <x:v>ZAR</x:v>
      </x:c>
      <x:c r="F428" s="15" t="str">
        <x:v>Card spend</x:v>
      </x:c>
      <x:c r="G428" s="15" t="str">
        <x:v>No</x:v>
      </x:c>
      <x:c r="H428" s="38" t="n">
        <x:v>-126</x:v>
      </x:c>
      <x:c r="I428" s="15" t="str"/>
      <x:c r="J428" s="15" t="str">
        <x:v>eml_ALL_currentac__512781 (2).zip &gt; eml1currentac__512781.zip / FNB _-) R126.00 reserved for purchase @ Machado Tap N Go from Current a_c..512781 using card..2924. 15Jun 10_27.eml</x:v>
      </x:c>
    </x:row>
    <x:row r="429">
      <x:c r="A429" s="34" t="n">
        <x:v>46188.540972222225</x:v>
      </x:c>
      <x:c r="B429" s="15" t="str">
        <x:v>card..2924</x:v>
      </x:c>
      <x:c r="C429" s="15" t="str">
        <x:v>Superspar Malelane</x:v>
      </x:c>
      <x:c r="D429" s="38" t="n">
        <x:v>378.32</x:v>
      </x:c>
      <x:c r="E429" s="15" t="str">
        <x:v>ZAR</x:v>
      </x:c>
      <x:c r="F429" s="15" t="str">
        <x:v>Supplier payments</x:v>
      </x:c>
      <x:c r="G429" s="15" t="str">
        <x:v>No</x:v>
      </x:c>
      <x:c r="H429" s="38" t="n">
        <x:v>-378.32</x:v>
      </x:c>
      <x:c r="I429" s="15" t="str"/>
      <x:c r="J429" s="15" t="str">
        <x:v>eml_ALL_currentac__512781 (2).zip &gt; eml1currentac__512781.zip / FNB _-) R378.32 reserved for purchase @ Superspar Malelane from Current a_c..512781 using card..2924. 15Jun 12_59.eml</x:v>
      </x:c>
    </x:row>
    <x:row r="430">
      <x:c r="A430" s="34" t="n">
        <x:v>46188.549305555556</x:v>
      </x:c>
      <x:c r="B430" s="15" t="str">
        <x:v>card..2924</x:v>
      </x:c>
      <x:c r="C430" s="15" t="str">
        <x:v>Engen Malelane</x:v>
      </x:c>
      <x:c r="D430" s="38" t="n">
        <x:v>200.15</x:v>
      </x:c>
      <x:c r="E430" s="15" t="str">
        <x:v>ZAR</x:v>
      </x:c>
      <x:c r="F430" s="15" t="str">
        <x:v>Fuel / transport</x:v>
      </x:c>
      <x:c r="G430" s="15" t="str">
        <x:v>No</x:v>
      </x:c>
      <x:c r="H430" s="38" t="n">
        <x:v>-200.15</x:v>
      </x:c>
      <x:c r="I430" s="15" t="str"/>
      <x:c r="J430" s="15" t="str">
        <x:v>eml_ALL_currentac__512781 (2).zip &gt; eml1currentac__512781.zip / FNB _-) R200.15 reserved for purchase @ Engen Malelane from Current a_c..512781 using card..2924. 15Jun 13_11.eml</x:v>
      </x:c>
    </x:row>
    <x:row r="431">
      <x:c r="A431" s="34" t="n">
        <x:v>46189.72361111111</x:v>
      </x:c>
      <x:c r="B431" s="15" t="str">
        <x:v>card..2924</x:v>
      </x:c>
      <x:c r="C431" s="15" t="str">
        <x:v>The Tin Shack</x:v>
      </x:c>
      <x:c r="D431" s="38" t="n">
        <x:v>250</x:v>
      </x:c>
      <x:c r="E431" s="15" t="str">
        <x:v>ZAR</x:v>
      </x:c>
      <x:c r="F431" s="15" t="str">
        <x:v>Meals / restaurants / entertainment</x:v>
      </x:c>
      <x:c r="G431" s="15" t="str">
        <x:v>No</x:v>
      </x:c>
      <x:c r="H431" s="38" t="n">
        <x:v>-250</x:v>
      </x:c>
      <x:c r="I431" s="15" t="str"/>
      <x:c r="J431" s="15" t="str">
        <x:v>eml_ALL_currentac__512781 (2).zip &gt; eml1currentac__512781.zip / FNB _-) R250.00 reserved for purchase @ The Tin Shack from Current a_c..512781 using card..2924. 16Jun 17_22.eml</x:v>
      </x:c>
    </x:row>
    <x:row r="432">
      <x:c r="A432" s="34" t="n">
        <x:v>46190.44097222222</x:v>
      </x:c>
      <x:c r="B432" s="15" t="str">
        <x:v>card..2924</x:v>
      </x:c>
      <x:c r="C432" s="15" t="str">
        <x:v>Paystack *zoho Co</x:v>
      </x:c>
      <x:c r="D432" s="38" t="n">
        <x:v>228.85</x:v>
      </x:c>
      <x:c r="E432" s="15" t="str">
        <x:v>ZAR</x:v>
      </x:c>
      <x:c r="F432" s="15" t="str">
        <x:v>Software / subscriptions</x:v>
      </x:c>
      <x:c r="G432" s="15" t="str">
        <x:v>No</x:v>
      </x:c>
      <x:c r="H432" s="38" t="n">
        <x:v>-228.85</x:v>
      </x:c>
      <x:c r="I432" s="15" t="str"/>
      <x:c r="J432" s="15" t="str">
        <x:v>eml_ALL_currentac__512781 (2).zip &gt; eml1currentac__512781.zip / FNB _-) R228.85 reserved for purchase @ Paystack _zoho Co from Current a_c..512781 using card..2924. 17Jun 10_35.eml</x:v>
      </x:c>
    </x:row>
    <x:row r="433">
      <x:c r="A433" s="34" t="n">
        <x:v>46190.97638888889</x:v>
      </x:c>
      <x:c r="B433" s="15" t="str">
        <x:v>card..0104</x:v>
      </x:c>
      <x:c r="C433" s="15" t="str">
        <x:v>Openai *chatgpt Subscr+14</x:v>
      </x:c>
      <x:c r="D433" s="38" t="n">
        <x:v>149</x:v>
      </x:c>
      <x:c r="E433" s="15" t="str">
        <x:v>ZAR</x:v>
      </x:c>
      <x:c r="F433" s="15" t="str">
        <x:v>Software / subscriptions</x:v>
      </x:c>
      <x:c r="G433" s="15" t="str">
        <x:v>No</x:v>
      </x:c>
      <x:c r="H433" s="38" t="n">
        <x:v>-149</x:v>
      </x:c>
      <x:c r="I433" s="15" t="str"/>
      <x:c r="J433" s="15" t="str">
        <x:v>eml_ALL_currentac__512781 (2).zip &gt; eml1currentac__512781.zip / FNB _-) R149.00 reserved for purchase @ Openai _chatgpt Subscr+14 from Current a_c..512781 using card..0104. 17Jun 23_26.eml</x:v>
      </x:c>
    </x:row>
    <x:row r="434">
      <x:c r="A434" s="34" t="n">
        <x:v>46191.46944444445</x:v>
      </x:c>
      <x:c r="B434" s="15" t="str">
        <x:v>card..2924</x:v>
      </x:c>
      <x:c r="C434" s="15" t="str">
        <x:v>Shoprite Komatipoort</x:v>
      </x:c>
      <x:c r="D434" s="38" t="n">
        <x:v>643.85</x:v>
      </x:c>
      <x:c r="E434" s="15" t="str">
        <x:v>ZAR</x:v>
      </x:c>
      <x:c r="F434" s="15" t="str">
        <x:v>Supplier payments</x:v>
      </x:c>
      <x:c r="G434" s="15" t="str">
        <x:v>No</x:v>
      </x:c>
      <x:c r="H434" s="38" t="n">
        <x:v>-643.85</x:v>
      </x:c>
      <x:c r="I434" s="15" t="str"/>
      <x:c r="J434" s="15" t="str">
        <x:v>eml_ALL_currentac__512781 (2).zip &gt; eml1currentac__512781.zip / FNB _-) R643.85 reserved for purchase @ Shoprite Komatipoort from Current a_c..512781 using card..2924. 18Jun 11_16.eml</x:v>
      </x:c>
    </x:row>
    <x:row r="435">
      <x:c r="A435" s="34" t="n">
        <x:v>46191.50763888889</x:v>
      </x:c>
      <x:c r="B435" s="15" t="str">
        <x:v>card..2924</x:v>
      </x:c>
      <x:c r="C435" s="15" t="str">
        <x:v>Superspar Komatipoor</x:v>
      </x:c>
      <x:c r="D435" s="38" t="n">
        <x:v>813.73</x:v>
      </x:c>
      <x:c r="E435" s="15" t="str">
        <x:v>ZAR</x:v>
      </x:c>
      <x:c r="F435" s="15" t="str">
        <x:v>Supplier payments</x:v>
      </x:c>
      <x:c r="G435" s="15" t="str">
        <x:v>No</x:v>
      </x:c>
      <x:c r="H435" s="38" t="n">
        <x:v>-813.73</x:v>
      </x:c>
      <x:c r="I435" s="15" t="str"/>
      <x:c r="J435" s="15" t="str">
        <x:v>eml_ALL_currentac__512781 (2).zip &gt; eml1currentac__512781.zip / FNB _-) R813.73 reserved for purchase @ Superspar Komatipoor from Current a_c..512781 using card..2924. 18Jun 12_11.eml</x:v>
      </x:c>
    </x:row>
    <x:row r="436">
      <x:c r="A436" s="34" t="n">
        <x:v>46192.50069444445</x:v>
      </x:c>
      <x:c r="B436" s="15" t="str">
        <x:v>card..2924</x:v>
      </x:c>
      <x:c r="C436" s="15" t="str">
        <x:v>Superspar Komatipoor</x:v>
      </x:c>
      <x:c r="D436" s="38" t="n">
        <x:v>783.5</x:v>
      </x:c>
      <x:c r="E436" s="15" t="str">
        <x:v>ZAR</x:v>
      </x:c>
      <x:c r="F436" s="15" t="str">
        <x:v>Supplier payments</x:v>
      </x:c>
      <x:c r="G436" s="15" t="str">
        <x:v>No</x:v>
      </x:c>
      <x:c r="H436" s="38" t="n">
        <x:v>-783.5</x:v>
      </x:c>
      <x:c r="I436" s="15" t="str"/>
      <x:c r="J436" s="15" t="str">
        <x:v>eml_ALL_currentac__512781 (2).zip &gt; eml1currentac__512781.zip / FNB _-) R783.50 reserved for purchase @ Superspar Komatipoor from Current a_c..512781 using card..2924. 19Jun 12_01.eml</x:v>
      </x:c>
    </x:row>
    <x:row r="437">
      <x:c r="A437" s="34" t="n">
        <x:v>46192.51527777778</x:v>
      </x:c>
      <x:c r="B437" s="15" t="str">
        <x:v>card..2924</x:v>
      </x:c>
      <x:c r="C437" s="15" t="str">
        <x:v>Oasis Water Komatipo</x:v>
      </x:c>
      <x:c r="D437" s="38" t="n">
        <x:v>127</x:v>
      </x:c>
      <x:c r="E437" s="15" t="str">
        <x:v>ZAR</x:v>
      </x:c>
      <x:c r="F437" s="15" t="str">
        <x:v>Supplier payments</x:v>
      </x:c>
      <x:c r="G437" s="15" t="str">
        <x:v>No</x:v>
      </x:c>
      <x:c r="H437" s="38" t="n">
        <x:v>-127</x:v>
      </x:c>
      <x:c r="I437" s="15" t="str"/>
      <x:c r="J437" s="15" t="str">
        <x:v>eml_ALL_currentac__512781 (2).zip &gt; eml1currentac__512781.zip / FNB _-) R127.00 reserved for purchase @ Oasis Water Komatipo from Current a_c..512781 using card..2924. 19Jun 12_22.eml</x:v>
      </x:c>
    </x:row>
  </x:sheetData>
  <x:pageMargins left="0.7" right="0.7" top="0.75" bottom="0.75" header="0.3" footer="0.3"/>
  <x:tableParts count="1">
    <x:tablePart xmlns:r="http://schemas.openxmlformats.org/officeDocument/2006/relationships" r:id="Rfa4568d72a3840c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36" hidden="0" customWidth="1"/>
    <x:col min="9" max="9" width="36" hidden="0" customWidth="1"/>
  </x:cols>
  <x:sheetData>
    <x:row r="1">
      <x:c r="A1" s="29" t="str">
        <x:v>Date</x:v>
      </x:c>
      <x:c r="B1" s="29" t="str">
        <x:v>Direction</x:v>
      </x:c>
      <x:c r="C1" s="29" t="str">
        <x:v>Payee/payer</x:v>
      </x:c>
      <x:c r="D1" s="29" t="str">
        <x:v>Amount</x:v>
      </x:c>
      <x:c r="E1" s="29" t="str">
        <x:v>Currency</x:v>
      </x:c>
      <x:c r="F1" s="29" t="str">
        <x:v>Category</x:v>
      </x:c>
      <x:c r="G1" s="29" t="str">
        <x:v>Account</x:v>
      </x:c>
      <x:c r="H1" s="29" t="str">
        <x:v>Reference/description</x:v>
      </x:c>
      <x:c r="I1" s="29" t="str">
        <x:v>Source file</x:v>
      </x:c>
    </x:row>
    <x:row r="2">
      <x:c r="A2" s="34" t="n">
        <x:v>45930.73333333333</x:v>
      </x:c>
      <x:c r="B2" s="15" t="str">
        <x:v>Internal Transfer</x:v>
      </x:c>
      <x:c r="C2" s="15" t="str">
        <x:v>Current a/c..261544</x:v>
      </x:c>
      <x:c r="D2" s="38" t="n">
        <x:v>5000</x:v>
      </x:c>
      <x:c r="E2" s="15" t="str">
        <x:v>ZAR</x:v>
      </x:c>
      <x:c r="F2" s="15" t="str">
        <x:v>Inter-account transfer</x:v>
      </x:c>
      <x:c r="G2" s="15" t="str">
        <x:v>Current a/c..261544</x:v>
      </x:c>
      <x:c r="H2" s="15" t="str">
        <x:v>R5000.00 t/fer from Current a/c..261544 to Current a/c..512781 @ Smartapp. Avail R178672. 30Sep 17:36</x:v>
      </x:c>
      <x:c r="I2" s="15" t="str">
        <x:v>eml_ALL_currentac__512781 (2).zip &gt; eml12currentac__512781.zip / FNB _-) R5000.00 t_fer from Current a_c..261544 to Current a_c..512781 @ Smartapp. 30Sep 17_36.eml</x:v>
      </x:c>
    </x:row>
    <x:row r="3">
      <x:c r="A3" s="34" t="n">
        <x:v>45932.4125</x:v>
      </x:c>
      <x:c r="B3" s="15" t="str">
        <x:v>Outflow</x:v>
      </x:c>
      <x:c r="C3" s="15" t="str">
        <x:v>Dinner Box 99970</x:v>
      </x:c>
      <x:c r="D3" s="38" t="n">
        <x:v>2543.95</x:v>
      </x:c>
      <x:c r="E3" s="15" t="str">
        <x:v>ZAR</x:v>
      </x:c>
      <x:c r="F3" s="15" t="str">
        <x:v>Meals / restaurants / entertainment</x:v>
      </x:c>
      <x:c r="G3" s="15" t="str">
        <x:v>Current a/c..512781</x:v>
      </x:c>
      <x:c r="H3" s="15" t="str">
        <x:v>Dinner Box 99970</x:v>
      </x:c>
      <x:c r="I3" s="15" t="str">
        <x:v>eml_ALL_currentac__512781 (2).zip &gt; eml12currentac__512781.zip / FNB _-) R2543.95 paid from Current a_c..512781 @ Smartapp. Ref.Dinner Box 99970.  2Oct 09_54.eml</x:v>
      </x:c>
    </x:row>
    <x:row r="4">
      <x:c r="A4" s="34" t="n">
        <x:v>45932.48402777778</x:v>
      </x:c>
      <x:c r="B4" s="15" t="str">
        <x:v>Outflow</x:v>
      </x:c>
      <x:c r="C4" s="15" t="str">
        <x:v>Deon"s Diy 4193</x:v>
      </x:c>
      <x:c r="D4" s="38" t="n">
        <x:v>300</x:v>
      </x:c>
      <x:c r="E4" s="15" t="str">
        <x:v>ZAR</x:v>
      </x:c>
      <x:c r="F4" s="15" t="str">
        <x:v>Supplier payments</x:v>
      </x:c>
      <x:c r="G4" s="15" t="str">
        <x:v>Current a/c..512781</x:v>
      </x:c>
      <x:c r="H4" s="15" t="str">
        <x:v>Deon"s Diy 4193</x:v>
      </x:c>
      <x:c r="I4" s="15" t="str">
        <x:v>eml_ALL_currentac__512781 (2).zip &gt; eml12currentac__512781.zip / FNB _-) R300.00 paid from Current a_c..512781 @ Smartapp. Ref.Deon_s Diy 4193.  2Oct 11_37.eml</x:v>
      </x:c>
    </x:row>
    <x:row r="5">
      <x:c r="A5" s="34" t="n">
        <x:v>45933.42638888889</x:v>
      </x:c>
      <x:c r="B5" s="15" t="str">
        <x:v>Inflow</x:v>
      </x:c>
      <x:c r="C5" s="15" t="str">
        <x:v>R025n8vc90 Booking.c</x:v>
      </x:c>
      <x:c r="D5" s="38" t="n">
        <x:v>41435.63</x:v>
      </x:c>
      <x:c r="E5" s="15" t="str">
        <x:v>ZAR</x:v>
      </x:c>
      <x:c r="F5" s="15" t="str">
        <x:v>Sales / customer receipts</x:v>
      </x:c>
      <x:c r="G5" s="15" t="str">
        <x:v>Current a/c..512781</x:v>
      </x:c>
      <x:c r="H5" s="15" t="str">
        <x:v>R025n8vc90 Booking.c</x:v>
      </x:c>
      <x:c r="I5" s="15" t="str">
        <x:v>eml_ALL_currentac__512781 (2).zip &gt; eml12currentac__512781.zip / FNB _-) R41435.63 paid to Current a_c..512781 @ Retail Forex. Ref.R025n8vc90 Booking.c.  3Oct 10_14.eml</x:v>
      </x:c>
    </x:row>
    <x:row r="6">
      <x:c r="A6" s="34" t="n">
        <x:v>45933.459027777775</x:v>
      </x:c>
      <x:c r="B6" s="15" t="str">
        <x:v>Outflow</x:v>
      </x:c>
      <x:c r="C6" s="15" t="str">
        <x:v>Kruger Safari 1657</x:v>
      </x:c>
      <x:c r="D6" s="38" t="n">
        <x:v>2845</x:v>
      </x:c>
      <x:c r="E6" s="15" t="str">
        <x:v>ZAR</x:v>
      </x:c>
      <x:c r="F6" s="15" t="str">
        <x:v>Supplier payments</x:v>
      </x:c>
      <x:c r="G6" s="15" t="str">
        <x:v>Current a/c..512781</x:v>
      </x:c>
      <x:c r="H6" s="15" t="str">
        <x:v>Kruger Safari 1657</x:v>
      </x:c>
      <x:c r="I6" s="15" t="str">
        <x:v>eml_ALL_currentac__512781 (2).zip &gt; eml12currentac__512781.zip / FNB _-) R2845.00 paid from Current a_c..512781 @ Smartapp. Ref.Kruger Safari 1657.  3Oct 11_01.eml</x:v>
      </x:c>
    </x:row>
    <x:row r="7">
      <x:c r="A7" s="34" t="n">
        <x:v>45933.498611111114</x:v>
      </x:c>
      <x:c r="B7" s="15" t="str">
        <x:v>Inflow</x:v>
      </x:c>
      <x:c r="C7" s="15" t="str">
        <x:v>R025mp0hp0 Booking.c</x:v>
      </x:c>
      <x:c r="D7" s="38" t="n">
        <x:v>32699.14</x:v>
      </x:c>
      <x:c r="E7" s="15" t="str">
        <x:v>ZAR</x:v>
      </x:c>
      <x:c r="F7" s="15" t="str">
        <x:v>Sales / customer receipts</x:v>
      </x:c>
      <x:c r="G7" s="15" t="str">
        <x:v>Current a/c..512781</x:v>
      </x:c>
      <x:c r="H7" s="15" t="str">
        <x:v>R025mp0hp0 Booking.c</x:v>
      </x:c>
      <x:c r="I7" s="15" t="str">
        <x:v>eml_ALL_currentac__512781 (2).zip &gt; eml12currentac__512781.zip / FNB _-) R32699.14 paid to Current a_c..512781 @ Retail Forex. Ref.R025mp0hp0 Booking.c.  3Oct 11_58.eml</x:v>
      </x:c>
    </x:row>
    <x:row r="8">
      <x:c r="A8" s="34" t="n">
        <x:v>45933.518055555556</x:v>
      </x:c>
      <x:c r="B8" s="15" t="str">
        <x:v>Outflow</x:v>
      </x:c>
      <x:c r="C8" s="15" t="str">
        <x:v>Nb N992820 + 983772</x:v>
      </x:c>
      <x:c r="D8" s="38" t="n">
        <x:v>1414.5</x:v>
      </x:c>
      <x:c r="E8" s="15" t="str">
        <x:v>ZAR</x:v>
      </x:c>
      <x:c r="F8" s="15" t="str">
        <x:v>Supplier payments</x:v>
      </x:c>
      <x:c r="G8" s="15" t="str">
        <x:v>Current a/c..512781</x:v>
      </x:c>
      <x:c r="H8" s="15" t="str">
        <x:v>Nb N992820 + 983772</x:v>
      </x:c>
      <x:c r="I8" s="15" t="str">
        <x:v>eml_ALL_currentac__512781 (2).zip &gt; eml12currentac__512781.zip / FNB _-) R1414.50 paid from Current a_c..512781 @ Smartapp. Ref.Nb N992820 + 983772.  3Oct 12_26.eml</x:v>
      </x:c>
    </x:row>
    <x:row r="9">
      <x:c r="A9" s="34" t="n">
        <x:v>45934.495833333334</x:v>
      </x:c>
      <x:c r="B9" s="15" t="str">
        <x:v>Outflow</x:v>
      </x:c>
      <x:c r="C9" s="15" t="str">
        <x:v>Staff Tips For Aug</x:v>
      </x:c>
      <x:c r="D9" s="38" t="n">
        <x:v>1400</x:v>
      </x:c>
      <x:c r="E9" s="15" t="str">
        <x:v>ZAR</x:v>
      </x:c>
      <x:c r="F9" s="15" t="str">
        <x:v>Salary / wages</x:v>
      </x:c>
      <x:c r="G9" s="15" t="str">
        <x:v>Current a/c..512781</x:v>
      </x:c>
      <x:c r="H9" s="15" t="str">
        <x:v>Staff Tips For Aug</x:v>
      </x:c>
      <x:c r="I9" s="15" t="str">
        <x:v>eml_ALL_currentac__512781 (2).zip &gt; eml12currentac__512781.zip / FNB _-) R1400.00 paid from Current a_c..512781 @ Smartapp. Ref.Staff Tips For Aug.  4Oct 11_54.eml</x:v>
      </x:c>
    </x:row>
    <x:row r="10">
      <x:c r="A10" s="34" t="n">
        <x:v>45934.49652777778</x:v>
      </x:c>
      <x:c r="B10" s="15" t="str">
        <x:v>Outflow</x:v>
      </x:c>
      <x:c r="C10" s="15" t="str">
        <x:v>Staff Tips For Aug</x:v>
      </x:c>
      <x:c r="D10" s="38" t="n">
        <x:v>1400</x:v>
      </x:c>
      <x:c r="E10" s="15" t="str">
        <x:v>ZAR</x:v>
      </x:c>
      <x:c r="F10" s="15" t="str">
        <x:v>Salary / wages</x:v>
      </x:c>
      <x:c r="G10" s="15" t="str">
        <x:v>Current a/c..512781</x:v>
      </x:c>
      <x:c r="H10" s="15" t="str">
        <x:v>Staff Tips For Aug</x:v>
      </x:c>
      <x:c r="I10" s="15" t="str">
        <x:v>eml_ALL_currentac__512781 (2).zip &gt; eml12currentac__512781.zip / FNB _-) R1400.00 paid from Current a_c..512781 @ Smartapp. Ref.Staff Tips For Aug.  4Oct 11_55.eml</x:v>
      </x:c>
    </x:row>
    <x:row r="11">
      <x:c r="A11" s="34" t="n">
        <x:v>45935.41458333333</x:v>
      </x:c>
      <x:c r="B11" s="15" t="str">
        <x:v>Outflow</x:v>
      </x:c>
      <x:c r="C11" s="15" t="str">
        <x:v>Nyala Safari 145</x:v>
      </x:c>
      <x:c r="D11" s="38" t="n">
        <x:v>10080</x:v>
      </x:c>
      <x:c r="E11" s="15" t="str">
        <x:v>ZAR</x:v>
      </x:c>
      <x:c r="F11" s="15" t="str">
        <x:v>Supplier payments</x:v>
      </x:c>
      <x:c r="G11" s="15" t="str">
        <x:v>Current a/c..512781</x:v>
      </x:c>
      <x:c r="H11" s="15" t="str">
        <x:v>Nyala Safari 145</x:v>
      </x:c>
      <x:c r="I11" s="15" t="str">
        <x:v>eml_ALL_currentac__512781 (2).zip &gt; eml12currentac__512781.zip / FNB _-) R10080.00 paid from Current a_c..512781 @ Smartapp. Ref.Nyala Safari 145.  5Oct 09_57.eml</x:v>
      </x:c>
    </x:row>
    <x:row r="12">
      <x:c r="A12" s="34" t="n">
        <x:v>45938.569444444445</x:v>
      </x:c>
      <x:c r="B12" s="15" t="str">
        <x:v>Outflow</x:v>
      </x:c>
      <x:c r="C12" s="15" t="str">
        <x:v>Bon Express 006708</x:v>
      </x:c>
      <x:c r="D12" s="38" t="n">
        <x:v>127.88</x:v>
      </x:c>
      <x:c r="E12" s="15" t="str">
        <x:v>ZAR</x:v>
      </x:c>
      <x:c r="F12" s="15" t="str">
        <x:v>Supplier payments</x:v>
      </x:c>
      <x:c r="G12" s="15" t="str">
        <x:v>Current a/c..512781</x:v>
      </x:c>
      <x:c r="H12" s="15" t="str">
        <x:v>Bon Express 006708</x:v>
      </x:c>
      <x:c r="I12" s="15" t="str">
        <x:v>eml_ALL_currentac__512781 (2).zip &gt; eml12currentac__512781.zip / FNB _-) R127.88 paid from Current a_c..512781 @ Smartapp. Ref.Bon Express 006708.  8Oct 13_40.eml</x:v>
      </x:c>
    </x:row>
    <x:row r="13">
      <x:c r="A13" s="34" t="n">
        <x:v>45938.57013888889</x:v>
      </x:c>
      <x:c r="B13" s="15" t="str">
        <x:v>Outflow</x:v>
      </x:c>
      <x:c r="C13" s="15" t="str">
        <x:v>Kruger Safari 1658</x:v>
      </x:c>
      <x:c r="D13" s="38" t="n">
        <x:v>2776</x:v>
      </x:c>
      <x:c r="E13" s="15" t="str">
        <x:v>ZAR</x:v>
      </x:c>
      <x:c r="F13" s="15" t="str">
        <x:v>Supplier payments</x:v>
      </x:c>
      <x:c r="G13" s="15" t="str">
        <x:v>Current a/c..512781</x:v>
      </x:c>
      <x:c r="H13" s="15" t="str">
        <x:v>Kruger Safari 1658</x:v>
      </x:c>
      <x:c r="I13" s="15" t="str">
        <x:v>eml_ALL_currentac__512781 (2).zip &gt; eml12currentac__512781.zip / FNB _-) R2776.00 paid from Current a_c..512781 @ Smartapp. Ref.Kruger Safari 1658.  8Oct 13_41.eml</x:v>
      </x:c>
    </x:row>
    <x:row r="14">
      <x:c r="A14" s="34" t="n">
        <x:v>45939.458333333336</x:v>
      </x:c>
      <x:c r="B14" s="15" t="str">
        <x:v>Outflow</x:v>
      </x:c>
      <x:c r="C14" s="15" t="str">
        <x:v>Cindy Wages</x:v>
      </x:c>
      <x:c r="D14" s="38" t="n">
        <x:v>450</x:v>
      </x:c>
      <x:c r="E14" s="15" t="str">
        <x:v>ZAR</x:v>
      </x:c>
      <x:c r="F14" s="15" t="str">
        <x:v>Salary / wages</x:v>
      </x:c>
      <x:c r="G14" s="15" t="str">
        <x:v>Current a/c..512781</x:v>
      </x:c>
      <x:c r="H14" s="15" t="str">
        <x:v>Cindy Wages</x:v>
      </x:c>
      <x:c r="I14" s="15" t="str">
        <x:v>eml_ALL_currentac__512781 (2).zip &gt; eml12currentac__512781.zip / FNB _-) R450.00 paid from Current a_c..512781 @ Smartapp. Ref.Cindy Wages.  9Oct 11_00.eml</x:v>
      </x:c>
    </x:row>
    <x:row r="15">
      <x:c r="A15" s="34" t="n">
        <x:v>45940.36666666667</x:v>
      </x:c>
      <x:c r="B15" s="15" t="str">
        <x:v>Inflow</x:v>
      </x:c>
      <x:c r="C15" s="15" t="str">
        <x:v>R025mdszb0 Booking.c</x:v>
      </x:c>
      <x:c r="D15" s="38" t="n">
        <x:v>27423.36</x:v>
      </x:c>
      <x:c r="E15" s="15" t="str">
        <x:v>ZAR</x:v>
      </x:c>
      <x:c r="F15" s="15" t="str">
        <x:v>Sales / customer receipts</x:v>
      </x:c>
      <x:c r="G15" s="15" t="str">
        <x:v>Current a/c..512781</x:v>
      </x:c>
      <x:c r="H15" s="15" t="str">
        <x:v>R025mdszb0 Booking.c</x:v>
      </x:c>
      <x:c r="I15" s="15" t="str">
        <x:v>eml_ALL_currentac__512781 (2).zip &gt; eml12currentac__512781.zip / FNB _-) R27423.36 paid to Current a_c..512781 @ Retail Forex. Ref.R025mdszb0 Booking.c. 10Oct 08_48.eml</x:v>
      </x:c>
    </x:row>
    <x:row r="16">
      <x:c r="A16" s="34" t="n">
        <x:v>45940.43819444445</x:v>
      </x:c>
      <x:c r="B16" s="15" t="str">
        <x:v>Internal Transfer</x:v>
      </x:c>
      <x:c r="C16" s="15" t="str">
        <x:v>Current a/c..261544</x:v>
      </x:c>
      <x:c r="D16" s="38" t="n">
        <x:v>20000</x:v>
      </x:c>
      <x:c r="E16" s="15" t="str">
        <x:v>ZAR</x:v>
      </x:c>
      <x:c r="F16" s="15" t="str">
        <x:v>Inter-account transfer</x:v>
      </x:c>
      <x:c r="G16" s="15" t="str">
        <x:v>Current a/c..512781</x:v>
      </x:c>
      <x:c r="H16" s="15" t="str">
        <x:v>R20000.00 t/fer from Current a/c..512781 to Current a/c..261544 @ Smartapp. Avail R47113. 10Oct 10:31</x:v>
      </x:c>
      <x:c r="I16" s="15" t="str">
        <x:v>eml_ALL_currentac__512781 (2).zip &gt; eml12currentac__512781.zip / FNB _-) R20000.00 t_fer from Current a_c..512781 to Current a_c..261544 @ Smartapp. 10Oct 10_31.eml</x:v>
      </x:c>
    </x:row>
    <x:row r="17">
      <x:c r="A17" s="34" t="n">
        <x:v>45940.561111111114</x:v>
      </x:c>
      <x:c r="B17" s="15" t="str">
        <x:v>Outflow</x:v>
      </x:c>
      <x:c r="C17" s="15" t="str">
        <x:v>R + A Projects</x:v>
      </x:c>
      <x:c r="D17" s="38" t="n">
        <x:v>1950</x:v>
      </x:c>
      <x:c r="E17" s="15" t="str">
        <x:v>ZAR</x:v>
      </x:c>
      <x:c r="F17" s="15" t="str">
        <x:v>Supplier payments</x:v>
      </x:c>
      <x:c r="G17" s="15" t="str">
        <x:v>Current a/c..512781</x:v>
      </x:c>
      <x:c r="H17" s="15" t="str">
        <x:v>R + A Projects</x:v>
      </x:c>
      <x:c r="I17" s="15" t="str">
        <x:v>eml_ALL_currentac__512781 (2).zip &gt; eml12currentac__512781.zip / FNB _-) R1950.00 paid from Current a_c..512781 @ Smartapp. Ref.R + A Projects. 10Oct 13_28.eml</x:v>
      </x:c>
    </x:row>
    <x:row r="18">
      <x:c r="A18" s="34" t="n">
        <x:v>45940.56180555555</x:v>
      </x:c>
      <x:c r="B18" s="15" t="str">
        <x:v>Outflow</x:v>
      </x:c>
      <x:c r="C18" s="15" t="str">
        <x:v>Nyala Safari 146</x:v>
      </x:c>
      <x:c r="D18" s="38" t="n">
        <x:v>2244</x:v>
      </x:c>
      <x:c r="E18" s="15" t="str">
        <x:v>ZAR</x:v>
      </x:c>
      <x:c r="F18" s="15" t="str">
        <x:v>Supplier payments</x:v>
      </x:c>
      <x:c r="G18" s="15" t="str">
        <x:v>Current a/c..512781</x:v>
      </x:c>
      <x:c r="H18" s="15" t="str">
        <x:v>Nyala Safari 146</x:v>
      </x:c>
      <x:c r="I18" s="15" t="str">
        <x:v>eml_ALL_currentac__512781 (2).zip &gt; eml12currentac__512781.zip / FNB _-) R2244.00 paid from Current a_c..512781 @ Smartapp. Ref.Nyala Safari 146. 10Oct 13_29.eml</x:v>
      </x:c>
    </x:row>
    <x:row r="19">
      <x:c r="A19" s="34" t="n">
        <x:v>45941.489583333336</x:v>
      </x:c>
      <x:c r="B19" s="15" t="str">
        <x:v>Outflow</x:v>
      </x:c>
      <x:c r="C19" s="15" t="str">
        <x:v>Electricity 04294887</x:v>
      </x:c>
      <x:c r="D19" s="38" t="n">
        <x:v>1000</x:v>
      </x:c>
      <x:c r="E19" s="15" t="str">
        <x:v>ZAR</x:v>
      </x:c>
      <x:c r="F19" s="15" t="str">
        <x:v>Telecom / utilities</x:v>
      </x:c>
      <x:c r="G19" s="15" t="str">
        <x:v>Current a/c..512781</x:v>
      </x:c>
      <x:c r="H19" s="15" t="str">
        <x:v>Electricity 04294887</x:v>
      </x:c>
      <x:c r="I19" s="15" t="str">
        <x:v>eml_ALL_currentac__512781 (2).zip &gt; eml12currentac__512781.zip / FNB _-) R1000.00 paid from Current a_c..512781 @ Smartapp. Ref.Electricity 04294887. 11Oct 11_45.eml</x:v>
      </x:c>
    </x:row>
    <x:row r="20">
      <x:c r="A20" s="34" t="n">
        <x:v>45941.600694444445</x:v>
      </x:c>
      <x:c r="B20" s="15" t="str">
        <x:v>Internal Transfer</x:v>
      </x:c>
      <x:c r="C20" s="15" t="str">
        <x:v>Current a/c..261544</x:v>
      </x:c>
      <x:c r="D20" s="38" t="n">
        <x:v>15000</x:v>
      </x:c>
      <x:c r="E20" s="15" t="str">
        <x:v>ZAR</x:v>
      </x:c>
      <x:c r="F20" s="15" t="str">
        <x:v>Inter-account transfer</x:v>
      </x:c>
      <x:c r="G20" s="15" t="str">
        <x:v>Current a/c..512781</x:v>
      </x:c>
      <x:c r="H20" s="15" t="str">
        <x:v>R15000.00 t/fer from Current a/c..512781 to Current a/c..261544 @ Smartapp. Avail R23947. 11Oct 14:25</x:v>
      </x:c>
      <x:c r="I20" s="15" t="str">
        <x:v>eml_ALL_currentac__512781 (2).zip &gt; eml12currentac__512781.zip / FNB _-) R15000.00 t_fer from Current a_c..512781 to Current a_c..261544 @ Smartapp. 11Oct 14_25.eml</x:v>
      </x:c>
    </x:row>
    <x:row r="21">
      <x:c r="A21" s="34" t="n">
        <x:v>45944.41875</x:v>
      </x:c>
      <x:c r="B21" s="15" t="str">
        <x:v>Outflow</x:v>
      </x:c>
      <x:c r="C21" s="15" t="str">
        <x:v>Dinner Box 100542</x:v>
      </x:c>
      <x:c r="D21" s="38" t="n">
        <x:v>1870.75</x:v>
      </x:c>
      <x:c r="E21" s="15" t="str">
        <x:v>ZAR</x:v>
      </x:c>
      <x:c r="F21" s="15" t="str">
        <x:v>Meals / restaurants / entertainment</x:v>
      </x:c>
      <x:c r="G21" s="15" t="str">
        <x:v>Current a/c..512781</x:v>
      </x:c>
      <x:c r="H21" s="15" t="str">
        <x:v>Dinner Box 100542</x:v>
      </x:c>
      <x:c r="I21" s="15" t="str">
        <x:v>eml_ALL_currentac__512781 (2).zip &gt; eml12currentac__512781.zip / FNB _-) R1870.75 paid from Current a_c..512781 @ Smartapp. Ref.Dinner Box 100542. 14Oct 10_03.eml</x:v>
      </x:c>
    </x:row>
    <x:row r="22">
      <x:c r="A22" s="34" t="n">
        <x:v>45944.42013888889</x:v>
      </x:c>
      <x:c r="B22" s="15" t="str">
        <x:v>Outflow</x:v>
      </x:c>
      <x:c r="C22" s="15" t="str">
        <x:v>Bon Express 006772</x:v>
      </x:c>
      <x:c r="D22" s="38" t="n">
        <x:v>255.76</x:v>
      </x:c>
      <x:c r="E22" s="15" t="str">
        <x:v>ZAR</x:v>
      </x:c>
      <x:c r="F22" s="15" t="str">
        <x:v>Supplier payments</x:v>
      </x:c>
      <x:c r="G22" s="15" t="str">
        <x:v>Current a/c..512781</x:v>
      </x:c>
      <x:c r="H22" s="15" t="str">
        <x:v>Bon Express 006772</x:v>
      </x:c>
      <x:c r="I22" s="15" t="str">
        <x:v>eml_ALL_currentac__512781 (2).zip &gt; eml12currentac__512781.zip / FNB _-) R255.76 paid from Current a_c..512781 @ Smartapp. Ref.Bon Express 006772. 14Oct 10_05.eml</x:v>
      </x:c>
    </x:row>
    <x:row r="23">
      <x:c r="A23" s="34" t="n">
        <x:v>45945.60138888889</x:v>
      </x:c>
      <x:c r="B23" s="15" t="str">
        <x:v>Outflow</x:v>
      </x:c>
      <x:c r="C23" s="15" t="str">
        <x:v>Oasis Water 7745</x:v>
      </x:c>
      <x:c r="D23" s="38" t="n">
        <x:v>108</x:v>
      </x:c>
      <x:c r="E23" s="15" t="str">
        <x:v>ZAR</x:v>
      </x:c>
      <x:c r="F23" s="15" t="str">
        <x:v>Supplier payments</x:v>
      </x:c>
      <x:c r="G23" s="15" t="str">
        <x:v>Current a/c..512781</x:v>
      </x:c>
      <x:c r="H23" s="15" t="str">
        <x:v>Oasis Water 7745</x:v>
      </x:c>
      <x:c r="I23" s="15" t="str">
        <x:v>eml_ALL_currentac__512781 (2).zip &gt; eml12currentac__512781.zip / FNB _-) R108.00 paid from Current a_c..512781 @ Smartapp. Ref.Oasis Water 7745. 15Oct 14_26.eml</x:v>
      </x:c>
    </x:row>
    <x:row r="24">
      <x:c r="A24" s="34" t="n">
        <x:v>45970.36041666667</x:v>
      </x:c>
      <x:c r="B24" s="15" t="str">
        <x:v>Outflow</x:v>
      </x:c>
      <x:c r="C24" s="15" t="str">
        <x:v>Cindy Wages</x:v>
      </x:c>
      <x:c r="D24" s="38" t="n">
        <x:v>500</x:v>
      </x:c>
      <x:c r="E24" s="15" t="str">
        <x:v>ZAR</x:v>
      </x:c>
      <x:c r="F24" s="15" t="str">
        <x:v>Salary / wages</x:v>
      </x:c>
      <x:c r="G24" s="15" t="str">
        <x:v>Current a/c..512781</x:v>
      </x:c>
      <x:c r="H24" s="15" t="str">
        <x:v>Cindy Wages</x:v>
      </x:c>
      <x:c r="I24" s="15" t="str">
        <x:v>eml_ALL_currentac__512781 (2).zip &gt; eml10currentac__512781.zip / FNB _-) R500.00 paid from Current a_c..512781 @ Smartapp. Ref.Cindy Wages.  9Nov 08_39.eml</x:v>
      </x:c>
    </x:row>
    <x:row r="25">
      <x:c r="A25" s="34" t="n">
        <x:v>45971.36736111111</x:v>
      </x:c>
      <x:c r="B25" s="15" t="str">
        <x:v>Outflow</x:v>
      </x:c>
      <x:c r="C25" s="15" t="str">
        <x:v>Kruger Safari 1664</x:v>
      </x:c>
      <x:c r="D25" s="38" t="n">
        <x:v>7500</x:v>
      </x:c>
      <x:c r="E25" s="15" t="str">
        <x:v>ZAR</x:v>
      </x:c>
      <x:c r="F25" s="15" t="str">
        <x:v>Supplier payments</x:v>
      </x:c>
      <x:c r="G25" s="15" t="str">
        <x:v>Current a/c..512781</x:v>
      </x:c>
      <x:c r="H25" s="15" t="str">
        <x:v>Kruger Safari 1664</x:v>
      </x:c>
      <x:c r="I25" s="15" t="str">
        <x:v>eml_ALL_currentac__512781 (2).zip &gt; eml10currentac__512781.zip / FNB _-) R7500.00 paid from Current a_c..512781 @ Smartapp. Ref.Kruger Safari 1664. 10Nov 08_49.eml</x:v>
      </x:c>
    </x:row>
    <x:row r="26">
      <x:c r="A26" s="34" t="n">
        <x:v>45971.57083333333</x:v>
      </x:c>
      <x:c r="B26" s="15" t="str">
        <x:v>Outflow</x:v>
      </x:c>
      <x:c r="C26" s="15" t="str">
        <x:v>Bon Express 006962</x:v>
      </x:c>
      <x:c r="D26" s="38" t="n">
        <x:v>255.76</x:v>
      </x:c>
      <x:c r="E26" s="15" t="str">
        <x:v>ZAR</x:v>
      </x:c>
      <x:c r="F26" s="15" t="str">
        <x:v>Supplier payments</x:v>
      </x:c>
      <x:c r="G26" s="15" t="str">
        <x:v>Current a/c..512781</x:v>
      </x:c>
      <x:c r="H26" s="15" t="str">
        <x:v>Bon Express 006962</x:v>
      </x:c>
      <x:c r="I26" s="15" t="str">
        <x:v>eml_ALL_currentac__512781 (2).zip &gt; eml10currentac__512781.zip / FNB _-) R255.76 paid from Current a_c..512781 @ Smartapp. Ref.Bon Express 006962. 10Nov 13_42.eml</x:v>
      </x:c>
    </x:row>
    <x:row r="27">
      <x:c r="A27" s="34" t="n">
        <x:v>45971.57152777778</x:v>
      </x:c>
      <x:c r="B27" s="15" t="str">
        <x:v>Inflow</x:v>
      </x:c>
      <x:c r="C27" s="15" t="str">
        <x:v>Ik Pay 487882</x:v>
      </x:c>
      <x:c r="D27" s="38" t="n">
        <x:v>12511.62</x:v>
      </x:c>
      <x:c r="E27" s="15" t="str">
        <x:v>ZAR</x:v>
      </x:c>
      <x:c r="F27" s="15" t="str">
        <x:v>Sales / customer receipts</x:v>
      </x:c>
      <x:c r="G27" s="15" t="str">
        <x:v>Current a/c..512781</x:v>
      </x:c>
      <x:c r="H27" s="15" t="str">
        <x:v>Ik Pay 487882</x:v>
      </x:c>
      <x:c r="I27" s="15" t="str">
        <x:v>eml_ALL_currentac__512781 (2).zip &gt; eml10currentac__512781.zip / FNB _-) R12511.62 paid to Current a_c..512781 @ Payshap. Ref.Ik Pay 487882. 10Nov 13_43.eml</x:v>
      </x:c>
    </x:row>
    <x:row r="28">
      <x:c r="A28" s="34" t="n">
        <x:v>45972.4625</x:v>
      </x:c>
      <x:c r="B28" s="15" t="str">
        <x:v>Outflow</x:v>
      </x:c>
      <x:c r="C28" s="15" t="str">
        <x:v>Waterkloof Gas 9632</x:v>
      </x:c>
      <x:c r="D28" s="38" t="n">
        <x:v>1258</x:v>
      </x:c>
      <x:c r="E28" s="15" t="str">
        <x:v>ZAR</x:v>
      </x:c>
      <x:c r="F28" s="15" t="str">
        <x:v>Supplier payments</x:v>
      </x:c>
      <x:c r="G28" s="15" t="str">
        <x:v>Current a/c..512781</x:v>
      </x:c>
      <x:c r="H28" s="15" t="str">
        <x:v>Waterkloof Gas 9632</x:v>
      </x:c>
      <x:c r="I28" s="15" t="str">
        <x:v>eml_ALL_currentac__512781 (2).zip &gt; eml10currentac__512781.zip / FNB _-) R1258.00 paid from Current a_c..512781 @ Smartapp. Ref.Waterkloof Gas 9632. 11Nov 11_06.eml</x:v>
      </x:c>
    </x:row>
    <x:row r="29">
      <x:c r="A29" s="34" t="n">
        <x:v>45972.4875</x:v>
      </x:c>
      <x:c r="B29" s="15" t="str">
        <x:v>Outflow</x:v>
      </x:c>
      <x:c r="C29" s="15" t="str">
        <x:v>Dinner Box 102116</x:v>
      </x:c>
      <x:c r="D29" s="38" t="n">
        <x:v>1202</x:v>
      </x:c>
      <x:c r="E29" s="15" t="str">
        <x:v>ZAR</x:v>
      </x:c>
      <x:c r="F29" s="15" t="str">
        <x:v>Meals / restaurants / entertainment</x:v>
      </x:c>
      <x:c r="G29" s="15" t="str">
        <x:v>Current a/c..512781</x:v>
      </x:c>
      <x:c r="H29" s="15" t="str">
        <x:v>Dinner Box 102116</x:v>
      </x:c>
      <x:c r="I29" s="15" t="str">
        <x:v>eml_ALL_currentac__512781 (2).zip &gt; eml10currentac__512781.zip / FNB _-) R1202.00 paid from Current a_c..512781 @ Smartapp. Ref.Dinner Box 102116. 11Nov 11_42.eml</x:v>
      </x:c>
    </x:row>
    <x:row r="30">
      <x:c r="A30" s="34" t="n">
        <x:v>45972.60763888889</x:v>
      </x:c>
      <x:c r="B30" s="15" t="str">
        <x:v>Outflow</x:v>
      </x:c>
      <x:c r="C30" s="15" t="str">
        <x:v>Royal Bush 3380 50%</x:v>
      </x:c>
      <x:c r="D30" s="38" t="n">
        <x:v>21945</x:v>
      </x:c>
      <x:c r="E30" s="15" t="str">
        <x:v>ZAR</x:v>
      </x:c>
      <x:c r="F30" s="15" t="str">
        <x:v>Supplier payments</x:v>
      </x:c>
      <x:c r="G30" s="15" t="str">
        <x:v>Current a/c..512781</x:v>
      </x:c>
      <x:c r="H30" s="15" t="str">
        <x:v>Royal Bush 3380 50%</x:v>
      </x:c>
      <x:c r="I30" s="15" t="str">
        <x:v>eml_ALL_currentac__512781 (2).zip &gt; eml10currentac__512781.zip / FNB _-) R21945.00 paid from Current a_c..512781 @ Gen Ph. Ref.Royal Bush 3380 50%. 11Nov 14_35.eml</x:v>
      </x:c>
    </x:row>
    <x:row r="31">
      <x:c r="A31" s="34" t="n">
        <x:v>45974.35138888889</x:v>
      </x:c>
      <x:c r="B31" s="15" t="str">
        <x:v>Outflow</x:v>
      </x:c>
      <x:c r="C31" s="15" t="str">
        <x:v>Mr Plumber- Inv 5053</x:v>
      </x:c>
      <x:c r="D31" s="38" t="n">
        <x:v>590</x:v>
      </x:c>
      <x:c r="E31" s="15" t="str">
        <x:v>ZAR</x:v>
      </x:c>
      <x:c r="F31" s="15" t="str">
        <x:v>Supplier payments</x:v>
      </x:c>
      <x:c r="G31" s="15" t="str">
        <x:v>Current a/c..512781</x:v>
      </x:c>
      <x:c r="H31" s="15" t="str">
        <x:v>Mr Plumber- Inv 5053</x:v>
      </x:c>
      <x:c r="I31" s="15" t="str">
        <x:v>eml_ALL_currentac__512781 (2).zip &gt; eml10currentac__512781.zip / FNB _-) R590.00 paid from Current a_c..512781 @ Smartapp. Ref.Mr Plumber- Inv 5053. 13Nov 08_26.eml</x:v>
      </x:c>
    </x:row>
    <x:row r="32">
      <x:c r="A32" s="34" t="n">
        <x:v>45974.57013888889</x:v>
      </x:c>
      <x:c r="B32" s="15" t="str">
        <x:v>Inflow</x:v>
      </x:c>
      <x:c r="C32" s="15" t="str">
        <x:v>Ik Pay 487882</x:v>
      </x:c>
      <x:c r="D32" s="38" t="n">
        <x:v>2148</x:v>
      </x:c>
      <x:c r="E32" s="15" t="str">
        <x:v>ZAR</x:v>
      </x:c>
      <x:c r="F32" s="15" t="str">
        <x:v>Sales / customer receipts</x:v>
      </x:c>
      <x:c r="G32" s="15" t="str">
        <x:v>Current a/c..512781</x:v>
      </x:c>
      <x:c r="H32" s="15" t="str">
        <x:v>Ik Pay 487882</x:v>
      </x:c>
      <x:c r="I32" s="15" t="str">
        <x:v>eml_ALL_currentac__512781 (2).zip &gt; eml10currentac__512781.zip / FNB _-) R2148.00 paid to Current a_c..512781 @ Payshap. Ref.Ik Pay 487882. 13Nov 13_41.eml</x:v>
      </x:c>
    </x:row>
    <x:row r="33">
      <x:c r="A33" s="34" t="n">
        <x:v>45975.37847222222</x:v>
      </x:c>
      <x:c r="B33" s="15" t="str">
        <x:v>Outflow</x:v>
      </x:c>
      <x:c r="C33" s="15" t="str">
        <x:v>Horse Af2hr2011</x:v>
      </x:c>
      <x:c r="D33" s="38" t="n">
        <x:v>1400</x:v>
      </x:c>
      <x:c r="E33" s="15" t="str">
        <x:v>ZAR</x:v>
      </x:c>
      <x:c r="F33" s="15" t="str">
        <x:v>Supplier payments</x:v>
      </x:c>
      <x:c r="G33" s="15" t="str">
        <x:v>Current a/c..512781</x:v>
      </x:c>
      <x:c r="H33" s="15" t="str">
        <x:v>Horse Af2hr2011</x:v>
      </x:c>
      <x:c r="I33" s="15" t="str">
        <x:v>eml_ALL_currentac__512781 (2).zip &gt; eml10currentac__512781.zip / FNB _-) R1400.00 paid from Current a_c..512781 @ Smartapp. Ref.Horse Af2hr2011. 14Nov 09_05.eml</x:v>
      </x:c>
    </x:row>
    <x:row r="34">
      <x:c r="A34" s="34" t="n">
        <x:v>45975.44583333333</x:v>
      </x:c>
      <x:c r="B34" s="15" t="str">
        <x:v>Inflow</x:v>
      </x:c>
      <x:c r="C34" s="15" t="str">
        <x:v>R025kw5cs0 Booking.c</x:v>
      </x:c>
      <x:c r="D34" s="38" t="n">
        <x:v>18242.98</x:v>
      </x:c>
      <x:c r="E34" s="15" t="str">
        <x:v>ZAR</x:v>
      </x:c>
      <x:c r="F34" s="15" t="str">
        <x:v>Sales / customer receipts</x:v>
      </x:c>
      <x:c r="G34" s="15" t="str">
        <x:v>Current a/c..512781</x:v>
      </x:c>
      <x:c r="H34" s="15" t="str">
        <x:v>R025kw5cs0 Booking.c</x:v>
      </x:c>
      <x:c r="I34" s="15" t="str">
        <x:v>eml_ALL_currentac__512781 (2).zip &gt; eml10currentac__512781.zip / FNB _-) R18242.98 paid to Current a_c..512781 @ Retail Forex. Ref.R025kw5cs0 Booking.c. 14Nov 10_42.eml</x:v>
      </x:c>
    </x:row>
    <x:row r="35">
      <x:c r="A35" s="34" t="n">
        <x:v>45975.45416666667</x:v>
      </x:c>
      <x:c r="B35" s="15" t="str">
        <x:v>Outflow</x:v>
      </x:c>
      <x:c r="C35" s="15" t="str">
        <x:v>Royal 3380 + 3463</x:v>
      </x:c>
      <x:c r="D35" s="38" t="n">
        <x:v>26185</x:v>
      </x:c>
      <x:c r="E35" s="15" t="str">
        <x:v>ZAR</x:v>
      </x:c>
      <x:c r="F35" s="15" t="str">
        <x:v>Supplier payments</x:v>
      </x:c>
      <x:c r="G35" s="15" t="str">
        <x:v>Current a/c..512781</x:v>
      </x:c>
      <x:c r="H35" s="15" t="str">
        <x:v>Royal 3380 + 3463</x:v>
      </x:c>
      <x:c r="I35" s="15" t="str">
        <x:v>eml_ALL_currentac__512781 (2).zip &gt; eml10currentac__512781.zip / FNB _-) R26185.00 paid from Current a_c..512781 @ Smartapp. Ref.Royal 3380 + 3463. 14Nov 10_54.eml</x:v>
      </x:c>
    </x:row>
    <x:row r="36">
      <x:c r="A36" s="34" t="n">
        <x:v>45975.459027777775</x:v>
      </x:c>
      <x:c r="B36" s="15" t="str">
        <x:v>Outflow</x:v>
      </x:c>
      <x:c r="C36" s="15" t="str">
        <x:v>Kruger Safari 1665</x:v>
      </x:c>
      <x:c r="D36" s="38" t="n">
        <x:v>5074</x:v>
      </x:c>
      <x:c r="E36" s="15" t="str">
        <x:v>ZAR</x:v>
      </x:c>
      <x:c r="F36" s="15" t="str">
        <x:v>Supplier payments</x:v>
      </x:c>
      <x:c r="G36" s="15" t="str">
        <x:v>Current a/c..512781</x:v>
      </x:c>
      <x:c r="H36" s="15" t="str">
        <x:v>Kruger Safari 1665</x:v>
      </x:c>
      <x:c r="I36" s="15" t="str">
        <x:v>eml_ALL_currentac__512781 (2).zip &gt; eml10currentac__512781.zip / FNB _-) R5074.00 paid from Current a_c..512781 @ Smartapp. Ref.Kruger Safari 1665. 14Nov 11_01.eml</x:v>
      </x:c>
    </x:row>
    <x:row r="37">
      <x:c r="A37" s="34" t="n">
        <x:v>45977.57152777778</x:v>
      </x:c>
      <x:c r="B37" s="15" t="str">
        <x:v>Internal Transfer</x:v>
      </x:c>
      <x:c r="C37" s="15" t="str">
        <x:v>Current a/c..261544</x:v>
      </x:c>
      <x:c r="D37" s="38" t="n">
        <x:v>18000</x:v>
      </x:c>
      <x:c r="E37" s="15" t="str">
        <x:v>ZAR</x:v>
      </x:c>
      <x:c r="F37" s="15" t="str">
        <x:v>Inter-account transfer</x:v>
      </x:c>
      <x:c r="G37" s="15" t="str">
        <x:v>Current a/c..261544</x:v>
      </x:c>
      <x:c r="H37" s="15" t="str">
        <x:v>R18000.00 t/fer from Current a/c..261544 to Current a/c..512781 @ Smartapp. Avail R4448. 16Nov 13:43</x:v>
      </x:c>
      <x:c r="I37" s="15" t="str">
        <x:v>eml_ALL_currentac__512781 (2).zip &gt; eml10currentac__512781.zip / FNB _-) R18000.00 t_fer from Current a_c..261544 to Current a_c..512781 @ Smartapp. 16Nov 13_43.eml</x:v>
      </x:c>
    </x:row>
    <x:row r="38">
      <x:c r="A38" s="34" t="n">
        <x:v>45978.2125</x:v>
      </x:c>
      <x:c r="B38" s="15" t="str">
        <x:v>Outflow</x:v>
      </x:c>
      <x:c r="C38" s="15" t="str">
        <x:v>Kruger Saf 1662/1663</x:v>
      </x:c>
      <x:c r="D38" s="38" t="n">
        <x:v>11016</x:v>
      </x:c>
      <x:c r="E38" s="15" t="str">
        <x:v>ZAR</x:v>
      </x:c>
      <x:c r="F38" s="15" t="str">
        <x:v>Supplier payments</x:v>
      </x:c>
      <x:c r="G38" s="15" t="str">
        <x:v>Current a/c..512781</x:v>
      </x:c>
      <x:c r="H38" s="15" t="str">
        <x:v>Kruger Saf 1662/1663</x:v>
      </x:c>
      <x:c r="I38" s="15" t="str">
        <x:v>eml_ALL_currentac__512781 (2).zip &gt; eml10currentac__512781.zip / FNB _-) R11016.00 paid from Current a_c..512781 @ Gen Ph. Ref.Kruger Saf 1662_1663. 17Nov 05_06.eml</x:v>
      </x:c>
    </x:row>
    <x:row r="39">
      <x:c r="A39" s="34" t="n">
        <x:v>45978.57152777778</x:v>
      </x:c>
      <x:c r="B39" s="15" t="str">
        <x:v>Inflow</x:v>
      </x:c>
      <x:c r="C39" s="15" t="str">
        <x:v>Ik Pay 487882</x:v>
      </x:c>
      <x:c r="D39" s="38" t="n">
        <x:v>5985.73</x:v>
      </x:c>
      <x:c r="E39" s="15" t="str">
        <x:v>ZAR</x:v>
      </x:c>
      <x:c r="F39" s="15" t="str">
        <x:v>Sales / customer receipts</x:v>
      </x:c>
      <x:c r="G39" s="15" t="str">
        <x:v>Current a/c..512781</x:v>
      </x:c>
      <x:c r="H39" s="15" t="str">
        <x:v>Ik Pay 487882</x:v>
      </x:c>
      <x:c r="I39" s="15" t="str">
        <x:v>eml_ALL_currentac__512781 (2).zip &gt; eml10currentac__512781.zip / FNB _-) R5985.73 paid to Current a_c..512781 @ Payshap. Ref.Ik Pay 487882. 17Nov 13_43.eml</x:v>
      </x:c>
    </x:row>
    <x:row r="40">
      <x:c r="A40" s="34" t="n">
        <x:v>45978.85277777778</x:v>
      </x:c>
      <x:c r="B40" s="15" t="str">
        <x:v>Outflow</x:v>
      </x:c>
      <x:c r="C40" s="15" t="str">
        <x:v>Ntonwasi Saf Inv476</x:v>
      </x:c>
      <x:c r="D40" s="38" t="n">
        <x:v>2770</x:v>
      </x:c>
      <x:c r="E40" s="15" t="str">
        <x:v>ZAR</x:v>
      </x:c>
      <x:c r="F40" s="15" t="str">
        <x:v>Supplier payments</x:v>
      </x:c>
      <x:c r="G40" s="15" t="str">
        <x:v>Current a/c..512781</x:v>
      </x:c>
      <x:c r="H40" s="15" t="str">
        <x:v>Ntonwasi Saf Inv476</x:v>
      </x:c>
      <x:c r="I40" s="15" t="str">
        <x:v>eml_ALL_currentac__512781 (2).zip &gt; eml10currentac__512781.zip / FNB _-) R2770.00 paid from Current a_c..512781 @ Smartapp. Ref.Ntonwasi Saf Inv476. 17Nov 20_28.eml</x:v>
      </x:c>
    </x:row>
    <x:row r="41">
      <x:c r="A41" s="34" t="n">
        <x:v>45979.40069444444</x:v>
      </x:c>
      <x:c r="B41" s="15" t="str">
        <x:v>Internal Transfer</x:v>
      </x:c>
      <x:c r="C41" s="15" t="str">
        <x:v>Current a/c..261544</x:v>
      </x:c>
      <x:c r="D41" s="38" t="n">
        <x:v>5000</x:v>
      </x:c>
      <x:c r="E41" s="15" t="str">
        <x:v>ZAR</x:v>
      </x:c>
      <x:c r="F41" s="15" t="str">
        <x:v>Inter-account transfer</x:v>
      </x:c>
      <x:c r="G41" s="15" t="str">
        <x:v>Current a/c..512781</x:v>
      </x:c>
      <x:c r="H41" s="15" t="str">
        <x:v>R5000.00 t/fer from Current a/c..512781 to Current a/c..261544 @ Smartapp. Avail R4712. 18Nov 09:37</x:v>
      </x:c>
      <x:c r="I41" s="15" t="str">
        <x:v>eml_ALL_currentac__512781 (2).zip &gt; eml10currentac__512781.zip / FNB _-) R5000.00 t_fer from Current a_c..512781 to Current a_c..261544 @ Smartapp. 18Nov 09_37.eml</x:v>
      </x:c>
    </x:row>
    <x:row r="42">
      <x:c r="A42" s="34" t="n">
        <x:v>45980.49652777778</x:v>
      </x:c>
      <x:c r="B42" s="15" t="str">
        <x:v>Outflow</x:v>
      </x:c>
      <x:c r="C42" s="15" t="str">
        <x:v>Dinner Box 102430</x:v>
      </x:c>
      <x:c r="D42" s="38" t="n">
        <x:v>1543</x:v>
      </x:c>
      <x:c r="E42" s="15" t="str">
        <x:v>ZAR</x:v>
      </x:c>
      <x:c r="F42" s="15" t="str">
        <x:v>Meals / restaurants / entertainment</x:v>
      </x:c>
      <x:c r="G42" s="15" t="str">
        <x:v>Current a/c..512781</x:v>
      </x:c>
      <x:c r="H42" s="15" t="str">
        <x:v>Dinner Box 102430</x:v>
      </x:c>
      <x:c r="I42" s="15" t="str">
        <x:v>eml_ALL_currentac__512781 (2).zip &gt; eml10currentac__512781.zip / FNB _-) R1543.00 paid from Current a_c..512781 @ Smartapp. Ref.Dinner Box 102430. 19Nov 11_55.eml</x:v>
      </x:c>
    </x:row>
    <x:row r="43">
      <x:c r="A43" s="34" t="n">
        <x:v>45981.57013888889</x:v>
      </x:c>
      <x:c r="B43" s="15" t="str">
        <x:v>Inflow</x:v>
      </x:c>
      <x:c r="C43" s="15" t="str">
        <x:v>Ik Pay 487882</x:v>
      </x:c>
      <x:c r="D43" s="38" t="n">
        <x:v>12016.88</x:v>
      </x:c>
      <x:c r="E43" s="15" t="str">
        <x:v>ZAR</x:v>
      </x:c>
      <x:c r="F43" s="15" t="str">
        <x:v>Sales / customer receipts</x:v>
      </x:c>
      <x:c r="G43" s="15" t="str">
        <x:v>Current a/c..512781</x:v>
      </x:c>
      <x:c r="H43" s="15" t="str">
        <x:v>Ik Pay 487882</x:v>
      </x:c>
      <x:c r="I43" s="15" t="str">
        <x:v>eml_ALL_currentac__512781 (2).zip &gt; eml10currentac__512781.zip / FNB _-) R12016.88 paid to Current a_c..512781 @ Payshap. Ref.Ik Pay 487882. 20Nov 13_41.eml</x:v>
      </x:c>
    </x:row>
    <x:row r="44">
      <x:c r="A44" s="34" t="n">
        <x:v>45981.61388888889</x:v>
      </x:c>
      <x:c r="B44" s="15" t="str">
        <x:v>Outflow</x:v>
      </x:c>
      <x:c r="C44" s="15" t="str">
        <x:v>Kruger Safari 1666</x:v>
      </x:c>
      <x:c r="D44" s="38" t="n">
        <x:v>8112</x:v>
      </x:c>
      <x:c r="E44" s="15" t="str">
        <x:v>ZAR</x:v>
      </x:c>
      <x:c r="F44" s="15" t="str">
        <x:v>Supplier payments</x:v>
      </x:c>
      <x:c r="G44" s="15" t="str">
        <x:v>Current a/c..512781</x:v>
      </x:c>
      <x:c r="H44" s="15" t="str">
        <x:v>Kruger Safari 1666</x:v>
      </x:c>
      <x:c r="I44" s="15" t="str">
        <x:v>eml_ALL_currentac__512781 (2).zip &gt; eml10currentac__512781.zip / FNB _-) R8112.00 paid from Current a_c..512781 @ Gen Ph. Ref.Kruger Safari 1666. 20Nov 14_44.eml</x:v>
      </x:c>
    </x:row>
    <x:row r="45">
      <x:c r="A45" s="34" t="n">
        <x:v>45981.74722222222</x:v>
      </x:c>
      <x:c r="B45" s="15" t="str">
        <x:v>Outflow</x:v>
      </x:c>
      <x:c r="C45" s="15" t="str">
        <x:v>Ac De Jager Vleis</x:v>
      </x:c>
      <x:c r="D45" s="38" t="n">
        <x:v>1842.04</x:v>
      </x:c>
      <x:c r="E45" s="15" t="str">
        <x:v>ZAR</x:v>
      </x:c>
      <x:c r="F45" s="15" t="str">
        <x:v>Supplier payments</x:v>
      </x:c>
      <x:c r="G45" s="15" t="str">
        <x:v>Current a/c..512781</x:v>
      </x:c>
      <x:c r="H45" s="15" t="str">
        <x:v>Ac De Jager Vleis</x:v>
      </x:c>
      <x:c r="I45" s="15" t="str">
        <x:v>eml_ALL_currentac__512781 (2).zip &gt; eml10currentac__512781.zip / FNB _-) R1842.04 paid from Current a_c..512781 @ Smartapp. Ref.Ac De Jager Vleis. 20Nov 17_56.eml</x:v>
      </x:c>
    </x:row>
    <x:row r="46">
      <x:c r="A46" s="34" t="n">
        <x:v>45982.40902777778</x:v>
      </x:c>
      <x:c r="B46" s="15" t="str">
        <x:v>Outflow</x:v>
      </x:c>
      <x:c r="C46" s="15" t="str">
        <x:v>Bon Express 007058</x:v>
      </x:c>
      <x:c r="D46" s="38" t="n">
        <x:v>546.25</x:v>
      </x:c>
      <x:c r="E46" s="15" t="str">
        <x:v>ZAR</x:v>
      </x:c>
      <x:c r="F46" s="15" t="str">
        <x:v>Supplier payments</x:v>
      </x:c>
      <x:c r="G46" s="15" t="str">
        <x:v>Current a/c..512781</x:v>
      </x:c>
      <x:c r="H46" s="15" t="str">
        <x:v>Bon Express 007058</x:v>
      </x:c>
      <x:c r="I46" s="15" t="str">
        <x:v>eml_ALL_currentac__512781 (2).zip &gt; eml10currentac__512781.zip / FNB _-) R546.25 paid from Current a_c..512781 @ Smartapp. Ref.Bon Express 007058. 21Nov 09_49.eml</x:v>
      </x:c>
    </x:row>
    <x:row r="47">
      <x:c r="A47" s="34" t="n">
        <x:v>45982.552777777775</x:v>
      </x:c>
      <x:c r="B47" s="15" t="str">
        <x:v>Internal Transfer</x:v>
      </x:c>
      <x:c r="C47" s="15" t="str">
        <x:v>Private Cheq Acc..566332</x:v>
      </x:c>
      <x:c r="D47" s="38" t="n">
        <x:v>5000</x:v>
      </x:c>
      <x:c r="E47" s="15" t="str">
        <x:v>ZAR</x:v>
      </x:c>
      <x:c r="F47" s="15" t="str">
        <x:v>Inter-account transfer</x:v>
      </x:c>
      <x:c r="G47" s="15" t="str">
        <x:v>Current a/c..512781</x:v>
      </x:c>
      <x:c r="H47" s="15" t="str">
        <x:v>R5000.00 t/fer from Current a/c..512781 to Private Cheq Acc..566332 @ Smartapp. Avail R4409. 21Nov 13:16</x:v>
      </x:c>
      <x:c r="I47" s="15" t="str">
        <x:v>eml_ALL_currentac__512781 (2).zip &gt; eml10currentac__512781.zip / FNB _-) R5000.00 t_fer from Current a_c..512781 to Private Cheq Acc..566332 @ Smartapp. 21Nov 13_16.eml</x:v>
      </x:c>
    </x:row>
    <x:row r="48">
      <x:c r="A48" s="34" t="n">
        <x:v>45982.59930555556</x:v>
      </x:c>
      <x:c r="B48" s="15" t="str">
        <x:v>Inflow</x:v>
      </x:c>
      <x:c r="C48" s="15" t="str">
        <x:v>R025klftk0 Booking.c</x:v>
      </x:c>
      <x:c r="D48" s="38" t="n">
        <x:v>27704.96</x:v>
      </x:c>
      <x:c r="E48" s="15" t="str">
        <x:v>ZAR</x:v>
      </x:c>
      <x:c r="F48" s="15" t="str">
        <x:v>Sales / customer receipts</x:v>
      </x:c>
      <x:c r="G48" s="15" t="str">
        <x:v>Current a/c..512781</x:v>
      </x:c>
      <x:c r="H48" s="15" t="str">
        <x:v>R025klftk0 Booking.c</x:v>
      </x:c>
      <x:c r="I48" s="15" t="str">
        <x:v>eml_ALL_currentac__512781 (2).zip &gt; eml10currentac__512781.zip / FNB _-) R27704.96 paid to Current a_c..512781 @ Retail Forex. Ref.R025klftk0 Booking.c. 21Nov 14_23.eml</x:v>
      </x:c>
    </x:row>
    <x:row r="49">
      <x:c r="A49" s="34" t="n">
        <x:v>45982.62986111111</x:v>
      </x:c>
      <x:c r="B49" s="15" t="str">
        <x:v>Internal Transfer</x:v>
      </x:c>
      <x:c r="C49" s="15" t="str">
        <x:v>Current a/c..261544</x:v>
      </x:c>
      <x:c r="D49" s="38" t="n">
        <x:v>5000</x:v>
      </x:c>
      <x:c r="E49" s="15" t="str">
        <x:v>ZAR</x:v>
      </x:c>
      <x:c r="F49" s="15" t="str">
        <x:v>Inter-account transfer</x:v>
      </x:c>
      <x:c r="G49" s="15" t="str">
        <x:v>Current a/c..512781</x:v>
      </x:c>
      <x:c r="H49" s="15" t="str">
        <x:v>R5000.00 t/fer from Current a/c..512781 to Current a/c..261544 @ Smartapp. Avail R24261. 21Nov 15:07</x:v>
      </x:c>
      <x:c r="I49" s="15" t="str">
        <x:v>eml_ALL_currentac__512781 (2).zip &gt; eml10currentac__512781.zip / FNB _-) R5000.00 t_fer from Current a_c..512781 to Current a_c..261544 @ Smartapp. 21Nov 15_07.eml</x:v>
      </x:c>
    </x:row>
    <x:row r="50">
      <x:c r="A50" s="34" t="n">
        <x:v>45982.63402777778</x:v>
      </x:c>
      <x:c r="B50" s="15" t="str">
        <x:v>Outflow</x:v>
      </x:c>
      <x:c r="C50" s="15" t="str">
        <x:v>Afr Dream In27814</x:v>
      </x:c>
      <x:c r="D50" s="38" t="n">
        <x:v>678.5</x:v>
      </x:c>
      <x:c r="E50" s="15" t="str">
        <x:v>ZAR</x:v>
      </x:c>
      <x:c r="F50" s="15" t="str">
        <x:v>Supplier payments</x:v>
      </x:c>
      <x:c r="G50" s="15" t="str">
        <x:v>Current a/c..512781</x:v>
      </x:c>
      <x:c r="H50" s="15" t="str">
        <x:v>Afr Dream In27814</x:v>
      </x:c>
      <x:c r="I50" s="15" t="str">
        <x:v>eml_ALL_currentac__512781 (2).zip &gt; eml10currentac__512781.zip / FNB _-) R678.50 paid from Current a_c..512781 @ Smartapp. Ref.Afr Dream In27814. 21Nov 15_13.eml</x:v>
      </x:c>
    </x:row>
    <x:row r="51">
      <x:c r="A51" s="34" t="n">
        <x:v>45982.635416666664</x:v>
      </x:c>
      <x:c r="B51" s="15" t="str">
        <x:v>Outflow</x:v>
      </x:c>
      <x:c r="C51" s="15" t="str">
        <x:v>Salary Portion Oct</x:v>
      </x:c>
      <x:c r="D51" s="38" t="n">
        <x:v>13000</x:v>
      </x:c>
      <x:c r="E51" s="15" t="str">
        <x:v>ZAR</x:v>
      </x:c>
      <x:c r="F51" s="15" t="str">
        <x:v>Salary / wages</x:v>
      </x:c>
      <x:c r="G51" s="15" t="str">
        <x:v>Current a/c..512781</x:v>
      </x:c>
      <x:c r="H51" s="15" t="str">
        <x:v>Salary Portion Oct</x:v>
      </x:c>
      <x:c r="I51" s="15" t="str">
        <x:v>eml_ALL_currentac__512781 (2).zip &gt; eml10currentac__512781.zip / FNB _-) R13000.00 paid from Current a_c..512781 @ Smartapp. Ref.Salary Portion Oct. 21Nov 15_15.eml</x:v>
      </x:c>
    </x:row>
    <x:row r="52">
      <x:c r="A52" s="34" t="n">
        <x:v>45982.63680555556</x:v>
      </x:c>
      <x:c r="B52" s="15" t="str">
        <x:v>Outflow</x:v>
      </x:c>
      <x:c r="C52" s="15" t="str">
        <x:v>Kruger Safari 1667</x:v>
      </x:c>
      <x:c r="D52" s="38" t="n">
        <x:v>5704</x:v>
      </x:c>
      <x:c r="E52" s="15" t="str">
        <x:v>ZAR</x:v>
      </x:c>
      <x:c r="F52" s="15" t="str">
        <x:v>Supplier payments</x:v>
      </x:c>
      <x:c r="G52" s="15" t="str">
        <x:v>Current a/c..512781</x:v>
      </x:c>
      <x:c r="H52" s="15" t="str">
        <x:v>Kruger Safari 1667</x:v>
      </x:c>
      <x:c r="I52" s="15" t="str">
        <x:v>eml_ALL_currentac__512781 (2).zip &gt; eml10currentac__512781.zip / FNB _-) R5704.00 paid from Current a_c..512781 @ Smartapp. Ref.Kruger Safari 1667. 21Nov 15_17.eml</x:v>
      </x:c>
    </x:row>
    <x:row r="53">
      <x:c r="A53" s="34" t="n">
        <x:v>45984.47638888889</x:v>
      </x:c>
      <x:c r="B53" s="15" t="str">
        <x:v>Internal Transfer</x:v>
      </x:c>
      <x:c r="C53" s="15" t="str">
        <x:v>Current a/c..261544</x:v>
      </x:c>
      <x:c r="D53" s="38" t="n">
        <x:v>2000</x:v>
      </x:c>
      <x:c r="E53" s="15" t="str">
        <x:v>ZAR</x:v>
      </x:c>
      <x:c r="F53" s="15" t="str">
        <x:v>Inter-account transfer</x:v>
      </x:c>
      <x:c r="G53" s="15" t="str">
        <x:v>Current a/c..512781</x:v>
      </x:c>
      <x:c r="H53" s="15" t="str">
        <x:v>R2000.00 t/fer from Current a/c..512781 to Current a/c..261544 @ Smartapp. Avail R2291. 23Nov 11:26</x:v>
      </x:c>
      <x:c r="I53" s="15" t="str">
        <x:v>eml_ALL_currentac__512781 (2).zip &gt; eml10currentac__512781.zip / FNB _-) R2000.00 t_fer from Current a_c..512781 to Current a_c..261544 @ Smartapp. 23Nov 11_26.eml</x:v>
      </x:c>
    </x:row>
    <x:row r="54">
      <x:c r="A54" s="34" t="n">
        <x:v>45985.44930555556</x:v>
      </x:c>
      <x:c r="B54" s="15" t="str">
        <x:v>Inflow</x:v>
      </x:c>
      <x:c r="C54" s="15" t="str">
        <x:v>Dreyer</x:v>
      </x:c>
      <x:c r="D54" s="38" t="n">
        <x:v>5000</x:v>
      </x:c>
      <x:c r="E54" s="15" t="str">
        <x:v>ZAR</x:v>
      </x:c>
      <x:c r="F54" s="15" t="str">
        <x:v>Sales / customer receipts</x:v>
      </x:c>
      <x:c r="G54" s="15" t="str">
        <x:v>Current a/c..512781</x:v>
      </x:c>
      <x:c r="H54" s="15" t="str">
        <x:v>Dreyer</x:v>
      </x:c>
      <x:c r="I54" s="15" t="str">
        <x:v>eml_ALL_currentac__512781 (2).zip &gt; eml10currentac__512781.zip / FNB _-) R5000.00 paid to Current a_c..512781 @ Smartapp. Ref.Dreyer. 24Nov 10_47.eml</x:v>
      </x:c>
    </x:row>
    <x:row r="55">
      <x:c r="A55" s="34" t="n">
        <x:v>45985.58125</x:v>
      </x:c>
      <x:c r="B55" s="15" t="str">
        <x:v>Inflow</x:v>
      </x:c>
      <x:c r="C55" s="15" t="str">
        <x:v>Ik Pay 487882</x:v>
      </x:c>
      <x:c r="D55" s="38" t="n">
        <x:v>1844.17</x:v>
      </x:c>
      <x:c r="E55" s="15" t="str">
        <x:v>ZAR</x:v>
      </x:c>
      <x:c r="F55" s="15" t="str">
        <x:v>Sales / customer receipts</x:v>
      </x:c>
      <x:c r="G55" s="15" t="str">
        <x:v>Current a/c..512781</x:v>
      </x:c>
      <x:c r="H55" s="15" t="str">
        <x:v>Ik Pay 487882</x:v>
      </x:c>
      <x:c r="I55" s="15" t="str">
        <x:v>eml_ALL_currentac__512781 (2).zip &gt; eml10currentac__512781.zip / FNB _-) R1844.17 paid to Current a_c..512781 @ Payshap. Ref.Ik Pay 487882. 24Nov 13_57.eml</x:v>
      </x:c>
    </x:row>
    <x:row r="56">
      <x:c r="A56" s="34" t="n">
        <x:v>45986.677083333336</x:v>
      </x:c>
      <x:c r="B56" s="15" t="str">
        <x:v>Internal Transfer</x:v>
      </x:c>
      <x:c r="C56" s="15" t="str">
        <x:v>Current a/c..261544</x:v>
      </x:c>
      <x:c r="D56" s="38" t="n">
        <x:v>2000</x:v>
      </x:c>
      <x:c r="E56" s="15" t="str">
        <x:v>ZAR</x:v>
      </x:c>
      <x:c r="F56" s="15" t="str">
        <x:v>Inter-account transfer</x:v>
      </x:c>
      <x:c r="G56" s="15" t="str">
        <x:v>Current a/c..512781</x:v>
      </x:c>
      <x:c r="H56" s="15" t="str">
        <x:v>R2000.00 t/fer from Current a/c..512781 to Current a/c..261544 @ Smartapp. Avail R5707. 25Nov 16:15</x:v>
      </x:c>
      <x:c r="I56" s="15" t="str">
        <x:v>eml_ALL_currentac__512781 (2).zip &gt; eml10currentac__512781.zip / FNB _-) R2000.00 t_fer from Current a_c..512781 to Current a_c..261544 @ Smartapp. 25Nov 16_15.eml</x:v>
      </x:c>
    </x:row>
    <x:row r="57">
      <x:c r="A57" s="34" t="n">
        <x:v>45987.544444444444</x:v>
      </x:c>
      <x:c r="B57" s="15" t="str">
        <x:v>Outflow</x:v>
      </x:c>
      <x:c r="C57" s="15" t="str">
        <x:v>Dinner Box 102794</x:v>
      </x:c>
      <x:c r="D57" s="38" t="n">
        <x:v>1484</x:v>
      </x:c>
      <x:c r="E57" s="15" t="str">
        <x:v>ZAR</x:v>
      </x:c>
      <x:c r="F57" s="15" t="str">
        <x:v>Meals / restaurants / entertainment</x:v>
      </x:c>
      <x:c r="G57" s="15" t="str">
        <x:v>Current a/c..512781</x:v>
      </x:c>
      <x:c r="H57" s="15" t="str">
        <x:v>Dinner Box 102794</x:v>
      </x:c>
      <x:c r="I57" s="15" t="str">
        <x:v>eml_ALL_currentac__512781 (2).zip &gt; eml10currentac__512781.zip / FNB _-) R1484.00 paid from Current a_c..512781 @ Smartapp. Ref.Dinner Box 102794. 26Nov 13_04.eml</x:v>
      </x:c>
    </x:row>
    <x:row r="58">
      <x:c r="A58" s="34" t="n">
        <x:v>45987.57986111111</x:v>
      </x:c>
      <x:c r="B58" s="15" t="str">
        <x:v>Inflow</x:v>
      </x:c>
      <x:c r="C58" s="15" t="str">
        <x:v>Ik Pay 487882</x:v>
      </x:c>
      <x:c r="D58" s="38" t="n">
        <x:v>4186.49</x:v>
      </x:c>
      <x:c r="E58" s="15" t="str">
        <x:v>ZAR</x:v>
      </x:c>
      <x:c r="F58" s="15" t="str">
        <x:v>Sales / customer receipts</x:v>
      </x:c>
      <x:c r="G58" s="15" t="str">
        <x:v>Current a/c..512781</x:v>
      </x:c>
      <x:c r="H58" s="15" t="str">
        <x:v>Ik Pay 487882</x:v>
      </x:c>
      <x:c r="I58" s="15" t="str">
        <x:v>eml_ALL_currentac__512781 (2).zip &gt; eml10currentac__512781.zip / FNB _-) R4186.49 paid to Current a_c..512781 @ Payshap. Ref.Ik Pay 487882. 26Nov 13_55.eml</x:v>
      </x:c>
    </x:row>
    <x:row r="59">
      <x:c r="A59" s="34" t="n">
        <x:v>45987.65</x:v>
      </x:c>
      <x:c r="B59" s="15" t="str">
        <x:v>Outflow</x:v>
      </x:c>
      <x:c r="C59" s="15" t="str">
        <x:v>Kruger Safari 1668</x:v>
      </x:c>
      <x:c r="D59" s="38" t="n">
        <x:v>2440</x:v>
      </x:c>
      <x:c r="E59" s="15" t="str">
        <x:v>ZAR</x:v>
      </x:c>
      <x:c r="F59" s="15" t="str">
        <x:v>Supplier payments</x:v>
      </x:c>
      <x:c r="G59" s="15" t="str">
        <x:v>Current a/c..512781</x:v>
      </x:c>
      <x:c r="H59" s="15" t="str">
        <x:v>Kruger Safari 1668</x:v>
      </x:c>
      <x:c r="I59" s="15" t="str">
        <x:v>eml_ALL_currentac__512781 (2).zip &gt; eml10currentac__512781.zip / FNB _-) R2440.00 paid from Current a_c..512781 @ Smartapp. Ref.Kruger Safari 1668. 26Nov 15_36.eml</x:v>
      </x:c>
    </x:row>
    <x:row r="60">
      <x:c r="A60" s="34" t="n">
        <x:v>45988.11736111111</x:v>
      </x:c>
      <x:c r="B60" s="15" t="str">
        <x:v>Outflow</x:v>
      </x:c>
      <x:c r="C60" s="15" t="str">
        <x:v>Kruger Safari 1669</x:v>
      </x:c>
      <x:c r="D60" s="38" t="n">
        <x:v>2910</x:v>
      </x:c>
      <x:c r="E60" s="15" t="str">
        <x:v>ZAR</x:v>
      </x:c>
      <x:c r="F60" s="15" t="str">
        <x:v>Supplier payments</x:v>
      </x:c>
      <x:c r="G60" s="15" t="str">
        <x:v>Current a/c..512781</x:v>
      </x:c>
      <x:c r="H60" s="15" t="str">
        <x:v>Kruger Safari 1669</x:v>
      </x:c>
      <x:c r="I60" s="15" t="str">
        <x:v>eml_ALL_currentac__512781 (2).zip &gt; eml10currentac__512781.zip / FNB _-) R2910.00 paid from Current a_c..512781 @ Smartapp. Ref.Kruger Safari 1669. 27Nov 02_49.eml</x:v>
      </x:c>
    </x:row>
    <x:row r="61">
      <x:c r="A61" s="34" t="n">
        <x:v>45988.58125</x:v>
      </x:c>
      <x:c r="B61" s="15" t="str">
        <x:v>Inflow</x:v>
      </x:c>
      <x:c r="C61" s="15" t="str">
        <x:v>Ik Pay 487882</x:v>
      </x:c>
      <x:c r="D61" s="38" t="n">
        <x:v>10359.2</x:v>
      </x:c>
      <x:c r="E61" s="15" t="str">
        <x:v>ZAR</x:v>
      </x:c>
      <x:c r="F61" s="15" t="str">
        <x:v>Sales / customer receipts</x:v>
      </x:c>
      <x:c r="G61" s="15" t="str">
        <x:v>Current a/c..512781</x:v>
      </x:c>
      <x:c r="H61" s="15" t="str">
        <x:v>Ik Pay 487882</x:v>
      </x:c>
      <x:c r="I61" s="15" t="str">
        <x:v>eml_ALL_currentac__512781 (2).zip &gt; eml10currentac__512781.zip / FNB _-) R10359.20 paid to Current a_c..512781 @ Payshap. Ref.Ik Pay 487882. 27Nov 13_57.eml</x:v>
      </x:c>
    </x:row>
    <x:row r="62">
      <x:c r="A62" s="34" t="n">
        <x:v>45989.59444444445</x:v>
      </x:c>
      <x:c r="B62" s="15" t="str">
        <x:v>Inflow</x:v>
      </x:c>
      <x:c r="C62" s="15" t="str">
        <x:v>R025k2rz50 Booking.c</x:v>
      </x:c>
      <x:c r="D62" s="38" t="n">
        <x:v>19163.49</x:v>
      </x:c>
      <x:c r="E62" s="15" t="str">
        <x:v>ZAR</x:v>
      </x:c>
      <x:c r="F62" s="15" t="str">
        <x:v>Sales / customer receipts</x:v>
      </x:c>
      <x:c r="G62" s="15" t="str">
        <x:v>Current a/c..512781</x:v>
      </x:c>
      <x:c r="H62" s="15" t="str">
        <x:v>R025k2rz50 Booking.c</x:v>
      </x:c>
      <x:c r="I62" s="15" t="str">
        <x:v>eml_ALL_currentac__512781 (2).zip &gt; eml10currentac__512781.zip / FNB _-) R19163.49 paid to Current a_c..512781 @ Retail Forex. Ref.R025k2rz50 Booking.c. 28Nov 14_16.eml</x:v>
      </x:c>
    </x:row>
    <x:row r="63">
      <x:c r="A63" s="34" t="n">
        <x:v>45990.46944444445</x:v>
      </x:c>
      <x:c r="B63" s="15" t="str">
        <x:v>Inflow</x:v>
      </x:c>
      <x:c r="C63" s="15" t="str">
        <x:v>6111002148</x:v>
      </x:c>
      <x:c r="D63" s="38" t="n">
        <x:v>1915.42</x:v>
      </x:c>
      <x:c r="E63" s="15" t="str">
        <x:v>ZAR</x:v>
      </x:c>
      <x:c r="F63" s="15" t="str">
        <x:v>Sales / customer receipts</x:v>
      </x:c>
      <x:c r="G63" s="15" t="str">
        <x:v>Current a/c..512781</x:v>
      </x:c>
      <x:c r="H63" s="15" t="str">
        <x:v>6111002148</x:v>
      </x:c>
      <x:c r="I63" s="15" t="str">
        <x:v>eml_ALL_currentac__512781 (2).zip &gt; eml10currentac__512781.zip / FNB _-) R1915.42 paid to Current a_c..512781 @ Real Time Cl. Ref.6111002148. 29Nov 11_16.eml</x:v>
      </x:c>
    </x:row>
    <x:row r="64">
      <x:c r="A64" s="34" t="n">
        <x:v>45990.575694444444</x:v>
      </x:c>
      <x:c r="B64" s="15" t="str">
        <x:v>Outflow</x:v>
      </x:c>
      <x:c r="C64" s="15" t="str">
        <x:v>Repayment</x:v>
      </x:c>
      <x:c r="D64" s="38" t="n">
        <x:v>5000</x:v>
      </x:c>
      <x:c r="E64" s="15" t="str">
        <x:v>ZAR</x:v>
      </x:c>
      <x:c r="F64" s="15" t="str">
        <x:v>Supplier payments</x:v>
      </x:c>
      <x:c r="G64" s="15" t="str">
        <x:v>Current a/c..512781</x:v>
      </x:c>
      <x:c r="H64" s="15" t="str">
        <x:v>Repayment</x:v>
      </x:c>
      <x:c r="I64" s="15" t="str">
        <x:v>eml_ALL_currentac__512781 (2).zip &gt; eml10currentac__512781.zip / FNB _-) R5000.00 paid from Current a_c..512781 @ Gen Ph. Ref.Repayment. 29Nov 13_49.eml</x:v>
      </x:c>
    </x:row>
    <x:row r="65">
      <x:c r="A65" s="34" t="n">
        <x:v>45991.00833333333</x:v>
      </x:c>
      <x:c r="B65" s="15" t="str">
        <x:v>Outflow</x:v>
      </x:c>
      <x:c r="C65" s="15" t="str">
        <x:v>Staff Tips For Sept</x:v>
      </x:c>
      <x:c r="D65" s="38" t="n">
        <x:v>5000</x:v>
      </x:c>
      <x:c r="E65" s="15" t="str">
        <x:v>ZAR</x:v>
      </x:c>
      <x:c r="F65" s="15" t="str">
        <x:v>Salary / wages</x:v>
      </x:c>
      <x:c r="G65" s="15" t="str">
        <x:v>Current a/c..512781</x:v>
      </x:c>
      <x:c r="H65" s="15" t="str">
        <x:v>Staff Tips For Sept</x:v>
      </x:c>
      <x:c r="I65" s="15" t="str">
        <x:v>eml_ALL_currentac__512781 (2).zip &gt; eml10currentac__512781.zip / FNB _-) R5000.00 paid from Current a_c..512781 @ Gen Ph. Ref.Staff Tips For Sept. 30Nov 00_12.eml</x:v>
      </x:c>
    </x:row>
    <x:row r="66">
      <x:c r="A66" s="34" t="n">
        <x:v>45991.08819444444</x:v>
      </x:c>
      <x:c r="B66" s="15" t="str">
        <x:v>Outflow</x:v>
      </x:c>
      <x:c r="C66" s="15" t="str">
        <x:v>Staff Tips For Oct</x:v>
      </x:c>
      <x:c r="D66" s="38" t="n">
        <x:v>4000</x:v>
      </x:c>
      <x:c r="E66" s="15" t="str">
        <x:v>ZAR</x:v>
      </x:c>
      <x:c r="F66" s="15" t="str">
        <x:v>Salary / wages</x:v>
      </x:c>
      <x:c r="G66" s="15" t="str">
        <x:v>Current a/c..512781</x:v>
      </x:c>
      <x:c r="H66" s="15" t="str">
        <x:v>Staff Tips For Oct</x:v>
      </x:c>
      <x:c r="I66" s="15" t="str">
        <x:v>eml_ALL_currentac__512781 (2).zip &gt; eml10currentac__512781.zip / FNB _-) R4000.00 paid from Current a_c..512781 @ Gen Ph. Ref.Staff Tips For Oct. 30Nov 02_07.eml</x:v>
      </x:c>
    </x:row>
    <x:row r="67">
      <x:c r="A67" s="34" t="n">
        <x:v>45991.42361111111</x:v>
      </x:c>
      <x:c r="B67" s="15" t="str">
        <x:v>Outflow</x:v>
      </x:c>
      <x:c r="C67" s="15" t="str">
        <x:v>Phindi Salary Nov</x:v>
      </x:c>
      <x:c r="D67" s="38" t="n">
        <x:v>4500</x:v>
      </x:c>
      <x:c r="E67" s="15" t="str">
        <x:v>ZAR</x:v>
      </x:c>
      <x:c r="F67" s="15" t="str">
        <x:v>Salary / wages</x:v>
      </x:c>
      <x:c r="G67" s="15" t="str">
        <x:v>Current a/c..512781</x:v>
      </x:c>
      <x:c r="H67" s="15" t="str">
        <x:v>Phindi Salary Nov</x:v>
      </x:c>
      <x:c r="I67" s="15" t="str">
        <x:v>eml_ALL_currentac__512781 (2).zip &gt; eml10currentac__512781.zip / FNB _-) R4500.00 paid from Current a_c..512781 @ Gen Ph. Ref.Phindi Salary Nov. 30Nov 10_10.eml</x:v>
      </x:c>
    </x:row>
    <x:row r="68">
      <x:c r="A68" s="34" t="n">
        <x:v>45991.76736111111</x:v>
      </x:c>
      <x:c r="B68" s="15" t="str">
        <x:v>Outflow</x:v>
      </x:c>
      <x:c r="C68" s="15" t="str">
        <x:v>Jsl - 9/12 Nov</x:v>
      </x:c>
      <x:c r="D68" s="38" t="n">
        <x:v>11280</x:v>
      </x:c>
      <x:c r="E68" s="15" t="str">
        <x:v>ZAR</x:v>
      </x:c>
      <x:c r="F68" s="15" t="str">
        <x:v>Supplier payments</x:v>
      </x:c>
      <x:c r="G68" s="15" t="str">
        <x:v>Current a/c..512781</x:v>
      </x:c>
      <x:c r="H68" s="15" t="str">
        <x:v>Jsl - 9/12 Nov</x:v>
      </x:c>
      <x:c r="I68" s="15" t="str">
        <x:v>eml_ALL_currentac__512781 (2).zip &gt; eml10currentac__512781.zip / FNB _-) R11280.00 paid from Current a_c..512781 @ Gen Ph. Ref.Jsl - 9_12 Nov. 30Nov 18_25.eml</x:v>
      </x:c>
    </x:row>
    <x:row r="69">
      <x:c r="A69" s="34" t="n">
        <x:v>46017.728472222225</x:v>
      </x:c>
      <x:c r="B69" s="15" t="str">
        <x:v>Outflow</x:v>
      </x:c>
      <x:c r="C69" s="15" t="str">
        <x:v>Vacation</x:v>
      </x:c>
      <x:c r="D69" s="38" t="n">
        <x:v>3000</x:v>
      </x:c>
      <x:c r="E69" s="15" t="str">
        <x:v>ZAR</x:v>
      </x:c>
      <x:c r="F69" s="15" t="str">
        <x:v>Supplier payments</x:v>
      </x:c>
      <x:c r="G69" s="15" t="str">
        <x:v>Current a/c..512781</x:v>
      </x:c>
      <x:c r="H69" s="15" t="str">
        <x:v>Vacation</x:v>
      </x:c>
      <x:c r="I69" s="15" t="str">
        <x:v>eml_ALL_currentac__512781 (2).zip &gt; eml8currentac__512781.zip / FNB _-) R3000.00 paid from Current a_c..512781 @ Smartapp. Ref.Vacation. 26Dec 17_29.eml</x:v>
      </x:c>
    </x:row>
    <x:row r="70">
      <x:c r="A70" s="34" t="n">
        <x:v>46018.438888888886</x:v>
      </x:c>
      <x:c r="B70" s="15" t="str">
        <x:v>Inflow</x:v>
      </x:c>
      <x:c r="C70" s="15" t="str">
        <x:v>Ik Pay 487882</x:v>
      </x:c>
      <x:c r="D70" s="38" t="n">
        <x:v>5340.06</x:v>
      </x:c>
      <x:c r="E70" s="15" t="str">
        <x:v>ZAR</x:v>
      </x:c>
      <x:c r="F70" s="15" t="str">
        <x:v>Sales / customer receipts</x:v>
      </x:c>
      <x:c r="G70" s="15" t="str">
        <x:v>Current a/c..512781</x:v>
      </x:c>
      <x:c r="H70" s="15" t="str">
        <x:v>Ik Pay 487882</x:v>
      </x:c>
      <x:c r="I70" s="15" t="str">
        <x:v>eml_ALL_currentac__512781 (2).zip &gt; eml8currentac__512781.zip / FNB _-) R5340.06 paid to Current a_c..512781 @ Payshap. Ref.Ik Pay 487882. 27Dec 10_32.eml</x:v>
      </x:c>
    </x:row>
    <x:row r="71">
      <x:c r="A71" s="34" t="n">
        <x:v>46018.64791666667</x:v>
      </x:c>
      <x:c r="B71" s="15" t="str">
        <x:v>Outflow</x:v>
      </x:c>
      <x:c r="C71" s="15" t="str">
        <x:v>Waterkloof Gas 10266</x:v>
      </x:c>
      <x:c r="D71" s="38" t="n">
        <x:v>1273</x:v>
      </x:c>
      <x:c r="E71" s="15" t="str">
        <x:v>ZAR</x:v>
      </x:c>
      <x:c r="F71" s="15" t="str">
        <x:v>Supplier payments</x:v>
      </x:c>
      <x:c r="G71" s="15" t="str">
        <x:v>Current a/c..512781</x:v>
      </x:c>
      <x:c r="H71" s="15" t="str">
        <x:v>Waterkloof Gas 10266</x:v>
      </x:c>
      <x:c r="I71" s="15" t="str">
        <x:v>eml_ALL_currentac__512781 (2).zip &gt; eml8currentac__512781.zip / FNB _-) R1273.00 paid from Current a_c..512781 @ Smartapp. Ref.Waterkloof Gas 10266. 27Dec 15_33.eml</x:v>
      </x:c>
    </x:row>
    <x:row r="72">
      <x:c r="A72" s="34" t="n">
        <x:v>46018.82986111111</x:v>
      </x:c>
      <x:c r="B72" s="15" t="str">
        <x:v>Outflow</x:v>
      </x:c>
      <x:c r="C72" s="15" t="str">
        <x:v>Gd Hoffman Wages</x:v>
      </x:c>
      <x:c r="D72" s="38" t="n">
        <x:v>5000</x:v>
      </x:c>
      <x:c r="E72" s="15" t="str">
        <x:v>ZAR</x:v>
      </x:c>
      <x:c r="F72" s="15" t="str">
        <x:v>Salary / wages</x:v>
      </x:c>
      <x:c r="G72" s="15" t="str">
        <x:v>Current a/c..512781</x:v>
      </x:c>
      <x:c r="H72" s="15" t="str">
        <x:v>Gd Hoffman Wages</x:v>
      </x:c>
      <x:c r="I72" s="15" t="str">
        <x:v>eml_ALL_currentac__512781 (2).zip &gt; eml8currentac__512781.zip / FNB _-) R5000.00 paid from Current a_c..512781 @ Gen Ph. Ref.Gd Hoffman Wages. 27Dec 19_55.eml</x:v>
      </x:c>
    </x:row>
    <x:row r="73">
      <x:c r="A73" s="34" t="n">
        <x:v>46019.38888888889</x:v>
      </x:c>
      <x:c r="B73" s="15" t="str">
        <x:v>Outflow</x:v>
      </x:c>
      <x:c r="C73" s="15" t="str">
        <x:v>Phindi Wages</x:v>
      </x:c>
      <x:c r="D73" s="38" t="n">
        <x:v>750</x:v>
      </x:c>
      <x:c r="E73" s="15" t="str">
        <x:v>ZAR</x:v>
      </x:c>
      <x:c r="F73" s="15" t="str">
        <x:v>Salary / wages</x:v>
      </x:c>
      <x:c r="G73" s="15" t="str">
        <x:v>Current a/c..512781</x:v>
      </x:c>
      <x:c r="H73" s="15" t="str">
        <x:v>Phindi Wages</x:v>
      </x:c>
      <x:c r="I73" s="15" t="str">
        <x:v>eml_ALL_currentac__512781 (2).zip &gt; eml8currentac__512781.zip / FNB _-) R750.00 paid from Current a_c..512781 @ Smartapp. Ref.Phindi Wages. 28Dec 09_20.eml</x:v>
      </x:c>
    </x:row>
    <x:row r="74">
      <x:c r="A74" s="34" t="n">
        <x:v>46019.52291666667</x:v>
      </x:c>
      <x:c r="B74" s="15" t="str">
        <x:v>Outflow</x:v>
      </x:c>
      <x:c r="C74" s="15" t="str">
        <x:v>Asbe - Comm</x:v>
      </x:c>
      <x:c r="D74" s="38" t="n">
        <x:v>857.18</x:v>
      </x:c>
      <x:c r="E74" s="15" t="str">
        <x:v>ZAR</x:v>
      </x:c>
      <x:c r="F74" s="15" t="str">
        <x:v>Supplier payments</x:v>
      </x:c>
      <x:c r="G74" s="15" t="str">
        <x:v>Current a/c..512781</x:v>
      </x:c>
      <x:c r="H74" s="15" t="str">
        <x:v>Asbe - Comm</x:v>
      </x:c>
      <x:c r="I74" s="15" t="str">
        <x:v>eml_ALL_currentac__512781 (2).zip &gt; eml8currentac__512781.zip / FNB _-) R857.18 paid from Current a_c..512781 @ Smartapp. Ref.Asbe - Comm. 28Dec 12_33.eml</x:v>
      </x:c>
    </x:row>
    <x:row r="75">
      <x:c r="A75" s="34" t="n">
        <x:v>46021.44236111111</x:v>
      </x:c>
      <x:c r="B75" s="15" t="str">
        <x:v>Inflow</x:v>
      </x:c>
      <x:c r="C75" s="15" t="str">
        <x:v>R025hthth0 Booking.c</x:v>
      </x:c>
      <x:c r="D75" s="38" t="n">
        <x:v>17245.52</x:v>
      </x:c>
      <x:c r="E75" s="15" t="str">
        <x:v>ZAR</x:v>
      </x:c>
      <x:c r="F75" s="15" t="str">
        <x:v>Sales / customer receipts</x:v>
      </x:c>
      <x:c r="G75" s="15" t="str">
        <x:v>Current a/c..512781</x:v>
      </x:c>
      <x:c r="H75" s="15" t="str">
        <x:v>R025hthth0 Booking.c</x:v>
      </x:c>
      <x:c r="I75" s="15" t="str">
        <x:v>eml_ALL_currentac__512781 (2).zip &gt; eml8currentac__512781.zip / FNB _-) R17245.52 paid to Current a_c..512781 @ Retail Forex. Ref.R025hthth0 Booking.c. 30Dec 10_37.eml</x:v>
      </x:c>
    </x:row>
    <x:row r="76">
      <x:c r="A76" s="34" t="n">
        <x:v>46021.444444444445</x:v>
      </x:c>
      <x:c r="B76" s="15" t="str">
        <x:v>Outflow</x:v>
      </x:c>
      <x:c r="C76" s="15" t="str">
        <x:v>Kruger Safari 1673</x:v>
      </x:c>
      <x:c r="D76" s="38" t="n">
        <x:v>13095</x:v>
      </x:c>
      <x:c r="E76" s="15" t="str">
        <x:v>ZAR</x:v>
      </x:c>
      <x:c r="F76" s="15" t="str">
        <x:v>Supplier payments</x:v>
      </x:c>
      <x:c r="G76" s="15" t="str">
        <x:v>Current a/c..512781</x:v>
      </x:c>
      <x:c r="H76" s="15" t="str">
        <x:v>Kruger Safari 1673</x:v>
      </x:c>
      <x:c r="I76" s="15" t="str">
        <x:v>eml_ALL_currentac__512781 (2).zip &gt; eml8currentac__512781.zip / FNB _-) R13095.00 paid from Current a_c..512781 @ Gen Ph. Ref.Kruger Safari 1673. 30Dec 10_40.eml</x:v>
      </x:c>
    </x:row>
    <x:row r="77">
      <x:c r="A77" s="34" t="n">
        <x:v>46022.48611111111</x:v>
      </x:c>
      <x:c r="B77" s="15" t="str">
        <x:v>Outflow</x:v>
      </x:c>
      <x:c r="C77" s="15" t="str">
        <x:v>Phindi Salary Dec</x:v>
      </x:c>
      <x:c r="D77" s="38" t="n">
        <x:v>4250</x:v>
      </x:c>
      <x:c r="E77" s="15" t="str">
        <x:v>ZAR</x:v>
      </x:c>
      <x:c r="F77" s="15" t="str">
        <x:v>Salary / wages</x:v>
      </x:c>
      <x:c r="G77" s="15" t="str">
        <x:v>Current a/c..512781</x:v>
      </x:c>
      <x:c r="H77" s="15" t="str">
        <x:v>Phindi Salary Dec</x:v>
      </x:c>
      <x:c r="I77" s="15" t="str">
        <x:v>eml_ALL_currentac__512781 (2).zip &gt; eml8currentac__512781.zip / FNB _-) R4250.00 paid from Current a_c..512781 @ Gen Ph. Ref.Phindi Salary Dec. 31Dec 11_40.eml</x:v>
      </x:c>
    </x:row>
    <x:row r="78">
      <x:c r="A78" s="34" t="n">
        <x:v>46022.57847222222</x:v>
      </x:c>
      <x:c r="B78" s="15" t="str">
        <x:v>Inflow</x:v>
      </x:c>
      <x:c r="C78" s="15" t="str">
        <x:v>Ik Pay 487882</x:v>
      </x:c>
      <x:c r="D78" s="38" t="n">
        <x:v>1794.86</x:v>
      </x:c>
      <x:c r="E78" s="15" t="str">
        <x:v>ZAR</x:v>
      </x:c>
      <x:c r="F78" s="15" t="str">
        <x:v>Sales / customer receipts</x:v>
      </x:c>
      <x:c r="G78" s="15" t="str">
        <x:v>Current a/c..512781</x:v>
      </x:c>
      <x:c r="H78" s="15" t="str">
        <x:v>Ik Pay 487882</x:v>
      </x:c>
      <x:c r="I78" s="15" t="str">
        <x:v>eml_ALL_currentac__512781 (2).zip &gt; eml8currentac__512781.zip / FNB _-) R1794.86 paid to Current a_c..512781 @ Payshap. Ref.Ik Pay 487882. 31Dec 13_53.eml</x:v>
      </x:c>
    </x:row>
    <x:row r="79">
      <x:c r="A79" s="34" t="n">
        <x:v>46024.57916666667</x:v>
      </x:c>
      <x:c r="B79" s="15" t="str">
        <x:v>Inflow</x:v>
      </x:c>
      <x:c r="C79" s="15" t="str">
        <x:v>Ik Pay 487882</x:v>
      </x:c>
      <x:c r="D79" s="38" t="n">
        <x:v>1890.19</x:v>
      </x:c>
      <x:c r="E79" s="15" t="str">
        <x:v>ZAR</x:v>
      </x:c>
      <x:c r="F79" s="15" t="str">
        <x:v>Sales / customer receipts</x:v>
      </x:c>
      <x:c r="G79" s="15" t="str">
        <x:v>Current a/c..512781</x:v>
      </x:c>
      <x:c r="H79" s="15" t="str">
        <x:v>Ik Pay 487882</x:v>
      </x:c>
      <x:c r="I79" s="15" t="str">
        <x:v>eml_ALL_currentac__512781 (2).zip &gt; eml8currentac__512781.zip / FNB _-) R1890.19 paid to Current a_c..512781 @ Payshap. Ref.Ik Pay 487882.  2Jan 13_54.eml</x:v>
      </x:c>
    </x:row>
    <x:row r="80">
      <x:c r="A80" s="34" t="n">
        <x:v>46025.44027777778</x:v>
      </x:c>
      <x:c r="B80" s="15" t="str">
        <x:v>Inflow</x:v>
      </x:c>
      <x:c r="C80" s="15" t="str">
        <x:v>Ik Pay 487882</x:v>
      </x:c>
      <x:c r="D80" s="38" t="n">
        <x:v>1624.82</x:v>
      </x:c>
      <x:c r="E80" s="15" t="str">
        <x:v>ZAR</x:v>
      </x:c>
      <x:c r="F80" s="15" t="str">
        <x:v>Sales / customer receipts</x:v>
      </x:c>
      <x:c r="G80" s="15" t="str">
        <x:v>Current a/c..512781</x:v>
      </x:c>
      <x:c r="H80" s="15" t="str">
        <x:v>Ik Pay 487882</x:v>
      </x:c>
      <x:c r="I80" s="15" t="str">
        <x:v>eml_ALL_currentac__512781 (2).zip &gt; eml8currentac__512781.zip / FNB _-) R1624.82 paid to Current a_c..512781 @ Payshap. Ref.Ik Pay 487882.  3Jan 10_34.eml</x:v>
      </x:c>
    </x:row>
    <x:row r="81">
      <x:c r="A81" s="34" t="n">
        <x:v>46025.74097222222</x:v>
      </x:c>
      <x:c r="B81" s="15" t="str">
        <x:v>Outflow</x:v>
      </x:c>
      <x:c r="C81" s="15" t="str">
        <x:v>Staff Nason</x:v>
      </x:c>
      <x:c r="D81" s="38" t="n">
        <x:v>5000</x:v>
      </x:c>
      <x:c r="E81" s="15" t="str">
        <x:v>ZAR</x:v>
      </x:c>
      <x:c r="F81" s="15" t="str">
        <x:v>Salary / wages</x:v>
      </x:c>
      <x:c r="G81" s="15" t="str">
        <x:v>Current a/c..512781</x:v>
      </x:c>
      <x:c r="H81" s="15" t="str">
        <x:v>Staff Nason</x:v>
      </x:c>
      <x:c r="I81" s="15" t="str">
        <x:v>eml_ALL_currentac__512781 (2).zip &gt; eml8currentac__512781.zip / FNB _-) R5000.00 paid from Current a_c..512781 @ Smartapp. Ref.Staff Nason.  3Jan 17_47.eml</x:v>
      </x:c>
    </x:row>
    <x:row r="82">
      <x:c r="A82" s="34" t="n">
        <x:v>46026.413194444445</x:v>
      </x:c>
      <x:c r="B82" s="15" t="str">
        <x:v>Internal Transfer</x:v>
      </x:c>
      <x:c r="C82" s="15" t="str">
        <x:v>Private Cheq Acc..566332</x:v>
      </x:c>
      <x:c r="D82" s="38" t="n">
        <x:v>5000</x:v>
      </x:c>
      <x:c r="E82" s="15" t="str">
        <x:v>ZAR</x:v>
      </x:c>
      <x:c r="F82" s="15" t="str">
        <x:v>Inter-account transfer</x:v>
      </x:c>
      <x:c r="G82" s="15" t="str">
        <x:v>Private Cheq Acc..566332</x:v>
      </x:c>
      <x:c r="H82" s="15" t="str">
        <x:v>R5000.00 t/fer from Private Cheq Acc..566332 to Current a/c..512781 @ Smartapp. Avail R5611. 4Jan 09:55</x:v>
      </x:c>
      <x:c r="I82" s="15" t="str">
        <x:v>eml_ALL_currentac__512781 (2).zip &gt; eml8currentac__512781.zip / FNB_-) R5000.00 t_fer from Private Cheq Acc..566332 to Current a_c..512781 @ Smartapp.  4Jan 09_55.eml</x:v>
      </x:c>
    </x:row>
    <x:row r="83">
      <x:c r="A83" s="34" t="n">
        <x:v>46026.41458333333</x:v>
      </x:c>
      <x:c r="B83" s="15" t="str">
        <x:v>Outflow</x:v>
      </x:c>
      <x:c r="C83" s="15" t="str">
        <x:v>Am Hoffman Wages</x:v>
      </x:c>
      <x:c r="D83" s="38" t="n">
        <x:v>5000</x:v>
      </x:c>
      <x:c r="E83" s="15" t="str">
        <x:v>ZAR</x:v>
      </x:c>
      <x:c r="F83" s="15" t="str">
        <x:v>Salary / wages</x:v>
      </x:c>
      <x:c r="G83" s="15" t="str">
        <x:v>Current a/c..512781</x:v>
      </x:c>
      <x:c r="H83" s="15" t="str">
        <x:v>Am Hoffman Wages</x:v>
      </x:c>
      <x:c r="I83" s="15" t="str">
        <x:v>eml_ALL_currentac__512781 (2).zip &gt; eml8currentac__512781.zip / FNB _-) R5000.00 paid from Current a_c..512781 @ Gen Ph. Ref.Am Hoffman Wages.  4Jan 09_57.eml</x:v>
      </x:c>
    </x:row>
    <x:row r="84">
      <x:c r="A84" s="34" t="n">
        <x:v>46027.388194444444</x:v>
      </x:c>
      <x:c r="B84" s="15" t="str">
        <x:v>Outflow</x:v>
      </x:c>
      <x:c r="C84" s="15" t="str">
        <x:v>Waterkloof Gas 10355</x:v>
      </x:c>
      <x:c r="D84" s="38" t="n">
        <x:v>325</x:v>
      </x:c>
      <x:c r="E84" s="15" t="str">
        <x:v>ZAR</x:v>
      </x:c>
      <x:c r="F84" s="15" t="str">
        <x:v>Supplier payments</x:v>
      </x:c>
      <x:c r="G84" s="15" t="str">
        <x:v>Current a/c..512781</x:v>
      </x:c>
      <x:c r="H84" s="15" t="str">
        <x:v>Waterkloof Gas 10355</x:v>
      </x:c>
      <x:c r="I84" s="15" t="str">
        <x:v>eml_ALL_currentac__512781 (2).zip &gt; eml8currentac__512781.zip / FNB _-) R325.00 paid from Current a_c..512781 @ Smartapp. Ref.Waterkloof Gas 10355.  5Jan 09_19.eml</x:v>
      </x:c>
    </x:row>
    <x:row r="85">
      <x:c r="A85" s="34" t="n">
        <x:v>46027.518055555556</x:v>
      </x:c>
      <x:c r="B85" s="15" t="str">
        <x:v>Inflow</x:v>
      </x:c>
      <x:c r="C85" s="15" t="str">
        <x:v>R026zvfqh0 Booking.c</x:v>
      </x:c>
      <x:c r="D85" s="38" t="n">
        <x:v>18851.23</x:v>
      </x:c>
      <x:c r="E85" s="15" t="str">
        <x:v>ZAR</x:v>
      </x:c>
      <x:c r="F85" s="15" t="str">
        <x:v>Sales / customer receipts</x:v>
      </x:c>
      <x:c r="G85" s="15" t="str">
        <x:v>Current a/c..512781</x:v>
      </x:c>
      <x:c r="H85" s="15" t="str">
        <x:v>R026zvfqh0 Booking.c</x:v>
      </x:c>
      <x:c r="I85" s="15" t="str">
        <x:v>eml_ALL_currentac__512781 (2).zip &gt; eml8currentac__512781.zip / FNB _-) R18851.23 paid to Current a_c..512781 @ Retail Forex. Ref.R026zvfqh0 Booking.c.  5Jan 12_26.eml</x:v>
      </x:c>
    </x:row>
    <x:row r="86">
      <x:c r="A86" s="34" t="n">
        <x:v>46028.38263888889</x:v>
      </x:c>
      <x:c r="B86" s="15" t="str">
        <x:v>Outflow</x:v>
      </x:c>
      <x:c r="C86" s="15" t="str">
        <x:v>Electricity 04294887</x:v>
      </x:c>
      <x:c r="D86" s="38" t="n">
        <x:v>500</x:v>
      </x:c>
      <x:c r="E86" s="15" t="str">
        <x:v>ZAR</x:v>
      </x:c>
      <x:c r="F86" s="15" t="str">
        <x:v>Telecom / utilities</x:v>
      </x:c>
      <x:c r="G86" s="15" t="str">
        <x:v>Current a/c..512781</x:v>
      </x:c>
      <x:c r="H86" s="15" t="str">
        <x:v>Electricity 04294887</x:v>
      </x:c>
      <x:c r="I86" s="15" t="str">
        <x:v>eml_ALL_currentac__512781 (2).zip &gt; eml8currentac__512781.zip / FNB _-) R500.00 paid from Current a_c..512781 @ Smartapp. Ref.Electricity 04294887.  6Jan 09_11.eml</x:v>
      </x:c>
    </x:row>
    <x:row r="87">
      <x:c r="A87" s="34" t="n">
        <x:v>46028.57708333333</x:v>
      </x:c>
      <x:c r="B87" s="15" t="str">
        <x:v>Inflow</x:v>
      </x:c>
      <x:c r="C87" s="15" t="str">
        <x:v>Ik Pay 487882</x:v>
      </x:c>
      <x:c r="D87" s="38" t="n">
        <x:v>2803.13</x:v>
      </x:c>
      <x:c r="E87" s="15" t="str">
        <x:v>ZAR</x:v>
      </x:c>
      <x:c r="F87" s="15" t="str">
        <x:v>Sales / customer receipts</x:v>
      </x:c>
      <x:c r="G87" s="15" t="str">
        <x:v>Current a/c..512781</x:v>
      </x:c>
      <x:c r="H87" s="15" t="str">
        <x:v>Ik Pay 487882</x:v>
      </x:c>
      <x:c r="I87" s="15" t="str">
        <x:v>eml_ALL_currentac__512781 (2).zip &gt; eml8currentac__512781.zip / FNB _-) R2803.13 paid to Current a_c..512781 @ Payshap. Ref.Ik Pay 487882.  6Jan 13_51.eml</x:v>
      </x:c>
    </x:row>
    <x:row r="88">
      <x:c r="A88" s="34" t="n">
        <x:v>46028.77638888889</x:v>
      </x:c>
      <x:c r="B88" s="15" t="str">
        <x:v>Outflow</x:v>
      </x:c>
      <x:c r="C88" s="15" t="str">
        <x:v>Kpci - C1736</x:v>
      </x:c>
      <x:c r="D88" s="38" t="n">
        <x:v>500</x:v>
      </x:c>
      <x:c r="E88" s="15" t="str">
        <x:v>ZAR</x:v>
      </x:c>
      <x:c r="F88" s="15" t="str">
        <x:v>Supplier payments</x:v>
      </x:c>
      <x:c r="G88" s="15" t="str">
        <x:v>Current a/c..512781</x:v>
      </x:c>
      <x:c r="H88" s="15" t="str">
        <x:v>Kpci - C1736</x:v>
      </x:c>
      <x:c r="I88" s="15" t="str">
        <x:v>eml_ALL_currentac__512781 (2).zip &gt; eml8currentac__512781.zip / FNB _-) R500.00 paid from Current a_c..512781 @ Smartapp. Ref.Kpci - C1736.  6Jan 18_38.eml</x:v>
      </x:c>
    </x:row>
    <x:row r="89">
      <x:c r="A89" s="34" t="n">
        <x:v>46028.77777777778</x:v>
      </x:c>
      <x:c r="B89" s="15" t="str">
        <x:v>Outflow</x:v>
      </x:c>
      <x:c r="C89" s="15" t="str">
        <x:v>Deon"s Diy 4377</x:v>
      </x:c>
      <x:c r="D89" s="38" t="n">
        <x:v>300</x:v>
      </x:c>
      <x:c r="E89" s="15" t="str">
        <x:v>ZAR</x:v>
      </x:c>
      <x:c r="F89" s="15" t="str">
        <x:v>Supplier payments</x:v>
      </x:c>
      <x:c r="G89" s="15" t="str">
        <x:v>Current a/c..512781</x:v>
      </x:c>
      <x:c r="H89" s="15" t="str">
        <x:v>Deon"s Diy 4377</x:v>
      </x:c>
      <x:c r="I89" s="15" t="str">
        <x:v>eml_ALL_currentac__512781 (2).zip &gt; eml8currentac__512781.zip / FNB _-) R300.00 paid from Current a_c..512781 @ Smartapp. Ref.Deon_s Diy 4377.  6Jan 18_40.eml</x:v>
      </x:c>
    </x:row>
    <x:row r="90">
      <x:c r="A90" s="34" t="n">
        <x:v>46028.77916666667</x:v>
      </x:c>
      <x:c r="B90" s="15" t="str">
        <x:v>Outflow</x:v>
      </x:c>
      <x:c r="C90" s="15" t="str">
        <x:v>Dreyer Salary</x:v>
      </x:c>
      <x:c r="D90" s="38" t="n">
        <x:v>2500</x:v>
      </x:c>
      <x:c r="E90" s="15" t="str">
        <x:v>ZAR</x:v>
      </x:c>
      <x:c r="F90" s="15" t="str">
        <x:v>Salary / wages</x:v>
      </x:c>
      <x:c r="G90" s="15" t="str">
        <x:v>Current a/c..512781</x:v>
      </x:c>
      <x:c r="H90" s="15" t="str">
        <x:v>Dreyer Salary</x:v>
      </x:c>
      <x:c r="I90" s="15" t="str">
        <x:v>eml_ALL_currentac__512781 (2).zip &gt; eml8currentac__512781.zip / FNB _-) R2500.00 paid from Current a_c..512781 @ Smartapp. Ref.Dreyer Salary.  6Jan 18_42.eml</x:v>
      </x:c>
    </x:row>
    <x:row r="91">
      <x:c r="A91" s="34" t="n">
        <x:v>46029.65</x:v>
      </x:c>
      <x:c r="B91" s="15" t="str">
        <x:v>Outflow</x:v>
      </x:c>
      <x:c r="C91" s="15" t="str">
        <x:v>Bon Express 1/07/26</x:v>
      </x:c>
      <x:c r="D91" s="38" t="n">
        <x:v>912.35</x:v>
      </x:c>
      <x:c r="E91" s="15" t="str">
        <x:v>ZAR</x:v>
      </x:c>
      <x:c r="F91" s="15" t="str">
        <x:v>Supplier payments</x:v>
      </x:c>
      <x:c r="G91" s="15" t="str">
        <x:v>Current a/c..512781</x:v>
      </x:c>
      <x:c r="H91" s="15" t="str">
        <x:v>Bon Express 1/07/26</x:v>
      </x:c>
      <x:c r="I91" s="15" t="str">
        <x:v>eml_ALL_currentac__512781 (2).zip &gt; eml8currentac__512781.zip / FNB _-) R912.35 paid from Current a_c..512781 @ Smartapp. Ref.Bon Express 1_07_26.  7Jan 15_36.eml</x:v>
      </x:c>
    </x:row>
    <x:row r="92">
      <x:c r="A92" s="34" t="n">
        <x:v>46030.57708333333</x:v>
      </x:c>
      <x:c r="B92" s="15" t="str">
        <x:v>Inflow</x:v>
      </x:c>
      <x:c r="C92" s="15" t="str">
        <x:v>Ik Pay 487882</x:v>
      </x:c>
      <x:c r="D92" s="38" t="n">
        <x:v>15045.67</x:v>
      </x:c>
      <x:c r="E92" s="15" t="str">
        <x:v>ZAR</x:v>
      </x:c>
      <x:c r="F92" s="15" t="str">
        <x:v>Sales / customer receipts</x:v>
      </x:c>
      <x:c r="G92" s="15" t="str">
        <x:v>Current a/c..512781</x:v>
      </x:c>
      <x:c r="H92" s="15" t="str">
        <x:v>Ik Pay 487882</x:v>
      </x:c>
      <x:c r="I92" s="15" t="str">
        <x:v>eml_ALL_currentac__512781 (2).zip &gt; eml8currentac__512781.zip / FNB _-) R15045.67 paid to Current a_c..512781 @ Payshap. Ref.Ik Pay 487882.  8Jan 13_51.eml</x:v>
      </x:c>
    </x:row>
    <x:row r="93">
      <x:c r="A93" s="34" t="n">
        <x:v>46030.60972222222</x:v>
      </x:c>
      <x:c r="B93" s="15" t="str">
        <x:v>Outflow</x:v>
      </x:c>
      <x:c r="C93" s="15" t="str">
        <x:v>Dreyer Ticket Jhb</x:v>
      </x:c>
      <x:c r="D93" s="38" t="n">
        <x:v>3000</x:v>
      </x:c>
      <x:c r="E93" s="15" t="str">
        <x:v>ZAR</x:v>
      </x:c>
      <x:c r="F93" s="15" t="str">
        <x:v>Supplier payments</x:v>
      </x:c>
      <x:c r="G93" s="15" t="str">
        <x:v>Current a/c..512781</x:v>
      </x:c>
      <x:c r="H93" s="15" t="str">
        <x:v>Dreyer Ticket Jhb</x:v>
      </x:c>
      <x:c r="I93" s="15" t="str">
        <x:v>eml_ALL_currentac__512781 (2).zip &gt; eml8currentac__512781.zip / FNB _-) R3000.00 paid from Current a_c..512781 @ Smartapp. Ref.Dreyer Ticket Jhb.  8Jan 14_38.eml</x:v>
      </x:c>
    </x:row>
    <x:row r="94">
      <x:c r="A94" s="34" t="n">
        <x:v>46030.625</x:v>
      </x:c>
      <x:c r="B94" s="15" t="str">
        <x:v>Outflow</x:v>
      </x:c>
      <x:c r="C94" s="15" t="str">
        <x:v>Kruger Safari 1675</x:v>
      </x:c>
      <x:c r="D94" s="38" t="n">
        <x:v>2904</x:v>
      </x:c>
      <x:c r="E94" s="15" t="str">
        <x:v>ZAR</x:v>
      </x:c>
      <x:c r="F94" s="15" t="str">
        <x:v>Supplier payments</x:v>
      </x:c>
      <x:c r="G94" s="15" t="str">
        <x:v>Current a/c..512781</x:v>
      </x:c>
      <x:c r="H94" s="15" t="str">
        <x:v>Kruger Safari 1675</x:v>
      </x:c>
      <x:c r="I94" s="15" t="str">
        <x:v>eml_ALL_currentac__512781 (2).zip &gt; eml8currentac__512781.zip / FNB _-) R2904.00 paid from Current a_c..512781 @ Smartapp. Ref.Kruger Safari 1675.  8Jan 15_00.eml</x:v>
      </x:c>
    </x:row>
    <x:row r="95">
      <x:c r="A95" s="34" t="n">
        <x:v>46030.626388888886</x:v>
      </x:c>
      <x:c r="B95" s="15" t="str">
        <x:v>Outflow</x:v>
      </x:c>
      <x:c r="C95" s="15" t="str">
        <x:v>Kruger Safari 1674</x:v>
      </x:c>
      <x:c r="D95" s="38" t="n">
        <x:v>2904</x:v>
      </x:c>
      <x:c r="E95" s="15" t="str">
        <x:v>ZAR</x:v>
      </x:c>
      <x:c r="F95" s="15" t="str">
        <x:v>Supplier payments</x:v>
      </x:c>
      <x:c r="G95" s="15" t="str">
        <x:v>Current a/c..512781</x:v>
      </x:c>
      <x:c r="H95" s="15" t="str">
        <x:v>Kruger Safari 1674</x:v>
      </x:c>
      <x:c r="I95" s="15" t="str">
        <x:v>eml_ALL_currentac__512781 (2).zip &gt; eml8currentac__512781.zip / FNB _-) R2904.00 paid from Current a_c..512781 @ Smartapp. Ref.Kruger Safari 1674.  8Jan 15_02.eml</x:v>
      </x:c>
    </x:row>
    <x:row r="96">
      <x:c r="A96" s="34" t="n">
        <x:v>46030.740277777775</x:v>
      </x:c>
      <x:c r="B96" s="15" t="str">
        <x:v>Outflow</x:v>
      </x:c>
      <x:c r="C96" s="15" t="str">
        <x:v>Salary Nason Dec</x:v>
      </x:c>
      <x:c r="D96" s="38" t="n">
        <x:v>7000</x:v>
      </x:c>
      <x:c r="E96" s="15" t="str">
        <x:v>ZAR</x:v>
      </x:c>
      <x:c r="F96" s="15" t="str">
        <x:v>Salary / wages</x:v>
      </x:c>
      <x:c r="G96" s="15" t="str">
        <x:v>Current a/c..512781</x:v>
      </x:c>
      <x:c r="H96" s="15" t="str">
        <x:v>Salary Nason Dec</x:v>
      </x:c>
      <x:c r="I96" s="15" t="str">
        <x:v>eml_ALL_currentac__512781 (2).zip &gt; eml8currentac__512781.zip / FNB _-) R7000.00 paid from Current a_c..512781 @ Smartapp. Ref.Salary Nason Dec.  8Jan 17_46.eml</x:v>
      </x:c>
    </x:row>
    <x:row r="97">
      <x:c r="A97" s="34" t="n">
        <x:v>46031.36736111111</x:v>
      </x:c>
      <x:c r="B97" s="15" t="str">
        <x:v>Outflow</x:v>
      </x:c>
      <x:c r="C97" s="15" t="str">
        <x:v>Oasis Water 8830</x:v>
      </x:c>
      <x:c r="D97" s="38" t="n">
        <x:v>240.2</x:v>
      </x:c>
      <x:c r="E97" s="15" t="str">
        <x:v>ZAR</x:v>
      </x:c>
      <x:c r="F97" s="15" t="str">
        <x:v>Supplier payments</x:v>
      </x:c>
      <x:c r="G97" s="15" t="str">
        <x:v>Current a/c..512781</x:v>
      </x:c>
      <x:c r="H97" s="15" t="str">
        <x:v>Oasis Water 8830</x:v>
      </x:c>
      <x:c r="I97" s="15" t="str">
        <x:v>eml_ALL_currentac__512781 (2).zip &gt; eml8currentac__512781.zip / FNB _-) R240.20 paid from Current a_c..512781 @ Smartapp. Ref.Oasis Water 8830.  9Jan 08_49.eml</x:v>
      </x:c>
    </x:row>
    <x:row r="98">
      <x:c r="A98" s="34" t="n">
        <x:v>46031.46111111111</x:v>
      </x:c>
      <x:c r="B98" s="15" t="str">
        <x:v>Inflow</x:v>
      </x:c>
      <x:c r="C98" s="15" t="str">
        <x:v>R026znlj30 Booking.c</x:v>
      </x:c>
      <x:c r="D98" s="38" t="n">
        <x:v>33960.52</x:v>
      </x:c>
      <x:c r="E98" s="15" t="str">
        <x:v>ZAR</x:v>
      </x:c>
      <x:c r="F98" s="15" t="str">
        <x:v>Sales / customer receipts</x:v>
      </x:c>
      <x:c r="G98" s="15" t="str">
        <x:v>Current a/c..512781</x:v>
      </x:c>
      <x:c r="H98" s="15" t="str">
        <x:v>R026znlj30 Booking.c</x:v>
      </x:c>
      <x:c r="I98" s="15" t="str">
        <x:v>eml_ALL_currentac__512781 (2).zip &gt; eml8currentac__512781.zip / FNB _-) R33960.52 paid to Current a_c..512781 @ Retail Forex. Ref.R026znlj30 Booking.c.  9Jan 11_04.eml</x:v>
      </x:c>
    </x:row>
    <x:row r="99">
      <x:c r="A99" s="34" t="n">
        <x:v>46031.572916666664</x:v>
      </x:c>
      <x:c r="B99" s="15" t="str">
        <x:v>Inflow</x:v>
      </x:c>
      <x:c r="C99" s="15" t="str">
        <x:v>Ik Pay 487882</x:v>
      </x:c>
      <x:c r="D99" s="38" t="n">
        <x:v>1174.79</x:v>
      </x:c>
      <x:c r="E99" s="15" t="str">
        <x:v>ZAR</x:v>
      </x:c>
      <x:c r="F99" s="15" t="str">
        <x:v>Sales / customer receipts</x:v>
      </x:c>
      <x:c r="G99" s="15" t="str">
        <x:v>Current a/c..512781</x:v>
      </x:c>
      <x:c r="H99" s="15" t="str">
        <x:v>Ik Pay 487882</x:v>
      </x:c>
      <x:c r="I99" s="15" t="str">
        <x:v>eml_ALL_currentac__512781 (2).zip &gt; eml8currentac__512781.zip / FNB _-) R1174.79 paid to Current a_c..512781 @ Payshap. Ref.Ik Pay 487882.  9Jan 13_45.eml</x:v>
      </x:c>
    </x:row>
    <x:row r="100">
      <x:c r="A100" s="34" t="n">
        <x:v>46031.697222222225</x:v>
      </x:c>
      <x:c r="B100" s="15" t="str">
        <x:v>Outflow</x:v>
      </x:c>
      <x:c r="C100" s="15" t="str">
        <x:v>Royal Bush 3617</x:v>
      </x:c>
      <x:c r="D100" s="38" t="n">
        <x:v>4740</x:v>
      </x:c>
      <x:c r="E100" s="15" t="str">
        <x:v>ZAR</x:v>
      </x:c>
      <x:c r="F100" s="15" t="str">
        <x:v>Supplier payments</x:v>
      </x:c>
      <x:c r="G100" s="15" t="str">
        <x:v>Current a/c..512781</x:v>
      </x:c>
      <x:c r="H100" s="15" t="str">
        <x:v>Royal Bush 3617</x:v>
      </x:c>
      <x:c r="I100" s="15" t="str">
        <x:v>eml_ALL_currentac__512781 (2).zip &gt; eml8currentac__512781.zip / FNB _-) R4740.00 paid from Current a_c..512781 @ Gen Ph. Ref.Royal Bush 3617.  9Jan 16_44.eml</x:v>
      </x:c>
    </x:row>
    <x:row r="101">
      <x:c r="A101" s="34" t="n">
        <x:v>46031.833333333336</x:v>
      </x:c>
      <x:c r="B101" s="15" t="str">
        <x:v>Outflow</x:v>
      </x:c>
      <x:c r="C101" s="15" t="str">
        <x:v>Asbe - 002 Comm Jan</x:v>
      </x:c>
      <x:c r="D101" s="38" t="n">
        <x:v>4372.34</x:v>
      </x:c>
      <x:c r="E101" s="15" t="str">
        <x:v>ZAR</x:v>
      </x:c>
      <x:c r="F101" s="15" t="str">
        <x:v>Supplier payments</x:v>
      </x:c>
      <x:c r="G101" s="15" t="str">
        <x:v>Current a/c..512781</x:v>
      </x:c>
      <x:c r="H101" s="15" t="str">
        <x:v>Asbe - 002 Comm Jan</x:v>
      </x:c>
      <x:c r="I101" s="15" t="str">
        <x:v>eml_ALL_currentac__512781 (2).zip &gt; eml8currentac__512781.zip / FNB _-) R4372.34 paid from Current a_c..512781 @ Smartapp. Ref.Asbe - 002 Comm Jan.  9Jan 20_00.eml</x:v>
      </x:c>
    </x:row>
    <x:row r="102">
      <x:c r="A102" s="34" t="n">
        <x:v>46032.527083333334</x:v>
      </x:c>
      <x:c r="B102" s="15" t="str">
        <x:v>Outflow</x:v>
      </x:c>
      <x:c r="C102" s="15" t="str">
        <x:v>Electricity 04294887</x:v>
      </x:c>
      <x:c r="D102" s="38" t="n">
        <x:v>500</x:v>
      </x:c>
      <x:c r="E102" s="15" t="str">
        <x:v>ZAR</x:v>
      </x:c>
      <x:c r="F102" s="15" t="str">
        <x:v>Telecom / utilities</x:v>
      </x:c>
      <x:c r="G102" s="15" t="str">
        <x:v>Current a/c..512781</x:v>
      </x:c>
      <x:c r="H102" s="15" t="str">
        <x:v>Electricity 04294887</x:v>
      </x:c>
      <x:c r="I102" s="15" t="str">
        <x:v>eml_ALL_currentac__512781 (2).zip &gt; eml8currentac__512781.zip / FNB _-) R500.00 paid from Current a_c..512781 @ Smartapp. Ref.Electricity 04294887. 10Jan 12_39.eml</x:v>
      </x:c>
    </x:row>
    <x:row r="103">
      <x:c r="A103" s="34" t="n">
        <x:v>46032.529861111114</x:v>
      </x:c>
      <x:c r="B103" s="15" t="str">
        <x:v>Outflow</x:v>
      </x:c>
      <x:c r="C103" s="15" t="str">
        <x:v>Kruger Safari 1676</x:v>
      </x:c>
      <x:c r="D103" s="38" t="n">
        <x:v>5408</x:v>
      </x:c>
      <x:c r="E103" s="15" t="str">
        <x:v>ZAR</x:v>
      </x:c>
      <x:c r="F103" s="15" t="str">
        <x:v>Supplier payments</x:v>
      </x:c>
      <x:c r="G103" s="15" t="str">
        <x:v>Current a/c..512781</x:v>
      </x:c>
      <x:c r="H103" s="15" t="str">
        <x:v>Kruger Safari 1676</x:v>
      </x:c>
      <x:c r="I103" s="15" t="str">
        <x:v>eml_ALL_currentac__512781 (2).zip &gt; eml8currentac__512781.zip / FNB _-) R5408.00 paid from Current a_c..512781 @ Gen Ph. Ref.Kruger Safari 1676. 10Jan 12_43.eml</x:v>
      </x:c>
    </x:row>
    <x:row r="104">
      <x:c r="A104" s="34" t="n">
        <x:v>46033.56597222222</x:v>
      </x:c>
      <x:c r="B104" s="15" t="str">
        <x:v>Outflow</x:v>
      </x:c>
      <x:c r="C104" s="15" t="str">
        <x:v>Dreyer Salary Portio</x:v>
      </x:c>
      <x:c r="D104" s="38" t="n">
        <x:v>1000</x:v>
      </x:c>
      <x:c r="E104" s="15" t="str">
        <x:v>ZAR</x:v>
      </x:c>
      <x:c r="F104" s="15" t="str">
        <x:v>Salary / wages</x:v>
      </x:c>
      <x:c r="G104" s="15" t="str">
        <x:v>Current a/c..512781</x:v>
      </x:c>
      <x:c r="H104" s="15" t="str">
        <x:v>Dreyer Salary Portio</x:v>
      </x:c>
      <x:c r="I104" s="15" t="str">
        <x:v>eml_ALL_currentac__512781 (2).zip &gt; eml8currentac__512781.zip / FNB _-) R1000.00 paid from Current a_c..512781 @ Smartapp. Ref.Dreyer Salary Portio. 11Jan 13_35.eml</x:v>
      </x:c>
    </x:row>
    <x:row r="105">
      <x:c r="A105" s="34" t="n">
        <x:v>46034.57638888889</x:v>
      </x:c>
      <x:c r="B105" s="15" t="str">
        <x:v>Inflow</x:v>
      </x:c>
      <x:c r="C105" s="15" t="str">
        <x:v>Ik Pay 487882</x:v>
      </x:c>
      <x:c r="D105" s="38" t="n">
        <x:v>20850.99</x:v>
      </x:c>
      <x:c r="E105" s="15" t="str">
        <x:v>ZAR</x:v>
      </x:c>
      <x:c r="F105" s="15" t="str">
        <x:v>Sales / customer receipts</x:v>
      </x:c>
      <x:c r="G105" s="15" t="str">
        <x:v>Current a/c..512781</x:v>
      </x:c>
      <x:c r="H105" s="15" t="str">
        <x:v>Ik Pay 487882</x:v>
      </x:c>
      <x:c r="I105" s="15" t="str">
        <x:v>eml_ALL_currentac__512781 (2).zip &gt; eml8currentac__512781.zip / FNB _-) R20850.99 paid to Current a_c..512781 @ Payshap. Ref.Ik Pay 487882. 12Jan 13_50.eml</x:v>
      </x:c>
    </x:row>
    <x:row r="106">
      <x:c r="A106" s="34" t="n">
        <x:v>46035.57638888889</x:v>
      </x:c>
      <x:c r="B106" s="15" t="str">
        <x:v>Inflow</x:v>
      </x:c>
      <x:c r="C106" s="15" t="str">
        <x:v>Ik Pay 487882</x:v>
      </x:c>
      <x:c r="D106" s="38" t="n">
        <x:v>2699.11</x:v>
      </x:c>
      <x:c r="E106" s="15" t="str">
        <x:v>ZAR</x:v>
      </x:c>
      <x:c r="F106" s="15" t="str">
        <x:v>Sales / customer receipts</x:v>
      </x:c>
      <x:c r="G106" s="15" t="str">
        <x:v>Current a/c..512781</x:v>
      </x:c>
      <x:c r="H106" s="15" t="str">
        <x:v>Ik Pay 487882</x:v>
      </x:c>
      <x:c r="I106" s="15" t="str">
        <x:v>eml_ALL_currentac__512781 (2).zip &gt; eml8currentac__512781.zip / FNB _-) R2699.11 paid to Current a_c..512781 @ Payshap. Ref.Ik Pay 487882. 13Jan 13_50.eml</x:v>
      </x:c>
    </x:row>
    <x:row r="107">
      <x:c r="A107" s="34" t="n">
        <x:v>46036.4625</x:v>
      </x:c>
      <x:c r="B107" s="15" t="str">
        <x:v>Outflow</x:v>
      </x:c>
      <x:c r="C107" s="15" t="str">
        <x:v>Dinner Box 105110</x:v>
      </x:c>
      <x:c r="D107" s="38" t="n">
        <x:v>1326</x:v>
      </x:c>
      <x:c r="E107" s="15" t="str">
        <x:v>ZAR</x:v>
      </x:c>
      <x:c r="F107" s="15" t="str">
        <x:v>Meals / restaurants / entertainment</x:v>
      </x:c>
      <x:c r="G107" s="15" t="str">
        <x:v>Current a/c..512781</x:v>
      </x:c>
      <x:c r="H107" s="15" t="str">
        <x:v>Dinner Box 105110</x:v>
      </x:c>
      <x:c r="I107" s="15" t="str">
        <x:v>eml_ALL_currentac__512781 (2).zip &gt; eml8currentac__512781.zip / FNB _-) R1326.00 paid from Current a_c..512781 @ Smartapp. Ref.Dinner Box 105110. 14Jan 11_06.eml</x:v>
      </x:c>
    </x:row>
    <x:row r="108">
      <x:c r="A108" s="34" t="n">
        <x:v>46037.481944444444</x:v>
      </x:c>
      <x:c r="B108" s="15" t="str">
        <x:v>Outflow</x:v>
      </x:c>
      <x:c r="C108" s="15" t="str">
        <x:v>Kruger Safari 1677</x:v>
      </x:c>
      <x:c r="D108" s="38" t="n">
        <x:v>7008</x:v>
      </x:c>
      <x:c r="E108" s="15" t="str">
        <x:v>ZAR</x:v>
      </x:c>
      <x:c r="F108" s="15" t="str">
        <x:v>Supplier payments</x:v>
      </x:c>
      <x:c r="G108" s="15" t="str">
        <x:v>Current a/c..512781</x:v>
      </x:c>
      <x:c r="H108" s="15" t="str">
        <x:v>Kruger Safari 1677</x:v>
      </x:c>
      <x:c r="I108" s="15" t="str">
        <x:v>eml_ALL_currentac__512781 (2).zip &gt; eml8currentac__512781.zip / FNB _-) R7008.00 paid from Current a_c..512781 @ Smartapp. Ref.Kruger Safari 1677. 15Jan 11_34.eml</x:v>
      </x:c>
    </x:row>
    <x:row r="109">
      <x:c r="A109" s="34" t="n">
        <x:v>46037.53333333333</x:v>
      </x:c>
      <x:c r="B109" s="15" t="str">
        <x:v>Outflow</x:v>
      </x:c>
      <x:c r="C109" s="15" t="str">
        <x:v>Cellphone</x:v>
      </x:c>
      <x:c r="D109" s="38" t="n">
        <x:v>2000</x:v>
      </x:c>
      <x:c r="E109" s="15" t="str">
        <x:v>ZAR</x:v>
      </x:c>
      <x:c r="F109" s="15" t="str">
        <x:v>Supplier payments</x:v>
      </x:c>
      <x:c r="G109" s="15" t="str">
        <x:v>Current a/c..512781</x:v>
      </x:c>
      <x:c r="H109" s="15" t="str">
        <x:v>Cellphone</x:v>
      </x:c>
      <x:c r="I109" s="15" t="str">
        <x:v>eml_ALL_currentac__512781 (2).zip &gt; eml8currentac__512781.zip / FNB _-) R2000.00 paid from Current a_c..512781 @ Smartapp. Ref.Cellphone. 15Jan 12_48.eml</x:v>
      </x:c>
    </x:row>
    <x:row r="110">
      <x:c r="A110" s="34" t="n">
        <x:v>46038.368055555555</x:v>
      </x:c>
      <x:c r="B110" s="15" t="str">
        <x:v>Inflow</x:v>
      </x:c>
      <x:c r="C110" s="15" t="str">
        <x:v>R026zdm6s0 Booking.c</x:v>
      </x:c>
      <x:c r="D110" s="38" t="n">
        <x:v>45321.13</x:v>
      </x:c>
      <x:c r="E110" s="15" t="str">
        <x:v>ZAR</x:v>
      </x:c>
      <x:c r="F110" s="15" t="str">
        <x:v>Sales / customer receipts</x:v>
      </x:c>
      <x:c r="G110" s="15" t="str">
        <x:v>Current a/c..512781</x:v>
      </x:c>
      <x:c r="H110" s="15" t="str">
        <x:v>R026zdm6s0 Booking.c</x:v>
      </x:c>
      <x:c r="I110" s="15" t="str">
        <x:v>eml_ALL_currentac__512781 (2).zip &gt; eml8currentac__512781.zip / FNB _-) R45321.13 paid to Current a_c..512781 @ Retail Forex. Ref.R026zdm6s0 Booking.c. 16Jan 08_50.eml</x:v>
      </x:c>
    </x:row>
    <x:row r="111">
      <x:c r="A111" s="34" t="n">
        <x:v>46038.42013888889</x:v>
      </x:c>
      <x:c r="B111" s="15" t="str">
        <x:v>Inflow</x:v>
      </x:c>
      <x:c r="C111" s="15" t="str">
        <x:v>R026zd2np0 Booking.c</x:v>
      </x:c>
      <x:c r="D111" s="38" t="n">
        <x:v>13006.93</x:v>
      </x:c>
      <x:c r="E111" s="15" t="str">
        <x:v>ZAR</x:v>
      </x:c>
      <x:c r="F111" s="15" t="str">
        <x:v>Sales / customer receipts</x:v>
      </x:c>
      <x:c r="G111" s="15" t="str">
        <x:v>Current a/c..512781</x:v>
      </x:c>
      <x:c r="H111" s="15" t="str">
        <x:v>R026zd2np0 Booking.c</x:v>
      </x:c>
      <x:c r="I111" s="15" t="str">
        <x:v>eml_ALL_currentac__512781 (2).zip &gt; eml8currentac__512781.zip / FNB _-) R13006.93 paid to Current a_c..512781 @ Retail Forex. Ref.R026zd2np0 Booking.c. 16Jan 10_05.eml</x:v>
      </x:c>
    </x:row>
    <x:row r="112">
      <x:c r="A112" s="34" t="n">
        <x:v>46038.59444444445</x:v>
      </x:c>
      <x:c r="B112" s="15" t="str">
        <x:v>Outflow</x:v>
      </x:c>
      <x:c r="C112" s="15" t="str">
        <x:v>Sakkie Wages Jan</x:v>
      </x:c>
      <x:c r="D112" s="38" t="n">
        <x:v>2500</x:v>
      </x:c>
      <x:c r="E112" s="15" t="str">
        <x:v>ZAR</x:v>
      </x:c>
      <x:c r="F112" s="15" t="str">
        <x:v>Salary / wages</x:v>
      </x:c>
      <x:c r="G112" s="15" t="str">
        <x:v>Current a/c..512781</x:v>
      </x:c>
      <x:c r="H112" s="15" t="str">
        <x:v>Sakkie Wages Jan</x:v>
      </x:c>
      <x:c r="I112" s="15" t="str">
        <x:v>eml_ALL_currentac__512781 (2).zip &gt; eml8currentac__512781.zip / FNB _-) R2500.00 paid from Current a_c..512781 @ Smartapp. Ref.Sakkie Wages Jan. 16Jan 14_16.eml</x:v>
      </x:c>
    </x:row>
    <x:row r="113">
      <x:c r="A113" s="34" t="n">
        <x:v>46038.64236111111</x:v>
      </x:c>
      <x:c r="B113" s="15" t="str">
        <x:v>Outflow</x:v>
      </x:c>
      <x:c r="C113" s="15" t="str">
        <x:v>Wage</x:v>
      </x:c>
      <x:c r="D113" s="38" t="n">
        <x:v>6500</x:v>
      </x:c>
      <x:c r="E113" s="15" t="str">
        <x:v>ZAR</x:v>
      </x:c>
      <x:c r="F113" s="15" t="str">
        <x:v>Salary / wages</x:v>
      </x:c>
      <x:c r="G113" s="15" t="str">
        <x:v>Current a/c..512781</x:v>
      </x:c>
      <x:c r="H113" s="15" t="str">
        <x:v>Wage</x:v>
      </x:c>
      <x:c r="I113" s="15" t="str">
        <x:v>eml_ALL_currentac__512781 (2).zip &gt; eml8currentac__512781.zip / FNB _-) R6500.00 paid from Current a_c..512781 @ Gen Ph. Ref.Wage. 16Jan 15_25.eml</x:v>
      </x:c>
    </x:row>
    <x:row r="114">
      <x:c r="A114" s="34" t="n">
        <x:v>46038.643055555556</x:v>
      </x:c>
      <x:c r="B114" s="15" t="str">
        <x:v>Outflow</x:v>
      </x:c>
      <x:c r="C114" s="15" t="str">
        <x:v>Kruger Safari 1678</x:v>
      </x:c>
      <x:c r="D114" s="38" t="n">
        <x:v>7510</x:v>
      </x:c>
      <x:c r="E114" s="15" t="str">
        <x:v>ZAR</x:v>
      </x:c>
      <x:c r="F114" s="15" t="str">
        <x:v>Supplier payments</x:v>
      </x:c>
      <x:c r="G114" s="15" t="str">
        <x:v>Current a/c..512781</x:v>
      </x:c>
      <x:c r="H114" s="15" t="str">
        <x:v>Kruger Safari 1678</x:v>
      </x:c>
      <x:c r="I114" s="15" t="str">
        <x:v>eml_ALL_currentac__512781 (2).zip &gt; eml7currentac__512781.zip / FNB _-) R7510.00 paid from Current a_c..512781 @ Smartapp. Ref.Kruger Safari 1678. 16Jan 15_26.eml</x:v>
      </x:c>
    </x:row>
    <x:row r="115">
      <x:c r="A115" s="34" t="n">
        <x:v>46038.64513888889</x:v>
      </x:c>
      <x:c r="B115" s="15" t="str">
        <x:v>Outflow</x:v>
      </x:c>
      <x:c r="C115" s="15" t="str">
        <x:v>Nb N992820</x:v>
      </x:c>
      <x:c r="D115" s="38" t="n">
        <x:v>707.25</x:v>
      </x:c>
      <x:c r="E115" s="15" t="str">
        <x:v>ZAR</x:v>
      </x:c>
      <x:c r="F115" s="15" t="str">
        <x:v>Supplier payments</x:v>
      </x:c>
      <x:c r="G115" s="15" t="str">
        <x:v>Current a/c..512781</x:v>
      </x:c>
      <x:c r="H115" s="15" t="str">
        <x:v>Nb N992820</x:v>
      </x:c>
      <x:c r="I115" s="15" t="str">
        <x:v>eml_ALL_currentac__512781 (2).zip &gt; eml7currentac__512781.zip / FNB _-) R707.25 paid from Current a_c..512781 @ Smartapp. Ref.Nb N992820. 16Jan 15_29.eml</x:v>
      </x:c>
    </x:row>
    <x:row r="116">
      <x:c r="A116" s="34" t="n">
        <x:v>46038.645833333336</x:v>
      </x:c>
      <x:c r="B116" s="15" t="str">
        <x:v>Outflow</x:v>
      </x:c>
      <x:c r="C116" s="15" t="str">
        <x:v>Nb N992820</x:v>
      </x:c>
      <x:c r="D116" s="38" t="n">
        <x:v>707.25</x:v>
      </x:c>
      <x:c r="E116" s="15" t="str">
        <x:v>ZAR</x:v>
      </x:c>
      <x:c r="F116" s="15" t="str">
        <x:v>Supplier payments</x:v>
      </x:c>
      <x:c r="G116" s="15" t="str">
        <x:v>Current a/c..512781</x:v>
      </x:c>
      <x:c r="H116" s="15" t="str">
        <x:v>Nb N992820</x:v>
      </x:c>
      <x:c r="I116" s="15" t="str">
        <x:v>eml_ALL_currentac__512781 (2).zip &gt; eml7currentac__512781.zip / FNB _-) R707.25 paid from Current a_c..512781 @ Smartapp. Ref.Nb N992820. 16Jan 15_30.eml</x:v>
      </x:c>
    </x:row>
    <x:row r="117">
      <x:c r="A117" s="34" t="n">
        <x:v>46038.65833333333</x:v>
      </x:c>
      <x:c r="B117" s="15" t="str">
        <x:v>Outflow</x:v>
      </x:c>
      <x:c r="C117" s="15" t="str">
        <x:v>Big Bay Maintenance</x:v>
      </x:c>
      <x:c r="D117" s="38" t="n">
        <x:v>3550</x:v>
      </x:c>
      <x:c r="E117" s="15" t="str">
        <x:v>ZAR</x:v>
      </x:c>
      <x:c r="F117" s="15" t="str">
        <x:v>Rent / property</x:v>
      </x:c>
      <x:c r="G117" s="15" t="str">
        <x:v>Current a/c..512781</x:v>
      </x:c>
      <x:c r="H117" s="15" t="str">
        <x:v>Big Bay Maintenance</x:v>
      </x:c>
      <x:c r="I117" s="15" t="str">
        <x:v>eml_ALL_currentac__512781 (2).zip &gt; eml7currentac__512781.zip / FNB _-) R3550.00 paid from Current a_c..512781 @ Smartapp. Ref.Big Bay Maintenance. 16Jan 15_48.eml</x:v>
      </x:c>
    </x:row>
    <x:row r="118">
      <x:c r="A118" s="34" t="n">
        <x:v>46039.447916666664</x:v>
      </x:c>
      <x:c r="B118" s="15" t="str">
        <x:v>Inflow</x:v>
      </x:c>
      <x:c r="C118" s="15" t="str">
        <x:v>Ik Pay 487882</x:v>
      </x:c>
      <x:c r="D118" s="38" t="n">
        <x:v>9773.91</x:v>
      </x:c>
      <x:c r="E118" s="15" t="str">
        <x:v>ZAR</x:v>
      </x:c>
      <x:c r="F118" s="15" t="str">
        <x:v>Sales / customer receipts</x:v>
      </x:c>
      <x:c r="G118" s="15" t="str">
        <x:v>Current a/c..512781</x:v>
      </x:c>
      <x:c r="H118" s="15" t="str">
        <x:v>Ik Pay 487882</x:v>
      </x:c>
      <x:c r="I118" s="15" t="str">
        <x:v>eml_ALL_currentac__512781 (2).zip &gt; eml7currentac__512781.zip / FNB _-) R9773.91 paid to Current a_c..512781 @ Payshap. Ref.Ik Pay 487882. 17Jan 10_45.eml</x:v>
      </x:c>
    </x:row>
    <x:row r="119">
      <x:c r="A119" s="34" t="n">
        <x:v>46040.350694444445</x:v>
      </x:c>
      <x:c r="B119" s="15" t="str">
        <x:v>Outflow</x:v>
      </x:c>
      <x:c r="C119" s="15" t="str">
        <x:v>Pj Els</x:v>
      </x:c>
      <x:c r="D119" s="38" t="n">
        <x:v>16500</x:v>
      </x:c>
      <x:c r="E119" s="15" t="str">
        <x:v>ZAR</x:v>
      </x:c>
      <x:c r="F119" s="15" t="str">
        <x:v>Supplier payments</x:v>
      </x:c>
      <x:c r="G119" s="15" t="str">
        <x:v>Current a/c..512781</x:v>
      </x:c>
      <x:c r="H119" s="15" t="str">
        <x:v>Pj Els</x:v>
      </x:c>
      <x:c r="I119" s="15" t="str">
        <x:v>eml_ALL_currentac__512781 (2).zip &gt; eml7currentac__512781.zip / FNB _-) R16500.00 paid from Current a_c..512781 @ Gen Ph. Ref.Pj Els. 18Jan 08_25.eml</x:v>
      </x:c>
    </x:row>
    <x:row r="120">
      <x:c r="A120" s="34" t="n">
        <x:v>46041.416666666664</x:v>
      </x:c>
      <x:c r="B120" s="15" t="str">
        <x:v>Outflow</x:v>
      </x:c>
      <x:c r="C120" s="15" t="str">
        <x:v>Electricity 04294887</x:v>
      </x:c>
      <x:c r="D120" s="38" t="n">
        <x:v>500</x:v>
      </x:c>
      <x:c r="E120" s="15" t="str">
        <x:v>ZAR</x:v>
      </x:c>
      <x:c r="F120" s="15" t="str">
        <x:v>Telecom / utilities</x:v>
      </x:c>
      <x:c r="G120" s="15" t="str">
        <x:v>Current a/c..512781</x:v>
      </x:c>
      <x:c r="H120" s="15" t="str">
        <x:v>Electricity 04294887</x:v>
      </x:c>
      <x:c r="I120" s="15" t="str">
        <x:v>eml_ALL_currentac__512781 (2).zip &gt; eml7currentac__512781.zip / FNB _-) R500.00 paid from Current a_c..512781 @ Smartapp. Ref.Electricity 04294887. 19Jan 10_00.eml</x:v>
      </x:c>
    </x:row>
    <x:row r="121">
      <x:c r="A121" s="34" t="n">
        <x:v>46041.419444444444</x:v>
      </x:c>
      <x:c r="B121" s="15" t="str">
        <x:v>Outflow</x:v>
      </x:c>
      <x:c r="C121" s="15" t="str">
        <x:v>Asbe - Comm Jan</x:v>
      </x:c>
      <x:c r="D121" s="38" t="n">
        <x:v>1344.45</x:v>
      </x:c>
      <x:c r="E121" s="15" t="str">
        <x:v>ZAR</x:v>
      </x:c>
      <x:c r="F121" s="15" t="str">
        <x:v>Supplier payments</x:v>
      </x:c>
      <x:c r="G121" s="15" t="str">
        <x:v>Current a/c..512781</x:v>
      </x:c>
      <x:c r="H121" s="15" t="str">
        <x:v>Asbe - Comm Jan</x:v>
      </x:c>
      <x:c r="I121" s="15" t="str">
        <x:v>eml_ALL_currentac__512781 (2).zip &gt; eml7currentac__512781.zip / FNB _-) R1344.45 paid from Current a_c..512781 @ Smartapp. Ref.Asbe - Comm Jan. 19Jan 10_04.eml</x:v>
      </x:c>
    </x:row>
    <x:row r="122">
      <x:c r="A122" s="34" t="n">
        <x:v>46043.56805555556</x:v>
      </x:c>
      <x:c r="B122" s="15" t="str">
        <x:v>Inflow</x:v>
      </x:c>
      <x:c r="C122" s="15" t="str">
        <x:v>R026z3l840 De Pauw D</x:v>
      </x:c>
      <x:c r="D122" s="38" t="n">
        <x:v>23287.5</x:v>
      </x:c>
      <x:c r="E122" s="15" t="str">
        <x:v>ZAR</x:v>
      </x:c>
      <x:c r="F122" s="15" t="str">
        <x:v>Sales / customer receipts</x:v>
      </x:c>
      <x:c r="G122" s="15" t="str">
        <x:v>Current a/c..512781</x:v>
      </x:c>
      <x:c r="H122" s="15" t="str">
        <x:v>R026z3l840 De Pauw D</x:v>
      </x:c>
      <x:c r="I122" s="15" t="str">
        <x:v>eml_ALL_currentac__512781 (2).zip &gt; eml7currentac__512781.zip / FNB _-) R23287.50 paid to Current a_c..512781 @ Retail Forex. Ref.R026z3l840 De Pauw D. 21Jan 13_38.eml</x:v>
      </x:c>
    </x:row>
    <x:row r="123">
      <x:c r="A123" s="34" t="n">
        <x:v>46045.34305555555</x:v>
      </x:c>
      <x:c r="B123" s="15" t="str">
        <x:v>Outflow</x:v>
      </x:c>
      <x:c r="C123" s="15" t="str">
        <x:v>Pj Els - Showp</x:v>
      </x:c>
      <x:c r="D123" s="38" t="n">
        <x:v>2000</x:v>
      </x:c>
      <x:c r="E123" s="15" t="str">
        <x:v>ZAR</x:v>
      </x:c>
      <x:c r="F123" s="15" t="str">
        <x:v>Supplier payments</x:v>
      </x:c>
      <x:c r="G123" s="15" t="str">
        <x:v>Current a/c..512781</x:v>
      </x:c>
      <x:c r="H123" s="15" t="str">
        <x:v>Pj Els - Showp</x:v>
      </x:c>
      <x:c r="I123" s="15" t="str">
        <x:v>eml_ALL_currentac__512781 (2).zip &gt; eml7currentac__512781.zip / FNB _-) R2000.00 paid from Current a_c..512781 @ Smartapp. Ref.Pj Els - Showp. 23Jan 08_14.eml</x:v>
      </x:c>
    </x:row>
    <x:row r="124">
      <x:c r="A124" s="34" t="n">
        <x:v>46045.410416666666</x:v>
      </x:c>
      <x:c r="B124" s="15" t="str">
        <x:v>Inflow</x:v>
      </x:c>
      <x:c r="C124" s="15" t="str">
        <x:v>R026z6vq90 Booking.c</x:v>
      </x:c>
      <x:c r="D124" s="38" t="n">
        <x:v>12786.76</x:v>
      </x:c>
      <x:c r="E124" s="15" t="str">
        <x:v>ZAR</x:v>
      </x:c>
      <x:c r="F124" s="15" t="str">
        <x:v>Sales / customer receipts</x:v>
      </x:c>
      <x:c r="G124" s="15" t="str">
        <x:v>Current a/c..512781</x:v>
      </x:c>
      <x:c r="H124" s="15" t="str">
        <x:v>R026z6vq90 Booking.c</x:v>
      </x:c>
      <x:c r="I124" s="15" t="str">
        <x:v>eml_ALL_currentac__512781 (2).zip &gt; eml7currentac__512781.zip / FNB _-) R12786.76 paid to Current a_c..512781 @ Retail Forex. Ref.R026z6vq90 Booking.c. 23Jan 09_51.eml</x:v>
      </x:c>
    </x:row>
    <x:row r="125">
      <x:c r="A125" s="34" t="n">
        <x:v>46045.6625</x:v>
      </x:c>
      <x:c r="B125" s="15" t="str">
        <x:v>Outflow</x:v>
      </x:c>
      <x:c r="C125" s="15" t="str">
        <x:v>Stratton Prop Mng</x:v>
      </x:c>
      <x:c r="D125" s="38" t="n">
        <x:v>13271.53</x:v>
      </x:c>
      <x:c r="E125" s="15" t="str">
        <x:v>ZAR</x:v>
      </x:c>
      <x:c r="F125" s="15" t="str">
        <x:v>Supplier payments</x:v>
      </x:c>
      <x:c r="G125" s="15" t="str">
        <x:v>Current a/c..512781</x:v>
      </x:c>
      <x:c r="H125" s="15" t="str">
        <x:v>Stratton Prop Mng</x:v>
      </x:c>
      <x:c r="I125" s="15" t="str">
        <x:v>eml_ALL_currentac__512781 (2).zip &gt; eml7currentac__512781.zip / FNB _-) R13271.53 paid from Current a_c..512781 @ Smartapp. Ref.Stratton Prop Mng. 23Jan 15_54.eml</x:v>
      </x:c>
    </x:row>
    <x:row r="126">
      <x:c r="A126" s="34" t="n">
        <x:v>46045.697222222225</x:v>
      </x:c>
      <x:c r="B126" s="15" t="str">
        <x:v>Outflow</x:v>
      </x:c>
      <x:c r="C126" s="15" t="str">
        <x:v>Electricity 04279376</x:v>
      </x:c>
      <x:c r="D126" s="38" t="n">
        <x:v>1000</x:v>
      </x:c>
      <x:c r="E126" s="15" t="str">
        <x:v>ZAR</x:v>
      </x:c>
      <x:c r="F126" s="15" t="str">
        <x:v>Telecom / utilities</x:v>
      </x:c>
      <x:c r="G126" s="15" t="str">
        <x:v>Current a/c..512781</x:v>
      </x:c>
      <x:c r="H126" s="15" t="str">
        <x:v>Electricity 04279376</x:v>
      </x:c>
      <x:c r="I126" s="15" t="str">
        <x:v>eml_ALL_currentac__512781 (2).zip &gt; eml7currentac__512781.zip / FNB _-) R1000.00 paid from Current a_c..512781 @ Smartapp. Ref.Electricity 04279376. 23Jan 16_44.eml</x:v>
      </x:c>
    </x:row>
    <x:row r="127">
      <x:c r="A127" s="34" t="n">
        <x:v>46046.44375</x:v>
      </x:c>
      <x:c r="B127" s="15" t="str">
        <x:v>Inflow</x:v>
      </x:c>
      <x:c r="C127" s="15" t="str">
        <x:v>Ik Pay 487882</x:v>
      </x:c>
      <x:c r="D127" s="38" t="n">
        <x:v>819.47</x:v>
      </x:c>
      <x:c r="E127" s="15" t="str">
        <x:v>ZAR</x:v>
      </x:c>
      <x:c r="F127" s="15" t="str">
        <x:v>Sales / customer receipts</x:v>
      </x:c>
      <x:c r="G127" s="15" t="str">
        <x:v>Current a/c..512781</x:v>
      </x:c>
      <x:c r="H127" s="15" t="str">
        <x:v>Ik Pay 487882</x:v>
      </x:c>
      <x:c r="I127" s="15" t="str">
        <x:v>eml_ALL_currentac__512781 (2).zip &gt; eml7currentac__512781.zip / FNB _-) R819.47 paid to Current a_c..512781 @ Payshap. Ref.Ik Pay 487882. 24Jan 10_39.eml</x:v>
      </x:c>
    </x:row>
    <x:row r="128">
      <x:c r="A128" s="34" t="n">
        <x:v>46046.92638888889</x:v>
      </x:c>
      <x:c r="B128" s="15" t="str">
        <x:v>Outflow</x:v>
      </x:c>
      <x:c r="C128" s="15" t="str">
        <x:v>Staff Tips For Dec</x:v>
      </x:c>
      <x:c r="D128" s="38" t="n">
        <x:v>4000</x:v>
      </x:c>
      <x:c r="E128" s="15" t="str">
        <x:v>ZAR</x:v>
      </x:c>
      <x:c r="F128" s="15" t="str">
        <x:v>Salary / wages</x:v>
      </x:c>
      <x:c r="G128" s="15" t="str">
        <x:v>Current a/c..512781</x:v>
      </x:c>
      <x:c r="H128" s="15" t="str">
        <x:v>Staff Tips For Dec</x:v>
      </x:c>
      <x:c r="I128" s="15" t="str">
        <x:v>eml_ALL_currentac__512781 (2).zip &gt; eml7currentac__512781.zip / FNB _-) R4000.00 paid from Current a_c..512781 @ Gen Ph. Ref.Staff Tips For Dec. 24Jan 22_14.eml</x:v>
      </x:c>
    </x:row>
    <x:row r="129">
      <x:c r="A129" s="34" t="n">
        <x:v>46047.01736111111</x:v>
      </x:c>
      <x:c r="B129" s="15" t="str">
        <x:v>Outflow</x:v>
      </x:c>
      <x:c r="C129" s="15" t="str">
        <x:v>Staff Tips Jan</x:v>
      </x:c>
      <x:c r="D129" s="38" t="n">
        <x:v>5250</x:v>
      </x:c>
      <x:c r="E129" s="15" t="str">
        <x:v>ZAR</x:v>
      </x:c>
      <x:c r="F129" s="15" t="str">
        <x:v>Salary / wages</x:v>
      </x:c>
      <x:c r="G129" s="15" t="str">
        <x:v>Current a/c..512781</x:v>
      </x:c>
      <x:c r="H129" s="15" t="str">
        <x:v>Staff Tips Jan</x:v>
      </x:c>
      <x:c r="I129" s="15" t="str">
        <x:v>eml_ALL_currentac__512781 (2).zip &gt; eml7currentac__512781.zip / FNB _-) R5250.00 paid from Current a_c..512781 @ Gen Ph. Ref.Staff Tips Jan. 25Jan 00_25.eml</x:v>
      </x:c>
    </x:row>
    <x:row r="130">
      <x:c r="A130" s="34" t="n">
        <x:v>46047.03680555556</x:v>
      </x:c>
      <x:c r="B130" s="15" t="str">
        <x:v>Outflow</x:v>
      </x:c>
      <x:c r="C130" s="15" t="str">
        <x:v>Staff Tips</x:v>
      </x:c>
      <x:c r="D130" s="38" t="n">
        <x:v>4000</x:v>
      </x:c>
      <x:c r="E130" s="15" t="str">
        <x:v>ZAR</x:v>
      </x:c>
      <x:c r="F130" s="15" t="str">
        <x:v>Salary / wages</x:v>
      </x:c>
      <x:c r="G130" s="15" t="str">
        <x:v>Current a/c..512781</x:v>
      </x:c>
      <x:c r="H130" s="15" t="str">
        <x:v>Staff Tips</x:v>
      </x:c>
      <x:c r="I130" s="15" t="str">
        <x:v>eml_ALL_currentac__512781 (2).zip &gt; eml7currentac__512781.zip / FNB _-) R4000.00 paid from Current a_c..512781 @ Gen Ph. Ref.Staff Tips. 25Jan 00_53.eml</x:v>
      </x:c>
    </x:row>
    <x:row r="131">
      <x:c r="A131" s="34" t="n">
        <x:v>46048.370833333334</x:v>
      </x:c>
      <x:c r="B131" s="15" t="str">
        <x:v>Outflow</x:v>
      </x:c>
      <x:c r="C131" s="15" t="str">
        <x:v>Pj Els - Showp</x:v>
      </x:c>
      <x:c r="D131" s="38" t="n">
        <x:v>6500</x:v>
      </x:c>
      <x:c r="E131" s="15" t="str">
        <x:v>ZAR</x:v>
      </x:c>
      <x:c r="F131" s="15" t="str">
        <x:v>Supplier payments</x:v>
      </x:c>
      <x:c r="G131" s="15" t="str">
        <x:v>Current a/c..512781</x:v>
      </x:c>
      <x:c r="H131" s="15" t="str">
        <x:v>Pj Els - Showp</x:v>
      </x:c>
      <x:c r="I131" s="15" t="str">
        <x:v>eml_ALL_currentac__512781 (2).zip &gt; eml7currentac__512781.zip / FNB _-) R6500.00 paid from Current a_c..512781 @ Gen Ph. Ref.Pj Els - Showp. 26Jan 08_54.eml</x:v>
      </x:c>
    </x:row>
    <x:row r="132">
      <x:c r="A132" s="34" t="n">
        <x:v>46048.45694444444</x:v>
      </x:c>
      <x:c r="B132" s="15" t="str">
        <x:v>Outflow</x:v>
      </x:c>
      <x:c r="C132" s="15" t="str">
        <x:v>Lebombo Washing Mach</x:v>
      </x:c>
      <x:c r="D132" s="38" t="n">
        <x:v>1625</x:v>
      </x:c>
      <x:c r="E132" s="15" t="str">
        <x:v>ZAR</x:v>
      </x:c>
      <x:c r="F132" s="15" t="str">
        <x:v>Supplier payments</x:v>
      </x:c>
      <x:c r="G132" s="15" t="str">
        <x:v>Current a/c..512781</x:v>
      </x:c>
      <x:c r="H132" s="15" t="str">
        <x:v>Lebombo Washing Mach</x:v>
      </x:c>
      <x:c r="I132" s="15" t="str">
        <x:v>eml_ALL_currentac__512781 (2).zip &gt; eml7currentac__512781.zip / FNB _-) R1625.00 paid from Current a_c..512781 @ Smartapp. Ref.Lebombo Washing Mach. 26Jan 10_58.eml</x:v>
      </x:c>
    </x:row>
    <x:row r="133">
      <x:c r="A133" s="34" t="n">
        <x:v>46048.88888888889</x:v>
      </x:c>
      <x:c r="B133" s="15" t="str">
        <x:v>Outflow</x:v>
      </x:c>
      <x:c r="C133" s="15" t="str">
        <x:v>Repairs + Maintenanc</x:v>
      </x:c>
      <x:c r="D133" s="38" t="n">
        <x:v>15000</x:v>
      </x:c>
      <x:c r="E133" s="15" t="str">
        <x:v>ZAR</x:v>
      </x:c>
      <x:c r="F133" s="15" t="str">
        <x:v>Supplier payments</x:v>
      </x:c>
      <x:c r="G133" s="15" t="str">
        <x:v>Current a/c..512781</x:v>
      </x:c>
      <x:c r="H133" s="15" t="str">
        <x:v>Repairs + Maintenanc</x:v>
      </x:c>
      <x:c r="I133" s="15" t="str">
        <x:v>eml_ALL_currentac__512781 (2).zip &gt; eml7currentac__512781.zip / FNB _-) R15000.00 paid from Current a_c..512781 @ Smartapp. Ref.Repairs + Maintenanc. 26Jan 21_20.eml</x:v>
      </x:c>
    </x:row>
    <x:row r="134">
      <x:c r="A134" s="34" t="n">
        <x:v>46049</x:v>
      </x:c>
      <x:c r="B134" s="15" t="str">
        <x:v>Inflow</x:v>
      </x:c>
      <x:c r="C134" s="15" t="str">
        <x:v>Capitec I Strydom</x:v>
      </x:c>
      <x:c r="D134" s="38" t="n">
        <x:v>5071.5</x:v>
      </x:c>
      <x:c r="E134" s="15" t="str">
        <x:v>ZAR</x:v>
      </x:c>
      <x:c r="F134" s="15" t="str">
        <x:v>Sales / customer receipts</x:v>
      </x:c>
      <x:c r="G134" s="15" t="str">
        <x:v>Current a/c..512781</x:v>
      </x:c>
      <x:c r="H134" s="15" t="str">
        <x:v>Capitec I Strydom</x:v>
      </x:c>
      <x:c r="I134" s="15" t="str">
        <x:v>eml_ALL_currentac__512781 (2).zip &gt; eml7currentac__512781.zip / FNB _-) R5071.50 paid to Current a_c..512781 @ Eft. Ref.Capitec I Strydom. 27Jan 00_00.eml</x:v>
      </x:c>
    </x:row>
    <x:row r="135">
      <x:c r="A135" s="34" t="n">
        <x:v>46049.365277777775</x:v>
      </x:c>
      <x:c r="B135" s="15" t="str">
        <x:v>Outflow</x:v>
      </x:c>
      <x:c r="C135" s="15" t="str">
        <x:v>Electricity 04294887</x:v>
      </x:c>
      <x:c r="D135" s="38" t="n">
        <x:v>500</x:v>
      </x:c>
      <x:c r="E135" s="15" t="str">
        <x:v>ZAR</x:v>
      </x:c>
      <x:c r="F135" s="15" t="str">
        <x:v>Telecom / utilities</x:v>
      </x:c>
      <x:c r="G135" s="15" t="str">
        <x:v>Current a/c..512781</x:v>
      </x:c>
      <x:c r="H135" s="15" t="str">
        <x:v>Electricity 04294887</x:v>
      </x:c>
      <x:c r="I135" s="15" t="str">
        <x:v>eml_ALL_currentac__512781 (2).zip &gt; eml7currentac__512781.zip / FNB _-) R500.00 paid from Current a_c..512781 @ Smartapp. Ref.Electricity 04294887. 27Jan 08_46.eml</x:v>
      </x:c>
    </x:row>
    <x:row r="136">
      <x:c r="A136" s="34" t="n">
        <x:v>46049.39236111111</x:v>
      </x:c>
      <x:c r="B136" s="15" t="str">
        <x:v>Outflow</x:v>
      </x:c>
      <x:c r="C136" s="15" t="str">
        <x:v>Kruger Safari 1679</x:v>
      </x:c>
      <x:c r="D136" s="38" t="n">
        <x:v>3004</x:v>
      </x:c>
      <x:c r="E136" s="15" t="str">
        <x:v>ZAR</x:v>
      </x:c>
      <x:c r="F136" s="15" t="str">
        <x:v>Supplier payments</x:v>
      </x:c>
      <x:c r="G136" s="15" t="str">
        <x:v>Current a/c..512781</x:v>
      </x:c>
      <x:c r="H136" s="15" t="str">
        <x:v>Kruger Safari 1679</x:v>
      </x:c>
      <x:c r="I136" s="15" t="str">
        <x:v>eml_ALL_currentac__512781 (2).zip &gt; eml7currentac__512781.zip / FNB _-) R3004.00 paid from Current a_c..512781 @ Gen Ph. Ref.Kruger Safari 1679. 27Jan 09_25.eml</x:v>
      </x:c>
    </x:row>
    <x:row r="137">
      <x:c r="A137" s="34" t="n">
        <x:v>46049.393055555556</x:v>
      </x:c>
      <x:c r="B137" s="15" t="str">
        <x:v>Outflow</x:v>
      </x:c>
      <x:c r="C137" s="15" t="str">
        <x:v>Dinner Box 105910</x:v>
      </x:c>
      <x:c r="D137" s="38" t="n">
        <x:v>1768.2</x:v>
      </x:c>
      <x:c r="E137" s="15" t="str">
        <x:v>ZAR</x:v>
      </x:c>
      <x:c r="F137" s="15" t="str">
        <x:v>Meals / restaurants / entertainment</x:v>
      </x:c>
      <x:c r="G137" s="15" t="str">
        <x:v>Current a/c..512781</x:v>
      </x:c>
      <x:c r="H137" s="15" t="str">
        <x:v>Dinner Box 105910</x:v>
      </x:c>
      <x:c r="I137" s="15" t="str">
        <x:v>eml_ALL_currentac__512781 (2).zip &gt; eml7currentac__512781.zip / FNB _-) R1768.20 paid from Current a_c..512781 @ Smartapp. Ref.Dinner Box 105910. 27Jan 09_26.eml</x:v>
      </x:c>
    </x:row>
    <x:row r="138">
      <x:c r="A138" s="34" t="n">
        <x:v>46049.58125</x:v>
      </x:c>
      <x:c r="B138" s="15" t="str">
        <x:v>Inflow</x:v>
      </x:c>
      <x:c r="C138" s="15" t="str">
        <x:v>Ik Pay 487882</x:v>
      </x:c>
      <x:c r="D138" s="38" t="n">
        <x:v>5773.25</x:v>
      </x:c>
      <x:c r="E138" s="15" t="str">
        <x:v>ZAR</x:v>
      </x:c>
      <x:c r="F138" s="15" t="str">
        <x:v>Sales / customer receipts</x:v>
      </x:c>
      <x:c r="G138" s="15" t="str">
        <x:v>Current a/c..512781</x:v>
      </x:c>
      <x:c r="H138" s="15" t="str">
        <x:v>Ik Pay 487882</x:v>
      </x:c>
      <x:c r="I138" s="15" t="str">
        <x:v>eml_ALL_currentac__512781 (2).zip &gt; eml7currentac__512781.zip / FNB _-) R5773.25 paid to Current a_c..512781 @ Payshap. Ref.Ik Pay 487882. 27Jan 13_57.eml</x:v>
      </x:c>
    </x:row>
    <x:row r="139">
      <x:c r="A139" s="34" t="n">
        <x:v>46051.57916666667</x:v>
      </x:c>
      <x:c r="B139" s="15" t="str">
        <x:v>Inflow</x:v>
      </x:c>
      <x:c r="C139" s="15" t="str">
        <x:v>Ik Pay 487882</x:v>
      </x:c>
      <x:c r="D139" s="38" t="n">
        <x:v>1312.64</x:v>
      </x:c>
      <x:c r="E139" s="15" t="str">
        <x:v>ZAR</x:v>
      </x:c>
      <x:c r="F139" s="15" t="str">
        <x:v>Sales / customer receipts</x:v>
      </x:c>
      <x:c r="G139" s="15" t="str">
        <x:v>Current a/c..512781</x:v>
      </x:c>
      <x:c r="H139" s="15" t="str">
        <x:v>Ik Pay 487882</x:v>
      </x:c>
      <x:c r="I139" s="15" t="str">
        <x:v>eml_ALL_currentac__512781 (2).zip &gt; eml7currentac__512781.zip / FNB _-) R1312.64 paid to Current a_c..512781 @ Payshap. Ref.Ik Pay 487882. 29Jan 13_54.eml</x:v>
      </x:c>
    </x:row>
    <x:row r="140">
      <x:c r="A140" s="34" t="n">
        <x:v>46052.42222222222</x:v>
      </x:c>
      <x:c r="B140" s="15" t="str">
        <x:v>Inflow</x:v>
      </x:c>
      <x:c r="C140" s="15" t="str">
        <x:v>R026xr9cp0 Booking.c</x:v>
      </x:c>
      <x:c r="D140" s="38" t="n">
        <x:v>11313.46</x:v>
      </x:c>
      <x:c r="E140" s="15" t="str">
        <x:v>ZAR</x:v>
      </x:c>
      <x:c r="F140" s="15" t="str">
        <x:v>Sales / customer receipts</x:v>
      </x:c>
      <x:c r="G140" s="15" t="str">
        <x:v>Current a/c..512781</x:v>
      </x:c>
      <x:c r="H140" s="15" t="str">
        <x:v>R026xr9cp0 Booking.c</x:v>
      </x:c>
      <x:c r="I140" s="15" t="str">
        <x:v>eml_ALL_currentac__512781 (2).zip &gt; eml7currentac__512781.zip / FNB _-) R11313.46 paid to Current a_c..512781 @ Retail Forex. Ref.R026xr9cp0 Booking.c. 30Jan 10_08.eml</x:v>
      </x:c>
    </x:row>
    <x:row r="141">
      <x:c r="A141" s="34" t="n">
        <x:v>46052.54722222222</x:v>
      </x:c>
      <x:c r="B141" s="15" t="str">
        <x:v>Outflow</x:v>
      </x:c>
      <x:c r="C141" s="15" t="str">
        <x:v>Kruger Safari 1680</x:v>
      </x:c>
      <x:c r="D141" s="38" t="n">
        <x:v>6008</x:v>
      </x:c>
      <x:c r="E141" s="15" t="str">
        <x:v>ZAR</x:v>
      </x:c>
      <x:c r="F141" s="15" t="str">
        <x:v>Supplier payments</x:v>
      </x:c>
      <x:c r="G141" s="15" t="str">
        <x:v>Current a/c..512781</x:v>
      </x:c>
      <x:c r="H141" s="15" t="str">
        <x:v>Kruger Safari 1680</x:v>
      </x:c>
      <x:c r="I141" s="15" t="str">
        <x:v>eml_ALL_currentac__512781 (2).zip &gt; eml7currentac__512781.zip / FNB _-) R6008.00 paid from Current a_c..512781 @ Smartapp. Ref.Kruger Safari 1680. 30Jan 13_08.eml</x:v>
      </x:c>
    </x:row>
    <x:row r="142">
      <x:c r="A142" s="34" t="n">
        <x:v>46052.54791666667</x:v>
      </x:c>
      <x:c r="B142" s="15" t="str">
        <x:v>Outflow</x:v>
      </x:c>
      <x:c r="C142" s="15" t="str">
        <x:v>Sakkie Wages Jan</x:v>
      </x:c>
      <x:c r="D142" s="38" t="n">
        <x:v>2500</x:v>
      </x:c>
      <x:c r="E142" s="15" t="str">
        <x:v>ZAR</x:v>
      </x:c>
      <x:c r="F142" s="15" t="str">
        <x:v>Salary / wages</x:v>
      </x:c>
      <x:c r="G142" s="15" t="str">
        <x:v>Current a/c..512781</x:v>
      </x:c>
      <x:c r="H142" s="15" t="str">
        <x:v>Sakkie Wages Jan</x:v>
      </x:c>
      <x:c r="I142" s="15" t="str">
        <x:v>eml_ALL_currentac__512781 (2).zip &gt; eml7currentac__512781.zip / FNB _-) R2500.00 paid from Current a_c..512781 @ Smartapp. Ref.Sakkie Wages Jan. 30Jan 13_09.eml</x:v>
      </x:c>
    </x:row>
    <x:row r="143">
      <x:c r="A143" s="34" t="n">
        <x:v>46052.580555555556</x:v>
      </x:c>
      <x:c r="B143" s="15" t="str">
        <x:v>Inflow</x:v>
      </x:c>
      <x:c r="C143" s="15" t="str">
        <x:v>Ik Pay 487882</x:v>
      </x:c>
      <x:c r="D143" s="38" t="n">
        <x:v>8951.66</x:v>
      </x:c>
      <x:c r="E143" s="15" t="str">
        <x:v>ZAR</x:v>
      </x:c>
      <x:c r="F143" s="15" t="str">
        <x:v>Sales / customer receipts</x:v>
      </x:c>
      <x:c r="G143" s="15" t="str">
        <x:v>Current a/c..512781</x:v>
      </x:c>
      <x:c r="H143" s="15" t="str">
        <x:v>Ik Pay 487882</x:v>
      </x:c>
      <x:c r="I143" s="15" t="str">
        <x:v>eml_ALL_currentac__512781 (2).zip &gt; eml7currentac__512781.zip / FNB _-) R8951.66 paid to Current a_c..512781 @ Payshap. Ref.Ik Pay 487882. 30Jan 13_56.eml</x:v>
      </x:c>
    </x:row>
    <x:row r="144">
      <x:c r="A144" s="34" t="n">
        <x:v>46053.55694444444</x:v>
      </x:c>
      <x:c r="B144" s="15" t="str">
        <x:v>Outflow</x:v>
      </x:c>
      <x:c r="C144" s="15" t="str">
        <x:v>Wage Jan</x:v>
      </x:c>
      <x:c r="D144" s="38" t="n">
        <x:v>15000</x:v>
      </x:c>
      <x:c r="E144" s="15" t="str">
        <x:v>ZAR</x:v>
      </x:c>
      <x:c r="F144" s="15" t="str">
        <x:v>Salary / wages</x:v>
      </x:c>
      <x:c r="G144" s="15" t="str">
        <x:v>Current a/c..512781</x:v>
      </x:c>
      <x:c r="H144" s="15" t="str">
        <x:v>Wage Jan</x:v>
      </x:c>
      <x:c r="I144" s="15" t="str">
        <x:v>eml_ALL_currentac__512781 (2).zip &gt; eml7currentac__512781.zip / FNB _-) R15000.00 paid from Current a_c..512781 @ Smartapp. Ref.Wage Jan. 31Jan 13_22.eml</x:v>
      </x:c>
    </x:row>
    <x:row r="145">
      <x:c r="A145" s="34" t="n">
        <x:v>46053.55763888889</x:v>
      </x:c>
      <x:c r="B145" s="15" t="str">
        <x:v>Outflow</x:v>
      </x:c>
      <x:c r="C145" s="15" t="str">
        <x:v>Wage - Jan 2026</x:v>
      </x:c>
      <x:c r="D145" s="38" t="n">
        <x:v>12000</x:v>
      </x:c>
      <x:c r="E145" s="15" t="str">
        <x:v>ZAR</x:v>
      </x:c>
      <x:c r="F145" s="15" t="str">
        <x:v>Salary / wages</x:v>
      </x:c>
      <x:c r="G145" s="15" t="str">
        <x:v>Current a/c..512781</x:v>
      </x:c>
      <x:c r="H145" s="15" t="str">
        <x:v>Wage - Jan 2026</x:v>
      </x:c>
      <x:c r="I145" s="15" t="str">
        <x:v>eml_ALL_currentac__512781 (2).zip &gt; eml7currentac__512781.zip / FNB _-) R12000.00 paid from Current a_c..512781 @ Smartapp. Ref.Wage - Jan 2026. 31Jan 13_23.eml</x:v>
      </x:c>
    </x:row>
    <x:row r="146">
      <x:c r="A146" s="34" t="n">
        <x:v>46053.55902777778</x:v>
      </x:c>
      <x:c r="B146" s="15" t="str">
        <x:v>Outflow</x:v>
      </x:c>
      <x:c r="C146" s="15" t="str">
        <x:v>Electricity 04294887</x:v>
      </x:c>
      <x:c r="D146" s="38" t="n">
        <x:v>500</x:v>
      </x:c>
      <x:c r="E146" s="15" t="str">
        <x:v>ZAR</x:v>
      </x:c>
      <x:c r="F146" s="15" t="str">
        <x:v>Telecom / utilities</x:v>
      </x:c>
      <x:c r="G146" s="15" t="str">
        <x:v>Current a/c..512781</x:v>
      </x:c>
      <x:c r="H146" s="15" t="str">
        <x:v>Electricity 04294887</x:v>
      </x:c>
      <x:c r="I146" s="15" t="str">
        <x:v>eml_ALL_currentac__512781 (2).zip &gt; eml7currentac__512781.zip / FNB _-) R500.00 paid from Current a_c..512781 @ Smartapp. Ref.Electricity 04294887. 31Jan 13_25.eml</x:v>
      </x:c>
    </x:row>
    <x:row r="147">
      <x:c r="A147" s="34" t="n">
        <x:v>46054.34583333333</x:v>
      </x:c>
      <x:c r="B147" s="15" t="str">
        <x:v>Outflow</x:v>
      </x:c>
      <x:c r="C147" s="15" t="str">
        <x:v>Ac De Jager Vleis</x:v>
      </x:c>
      <x:c r="D147" s="38" t="n">
        <x:v>1707.86</x:v>
      </x:c>
      <x:c r="E147" s="15" t="str">
        <x:v>ZAR</x:v>
      </x:c>
      <x:c r="F147" s="15" t="str">
        <x:v>Supplier payments</x:v>
      </x:c>
      <x:c r="G147" s="15" t="str">
        <x:v>Current a/c..512781</x:v>
      </x:c>
      <x:c r="H147" s="15" t="str">
        <x:v>Ac De Jager Vleis</x:v>
      </x:c>
      <x:c r="I147" s="15" t="str">
        <x:v>eml_ALL_currentac__512781 (2).zip &gt; eml7currentac__512781.zip / FNB _-) R1707.86 paid from Current a_c..512781 @ Smartapp. Ref.Ac De Jager Vleis.  1Feb 08_18.eml</x:v>
      </x:c>
    </x:row>
    <x:row r="148">
      <x:c r="A148" s="34" t="n">
        <x:v>46054.46597222222</x:v>
      </x:c>
      <x:c r="B148" s="15" t="str">
        <x:v>Outflow</x:v>
      </x:c>
      <x:c r="C148" s="15" t="str">
        <x:v>Honeysucker</x:v>
      </x:c>
      <x:c r="D148" s="38" t="n">
        <x:v>1500</x:v>
      </x:c>
      <x:c r="E148" s="15" t="str">
        <x:v>ZAR</x:v>
      </x:c>
      <x:c r="F148" s="15" t="str">
        <x:v>Supplier payments</x:v>
      </x:c>
      <x:c r="G148" s="15" t="str">
        <x:v>Current a/c..512781</x:v>
      </x:c>
      <x:c r="H148" s="15" t="str">
        <x:v>Honeysucker</x:v>
      </x:c>
      <x:c r="I148" s="15" t="str">
        <x:v>eml_ALL_currentac__512781 (2).zip &gt; eml7currentac__512781.zip / FNB _-) R1500.00 paid from Current a_c..512781 @ Smartapp. Ref.Honeysucker.  1Feb 11_11.eml</x:v>
      </x:c>
    </x:row>
    <x:row r="149">
      <x:c r="A149" s="34" t="n">
        <x:v>46055.41527777778</x:v>
      </x:c>
      <x:c r="B149" s="15" t="str">
        <x:v>Outflow</x:v>
      </x:c>
      <x:c r="C149" s="15" t="str">
        <x:v>Kpci - C1736 Feb</x:v>
      </x:c>
      <x:c r="D149" s="38" t="n">
        <x:v>500</x:v>
      </x:c>
      <x:c r="E149" s="15" t="str">
        <x:v>ZAR</x:v>
      </x:c>
      <x:c r="F149" s="15" t="str">
        <x:v>Supplier payments</x:v>
      </x:c>
      <x:c r="G149" s="15" t="str">
        <x:v>Current a/c..512781</x:v>
      </x:c>
      <x:c r="H149" s="15" t="str">
        <x:v>Kpci - C1736 Feb</x:v>
      </x:c>
      <x:c r="I149" s="15" t="str">
        <x:v>eml_ALL_currentac__512781 (2).zip &gt; eml7currentac__512781.zip / FNB _-) R500.00 paid from Current a_c..512781 @ Smartapp. Ref.Kpci - C1736 Feb.  2Feb 09_58.eml</x:v>
      </x:c>
    </x:row>
    <x:row r="150">
      <x:c r="A150" s="34" t="n">
        <x:v>46055.416666666664</x:v>
      </x:c>
      <x:c r="B150" s="15" t="str">
        <x:v>Outflow</x:v>
      </x:c>
      <x:c r="C150" s="15" t="str">
        <x:v>Deon"s Diy</x:v>
      </x:c>
      <x:c r="D150" s="38" t="n">
        <x:v>300</x:v>
      </x:c>
      <x:c r="E150" s="15" t="str">
        <x:v>ZAR</x:v>
      </x:c>
      <x:c r="F150" s="15" t="str">
        <x:v>Supplier payments</x:v>
      </x:c>
      <x:c r="G150" s="15" t="str">
        <x:v>Current a/c..512781</x:v>
      </x:c>
      <x:c r="H150" s="15" t="str">
        <x:v>Deon"s Diy</x:v>
      </x:c>
      <x:c r="I150" s="15" t="str">
        <x:v>eml_ALL_currentac__512781 (2).zip &gt; eml7currentac__512781.zip / FNB _-) R300.00 paid from Current a_c..512781 @ Smartapp. Ref.Deon_s Diy.  2Feb 10_00.eml</x:v>
      </x:c>
    </x:row>
    <x:row r="151">
      <x:c r="A151" s="34" t="n">
        <x:v>46055.42638888889</x:v>
      </x:c>
      <x:c r="B151" s="15" t="str">
        <x:v>Outflow</x:v>
      </x:c>
      <x:c r="C151" s="15" t="str">
        <x:v>Southern Kruger - Sw</x:v>
      </x:c>
      <x:c r="D151" s="38" t="n">
        <x:v>4900</x:v>
      </x:c>
      <x:c r="E151" s="15" t="str">
        <x:v>ZAR</x:v>
      </x:c>
      <x:c r="F151" s="15" t="str">
        <x:v>Supplier payments</x:v>
      </x:c>
      <x:c r="G151" s="15" t="str">
        <x:v>Current a/c..512781</x:v>
      </x:c>
      <x:c r="H151" s="15" t="str">
        <x:v>Southern Kruger - Sw</x:v>
      </x:c>
      <x:c r="I151" s="15" t="str">
        <x:v>eml_ALL_currentac__512781 (2).zip &gt; eml7currentac__512781.zip / FNB _-) R4900.00 paid from Current a_c..512781 @ Smartapp. Ref.Southern Kruger - Sw.  2Feb 10_14.eml</x:v>
      </x:c>
    </x:row>
    <x:row r="152">
      <x:c r="A152" s="34" t="n">
        <x:v>46055.580555555556</x:v>
      </x:c>
      <x:c r="B152" s="15" t="str">
        <x:v>Inflow</x:v>
      </x:c>
      <x:c r="C152" s="15" t="str">
        <x:v>Ik Pay 487882</x:v>
      </x:c>
      <x:c r="D152" s="38" t="n">
        <x:v>17517.27</x:v>
      </x:c>
      <x:c r="E152" s="15" t="str">
        <x:v>ZAR</x:v>
      </x:c>
      <x:c r="F152" s="15" t="str">
        <x:v>Sales / customer receipts</x:v>
      </x:c>
      <x:c r="G152" s="15" t="str">
        <x:v>Current a/c..512781</x:v>
      </x:c>
      <x:c r="H152" s="15" t="str">
        <x:v>Ik Pay 487882</x:v>
      </x:c>
      <x:c r="I152" s="15" t="str">
        <x:v>eml_ALL_currentac__512781 (2).zip &gt; eml7currentac__512781.zip / FNB _-) R17517.27 paid to Current a_c..512781 @ Payshap. Ref.Ik Pay 487882.  2Feb 13_56.eml</x:v>
      </x:c>
    </x:row>
    <x:row r="153">
      <x:c r="A153" s="34" t="n">
        <x:v>46055.626388888886</x:v>
      </x:c>
      <x:c r="B153" s="15" t="str">
        <x:v>Inflow</x:v>
      </x:c>
      <x:c r="C153" s="15" t="str">
        <x:v>Warner</x:v>
      </x:c>
      <x:c r="D153" s="38" t="n">
        <x:v>257.18</x:v>
      </x:c>
      <x:c r="E153" s="15" t="str">
        <x:v>ZAR</x:v>
      </x:c>
      <x:c r="F153" s="15" t="str">
        <x:v>Sales / customer receipts</x:v>
      </x:c>
      <x:c r="G153" s="15" t="str">
        <x:v>Current a/c..512781</x:v>
      </x:c>
      <x:c r="H153" s="15" t="str">
        <x:v>Warner</x:v>
      </x:c>
      <x:c r="I153" s="15" t="str">
        <x:v>eml_ALL_currentac__512781 (2).zip &gt; eml7currentac__512781.zip / FNB _-) R257.18 paid to Current a_c..512781 @ Payshap. Ref.Warner.  2Feb 15_02.eml</x:v>
      </x:c>
    </x:row>
    <x:row r="154">
      <x:c r="A154" s="34" t="n">
        <x:v>46055.63333333333</x:v>
      </x:c>
      <x:c r="B154" s="15" t="str">
        <x:v>Outflow</x:v>
      </x:c>
      <x:c r="C154" s="15" t="str">
        <x:v>Royal Bush 3597</x:v>
      </x:c>
      <x:c r="D154" s="38" t="n">
        <x:v>6472</x:v>
      </x:c>
      <x:c r="E154" s="15" t="str">
        <x:v>ZAR</x:v>
      </x:c>
      <x:c r="F154" s="15" t="str">
        <x:v>Supplier payments</x:v>
      </x:c>
      <x:c r="G154" s="15" t="str">
        <x:v>Current a/c..512781</x:v>
      </x:c>
      <x:c r="H154" s="15" t="str">
        <x:v>Royal Bush 3597</x:v>
      </x:c>
      <x:c r="I154" s="15" t="str">
        <x:v>eml_ALL_currentac__512781 (2).zip &gt; eml7currentac__512781.zip / FNB _-) R6472.00 paid from Current a_c..512781 @ Smartapp. Ref.Royal Bush 3597.  2Feb 15_12.eml</x:v>
      </x:c>
    </x:row>
    <x:row r="155">
      <x:c r="A155" s="34" t="n">
        <x:v>46057.333333333336</x:v>
      </x:c>
      <x:c r="B155" s="15" t="str">
        <x:v>Outflow</x:v>
      </x:c>
      <x:c r="C155" s="15" t="str">
        <x:v>Electricity 04294887</x:v>
      </x:c>
      <x:c r="D155" s="38" t="n">
        <x:v>500</x:v>
      </x:c>
      <x:c r="E155" s="15" t="str">
        <x:v>ZAR</x:v>
      </x:c>
      <x:c r="F155" s="15" t="str">
        <x:v>Telecom / utilities</x:v>
      </x:c>
      <x:c r="G155" s="15" t="str">
        <x:v>Current a/c..512781</x:v>
      </x:c>
      <x:c r="H155" s="15" t="str">
        <x:v>Electricity 04294887</x:v>
      </x:c>
      <x:c r="I155" s="15" t="str">
        <x:v>eml_ALL_currentac__512781 (2).zip &gt; eml7currentac__512781.zip / FNB _-) R500.00 paid from Current a_c..512781 @ Smartapp. Ref.Electricity 04294887.  4Feb 08_00.eml</x:v>
      </x:c>
    </x:row>
    <x:row r="156">
      <x:c r="A156" s="34" t="n">
        <x:v>46057.51527777778</x:v>
      </x:c>
      <x:c r="B156" s="15" t="str">
        <x:v>Outflow</x:v>
      </x:c>
      <x:c r="C156" s="15" t="str">
        <x:v>Kruger Safari 1681</x:v>
      </x:c>
      <x:c r="D156" s="38" t="n">
        <x:v>6008</x:v>
      </x:c>
      <x:c r="E156" s="15" t="str">
        <x:v>ZAR</x:v>
      </x:c>
      <x:c r="F156" s="15" t="str">
        <x:v>Supplier payments</x:v>
      </x:c>
      <x:c r="G156" s="15" t="str">
        <x:v>Current a/c..512781</x:v>
      </x:c>
      <x:c r="H156" s="15" t="str">
        <x:v>Kruger Safari 1681</x:v>
      </x:c>
      <x:c r="I156" s="15" t="str">
        <x:v>eml_ALL_currentac__512781 (2).zip &gt; eml7currentac__512781.zip / FNB _-) R6008.00 paid from Current a_c..512781 @ Gen Ph. Ref.Kruger Safari 1681.  4Feb 12_22.eml</x:v>
      </x:c>
    </x:row>
    <x:row r="157">
      <x:c r="A157" s="34" t="n">
        <x:v>46058.38333333333</x:v>
      </x:c>
      <x:c r="B157" s="15" t="str">
        <x:v>Outflow</x:v>
      </x:c>
      <x:c r="C157" s="15" t="str">
        <x:v>Laundry Bigbay</x:v>
      </x:c>
      <x:c r="D157" s="38" t="n">
        <x:v>442.25</x:v>
      </x:c>
      <x:c r="E157" s="15" t="str">
        <x:v>ZAR</x:v>
      </x:c>
      <x:c r="F157" s="15" t="str">
        <x:v>Supplier payments</x:v>
      </x:c>
      <x:c r="G157" s="15" t="str">
        <x:v>Current a/c..512781</x:v>
      </x:c>
      <x:c r="H157" s="15" t="str">
        <x:v>Laundry Bigbay</x:v>
      </x:c>
      <x:c r="I157" s="15" t="str">
        <x:v>eml_ALL_currentac__512781 (2).zip &gt; eml7currentac__512781.zip / FNB _-) R442.25 paid from Current a_c..512781 @ Smartapp. Ref.Laundry Bigbay.  5Feb 09_12.eml</x:v>
      </x:c>
    </x:row>
    <x:row r="158">
      <x:c r="A158" s="34" t="n">
        <x:v>46059.07361111111</x:v>
      </x:c>
      <x:c r="B158" s="15" t="str">
        <x:v>Outflow</x:v>
      </x:c>
      <x:c r="C158" s="15" t="str">
        <x:v>Salary Jan</x:v>
      </x:c>
      <x:c r="D158" s="38" t="n">
        <x:v>5000</x:v>
      </x:c>
      <x:c r="E158" s="15" t="str">
        <x:v>ZAR</x:v>
      </x:c>
      <x:c r="F158" s="15" t="str">
        <x:v>Salary / wages</x:v>
      </x:c>
      <x:c r="G158" s="15" t="str">
        <x:v>Current a/c..512781</x:v>
      </x:c>
      <x:c r="H158" s="15" t="str">
        <x:v>Salary Jan</x:v>
      </x:c>
      <x:c r="I158" s="15" t="str">
        <x:v>eml_ALL_currentac__512781 (2).zip &gt; eml6currentac__512781.zip / FNB _-) R5000.00 paid from Current a_c..512781 @ Gen Ph. Ref.Salary Jan.  6Feb 01_46.eml</x:v>
      </x:c>
    </x:row>
    <x:row r="159">
      <x:c r="A159" s="34" t="n">
        <x:v>46059.17986111111</x:v>
      </x:c>
      <x:c r="B159" s="15" t="str">
        <x:v>Outflow</x:v>
      </x:c>
      <x:c r="C159" s="15" t="str">
        <x:v>Salary Jan</x:v>
      </x:c>
      <x:c r="D159" s="38" t="n">
        <x:v>2000</x:v>
      </x:c>
      <x:c r="E159" s="15" t="str">
        <x:v>ZAR</x:v>
      </x:c>
      <x:c r="F159" s="15" t="str">
        <x:v>Salary / wages</x:v>
      </x:c>
      <x:c r="G159" s="15" t="str">
        <x:v>Current a/c..512781</x:v>
      </x:c>
      <x:c r="H159" s="15" t="str">
        <x:v>Salary Jan</x:v>
      </x:c>
      <x:c r="I159" s="15" t="str">
        <x:v>eml_ALL_currentac__512781 (2).zip &gt; eml6currentac__512781.zip / FNB _-) R2000.00 paid from Current a_c..512781 @ Smartapp. Ref.Salary Jan.  6Feb 04_19.eml</x:v>
      </x:c>
    </x:row>
    <x:row r="160">
      <x:c r="A160" s="34" t="n">
        <x:v>46059.42361111111</x:v>
      </x:c>
      <x:c r="B160" s="15" t="str">
        <x:v>Inflow</x:v>
      </x:c>
      <x:c r="C160" s="15" t="str">
        <x:v>R026xf8n60 Booking.c</x:v>
      </x:c>
      <x:c r="D160" s="38" t="n">
        <x:v>12861.68</x:v>
      </x:c>
      <x:c r="E160" s="15" t="str">
        <x:v>ZAR</x:v>
      </x:c>
      <x:c r="F160" s="15" t="str">
        <x:v>Sales / customer receipts</x:v>
      </x:c>
      <x:c r="G160" s="15" t="str">
        <x:v>Current a/c..512781</x:v>
      </x:c>
      <x:c r="H160" s="15" t="str">
        <x:v>R026xf8n60 Booking.c</x:v>
      </x:c>
      <x:c r="I160" s="15" t="str">
        <x:v>eml_ALL_currentac__512781 (2).zip &gt; eml6currentac__512781.zip / FNB _-) R12861.68 paid to Current a_c..512781 @ Retail Forex. Ref.R026xf8n60 Booking.c.  6Feb 10_10.eml</x:v>
      </x:c>
    </x:row>
    <x:row r="161">
      <x:c r="A161" s="34" t="n">
        <x:v>46059.65833333333</x:v>
      </x:c>
      <x:c r="B161" s="15" t="str">
        <x:v>Outflow</x:v>
      </x:c>
      <x:c r="C161" s="15" t="str">
        <x:v>Sakkie Wages</x:v>
      </x:c>
      <x:c r="D161" s="38" t="n">
        <x:v>600</x:v>
      </x:c>
      <x:c r="E161" s="15" t="str">
        <x:v>ZAR</x:v>
      </x:c>
      <x:c r="F161" s="15" t="str">
        <x:v>Salary / wages</x:v>
      </x:c>
      <x:c r="G161" s="15" t="str">
        <x:v>Current a/c..512781</x:v>
      </x:c>
      <x:c r="H161" s="15" t="str">
        <x:v>Sakkie Wages</x:v>
      </x:c>
      <x:c r="I161" s="15" t="str">
        <x:v>eml_ALL_currentac__512781 (2).zip &gt; eml6currentac__512781.zip / FNB _-) R600.00 paid from Current a_c..512781 @ Smartapp. Ref.Sakkie Wages.  6Feb 15_48.eml</x:v>
      </x:c>
    </x:row>
    <x:row r="162">
      <x:c r="A162" s="34" t="n">
        <x:v>46060.44861111111</x:v>
      </x:c>
      <x:c r="B162" s="15" t="str">
        <x:v>Inflow</x:v>
      </x:c>
      <x:c r="C162" s="15" t="str">
        <x:v>Ik Pay 487882</x:v>
      </x:c>
      <x:c r="D162" s="38" t="n">
        <x:v>6094.96</x:v>
      </x:c>
      <x:c r="E162" s="15" t="str">
        <x:v>ZAR</x:v>
      </x:c>
      <x:c r="F162" s="15" t="str">
        <x:v>Sales / customer receipts</x:v>
      </x:c>
      <x:c r="G162" s="15" t="str">
        <x:v>Current a/c..512781</x:v>
      </x:c>
      <x:c r="H162" s="15" t="str">
        <x:v>Ik Pay 487882</x:v>
      </x:c>
      <x:c r="I162" s="15" t="str">
        <x:v>eml_ALL_currentac__512781 (2).zip &gt; eml6currentac__512781.zip / FNB _-) R6094.96 paid to Current a_c..512781 @ Payshap. Ref.Ik Pay 487882.  7Feb 10_46.eml</x:v>
      </x:c>
    </x:row>
    <x:row r="163">
      <x:c r="A163" s="34" t="n">
        <x:v>46060.70694444444</x:v>
      </x:c>
      <x:c r="B163" s="15" t="str">
        <x:v>Outflow</x:v>
      </x:c>
      <x:c r="C163" s="15" t="str">
        <x:v>Electricity 04294887</x:v>
      </x:c>
      <x:c r="D163" s="38" t="n">
        <x:v>500</x:v>
      </x:c>
      <x:c r="E163" s="15" t="str">
        <x:v>ZAR</x:v>
      </x:c>
      <x:c r="F163" s="15" t="str">
        <x:v>Telecom / utilities</x:v>
      </x:c>
      <x:c r="G163" s="15" t="str">
        <x:v>Current a/c..512781</x:v>
      </x:c>
      <x:c r="H163" s="15" t="str">
        <x:v>Electricity 04294887</x:v>
      </x:c>
      <x:c r="I163" s="15" t="str">
        <x:v>eml_ALL_currentac__512781 (2).zip &gt; eml6currentac__512781.zip / FNB _-) R500.00 paid from Current a_c..512781 @ Smartapp. Ref.Electricity 04294887.  7Feb 16_58.eml</x:v>
      </x:c>
    </x:row>
    <x:row r="164">
      <x:c r="A164" s="34" t="n">
        <x:v>46062.57152777778</x:v>
      </x:c>
      <x:c r="B164" s="15" t="str">
        <x:v>Inflow</x:v>
      </x:c>
      <x:c r="C164" s="15" t="str">
        <x:v>Ik Pay 487882</x:v>
      </x:c>
      <x:c r="D164" s="38" t="n">
        <x:v>14766.58</x:v>
      </x:c>
      <x:c r="E164" s="15" t="str">
        <x:v>ZAR</x:v>
      </x:c>
      <x:c r="F164" s="15" t="str">
        <x:v>Sales / customer receipts</x:v>
      </x:c>
      <x:c r="G164" s="15" t="str">
        <x:v>Current a/c..512781</x:v>
      </x:c>
      <x:c r="H164" s="15" t="str">
        <x:v>Ik Pay 487882</x:v>
      </x:c>
      <x:c r="I164" s="15" t="str">
        <x:v>eml_ALL_currentac__512781 (2).zip &gt; eml6currentac__512781.zip / FNB _-) R14766.58 paid to Current a_c..512781 @ Payshap. Ref.Ik Pay 487882.  9Feb 13_43.eml</x:v>
      </x:c>
    </x:row>
    <x:row r="165">
      <x:c r="A165" s="34" t="n">
        <x:v>46062.59027777778</x:v>
      </x:c>
      <x:c r="B165" s="15" t="str">
        <x:v>Outflow</x:v>
      </x:c>
      <x:c r="C165" s="15" t="str">
        <x:v>Nb 26696</x:v>
      </x:c>
      <x:c r="D165" s="38" t="n">
        <x:v>759</x:v>
      </x:c>
      <x:c r="E165" s="15" t="str">
        <x:v>ZAR</x:v>
      </x:c>
      <x:c r="F165" s="15" t="str">
        <x:v>Supplier payments</x:v>
      </x:c>
      <x:c r="G165" s="15" t="str">
        <x:v>Current a/c..512781</x:v>
      </x:c>
      <x:c r="H165" s="15" t="str">
        <x:v>Nb 26696</x:v>
      </x:c>
      <x:c r="I165" s="15" t="str">
        <x:v>eml_ALL_currentac__512781 (2).zip &gt; eml6currentac__512781.zip / FNB _-) R759.00 paid from Current a_c..512781 @ Smartapp. Ref.Nb 26696.  9Feb 14_10.eml</x:v>
      </x:c>
    </x:row>
    <x:row r="166">
      <x:c r="A166" s="34" t="n">
        <x:v>46062.59097222222</x:v>
      </x:c>
      <x:c r="B166" s="15" t="str">
        <x:v>Outflow</x:v>
      </x:c>
      <x:c r="C166" s="15" t="str">
        <x:v>Royal Bush 3610</x:v>
      </x:c>
      <x:c r="D166" s="38" t="n">
        <x:v>3036</x:v>
      </x:c>
      <x:c r="E166" s="15" t="str">
        <x:v>ZAR</x:v>
      </x:c>
      <x:c r="F166" s="15" t="str">
        <x:v>Supplier payments</x:v>
      </x:c>
      <x:c r="G166" s="15" t="str">
        <x:v>Current a/c..512781</x:v>
      </x:c>
      <x:c r="H166" s="15" t="str">
        <x:v>Royal Bush 3610</x:v>
      </x:c>
      <x:c r="I166" s="15" t="str">
        <x:v>eml_ALL_currentac__512781 (2).zip &gt; eml6currentac__512781.zip / FNB _-) R3036.00 paid from Current a_c..512781 @ Smartapp. Ref.Royal Bush 3610.  9Feb 14_11.eml</x:v>
      </x:c>
    </x:row>
    <x:row r="167">
      <x:c r="A167" s="34" t="n">
        <x:v>46063.57777777778</x:v>
      </x:c>
      <x:c r="B167" s="15" t="str">
        <x:v>Inflow</x:v>
      </x:c>
      <x:c r="C167" s="15" t="str">
        <x:v>Ik Pay 487882</x:v>
      </x:c>
      <x:c r="D167" s="38" t="n">
        <x:v>2266.11</x:v>
      </x:c>
      <x:c r="E167" s="15" t="str">
        <x:v>ZAR</x:v>
      </x:c>
      <x:c r="F167" s="15" t="str">
        <x:v>Sales / customer receipts</x:v>
      </x:c>
      <x:c r="G167" s="15" t="str">
        <x:v>Current a/c..512781</x:v>
      </x:c>
      <x:c r="H167" s="15" t="str">
        <x:v>Ik Pay 487882</x:v>
      </x:c>
      <x:c r="I167" s="15" t="str">
        <x:v>eml_ALL_currentac__512781 (2).zip &gt; eml6currentac__512781.zip / FNB _-) R2266.11 paid to Current a_c..512781 @ Payshap. Ref.Ik Pay 487882. 10Feb 13_52.eml</x:v>
      </x:c>
    </x:row>
    <x:row r="168">
      <x:c r="A168" s="34" t="n">
        <x:v>46064</x:v>
      </x:c>
      <x:c r="B168" s="15" t="str">
        <x:v>Inflow</x:v>
      </x:c>
      <x:c r="C168" s="15" t="str">
        <x:v>Rev Ag18 3884 Olif</x:v>
      </x:c>
      <x:c r="D168" s="38" t="n">
        <x:v>200</x:v>
      </x:c>
      <x:c r="E168" s="15" t="str">
        <x:v>ZAR</x:v>
      </x:c>
      <x:c r="F168" s="15" t="str">
        <x:v>Sales / customer receipts</x:v>
      </x:c>
      <x:c r="G168" s="15" t="str">
        <x:v>Current a/c..512781</x:v>
      </x:c>
      <x:c r="H168" s="15" t="str">
        <x:v>Rev Ag18 3884 Olif</x:v>
      </x:c>
      <x:c r="I168" s="15" t="str">
        <x:v>eml_ALL_currentac__512781 (2).zip &gt; eml6currentac__512781.zip / FNB _-) R200.00 paid to Current a_c..512781 @ Eft. Ref.Rev Ag18 3884 Olif. 11Feb 00_00.eml</x:v>
      </x:c>
    </x:row>
    <x:row r="169">
      <x:c r="A169" s="34" t="n">
        <x:v>46064</x:v>
      </x:c>
      <x:c r="B169" s="15" t="str">
        <x:v>Outflow</x:v>
      </x:c>
      <x:c r="C169" s="15" t="str">
        <x:v>Cash Ag18 3884 Olif</x:v>
      </x:c>
      <x:c r="D169" s="38" t="n">
        <x:v>200</x:v>
      </x:c>
      <x:c r="E169" s="15" t="str">
        <x:v>ZAR</x:v>
      </x:c>
      <x:c r="F169" s="15" t="str">
        <x:v>Cash withdrawal</x:v>
      </x:c>
      <x:c r="G169" s="15" t="str">
        <x:v>Current a/c..512781</x:v>
      </x:c>
      <x:c r="H169" s="15" t="str">
        <x:v>Cash Ag18 3884 Olif</x:v>
      </x:c>
      <x:c r="I169" s="15" t="str">
        <x:v>eml_ALL_currentac__512781 (2).zip &gt; eml6currentac__512781.zip / Payments for 11 Feb.eml</x:v>
      </x:c>
    </x:row>
    <x:row r="170">
      <x:c r="A170" s="34" t="n">
        <x:v>46064.521527777775</x:v>
      </x:c>
      <x:c r="B170" s="15" t="str">
        <x:v>Outflow</x:v>
      </x:c>
      <x:c r="C170" s="15" t="str">
        <x:v>Cf Moto Saf - Inv 1</x:v>
      </x:c>
      <x:c r="D170" s="38" t="n">
        <x:v>2049</x:v>
      </x:c>
      <x:c r="E170" s="15" t="str">
        <x:v>ZAR</x:v>
      </x:c>
      <x:c r="F170" s="15" t="str">
        <x:v>Supplier payments</x:v>
      </x:c>
      <x:c r="G170" s="15" t="str">
        <x:v>Current a/c..512781</x:v>
      </x:c>
      <x:c r="H170" s="15" t="str">
        <x:v>Cf Moto Saf - Inv 1</x:v>
      </x:c>
      <x:c r="I170" s="15" t="str">
        <x:v>eml_ALL_currentac__512781 (2).zip &gt; eml6currentac__512781.zip / FNB _-) R2049.00 paid from Current a_c..512781 @ Smartapp. Ref.Cf Moto Saf - Inv 1.. 11Feb 12_31.eml</x:v>
      </x:c>
    </x:row>
    <x:row r="171">
      <x:c r="A171" s="34" t="n">
        <x:v>46064.52291666667</x:v>
      </x:c>
      <x:c r="B171" s="15" t="str">
        <x:v>Outflow</x:v>
      </x:c>
      <x:c r="C171" s="15" t="str">
        <x:v>Dinner Box 106824</x:v>
      </x:c>
      <x:c r="D171" s="38" t="n">
        <x:v>1760</x:v>
      </x:c>
      <x:c r="E171" s="15" t="str">
        <x:v>ZAR</x:v>
      </x:c>
      <x:c r="F171" s="15" t="str">
        <x:v>Meals / restaurants / entertainment</x:v>
      </x:c>
      <x:c r="G171" s="15" t="str">
        <x:v>Current a/c..512781</x:v>
      </x:c>
      <x:c r="H171" s="15" t="str">
        <x:v>Dinner Box 106824</x:v>
      </x:c>
      <x:c r="I171" s="15" t="str">
        <x:v>eml_ALL_currentac__512781 (2).zip &gt; eml6currentac__512781.zip / FNB _-) R1760.00 paid from Current a_c..512781 @ Smartapp. Ref.Dinner Box 106824. 11Feb 12_33.eml</x:v>
      </x:c>
    </x:row>
    <x:row r="172">
      <x:c r="A172" s="34" t="n">
        <x:v>46064.525</x:v>
      </x:c>
      <x:c r="B172" s="15" t="str">
        <x:v>Outflow</x:v>
      </x:c>
      <x:c r="C172" s="15" t="str">
        <x:v>Salary Jan</x:v>
      </x:c>
      <x:c r="D172" s="38" t="n">
        <x:v>3000</x:v>
      </x:c>
      <x:c r="E172" s="15" t="str">
        <x:v>ZAR</x:v>
      </x:c>
      <x:c r="F172" s="15" t="str">
        <x:v>Salary / wages</x:v>
      </x:c>
      <x:c r="G172" s="15" t="str">
        <x:v>Current a/c..512781</x:v>
      </x:c>
      <x:c r="H172" s="15" t="str">
        <x:v>Salary Jan</x:v>
      </x:c>
      <x:c r="I172" s="15" t="str">
        <x:v>eml_ALL_currentac__512781 (2).zip &gt; eml6currentac__512781.zip / FNB _-) R3000.00 paid from Current a_c..512781 @ Smartapp. Ref.Salary Jan. 11Feb 12_36.eml</x:v>
      </x:c>
    </x:row>
    <x:row r="173">
      <x:c r="A173" s="34" t="n">
        <x:v>46065.353472222225</x:v>
      </x:c>
      <x:c r="B173" s="15" t="str">
        <x:v>Inflow</x:v>
      </x:c>
      <x:c r="C173" s="15" t="str">
        <x:v>R026x4wv90 Booking.c</x:v>
      </x:c>
      <x:c r="D173" s="38" t="n">
        <x:v>35459.34</x:v>
      </x:c>
      <x:c r="E173" s="15" t="str">
        <x:v>ZAR</x:v>
      </x:c>
      <x:c r="F173" s="15" t="str">
        <x:v>Sales / customer receipts</x:v>
      </x:c>
      <x:c r="G173" s="15" t="str">
        <x:v>Current a/c..512781</x:v>
      </x:c>
      <x:c r="H173" s="15" t="str">
        <x:v>R026x4wv90 Booking.c</x:v>
      </x:c>
      <x:c r="I173" s="15" t="str">
        <x:v>eml_ALL_currentac__512781 (2).zip &gt; eml6currentac__512781.zip / FNB _-) R35459.34 paid to Current a_c..512781 @ Retail Forex. Ref.R026x4wv90 Booking.c. 12Feb 08_29.eml</x:v>
      </x:c>
    </x:row>
    <x:row r="174">
      <x:c r="A174" s="34" t="n">
        <x:v>46065.43194444444</x:v>
      </x:c>
      <x:c r="B174" s="15" t="str">
        <x:v>Outflow</x:v>
      </x:c>
      <x:c r="C174" s="15" t="str">
        <x:v>Bon Express 007661</x:v>
      </x:c>
      <x:c r="D174" s="38" t="n">
        <x:v>345</x:v>
      </x:c>
      <x:c r="E174" s="15" t="str">
        <x:v>ZAR</x:v>
      </x:c>
      <x:c r="F174" s="15" t="str">
        <x:v>Supplier payments</x:v>
      </x:c>
      <x:c r="G174" s="15" t="str">
        <x:v>Current a/c..512781</x:v>
      </x:c>
      <x:c r="H174" s="15" t="str">
        <x:v>Bon Express 007661</x:v>
      </x:c>
      <x:c r="I174" s="15" t="str">
        <x:v>eml_ALL_currentac__512781 (2).zip &gt; eml6currentac__512781.zip / FNB _-) R345.00 paid from Current a_c..512781 @ Smartapp. Ref.Bon Express 007661. 12Feb 10_22.eml</x:v>
      </x:c>
    </x:row>
    <x:row r="175">
      <x:c r="A175" s="34" t="n">
        <x:v>46065.43194444444</x:v>
      </x:c>
      <x:c r="B175" s="15" t="str">
        <x:v>Outflow</x:v>
      </x:c>
      <x:c r="C175" s="15" t="str">
        <x:v>Bon Express 007623</x:v>
      </x:c>
      <x:c r="D175" s="38" t="n">
        <x:v>380.65</x:v>
      </x:c>
      <x:c r="E175" s="15" t="str">
        <x:v>ZAR</x:v>
      </x:c>
      <x:c r="F175" s="15" t="str">
        <x:v>Supplier payments</x:v>
      </x:c>
      <x:c r="G175" s="15" t="str">
        <x:v>Current a/c..512781</x:v>
      </x:c>
      <x:c r="H175" s="15" t="str">
        <x:v>Bon Express 007623</x:v>
      </x:c>
      <x:c r="I175" s="15" t="str">
        <x:v>eml_ALL_currentac__512781 (2).zip &gt; eml6currentac__512781.zip / FNB _-) R380.65 paid from Current a_c..512781 @ Smartapp. Ref.Bon Express 007623. 12Feb 10_22.eml</x:v>
      </x:c>
    </x:row>
    <x:row r="176">
      <x:c r="A176" s="34" t="n">
        <x:v>46065.43402777778</x:v>
      </x:c>
      <x:c r="B176" s="15" t="str">
        <x:v>Outflow</x:v>
      </x:c>
      <x:c r="C176" s="15" t="str">
        <x:v>Printing</x:v>
      </x:c>
      <x:c r="D176" s="38" t="n">
        <x:v>815</x:v>
      </x:c>
      <x:c r="E176" s="15" t="str">
        <x:v>ZAR</x:v>
      </x:c>
      <x:c r="F176" s="15" t="str">
        <x:v>Supplier payments</x:v>
      </x:c>
      <x:c r="G176" s="15" t="str">
        <x:v>Current a/c..512781</x:v>
      </x:c>
      <x:c r="H176" s="15" t="str">
        <x:v>Printing</x:v>
      </x:c>
      <x:c r="I176" s="15" t="str">
        <x:v>eml_ALL_currentac__512781 (2).zip &gt; eml6currentac__512781.zip / FNB _-) R815.00 paid from Current a_c..512781 @ Smartapp. Ref.Printing. 12Feb 10_25.eml</x:v>
      </x:c>
    </x:row>
    <x:row r="177">
      <x:c r="A177" s="34" t="n">
        <x:v>46065.43541666667</x:v>
      </x:c>
      <x:c r="B177" s="15" t="str">
        <x:v>Outflow</x:v>
      </x:c>
      <x:c r="C177" s="15" t="str">
        <x:v>Kruger Safari 1682</x:v>
      </x:c>
      <x:c r="D177" s="38" t="n">
        <x:v>5708</x:v>
      </x:c>
      <x:c r="E177" s="15" t="str">
        <x:v>ZAR</x:v>
      </x:c>
      <x:c r="F177" s="15" t="str">
        <x:v>Supplier payments</x:v>
      </x:c>
      <x:c r="G177" s="15" t="str">
        <x:v>Current a/c..512781</x:v>
      </x:c>
      <x:c r="H177" s="15" t="str">
        <x:v>Kruger Safari 1682</x:v>
      </x:c>
      <x:c r="I177" s="15" t="str">
        <x:v>eml_ALL_currentac__512781 (2).zip &gt; eml6currentac__512781.zip / FNB _-) R5708.00 paid from Current a_c..512781 @ Smartapp. Ref.Kruger Safari 1682. 12Feb 10_27.eml</x:v>
      </x:c>
    </x:row>
    <x:row r="178">
      <x:c r="A178" s="34" t="n">
        <x:v>46065.58611111111</x:v>
      </x:c>
      <x:c r="B178" s="15" t="str">
        <x:v>Inflow</x:v>
      </x:c>
      <x:c r="C178" s="15" t="str">
        <x:v>Ik Pay 487882</x:v>
      </x:c>
      <x:c r="D178" s="38" t="n">
        <x:v>3559.21</x:v>
      </x:c>
      <x:c r="E178" s="15" t="str">
        <x:v>ZAR</x:v>
      </x:c>
      <x:c r="F178" s="15" t="str">
        <x:v>Sales / customer receipts</x:v>
      </x:c>
      <x:c r="G178" s="15" t="str">
        <x:v>Current a/c..512781</x:v>
      </x:c>
      <x:c r="H178" s="15" t="str">
        <x:v>Ik Pay 487882</x:v>
      </x:c>
      <x:c r="I178" s="15" t="str">
        <x:v>eml_ALL_currentac__512781 (2).zip &gt; eml6currentac__512781.zip / FNB _-) R3559.21 paid to Current a_c..512781 @ Payshap. Ref.Ik Pay 487882. 12Feb 14_04.eml</x:v>
      </x:c>
    </x:row>
    <x:row r="179">
      <x:c r="A179" s="34" t="n">
        <x:v>46066.67847222222</x:v>
      </x:c>
      <x:c r="B179" s="15" t="str">
        <x:v>Outflow</x:v>
      </x:c>
      <x:c r="C179" s="15" t="str">
        <x:v>Electricity 04294887</x:v>
      </x:c>
      <x:c r="D179" s="38" t="n">
        <x:v>500</x:v>
      </x:c>
      <x:c r="E179" s="15" t="str">
        <x:v>ZAR</x:v>
      </x:c>
      <x:c r="F179" s="15" t="str">
        <x:v>Telecom / utilities</x:v>
      </x:c>
      <x:c r="G179" s="15" t="str">
        <x:v>Current a/c..512781</x:v>
      </x:c>
      <x:c r="H179" s="15" t="str">
        <x:v>Electricity 04294887</x:v>
      </x:c>
      <x:c r="I179" s="15" t="str">
        <x:v>eml_ALL_currentac__512781 (2).zip &gt; eml6currentac__512781.zip / FNB _-) R500.00 paid from Current a_c..512781 @ Smartapp. Ref.Electricity 04294887. 13Feb 16_17.eml</x:v>
      </x:c>
    </x:row>
    <x:row r="180">
      <x:c r="A180" s="34" t="n">
        <x:v>46066.68263888889</x:v>
      </x:c>
      <x:c r="B180" s="15" t="str">
        <x:v>Outflow</x:v>
      </x:c>
      <x:c r="C180" s="15" t="str">
        <x:v>Seaside Village Elec</x:v>
      </x:c>
      <x:c r="D180" s="38" t="n">
        <x:v>1000</x:v>
      </x:c>
      <x:c r="E180" s="15" t="str">
        <x:v>ZAR</x:v>
      </x:c>
      <x:c r="F180" s="15" t="str">
        <x:v>Accommodation / hotels</x:v>
      </x:c>
      <x:c r="G180" s="15" t="str">
        <x:v>Current a/c..512781</x:v>
      </x:c>
      <x:c r="H180" s="15" t="str">
        <x:v>Seaside Village Elec</x:v>
      </x:c>
      <x:c r="I180" s="15" t="str">
        <x:v>eml_ALL_currentac__512781 (2).zip &gt; eml6currentac__512781.zip / FNB _-) R1000.00 paid from Current a_c..512781 @ Smartapp. Ref.Seaside Village Elec. 13Feb 16_23.eml</x:v>
      </x:c>
    </x:row>
    <x:row r="181">
      <x:c r="A181" s="34" t="n">
        <x:v>46066.861805555556</x:v>
      </x:c>
      <x:c r="B181" s="15" t="str">
        <x:v>Outflow</x:v>
      </x:c>
      <x:c r="C181" s="15" t="str">
        <x:v>Salary Feb</x:v>
      </x:c>
      <x:c r="D181" s="38" t="n">
        <x:v>3000</x:v>
      </x:c>
      <x:c r="E181" s="15" t="str">
        <x:v>ZAR</x:v>
      </x:c>
      <x:c r="F181" s="15" t="str">
        <x:v>Salary / wages</x:v>
      </x:c>
      <x:c r="G181" s="15" t="str">
        <x:v>Current a/c..512781</x:v>
      </x:c>
      <x:c r="H181" s="15" t="str">
        <x:v>Salary Feb</x:v>
      </x:c>
      <x:c r="I181" s="15" t="str">
        <x:v>eml_ALL_currentac__512781 (2).zip &gt; eml6currentac__512781.zip / FNB _-) R3000.00 paid from Current a_c..512781 @ Smartapp. Ref.Salary Feb. 13Feb 20_41.eml</x:v>
      </x:c>
    </x:row>
    <x:row r="182">
      <x:c r="A182" s="34" t="n">
        <x:v>46066.92291666667</x:v>
      </x:c>
      <x:c r="B182" s="15" t="str">
        <x:v>Outflow</x:v>
      </x:c>
      <x:c r="C182" s="15" t="str">
        <x:v>Staff Tips For Aug</x:v>
      </x:c>
      <x:c r="D182" s="38" t="n">
        <x:v>5000</x:v>
      </x:c>
      <x:c r="E182" s="15" t="str">
        <x:v>ZAR</x:v>
      </x:c>
      <x:c r="F182" s="15" t="str">
        <x:v>Salary / wages</x:v>
      </x:c>
      <x:c r="G182" s="15" t="str">
        <x:v>Current a/c..512781</x:v>
      </x:c>
      <x:c r="H182" s="15" t="str">
        <x:v>Staff Tips For Aug</x:v>
      </x:c>
      <x:c r="I182" s="15" t="str">
        <x:v>eml_ALL_currentac__512781 (2).zip &gt; eml6currentac__512781.zip / FNB _-) R5000.00 paid from Current a_c..512781 @ Gen Ph. Ref.Staff Tips For Aug. 13Feb 22_09.eml</x:v>
      </x:c>
    </x:row>
    <x:row r="183">
      <x:c r="A183" s="34" t="n">
        <x:v>46067.00833333333</x:v>
      </x:c>
      <x:c r="B183" s="15" t="str">
        <x:v>Outflow</x:v>
      </x:c>
      <x:c r="C183" s="15" t="str">
        <x:v>Dreyer</x:v>
      </x:c>
      <x:c r="D183" s="38" t="n">
        <x:v>3000</x:v>
      </x:c>
      <x:c r="E183" s="15" t="str">
        <x:v>ZAR</x:v>
      </x:c>
      <x:c r="F183" s="15" t="str">
        <x:v>Supplier payments</x:v>
      </x:c>
      <x:c r="G183" s="15" t="str">
        <x:v>Current a/c..512781</x:v>
      </x:c>
      <x:c r="H183" s="15" t="str">
        <x:v>Dreyer</x:v>
      </x:c>
      <x:c r="I183" s="15" t="str">
        <x:v>eml_ALL_currentac__512781 (2).zip &gt; eml6currentac__512781.zip / FNB _-) R3000.00 paid from Current a_c..512781 @ Smartapp. Ref.Dreyer. 14Feb 00_12.eml</x:v>
      </x:c>
    </x:row>
    <x:row r="184">
      <x:c r="A184" s="34" t="n">
        <x:v>46067.36597222222</x:v>
      </x:c>
      <x:c r="B184" s="15" t="str">
        <x:v>Outflow</x:v>
      </x:c>
      <x:c r="C184" s="15" t="str">
        <x:v>Sakkie Wages</x:v>
      </x:c>
      <x:c r="D184" s="38" t="n">
        <x:v>2000</x:v>
      </x:c>
      <x:c r="E184" s="15" t="str">
        <x:v>ZAR</x:v>
      </x:c>
      <x:c r="F184" s="15" t="str">
        <x:v>Salary / wages</x:v>
      </x:c>
      <x:c r="G184" s="15" t="str">
        <x:v>Current a/c..512781</x:v>
      </x:c>
      <x:c r="H184" s="15" t="str">
        <x:v>Sakkie Wages</x:v>
      </x:c>
      <x:c r="I184" s="15" t="str">
        <x:v>eml_ALL_currentac__512781 (2).zip &gt; eml6currentac__512781.zip / FNB _-) R2000.00 paid from Current a_c..512781 @ Smartapp. Ref.Sakkie Wages. 14Feb 08_47.eml</x:v>
      </x:c>
    </x:row>
    <x:row r="185">
      <x:c r="A185" s="34" t="n">
        <x:v>46069.50069444445</x:v>
      </x:c>
      <x:c r="B185" s="15" t="str">
        <x:v>Internal Transfer</x:v>
      </x:c>
      <x:c r="C185" s="15" t="str">
        <x:v>Private Cheq Acc..566332</x:v>
      </x:c>
      <x:c r="D185" s="38" t="n">
        <x:v>4000</x:v>
      </x:c>
      <x:c r="E185" s="15" t="str">
        <x:v>ZAR</x:v>
      </x:c>
      <x:c r="F185" s="15" t="str">
        <x:v>Inter-account transfer</x:v>
      </x:c>
      <x:c r="G185" s="15" t="str">
        <x:v>Current a/c..512781</x:v>
      </x:c>
      <x:c r="H185" s="15" t="str">
        <x:v>R4000.00 t/fer from Current a/c..512781 to Private Cheq Acc..566332 @ Smartapp. Avail R21545. 16Feb 12:01</x:v>
      </x:c>
      <x:c r="I185" s="15" t="str">
        <x:v>eml_ALL_currentac__512781 (2).zip &gt; eml6currentac__512781.zip / FNB _-) R4000.00 t_fer from Current a_c..512781 to Private Cheq Acc..566332 @ Smartapp. 16Feb 12_01.eml</x:v>
      </x:c>
    </x:row>
    <x:row r="186">
      <x:c r="A186" s="34" t="n">
        <x:v>46069.57430555556</x:v>
      </x:c>
      <x:c r="B186" s="15" t="str">
        <x:v>Inflow</x:v>
      </x:c>
      <x:c r="C186" s="15" t="str">
        <x:v>Ik Pay 487882</x:v>
      </x:c>
      <x:c r="D186" s="38" t="n">
        <x:v>7869.08</x:v>
      </x:c>
      <x:c r="E186" s="15" t="str">
        <x:v>ZAR</x:v>
      </x:c>
      <x:c r="F186" s="15" t="str">
        <x:v>Sales / customer receipts</x:v>
      </x:c>
      <x:c r="G186" s="15" t="str">
        <x:v>Current a/c..512781</x:v>
      </x:c>
      <x:c r="H186" s="15" t="str">
        <x:v>Ik Pay 487882</x:v>
      </x:c>
      <x:c r="I186" s="15" t="str">
        <x:v>eml_ALL_currentac__512781 (2).zip &gt; eml6currentac__512781.zip / FNB _-) R7869.08 paid to Current a_c..512781 @ Payshap. Ref.Ik Pay 487882. 16Feb 13_47.eml</x:v>
      </x:c>
    </x:row>
    <x:row r="187">
      <x:c r="A187" s="34" t="n">
        <x:v>46070.43680555555</x:v>
      </x:c>
      <x:c r="B187" s="15" t="str">
        <x:v>Outflow</x:v>
      </x:c>
      <x:c r="C187" s="15" t="str">
        <x:v>Showpls Roofing</x:v>
      </x:c>
      <x:c r="D187" s="38" t="n">
        <x:v>2000</x:v>
      </x:c>
      <x:c r="E187" s="15" t="str">
        <x:v>ZAR</x:v>
      </x:c>
      <x:c r="F187" s="15" t="str">
        <x:v>Supplier payments</x:v>
      </x:c>
      <x:c r="G187" s="15" t="str">
        <x:v>Current a/c..512781</x:v>
      </x:c>
      <x:c r="H187" s="15" t="str">
        <x:v>Showpls Roofing</x:v>
      </x:c>
      <x:c r="I187" s="15" t="str">
        <x:v>eml_ALL_currentac__512781 (2).zip &gt; eml6currentac__512781.zip / FNB _-) R2000.00 paid from Current a_c..512781 @ Smartapp. Ref.Showpls Roofing. 17Feb 10_29.eml</x:v>
      </x:c>
    </x:row>
    <x:row r="188">
      <x:c r="A188" s="34" t="n">
        <x:v>46070.461805555555</x:v>
      </x:c>
      <x:c r="B188" s="15" t="str">
        <x:v>Outflow</x:v>
      </x:c>
      <x:c r="C188" s="15" t="str">
        <x:v>Kruger Safari 1683</x:v>
      </x:c>
      <x:c r="D188" s="38" t="n">
        <x:v>4506</x:v>
      </x:c>
      <x:c r="E188" s="15" t="str">
        <x:v>ZAR</x:v>
      </x:c>
      <x:c r="F188" s="15" t="str">
        <x:v>Supplier payments</x:v>
      </x:c>
      <x:c r="G188" s="15" t="str">
        <x:v>Current a/c..512781</x:v>
      </x:c>
      <x:c r="H188" s="15" t="str">
        <x:v>Kruger Safari 1683</x:v>
      </x:c>
      <x:c r="I188" s="15" t="str">
        <x:v>eml_ALL_currentac__512781 (2).zip &gt; eml6currentac__512781.zip / FNB _-) R4506.00 paid from Current a_c..512781 @ Gen Ph. Ref.Kruger Safari 1683. 17Feb 11_05.eml</x:v>
      </x:c>
    </x:row>
    <x:row r="189">
      <x:c r="A189" s="34" t="n">
        <x:v>46072.35</x:v>
      </x:c>
      <x:c r="B189" s="15" t="str">
        <x:v>Inflow</x:v>
      </x:c>
      <x:c r="C189" s="15" t="str">
        <x:v>R026wwtl60 Booking.c</x:v>
      </x:c>
      <x:c r="D189" s="38" t="n">
        <x:v>26868.57</x:v>
      </x:c>
      <x:c r="E189" s="15" t="str">
        <x:v>ZAR</x:v>
      </x:c>
      <x:c r="F189" s="15" t="str">
        <x:v>Sales / customer receipts</x:v>
      </x:c>
      <x:c r="G189" s="15" t="str">
        <x:v>Current a/c..512781</x:v>
      </x:c>
      <x:c r="H189" s="15" t="str">
        <x:v>R026wwtl60 Booking.c</x:v>
      </x:c>
      <x:c r="I189" s="15" t="str">
        <x:v>eml_ALL_currentac__512781 (2).zip &gt; eml6currentac__512781.zip / FNB _-) R26868.57 paid to Current a_c..512781 @ Retail Forex. Ref.R026wwtl60 Booking.c. 19Feb 08_24.eml</x:v>
      </x:c>
    </x:row>
    <x:row r="190">
      <x:c r="A190" s="34" t="n">
        <x:v>46072.47430555556</x:v>
      </x:c>
      <x:c r="B190" s="15" t="str">
        <x:v>Outflow</x:v>
      </x:c>
      <x:c r="C190" s="15" t="str">
        <x:v>Screens X 5</x:v>
      </x:c>
      <x:c r="D190" s="38" t="n">
        <x:v>3525</x:v>
      </x:c>
      <x:c r="E190" s="15" t="str">
        <x:v>ZAR</x:v>
      </x:c>
      <x:c r="F190" s="15" t="str">
        <x:v>Supplier payments</x:v>
      </x:c>
      <x:c r="G190" s="15" t="str">
        <x:v>Current a/c..512781</x:v>
      </x:c>
      <x:c r="H190" s="15" t="str">
        <x:v>Screens X 5</x:v>
      </x:c>
      <x:c r="I190" s="15" t="str">
        <x:v>eml_ALL_currentac__512781 (2).zip &gt; eml6currentac__512781.zip / FNB _-) R3525.00 paid from Current a_c..512781 @ Smartapp. Ref.Screens X 5. 19Feb 11_23.eml</x:v>
      </x:c>
    </x:row>
    <x:row r="191">
      <x:c r="A191" s="34" t="n">
        <x:v>46072.57638888889</x:v>
      </x:c>
      <x:c r="B191" s="15" t="str">
        <x:v>Inflow</x:v>
      </x:c>
      <x:c r="C191" s="15" t="str">
        <x:v>Ik Pay 487882</x:v>
      </x:c>
      <x:c r="D191" s="38" t="n">
        <x:v>13138.92</x:v>
      </x:c>
      <x:c r="E191" s="15" t="str">
        <x:v>ZAR</x:v>
      </x:c>
      <x:c r="F191" s="15" t="str">
        <x:v>Sales / customer receipts</x:v>
      </x:c>
      <x:c r="G191" s="15" t="str">
        <x:v>Current a/c..512781</x:v>
      </x:c>
      <x:c r="H191" s="15" t="str">
        <x:v>Ik Pay 487882</x:v>
      </x:c>
      <x:c r="I191" s="15" t="str">
        <x:v>eml_ALL_currentac__512781 (2).zip &gt; eml6currentac__512781.zip / FNB _-) R13138.92 paid to Current a_c..512781 @ Payshap. Ref.Ik Pay 487882. 19Feb 13_50.eml</x:v>
      </x:c>
    </x:row>
    <x:row r="192">
      <x:c r="A192" s="34" t="n">
        <x:v>46072.63055555556</x:v>
      </x:c>
      <x:c r="B192" s="15" t="str">
        <x:v>Outflow</x:v>
      </x:c>
      <x:c r="C192" s="15" t="str">
        <x:v>Bon Express 007757</x:v>
      </x:c>
      <x:c r="D192" s="38" t="n">
        <x:v>132.25</x:v>
      </x:c>
      <x:c r="E192" s="15" t="str">
        <x:v>ZAR</x:v>
      </x:c>
      <x:c r="F192" s="15" t="str">
        <x:v>Supplier payments</x:v>
      </x:c>
      <x:c r="G192" s="15" t="str">
        <x:v>Current a/c..512781</x:v>
      </x:c>
      <x:c r="H192" s="15" t="str">
        <x:v>Bon Express 007757</x:v>
      </x:c>
      <x:c r="I192" s="15" t="str">
        <x:v>eml_ALL_currentac__512781 (2).zip &gt; eml6currentac__512781.zip / FNB _-) R132.25 paid from Current a_c..512781 @ Smartapp. Ref.Bon Express 007757. 19Feb 15_08.eml</x:v>
      </x:c>
    </x:row>
    <x:row r="193">
      <x:c r="A193" s="34" t="n">
        <x:v>46072.79861111111</x:v>
      </x:c>
      <x:c r="B193" s="15" t="str">
        <x:v>Outflow</x:v>
      </x:c>
      <x:c r="C193" s="15" t="str">
        <x:v>Inv 20260138</x:v>
      </x:c>
      <x:c r="D193" s="38" t="n">
        <x:v>545</x:v>
      </x:c>
      <x:c r="E193" s="15" t="str">
        <x:v>ZAR</x:v>
      </x:c>
      <x:c r="F193" s="15" t="str">
        <x:v>Supplier payments</x:v>
      </x:c>
      <x:c r="G193" s="15" t="str">
        <x:v>Current a/c..512781</x:v>
      </x:c>
      <x:c r="H193" s="15" t="str">
        <x:v>Inv 20260138</x:v>
      </x:c>
      <x:c r="I193" s="15" t="str">
        <x:v>eml_ALL_currentac__512781 (2).zip &gt; eml6currentac__512781.zip / FNB _-) R545.00 paid from Current a_c..512781 @ Smartapp. Ref.Inv 20260138. 19Feb 19_10.eml</x:v>
      </x:c>
    </x:row>
    <x:row r="194">
      <x:c r="A194" s="34" t="n">
        <x:v>46073.39097222222</x:v>
      </x:c>
      <x:c r="B194" s="15" t="str">
        <x:v>Outflow</x:v>
      </x:c>
      <x:c r="C194" s="15" t="str">
        <x:v>Komatipoort</x:v>
      </x:c>
      <x:c r="D194" s="38" t="n">
        <x:v>845</x:v>
      </x:c>
      <x:c r="E194" s="15" t="str">
        <x:v>ZAR</x:v>
      </x:c>
      <x:c r="F194" s="15" t="str">
        <x:v>Supplier payments</x:v>
      </x:c>
      <x:c r="G194" s="15" t="str">
        <x:v>Current a/c..512781</x:v>
      </x:c>
      <x:c r="H194" s="15" t="str">
        <x:v>Komatipoort</x:v>
      </x:c>
      <x:c r="I194" s="15" t="str">
        <x:v>eml_ALL_currentac__512781 (2).zip &gt; eml6currentac__512781.zip / FNB _-) R845.00 paid from Current a_c..512781 @ Smartapp. Ref.Komatipoort. 20Feb 09_23.eml</x:v>
      </x:c>
    </x:row>
    <x:row r="195">
      <x:c r="A195" s="34" t="n">
        <x:v>46073.39166666667</x:v>
      </x:c>
      <x:c r="B195" s="15" t="str">
        <x:v>Inflow</x:v>
      </x:c>
      <x:c r="C195" s="15" t="str">
        <x:v>Candace Osbourn</x:v>
      </x:c>
      <x:c r="D195" s="38" t="n">
        <x:v>12000</x:v>
      </x:c>
      <x:c r="E195" s="15" t="str">
        <x:v>ZAR</x:v>
      </x:c>
      <x:c r="F195" s="15" t="str">
        <x:v>Sales / customer receipts</x:v>
      </x:c>
      <x:c r="G195" s="15" t="str">
        <x:v>Current a/c..512781</x:v>
      </x:c>
      <x:c r="H195" s="15" t="str">
        <x:v>Candace Osbourn</x:v>
      </x:c>
      <x:c r="I195" s="15" t="str">
        <x:v>eml_ALL_currentac__512781 (2).zip &gt; eml6currentac__512781.zip / FNB _-) R12000.00 paid to Current a_c..512781 @ Smartapp. Ref.Candace Osbourn. 20Feb 09_24.eml</x:v>
      </x:c>
    </x:row>
    <x:row r="196">
      <x:c r="A196" s="34" t="n">
        <x:v>46073.572222222225</x:v>
      </x:c>
      <x:c r="B196" s="15" t="str">
        <x:v>Inflow</x:v>
      </x:c>
      <x:c r="C196" s="15" t="str">
        <x:v>Ik Pay 487882</x:v>
      </x:c>
      <x:c r="D196" s="38" t="n">
        <x:v>18036.32</x:v>
      </x:c>
      <x:c r="E196" s="15" t="str">
        <x:v>ZAR</x:v>
      </x:c>
      <x:c r="F196" s="15" t="str">
        <x:v>Sales / customer receipts</x:v>
      </x:c>
      <x:c r="G196" s="15" t="str">
        <x:v>Current a/c..512781</x:v>
      </x:c>
      <x:c r="H196" s="15" t="str">
        <x:v>Ik Pay 487882</x:v>
      </x:c>
      <x:c r="I196" s="15" t="str">
        <x:v>eml_ALL_currentac__512781 (2).zip &gt; eml6currentac__512781.zip / FNB _-) R18036.32 paid to Current a_c..512781 @ Payshap. Ref.Ik Pay 487882. 20Feb 13_44.eml</x:v>
      </x:c>
    </x:row>
    <x:row r="197">
      <x:c r="A197" s="34" t="n">
        <x:v>46073.58125</x:v>
      </x:c>
      <x:c r="B197" s="15" t="str">
        <x:v>Outflow</x:v>
      </x:c>
      <x:c r="C197" s="15" t="str">
        <x:v>Kruger Safari 1684</x:v>
      </x:c>
      <x:c r="D197" s="38" t="n">
        <x:v>6008</x:v>
      </x:c>
      <x:c r="E197" s="15" t="str">
        <x:v>ZAR</x:v>
      </x:c>
      <x:c r="F197" s="15" t="str">
        <x:v>Supplier payments</x:v>
      </x:c>
      <x:c r="G197" s="15" t="str">
        <x:v>Current a/c..512781</x:v>
      </x:c>
      <x:c r="H197" s="15" t="str">
        <x:v>Kruger Safari 1684</x:v>
      </x:c>
      <x:c r="I197" s="15" t="str">
        <x:v>eml_ALL_currentac__512781 (2).zip &gt; eml6currentac__512781.zip / FNB _-) R6008.00 paid from Current a_c..512781 @ Smartapp. Ref.Kruger Safari 1684. 20Feb 13_57.eml</x:v>
      </x:c>
    </x:row>
    <x:row r="198">
      <x:c r="A198" s="34" t="n">
        <x:v>46073.80416666667</x:v>
      </x:c>
      <x:c r="B198" s="15" t="str">
        <x:v>Outflow</x:v>
      </x:c>
      <x:c r="C198" s="15" t="str">
        <x:v>Gas</x:v>
      </x:c>
      <x:c r="D198" s="38" t="n">
        <x:v>2000</x:v>
      </x:c>
      <x:c r="E198" s="15" t="str">
        <x:v>ZAR</x:v>
      </x:c>
      <x:c r="F198" s="15" t="str">
        <x:v>Supplier payments</x:v>
      </x:c>
      <x:c r="G198" s="15" t="str">
        <x:v>Current a/c..512781</x:v>
      </x:c>
      <x:c r="H198" s="15" t="str">
        <x:v>Gas</x:v>
      </x:c>
      <x:c r="I198" s="15" t="str">
        <x:v>eml_ALL_currentac__512781 (2).zip &gt; eml6currentac__512781.zip / FNB _-) R2000.00 paid from Current a_c..512781 @ Smartapp. Ref.Gas. 20Feb 19_18.eml</x:v>
      </x:c>
    </x:row>
    <x:row r="199">
      <x:c r="A199" s="34" t="n">
        <x:v>46074.819444444445</x:v>
      </x:c>
      <x:c r="B199" s="15" t="str">
        <x:v>Outflow</x:v>
      </x:c>
      <x:c r="C199" s="15" t="str">
        <x:v>Electricity 04294887</x:v>
      </x:c>
      <x:c r="D199" s="38" t="n">
        <x:v>500</x:v>
      </x:c>
      <x:c r="E199" s="15" t="str">
        <x:v>ZAR</x:v>
      </x:c>
      <x:c r="F199" s="15" t="str">
        <x:v>Telecom / utilities</x:v>
      </x:c>
      <x:c r="G199" s="15" t="str">
        <x:v>Current a/c..512781</x:v>
      </x:c>
      <x:c r="H199" s="15" t="str">
        <x:v>Electricity 04294887</x:v>
      </x:c>
      <x:c r="I199" s="15" t="str">
        <x:v>eml_ALL_currentac__512781 (2).zip &gt; eml6currentac__512781.zip / FNB _-) R500.00 paid from Current a_c..512781 @ Smartapp. Ref.Electricity 04294887. 21Feb 19_40.eml</x:v>
      </x:c>
    </x:row>
    <x:row r="200">
      <x:c r="A200" s="34" t="n">
        <x:v>46075.39097222222</x:v>
      </x:c>
      <x:c r="B200" s="15" t="str">
        <x:v>Inflow</x:v>
      </x:c>
      <x:c r="C200" s="15" t="str">
        <x:v>#inv-000167</x:v>
      </x:c>
      <x:c r="D200" s="38" t="n">
        <x:v>512.33</x:v>
      </x:c>
      <x:c r="E200" s="15" t="str">
        <x:v>ZAR</x:v>
      </x:c>
      <x:c r="F200" s="15" t="str">
        <x:v>Sales / customer receipts</x:v>
      </x:c>
      <x:c r="G200" s="15" t="str">
        <x:v>Current a/c..512781</x:v>
      </x:c>
      <x:c r="H200" s="15" t="str">
        <x:v>#inv-000167</x:v>
      </x:c>
      <x:c r="I200" s="15" t="str">
        <x:v>eml_ALL_currentac__512781 (2).zip &gt; eml6currentac__512781.zip / FNB _-) R512.33 paid to Current a_c..512781 @ Payshap. Ref.#inv-000167. 22Feb 09_23.eml</x:v>
      </x:c>
    </x:row>
    <x:row r="201">
      <x:c r="A201" s="34" t="n">
        <x:v>46075.50902777778</x:v>
      </x:c>
      <x:c r="B201" s="15" t="str">
        <x:v>Outflow</x:v>
      </x:c>
      <x:c r="C201" s="15" t="str">
        <x:v>Cindy Wages</x:v>
      </x:c>
      <x:c r="D201" s="38" t="n">
        <x:v>350</x:v>
      </x:c>
      <x:c r="E201" s="15" t="str">
        <x:v>ZAR</x:v>
      </x:c>
      <x:c r="F201" s="15" t="str">
        <x:v>Salary / wages</x:v>
      </x:c>
      <x:c r="G201" s="15" t="str">
        <x:v>Current a/c..512781</x:v>
      </x:c>
      <x:c r="H201" s="15" t="str">
        <x:v>Cindy Wages</x:v>
      </x:c>
      <x:c r="I201" s="15" t="str">
        <x:v>eml_ALL_currentac__512781 (2).zip &gt; eml6currentac__512781.zip / FNB _-) R350.00 paid from Current a_c..512781 @ Smartapp. Ref.Cindy Wages. 22Feb 12_13.eml</x:v>
      </x:c>
    </x:row>
    <x:row r="202">
      <x:c r="A202" s="34" t="n">
        <x:v>46076.54861111111</x:v>
      </x:c>
      <x:c r="B202" s="15" t="str">
        <x:v>Outflow</x:v>
      </x:c>
      <x:c r="C202" s="15" t="str">
        <x:v>Dinner Box 107370</x:v>
      </x:c>
      <x:c r="D202" s="38" t="n">
        <x:v>1707</x:v>
      </x:c>
      <x:c r="E202" s="15" t="str">
        <x:v>ZAR</x:v>
      </x:c>
      <x:c r="F202" s="15" t="str">
        <x:v>Meals / restaurants / entertainment</x:v>
      </x:c>
      <x:c r="G202" s="15" t="str">
        <x:v>Current a/c..512781</x:v>
      </x:c>
      <x:c r="H202" s="15" t="str">
        <x:v>Dinner Box 107370</x:v>
      </x:c>
      <x:c r="I202" s="15" t="str">
        <x:v>eml_ALL_currentac__512781 (2).zip &gt; eml5currentac__512781.zip / FNB _-) R1707.00 paid from Current a_c..512781 @ Smartapp. Ref.Dinner Box 107370. 23Feb 13_10.eml</x:v>
      </x:c>
    </x:row>
    <x:row r="203">
      <x:c r="A203" s="34" t="n">
        <x:v>46077.46597222222</x:v>
      </x:c>
      <x:c r="B203" s="15" t="str">
        <x:v>Outflow</x:v>
      </x:c>
      <x:c r="C203" s="15" t="str">
        <x:v>Royal Bush 3751</x:v>
      </x:c>
      <x:c r="D203" s="38" t="n">
        <x:v>8480</x:v>
      </x:c>
      <x:c r="E203" s="15" t="str">
        <x:v>ZAR</x:v>
      </x:c>
      <x:c r="F203" s="15" t="str">
        <x:v>Supplier payments</x:v>
      </x:c>
      <x:c r="G203" s="15" t="str">
        <x:v>Current a/c..512781</x:v>
      </x:c>
      <x:c r="H203" s="15" t="str">
        <x:v>Royal Bush 3751</x:v>
      </x:c>
      <x:c r="I203" s="15" t="str">
        <x:v>eml_ALL_currentac__512781 (2).zip &gt; eml5currentac__512781.zip / FNB _-) R8480.00 paid from Current a_c..512781 @ Smartapp. Ref.Royal Bush 3751. 24Feb 11_11.eml</x:v>
      </x:c>
    </x:row>
    <x:row r="204">
      <x:c r="A204" s="34" t="n">
        <x:v>46078.34722222222</x:v>
      </x:c>
      <x:c r="B204" s="15" t="str">
        <x:v>Internal Transfer</x:v>
      </x:c>
      <x:c r="C204" s="15" t="str">
        <x:v>Private Cheq Acc..566332</x:v>
      </x:c>
      <x:c r="D204" s="38" t="n">
        <x:v>2000</x:v>
      </x:c>
      <x:c r="E204" s="15" t="str">
        <x:v>ZAR</x:v>
      </x:c>
      <x:c r="F204" s="15" t="str">
        <x:v>Inter-account transfer</x:v>
      </x:c>
      <x:c r="G204" s="15" t="str">
        <x:v>Current a/c..512781</x:v>
      </x:c>
      <x:c r="H204" s="15" t="str">
        <x:v>R2000.00 t/fer from Current a/c..512781 to Private Cheq Acc..566332 @ Smartapp. Avail R52021. 25Feb 08:20</x:v>
      </x:c>
      <x:c r="I204" s="15" t="str">
        <x:v>eml_ALL_currentac__512781 (2).zip &gt; eml5currentac__512781.zip / FNB _-) R2000.00 t_fer from Current a_c..512781 to Private Cheq Acc..566332 @ Smartapp. 25Feb 08_20.eml</x:v>
      </x:c>
    </x:row>
    <x:row r="205">
      <x:c r="A205" s="34" t="n">
        <x:v>46078.489583333336</x:v>
      </x:c>
      <x:c r="B205" s="15" t="str">
        <x:v>Outflow</x:v>
      </x:c>
      <x:c r="C205" s="15" t="str">
        <x:v>Electricity 04294887</x:v>
      </x:c>
      <x:c r="D205" s="38" t="n">
        <x:v>500</x:v>
      </x:c>
      <x:c r="E205" s="15" t="str">
        <x:v>ZAR</x:v>
      </x:c>
      <x:c r="F205" s="15" t="str">
        <x:v>Telecom / utilities</x:v>
      </x:c>
      <x:c r="G205" s="15" t="str">
        <x:v>Current a/c..512781</x:v>
      </x:c>
      <x:c r="H205" s="15" t="str">
        <x:v>Electricity 04294887</x:v>
      </x:c>
      <x:c r="I205" s="15" t="str">
        <x:v>eml_ALL_currentac__512781 (2).zip &gt; eml5currentac__512781.zip / FNB _-) R500.00 paid from Current a_c..512781 @ Smartapp. Ref.Electricity 04294887. 25Feb 11_45.eml</x:v>
      </x:c>
    </x:row>
    <x:row r="206">
      <x:c r="A206" s="34" t="n">
        <x:v>46078.489583333336</x:v>
      </x:c>
      <x:c r="B206" s="15" t="str">
        <x:v>Inflow</x:v>
      </x:c>
      <x:c r="C206" s="15" t="str">
        <x:v>274689,04294887007</x:v>
      </x:c>
      <x:c r="D206" s="38" t="n">
        <x:v>500</x:v>
      </x:c>
      <x:c r="E206" s="15" t="str">
        <x:v>ZAR</x:v>
      </x:c>
      <x:c r="F206" s="15" t="str">
        <x:v>Sales / customer receipts</x:v>
      </x:c>
      <x:c r="G206" s="15" t="str">
        <x:v>Current a/c..512781</x:v>
      </x:c>
      <x:c r="H206" s="15" t="str">
        <x:v>274689,04294887007</x:v>
      </x:c>
      <x:c r="I206" s="15" t="str">
        <x:v>eml_ALL_currentac__512781 (2).zip &gt; eml5currentac__512781.zip / FNB _-) R500.00 paid to Current a_c..512781 @ Smartapp. Ref.274689,04294887007. 25Feb 11_45.eml</x:v>
      </x:c>
    </x:row>
    <x:row r="207">
      <x:c r="A207" s="34" t="n">
        <x:v>46078.49097222222</x:v>
      </x:c>
      <x:c r="B207" s="15" t="str">
        <x:v>Outflow</x:v>
      </x:c>
      <x:c r="C207" s="15" t="str">
        <x:v>Electricity 04294887</x:v>
      </x:c>
      <x:c r="D207" s="38" t="n">
        <x:v>500</x:v>
      </x:c>
      <x:c r="E207" s="15" t="str">
        <x:v>ZAR</x:v>
      </x:c>
      <x:c r="F207" s="15" t="str">
        <x:v>Telecom / utilities</x:v>
      </x:c>
      <x:c r="G207" s="15" t="str">
        <x:v>Current a/c..512781</x:v>
      </x:c>
      <x:c r="H207" s="15" t="str">
        <x:v>Electricity 04294887</x:v>
      </x:c>
      <x:c r="I207" s="15" t="str">
        <x:v>eml_ALL_currentac__512781 (2).zip &gt; eml5currentac__512781.zip / FNB _-) R500.00 paid from Current a_c..512781 @ Smartapp. Ref.Electricity 04294887. 25Feb 11_47.eml</x:v>
      </x:c>
    </x:row>
    <x:row r="208">
      <x:c r="A208" s="34" t="n">
        <x:v>46078.49097222222</x:v>
      </x:c>
      <x:c r="B208" s="15" t="str">
        <x:v>Inflow</x:v>
      </x:c>
      <x:c r="C208" s="15" t="str">
        <x:v>274942,04294887007</x:v>
      </x:c>
      <x:c r="D208" s="38" t="n">
        <x:v>500</x:v>
      </x:c>
      <x:c r="E208" s="15" t="str">
        <x:v>ZAR</x:v>
      </x:c>
      <x:c r="F208" s="15" t="str">
        <x:v>Sales / customer receipts</x:v>
      </x:c>
      <x:c r="G208" s="15" t="str">
        <x:v>Current a/c..512781</x:v>
      </x:c>
      <x:c r="H208" s="15" t="str">
        <x:v>274942,04294887007</x:v>
      </x:c>
      <x:c r="I208" s="15" t="str">
        <x:v>eml_ALL_currentac__512781 (2).zip &gt; eml5currentac__512781.zip / FNB _-) R500.00 paid to Current a_c..512781 @ Smartapp. Ref.274942,04294887007. 25Feb 11_47.eml</x:v>
      </x:c>
    </x:row>
    <x:row r="209">
      <x:c r="A209" s="34" t="n">
        <x:v>46078.52222222222</x:v>
      </x:c>
      <x:c r="B209" s="15" t="str">
        <x:v>Outflow</x:v>
      </x:c>
      <x:c r="C209" s="15" t="str">
        <x:v>Electricity 04294887</x:v>
      </x:c>
      <x:c r="D209" s="38" t="n">
        <x:v>500</x:v>
      </x:c>
      <x:c r="E209" s="15" t="str">
        <x:v>ZAR</x:v>
      </x:c>
      <x:c r="F209" s="15" t="str">
        <x:v>Telecom / utilities</x:v>
      </x:c>
      <x:c r="G209" s="15" t="str">
        <x:v>Current a/c..512781</x:v>
      </x:c>
      <x:c r="H209" s="15" t="str">
        <x:v>Electricity 04294887</x:v>
      </x:c>
      <x:c r="I209" s="15" t="str">
        <x:v>eml_ALL_currentac__512781 (2).zip &gt; eml5currentac__512781.zip / FNB _-) R500.00 paid from Current a_c..512781 @ Smartapp. Ref.Electricity 04294887. 25Feb 12_32.eml</x:v>
      </x:c>
    </x:row>
    <x:row r="210">
      <x:c r="A210" s="34" t="n">
        <x:v>46078.52222222222</x:v>
      </x:c>
      <x:c r="B210" s="15" t="str">
        <x:v>Inflow</x:v>
      </x:c>
      <x:c r="C210" s="15" t="str">
        <x:v>281057,04294887007</x:v>
      </x:c>
      <x:c r="D210" s="38" t="n">
        <x:v>500</x:v>
      </x:c>
      <x:c r="E210" s="15" t="str">
        <x:v>ZAR</x:v>
      </x:c>
      <x:c r="F210" s="15" t="str">
        <x:v>Sales / customer receipts</x:v>
      </x:c>
      <x:c r="G210" s="15" t="str">
        <x:v>Current a/c..512781</x:v>
      </x:c>
      <x:c r="H210" s="15" t="str">
        <x:v>281057,04294887007</x:v>
      </x:c>
      <x:c r="I210" s="15" t="str">
        <x:v>eml_ALL_currentac__512781 (2).zip &gt; eml5currentac__512781.zip / FNB _-) R500.00 paid to Current a_c..512781 @ Smartapp. Ref.281057,04294887007. 25Feb 12_32.eml</x:v>
      </x:c>
    </x:row>
    <x:row r="211">
      <x:c r="A211" s="34" t="n">
        <x:v>46078.55138888889</x:v>
      </x:c>
      <x:c r="B211" s="15" t="str">
        <x:v>Outflow</x:v>
      </x:c>
      <x:c r="C211" s="15" t="str">
        <x:v>Lebombo 24/01/2026</x:v>
      </x:c>
      <x:c r="D211" s="38" t="n">
        <x:v>450</x:v>
      </x:c>
      <x:c r="E211" s="15" t="str">
        <x:v>ZAR</x:v>
      </x:c>
      <x:c r="F211" s="15" t="str">
        <x:v>Supplier payments</x:v>
      </x:c>
      <x:c r="G211" s="15" t="str">
        <x:v>Current a/c..512781</x:v>
      </x:c>
      <x:c r="H211" s="15" t="str">
        <x:v>Lebombo 24/01/2026</x:v>
      </x:c>
      <x:c r="I211" s="15" t="str">
        <x:v>eml_ALL_currentac__512781 (2).zip &gt; eml5currentac__512781.zip / FNB _-) R450.00 paid from Current a_c..512781 @ Smartapp. Ref.Lebombo 24_01_2026. 25Feb 13_14.eml</x:v>
      </x:c>
    </x:row>
    <x:row r="212">
      <x:c r="A212" s="34" t="n">
        <x:v>46078.552083333336</x:v>
      </x:c>
      <x:c r="B212" s="15" t="str">
        <x:v>Outflow</x:v>
      </x:c>
      <x:c r="C212" s="15" t="str">
        <x:v>Electricity 04294887</x:v>
      </x:c>
      <x:c r="D212" s="38" t="n">
        <x:v>500</x:v>
      </x:c>
      <x:c r="E212" s="15" t="str">
        <x:v>ZAR</x:v>
      </x:c>
      <x:c r="F212" s="15" t="str">
        <x:v>Telecom / utilities</x:v>
      </x:c>
      <x:c r="G212" s="15" t="str">
        <x:v>Current a/c..512781</x:v>
      </x:c>
      <x:c r="H212" s="15" t="str">
        <x:v>Electricity 04294887</x:v>
      </x:c>
      <x:c r="I212" s="15" t="str">
        <x:v>eml_ALL_currentac__512781 (2).zip &gt; eml5currentac__512781.zip / FNB _-) R500.00 paid from Current a_c..512781 @ Smartapp. Ref.Electricity 04294887. 25Feb 13_15.eml</x:v>
      </x:c>
    </x:row>
    <x:row r="213">
      <x:c r="A213" s="34" t="n">
        <x:v>46078.552083333336</x:v>
      </x:c>
      <x:c r="B213" s="15" t="str">
        <x:v>Inflow</x:v>
      </x:c>
      <x:c r="C213" s="15" t="str">
        <x:v>286562,04294887007</x:v>
      </x:c>
      <x:c r="D213" s="38" t="n">
        <x:v>500</x:v>
      </x:c>
      <x:c r="E213" s="15" t="str">
        <x:v>ZAR</x:v>
      </x:c>
      <x:c r="F213" s="15" t="str">
        <x:v>Sales / customer receipts</x:v>
      </x:c>
      <x:c r="G213" s="15" t="str">
        <x:v>Current a/c..512781</x:v>
      </x:c>
      <x:c r="H213" s="15" t="str">
        <x:v>286562,04294887007</x:v>
      </x:c>
      <x:c r="I213" s="15" t="str">
        <x:v>eml_ALL_currentac__512781 (2).zip &gt; eml5currentac__512781.zip / FNB _-) R500.00 paid to Current a_c..512781 @ Smartapp. Ref.286562,04294887007. 25Feb 13_15.eml</x:v>
      </x:c>
    </x:row>
    <x:row r="214">
      <x:c r="A214" s="34" t="n">
        <x:v>46078.74097222222</x:v>
      </x:c>
      <x:c r="B214" s="15" t="str">
        <x:v>Internal Transfer</x:v>
      </x:c>
      <x:c r="C214" s="15" t="str">
        <x:v>Current a/c..261544</x:v>
      </x:c>
      <x:c r="D214" s="38" t="n">
        <x:v>27000</x:v>
      </x:c>
      <x:c r="E214" s="15" t="str">
        <x:v>ZAR</x:v>
      </x:c>
      <x:c r="F214" s="15" t="str">
        <x:v>Inter-account transfer</x:v>
      </x:c>
      <x:c r="G214" s="15" t="str">
        <x:v>Current a/c..512781</x:v>
      </x:c>
      <x:c r="H214" s="15" t="str">
        <x:v>R27000.00 t/fer from Current a/c..512781 to Current a/c..261544 @ Smartapp. Avail R24521. 25Feb 17:47</x:v>
      </x:c>
      <x:c r="I214" s="15" t="str">
        <x:v>eml_ALL_currentac__512781 (2).zip &gt; eml5currentac__512781.zip / FNB _-) R27000.00 t_fer from Current a_c..512781 to Current a_c..261544 @ Smartapp. 25Feb 17_47.eml</x:v>
      </x:c>
    </x:row>
    <x:row r="215">
      <x:c r="A215" s="34" t="n">
        <x:v>46078.75625</x:v>
      </x:c>
      <x:c r="B215" s="15" t="str">
        <x:v>Outflow</x:v>
      </x:c>
      <x:c r="C215" s="15" t="str">
        <x:v>Electricity 04294887</x:v>
      </x:c>
      <x:c r="D215" s="38" t="n">
        <x:v>500</x:v>
      </x:c>
      <x:c r="E215" s="15" t="str">
        <x:v>ZAR</x:v>
      </x:c>
      <x:c r="F215" s="15" t="str">
        <x:v>Telecom / utilities</x:v>
      </x:c>
      <x:c r="G215" s="15" t="str">
        <x:v>Current a/c..512781</x:v>
      </x:c>
      <x:c r="H215" s="15" t="str">
        <x:v>Electricity 04294887</x:v>
      </x:c>
      <x:c r="I215" s="15" t="str">
        <x:v>eml_ALL_currentac__512781 (2).zip &gt; eml5currentac__512781.zip / FNB _-) R500.00 paid from Current a_c..512781 @ Smartapp. Ref.Electricity 04294887. 25Feb 18_09.eml</x:v>
      </x:c>
    </x:row>
    <x:row r="216">
      <x:c r="A216" s="34" t="n">
        <x:v>46078.75625</x:v>
      </x:c>
      <x:c r="B216" s="15" t="str">
        <x:v>Inflow</x:v>
      </x:c>
      <x:c r="C216" s="15" t="str">
        <x:v>338139,04294887007</x:v>
      </x:c>
      <x:c r="D216" s="38" t="n">
        <x:v>500</x:v>
      </x:c>
      <x:c r="E216" s="15" t="str">
        <x:v>ZAR</x:v>
      </x:c>
      <x:c r="F216" s="15" t="str">
        <x:v>Sales / customer receipts</x:v>
      </x:c>
      <x:c r="G216" s="15" t="str">
        <x:v>Current a/c..512781</x:v>
      </x:c>
      <x:c r="H216" s="15" t="str">
        <x:v>338139,04294887007</x:v>
      </x:c>
      <x:c r="I216" s="15" t="str">
        <x:v>eml_ALL_currentac__512781 (2).zip &gt; eml5currentac__512781.zip / FNB _-) R500.00 paid to Current a_c..512781 @ Smartapp. Ref.338139,04294887007. 25Feb 18_09.eml</x:v>
      </x:c>
    </x:row>
    <x:row r="217">
      <x:c r="A217" s="34" t="n">
        <x:v>46078.75763888889</x:v>
      </x:c>
      <x:c r="B217" s="15" t="str">
        <x:v>Outflow</x:v>
      </x:c>
      <x:c r="C217" s="15" t="str">
        <x:v>Electricity</x:v>
      </x:c>
      <x:c r="D217" s="38" t="n">
        <x:v>500</x:v>
      </x:c>
      <x:c r="E217" s="15" t="str">
        <x:v>ZAR</x:v>
      </x:c>
      <x:c r="F217" s="15" t="str">
        <x:v>Telecom / utilities</x:v>
      </x:c>
      <x:c r="G217" s="15" t="str">
        <x:v>Current a/c..512781</x:v>
      </x:c>
      <x:c r="H217" s="15" t="str">
        <x:v>Electricity</x:v>
      </x:c>
      <x:c r="I217" s="15" t="str">
        <x:v>eml_ALL_currentac__512781 (2).zip &gt; eml5currentac__512781.zip / FNB _-) R500.00 paid from Current a_c..512781 @ Smartapp. Ref.Electricity. 25Feb 18_11.eml</x:v>
      </x:c>
    </x:row>
    <x:row r="218">
      <x:c r="A218" s="34" t="n">
        <x:v>46079.342361111114</x:v>
      </x:c>
      <x:c r="B218" s="15" t="str">
        <x:v>Inflow</x:v>
      </x:c>
      <x:c r="C218" s="15" t="str">
        <x:v>Inv# - 000170</x:v>
      </x:c>
      <x:c r="D218" s="38" t="n">
        <x:v>521.64</x:v>
      </x:c>
      <x:c r="E218" s="15" t="str">
        <x:v>ZAR</x:v>
      </x:c>
      <x:c r="F218" s="15" t="str">
        <x:v>Sales / customer receipts</x:v>
      </x:c>
      <x:c r="G218" s="15" t="str">
        <x:v>Current a/c..512781</x:v>
      </x:c>
      <x:c r="H218" s="15" t="str">
        <x:v>Inv# - 000170</x:v>
      </x:c>
      <x:c r="I218" s="15" t="str">
        <x:v>eml_ALL_currentac__512781 (2).zip &gt; eml5currentac__512781.zip / FNB _-) R521.64 paid to Current a_c..512781 @ Payshap. Ref.Inv# - 000170. 26Feb 08_13.eml</x:v>
      </x:c>
    </x:row>
    <x:row r="219">
      <x:c r="A219" s="34" t="n">
        <x:v>46079.478472222225</x:v>
      </x:c>
      <x:c r="B219" s="15" t="str">
        <x:v>Outflow</x:v>
      </x:c>
      <x:c r="C219" s="15" t="str">
        <x:v>Electricity 04294887</x:v>
      </x:c>
      <x:c r="D219" s="38" t="n">
        <x:v>500</x:v>
      </x:c>
      <x:c r="E219" s="15" t="str">
        <x:v>ZAR</x:v>
      </x:c>
      <x:c r="F219" s="15" t="str">
        <x:v>Telecom / utilities</x:v>
      </x:c>
      <x:c r="G219" s="15" t="str">
        <x:v>Current a/c..512781</x:v>
      </x:c>
      <x:c r="H219" s="15" t="str">
        <x:v>Electricity 04294887</x:v>
      </x:c>
      <x:c r="I219" s="15" t="str">
        <x:v>eml_ALL_currentac__512781 (2).zip &gt; eml5currentac__512781.zip / FNB _-) R500.00 paid from Current a_c..512781 @ Smartapp. Ref.Electricity 04294887. 26Feb 11_29.eml</x:v>
      </x:c>
    </x:row>
    <x:row r="220">
      <x:c r="A220" s="34" t="n">
        <x:v>46079.57361111111</x:v>
      </x:c>
      <x:c r="B220" s="15" t="str">
        <x:v>Inflow</x:v>
      </x:c>
      <x:c r="C220" s="15" t="str">
        <x:v>Ik Pay 487882</x:v>
      </x:c>
      <x:c r="D220" s="38" t="n">
        <x:v>2172.96</x:v>
      </x:c>
      <x:c r="E220" s="15" t="str">
        <x:v>ZAR</x:v>
      </x:c>
      <x:c r="F220" s="15" t="str">
        <x:v>Sales / customer receipts</x:v>
      </x:c>
      <x:c r="G220" s="15" t="str">
        <x:v>Current a/c..512781</x:v>
      </x:c>
      <x:c r="H220" s="15" t="str">
        <x:v>Ik Pay 487882</x:v>
      </x:c>
      <x:c r="I220" s="15" t="str">
        <x:v>eml_ALL_currentac__512781 (2).zip &gt; eml5currentac__512781.zip / FNB _-) R2172.96 paid to Current a_c..512781 @ Payshap. Ref.Ik Pay 487882. 26Feb 13_46.eml</x:v>
      </x:c>
    </x:row>
    <x:row r="221">
      <x:c r="A221" s="34" t="n">
        <x:v>46080.41805555556</x:v>
      </x:c>
      <x:c r="B221" s="15" t="str">
        <x:v>Inflow</x:v>
      </x:c>
      <x:c r="C221" s="15" t="str">
        <x:v>R026wj48l0 Booking.c</x:v>
      </x:c>
      <x:c r="D221" s="38" t="n">
        <x:v>30949.25</x:v>
      </x:c>
      <x:c r="E221" s="15" t="str">
        <x:v>ZAR</x:v>
      </x:c>
      <x:c r="F221" s="15" t="str">
        <x:v>Sales / customer receipts</x:v>
      </x:c>
      <x:c r="G221" s="15" t="str">
        <x:v>Current a/c..512781</x:v>
      </x:c>
      <x:c r="H221" s="15" t="str">
        <x:v>R026wj48l0 Booking.c</x:v>
      </x:c>
      <x:c r="I221" s="15" t="str">
        <x:v>eml_ALL_currentac__512781 (2).zip &gt; eml5currentac__512781.zip / FNB _-) R30949.25 paid to Current a_c..512781 @ Retail Forex. Ref.R026wj48l0 Booking.c. 27Feb 10_02.eml</x:v>
      </x:c>
    </x:row>
    <x:row r="222">
      <x:c r="A222" s="34" t="n">
        <x:v>46080.459027777775</x:v>
      </x:c>
      <x:c r="B222" s="15" t="str">
        <x:v>Outflow</x:v>
      </x:c>
      <x:c r="C222" s="15" t="str">
        <x:v>Southern Kru 0135</x:v>
      </x:c>
      <x:c r="D222" s="38" t="n">
        <x:v>6450</x:v>
      </x:c>
      <x:c r="E222" s="15" t="str">
        <x:v>ZAR</x:v>
      </x:c>
      <x:c r="F222" s="15" t="str">
        <x:v>Supplier payments</x:v>
      </x:c>
      <x:c r="G222" s="15" t="str">
        <x:v>Current a/c..512781</x:v>
      </x:c>
      <x:c r="H222" s="15" t="str">
        <x:v>Southern Kru 0135</x:v>
      </x:c>
      <x:c r="I222" s="15" t="str">
        <x:v>eml_ALL_currentac__512781 (2).zip &gt; eml5currentac__512781.zip / FNB _-) R6450.00 paid from Current a_c..512781 @ Gen Ph. Ref.Southern Kru 0135. 27Feb 11_01.eml</x:v>
      </x:c>
    </x:row>
    <x:row r="223">
      <x:c r="A223" s="34" t="n">
        <x:v>46080.45972222222</x:v>
      </x:c>
      <x:c r="B223" s="15" t="str">
        <x:v>Outflow</x:v>
      </x:c>
      <x:c r="C223" s="15" t="str">
        <x:v>Staff Salary</x:v>
      </x:c>
      <x:c r="D223" s="38" t="n">
        <x:v>12000</x:v>
      </x:c>
      <x:c r="E223" s="15" t="str">
        <x:v>ZAR</x:v>
      </x:c>
      <x:c r="F223" s="15" t="str">
        <x:v>Salary / wages</x:v>
      </x:c>
      <x:c r="G223" s="15" t="str">
        <x:v>Current a/c..512781</x:v>
      </x:c>
      <x:c r="H223" s="15" t="str">
        <x:v>Staff Salary</x:v>
      </x:c>
      <x:c r="I223" s="15" t="str">
        <x:v>eml_ALL_currentac__512781 (2).zip &gt; eml5currentac__512781.zip / FNB _-) R12000.00 paid from Current a_c..512781 @ Smartapp. Ref.Staff Salary. 27Feb 11_02.eml</x:v>
      </x:c>
    </x:row>
    <x:row r="224">
      <x:c r="A224" s="34" t="n">
        <x:v>46080.46111111111</x:v>
      </x:c>
      <x:c r="B224" s="15" t="str">
        <x:v>Outflow</x:v>
      </x:c>
      <x:c r="C224" s="15" t="str">
        <x:v>Sakkie Wages</x:v>
      </x:c>
      <x:c r="D224" s="38" t="n">
        <x:v>2500</x:v>
      </x:c>
      <x:c r="E224" s="15" t="str">
        <x:v>ZAR</x:v>
      </x:c>
      <x:c r="F224" s="15" t="str">
        <x:v>Salary / wages</x:v>
      </x:c>
      <x:c r="G224" s="15" t="str">
        <x:v>Current a/c..512781</x:v>
      </x:c>
      <x:c r="H224" s="15" t="str">
        <x:v>Sakkie Wages</x:v>
      </x:c>
      <x:c r="I224" s="15" t="str">
        <x:v>eml_ALL_currentac__512781 (2).zip &gt; eml5currentac__512781.zip / FNB _-) R2500.00 paid from Current a_c..512781 @ Smartapp. Ref.Sakkie Wages. 27Feb 11_04.eml</x:v>
      </x:c>
    </x:row>
    <x:row r="225">
      <x:c r="A225" s="34" t="n">
        <x:v>46080.57847222222</x:v>
      </x:c>
      <x:c r="B225" s="15" t="str">
        <x:v>Inflow</x:v>
      </x:c>
      <x:c r="C225" s="15" t="str">
        <x:v>Ik Pay 487882</x:v>
      </x:c>
      <x:c r="D225" s="38" t="n">
        <x:v>11714.18</x:v>
      </x:c>
      <x:c r="E225" s="15" t="str">
        <x:v>ZAR</x:v>
      </x:c>
      <x:c r="F225" s="15" t="str">
        <x:v>Sales / customer receipts</x:v>
      </x:c>
      <x:c r="G225" s="15" t="str">
        <x:v>Current a/c..512781</x:v>
      </x:c>
      <x:c r="H225" s="15" t="str">
        <x:v>Ik Pay 487882</x:v>
      </x:c>
      <x:c r="I225" s="15" t="str">
        <x:v>eml_ALL_currentac__512781 (2).zip &gt; eml5currentac__512781.zip / FNB _-) R11714.18 paid to Current a_c..512781 @ Payshap. Ref.Ik Pay 487882. 27Feb 13_53.eml</x:v>
      </x:c>
    </x:row>
    <x:row r="226">
      <x:c r="A226" s="34" t="n">
        <x:v>46080.66458333333</x:v>
      </x:c>
      <x:c r="B226" s="15" t="str">
        <x:v>Outflow</x:v>
      </x:c>
      <x:c r="C226" s="15" t="str">
        <x:v>Kruger Safari 1685</x:v>
      </x:c>
      <x:c r="D226" s="38" t="n">
        <x:v>3004</x:v>
      </x:c>
      <x:c r="E226" s="15" t="str">
        <x:v>ZAR</x:v>
      </x:c>
      <x:c r="F226" s="15" t="str">
        <x:v>Supplier payments</x:v>
      </x:c>
      <x:c r="G226" s="15" t="str">
        <x:v>Current a/c..512781</x:v>
      </x:c>
      <x:c r="H226" s="15" t="str">
        <x:v>Kruger Safari 1685</x:v>
      </x:c>
      <x:c r="I226" s="15" t="str">
        <x:v>eml_ALL_currentac__512781 (2).zip &gt; eml5currentac__512781.zip / FNB _-) R3004.00 paid from Current a_c..512781 @ Smartapp. Ref.Kruger Safari 1685. 27Feb 15_57.eml</x:v>
      </x:c>
    </x:row>
    <x:row r="227">
      <x:c r="A227" s="34" t="n">
        <x:v>46080.66805555556</x:v>
      </x:c>
      <x:c r="B227" s="15" t="str">
        <x:v>Outflow</x:v>
      </x:c>
      <x:c r="C227" s="15" t="str">
        <x:v>Staff Wage - Feb</x:v>
      </x:c>
      <x:c r="D227" s="38" t="n">
        <x:v>14500</x:v>
      </x:c>
      <x:c r="E227" s="15" t="str">
        <x:v>ZAR</x:v>
      </x:c>
      <x:c r="F227" s="15" t="str">
        <x:v>Salary / wages</x:v>
      </x:c>
      <x:c r="G227" s="15" t="str">
        <x:v>Current a/c..512781</x:v>
      </x:c>
      <x:c r="H227" s="15" t="str">
        <x:v>Staff Wage - Feb</x:v>
      </x:c>
      <x:c r="I227" s="15" t="str">
        <x:v>eml_ALL_currentac__512781 (2).zip &gt; eml5currentac__512781.zip / FNB _-) R14500.00 paid from Current a_c..512781 @ Smartapp. Ref.Staff Wage - Feb. 27Feb 16_02.eml</x:v>
      </x:c>
    </x:row>
    <x:row r="228">
      <x:c r="A228" s="34" t="n">
        <x:v>46083.436111111114</x:v>
      </x:c>
      <x:c r="B228" s="15" t="str">
        <x:v>Outflow</x:v>
      </x:c>
      <x:c r="C228" s="15" t="str">
        <x:v>Electricity 04279376</x:v>
      </x:c>
      <x:c r="D228" s="38" t="n">
        <x:v>1000</x:v>
      </x:c>
      <x:c r="E228" s="15" t="str">
        <x:v>ZAR</x:v>
      </x:c>
      <x:c r="F228" s="15" t="str">
        <x:v>Telecom / utilities</x:v>
      </x:c>
      <x:c r="G228" s="15" t="str">
        <x:v>Current a/c..512781</x:v>
      </x:c>
      <x:c r="H228" s="15" t="str">
        <x:v>Electricity 04279376</x:v>
      </x:c>
      <x:c r="I228" s="15" t="str">
        <x:v>eml_ALL_currentac__512781 (2).zip &gt; eml5currentac__512781.zip / FNB _-) R1000.00 paid from Current a_c..512781 @ Smartapp. Ref.Electricity 04279376.  2Mar 10_28.eml</x:v>
      </x:c>
    </x:row>
    <x:row r="229">
      <x:c r="A229" s="34" t="n">
        <x:v>46083.592361111114</x:v>
      </x:c>
      <x:c r="B229" s="15" t="str">
        <x:v>Outflow</x:v>
      </x:c>
      <x:c r="C229" s="15" t="str">
        <x:v>Printing</x:v>
      </x:c>
      <x:c r="D229" s="38" t="n">
        <x:v>815</x:v>
      </x:c>
      <x:c r="E229" s="15" t="str">
        <x:v>ZAR</x:v>
      </x:c>
      <x:c r="F229" s="15" t="str">
        <x:v>Supplier payments</x:v>
      </x:c>
      <x:c r="G229" s="15" t="str">
        <x:v>Current a/c..512781</x:v>
      </x:c>
      <x:c r="H229" s="15" t="str">
        <x:v>Printing</x:v>
      </x:c>
      <x:c r="I229" s="15" t="str">
        <x:v>eml_ALL_currentac__512781 (2).zip &gt; eml5currentac__512781.zip / FNB _-) R815.00 paid from Current a_c..512781 @ Smartapp. Ref.Printing.  2Mar 14_13.eml</x:v>
      </x:c>
    </x:row>
    <x:row r="230">
      <x:c r="A230" s="34" t="n">
        <x:v>46083.604166666664</x:v>
      </x:c>
      <x:c r="B230" s="15" t="str">
        <x:v>Outflow</x:v>
      </x:c>
      <x:c r="C230" s="15" t="str">
        <x:v>Nb N992820</x:v>
      </x:c>
      <x:c r="D230" s="38" t="n">
        <x:v>759</x:v>
      </x:c>
      <x:c r="E230" s="15" t="str">
        <x:v>ZAR</x:v>
      </x:c>
      <x:c r="F230" s="15" t="str">
        <x:v>Supplier payments</x:v>
      </x:c>
      <x:c r="G230" s="15" t="str">
        <x:v>Current a/c..512781</x:v>
      </x:c>
      <x:c r="H230" s="15" t="str">
        <x:v>Nb N992820</x:v>
      </x:c>
      <x:c r="I230" s="15" t="str">
        <x:v>eml_ALL_currentac__512781 (2).zip &gt; eml5currentac__512781.zip / FNB _-) R759.00 paid from Current a_c..512781 @ Smartapp. Ref.Nb N992820.  2Mar 14_30.eml</x:v>
      </x:c>
    </x:row>
    <x:row r="231">
      <x:c r="A231" s="34" t="n">
        <x:v>46083.61111111111</x:v>
      </x:c>
      <x:c r="B231" s="15" t="str">
        <x:v>Outflow</x:v>
      </x:c>
      <x:c r="C231" s="15" t="str">
        <x:v>Kpci - C1736 March</x:v>
      </x:c>
      <x:c r="D231" s="38" t="n">
        <x:v>500</x:v>
      </x:c>
      <x:c r="E231" s="15" t="str">
        <x:v>ZAR</x:v>
      </x:c>
      <x:c r="F231" s="15" t="str">
        <x:v>Supplier payments</x:v>
      </x:c>
      <x:c r="G231" s="15" t="str">
        <x:v>Current a/c..512781</x:v>
      </x:c>
      <x:c r="H231" s="15" t="str">
        <x:v>Kpci - C1736 March</x:v>
      </x:c>
      <x:c r="I231" s="15" t="str">
        <x:v>eml_ALL_currentac__512781 (2).zip &gt; eml5currentac__512781.zip / FNB _-) R500.00 paid from Current a_c..512781 @ Smartapp. Ref.Kpci - C1736 March.  2Mar 14_40.eml</x:v>
      </x:c>
    </x:row>
    <x:row r="232">
      <x:c r="A232" s="34" t="n">
        <x:v>46086.35763888889</x:v>
      </x:c>
      <x:c r="B232" s="15" t="str">
        <x:v>Inflow</x:v>
      </x:c>
      <x:c r="C232" s="15" t="str">
        <x:v>R026w3r9l0 Booking.c</x:v>
      </x:c>
      <x:c r="D232" s="38" t="n">
        <x:v>15593.21</x:v>
      </x:c>
      <x:c r="E232" s="15" t="str">
        <x:v>ZAR</x:v>
      </x:c>
      <x:c r="F232" s="15" t="str">
        <x:v>Sales / customer receipts</x:v>
      </x:c>
      <x:c r="G232" s="15" t="str">
        <x:v>Current a/c..512781</x:v>
      </x:c>
      <x:c r="H232" s="15" t="str">
        <x:v>R026w3r9l0 Booking.c</x:v>
      </x:c>
      <x:c r="I232" s="15" t="str">
        <x:v>eml_ALL_currentac__512781 (2).zip &gt; eml5currentac__512781.zip / FNB _-) R15593.21 paid to Current a_c..512781 @ Retail Forex. Ref.R026w3r9l0 Booking.c.  5Mar 08_35.eml</x:v>
      </x:c>
    </x:row>
    <x:row r="233">
      <x:c r="A233" s="34" t="n">
        <x:v>46087.478472222225</x:v>
      </x:c>
      <x:c r="B233" s="15" t="str">
        <x:v>Internal Transfer</x:v>
      </x:c>
      <x:c r="C233" s="15" t="str">
        <x:v>Private Cheq Acc..566332</x:v>
      </x:c>
      <x:c r="D233" s="38" t="n">
        <x:v>5000</x:v>
      </x:c>
      <x:c r="E233" s="15" t="str">
        <x:v>ZAR</x:v>
      </x:c>
      <x:c r="F233" s="15" t="str">
        <x:v>Inter-account transfer</x:v>
      </x:c>
      <x:c r="G233" s="15" t="str">
        <x:v>Current a/c..512781</x:v>
      </x:c>
      <x:c r="H233" s="15" t="str">
        <x:v>R5000.00 t/fer from Current a/c..512781 to Private Cheq Acc..566332 @ Smartapp. Avail R20960. 6Mar 11:29</x:v>
      </x:c>
      <x:c r="I233" s="15" t="str">
        <x:v>eml_ALL_currentac__512781 (2).zip &gt; eml5currentac__512781.zip / FNB _-) R5000.00 t_fer from Current a_c..512781 to Private Cheq Acc..566332 @ Smartapp.  6Mar 11_29.eml</x:v>
      </x:c>
    </x:row>
    <x:row r="234">
      <x:c r="A234" s="34" t="n">
        <x:v>46087.57708333333</x:v>
      </x:c>
      <x:c r="B234" s="15" t="str">
        <x:v>Inflow</x:v>
      </x:c>
      <x:c r="C234" s="15" t="str">
        <x:v>Ik Pay 487882</x:v>
      </x:c>
      <x:c r="D234" s="38" t="n">
        <x:v>817.06</x:v>
      </x:c>
      <x:c r="E234" s="15" t="str">
        <x:v>ZAR</x:v>
      </x:c>
      <x:c r="F234" s="15" t="str">
        <x:v>Sales / customer receipts</x:v>
      </x:c>
      <x:c r="G234" s="15" t="str">
        <x:v>Current a/c..512781</x:v>
      </x:c>
      <x:c r="H234" s="15" t="str">
        <x:v>Ik Pay 487882</x:v>
      </x:c>
      <x:c r="I234" s="15" t="str">
        <x:v>eml_ALL_currentac__512781 (2).zip &gt; eml5currentac__512781.zip / FNB _-) R817.06 paid to Current a_c..512781 @ Payshap. Ref.Ik Pay 487882.  6Mar 13_51.eml</x:v>
      </x:c>
    </x:row>
    <x:row r="235">
      <x:c r="A235" s="34" t="n">
        <x:v>46087.646527777775</x:v>
      </x:c>
      <x:c r="B235" s="15" t="str">
        <x:v>Outflow</x:v>
      </x:c>
      <x:c r="C235" s="15" t="str">
        <x:v>Royal Bush 3764</x:v>
      </x:c>
      <x:c r="D235" s="38" t="n">
        <x:v>4240</x:v>
      </x:c>
      <x:c r="E235" s="15" t="str">
        <x:v>ZAR</x:v>
      </x:c>
      <x:c r="F235" s="15" t="str">
        <x:v>Supplier payments</x:v>
      </x:c>
      <x:c r="G235" s="15" t="str">
        <x:v>Current a/c..512781</x:v>
      </x:c>
      <x:c r="H235" s="15" t="str">
        <x:v>Royal Bush 3764</x:v>
      </x:c>
      <x:c r="I235" s="15" t="str">
        <x:v>eml_ALL_currentac__512781 (2).zip &gt; eml5currentac__512781.zip / FNB _-) R4240.00 paid from Current a_c..512781 @ Smartapp. Ref.Royal Bush 3764.  6Mar 15_31.eml</x:v>
      </x:c>
    </x:row>
    <x:row r="236">
      <x:c r="A236" s="34" t="n">
        <x:v>46087.69236111111</x:v>
      </x:c>
      <x:c r="B236" s="15" t="str">
        <x:v>Outflow</x:v>
      </x:c>
      <x:c r="C236" s="15" t="str">
        <x:v>Smartapp</x:v>
      </x:c>
      <x:c r="D236" s="38" t="n">
        <x:v>200</x:v>
      </x:c>
      <x:c r="E236" s="15" t="str">
        <x:v>ZAR</x:v>
      </x:c>
      <x:c r="F236" s="15" t="str">
        <x:v>Supplier payments</x:v>
      </x:c>
      <x:c r="G236" s="15" t="str">
        <x:v>Current a/c..512781</x:v>
      </x:c>
      <x:c r="H236" s="15" t="str">
        <x:v>R200.00 paid from Current a/c..512781 @ Smartapp. Avail R16037. 6Mar 16:37</x:v>
      </x:c>
      <x:c r="I236" s="15" t="str">
        <x:v>eml_ALL_currentac__512781 (2).zip &gt; eml5currentac__512781.zip / FNB _-) R200.00 paid from Current a_c..512781 @ Smartapp.  6Mar 16_37.eml</x:v>
      </x:c>
    </x:row>
    <x:row r="237">
      <x:c r="A237" s="34" t="n">
        <x:v>46088.40555555555</x:v>
      </x:c>
      <x:c r="B237" s="15" t="str">
        <x:v>Inflow</x:v>
      </x:c>
      <x:c r="C237" s="15" t="str">
        <x:v>Ag1 Seaside Village</x:v>
      </x:c>
      <x:c r="D237" s="38" t="n">
        <x:v>765</x:v>
      </x:c>
      <x:c r="E237" s="15" t="str">
        <x:v>ZAR</x:v>
      </x:c>
      <x:c r="F237" s="15" t="str">
        <x:v>Sales / customer receipts</x:v>
      </x:c>
      <x:c r="G237" s="15" t="str">
        <x:v>Current a/c..512781</x:v>
      </x:c>
      <x:c r="H237" s="15" t="str">
        <x:v>Ag1 Seaside Village</x:v>
      </x:c>
      <x:c r="I237" s="15" t="str">
        <x:v>eml_ALL_currentac__512781 (2).zip &gt; eml5currentac__512781.zip / FNB _-) R765.00 paid to Current a_c..512781 @ Online Banking. Ref.Ag1 Seaside Village.  7Mar 09_44.eml</x:v>
      </x:c>
    </x:row>
    <x:row r="238">
      <x:c r="A238" s="34" t="n">
        <x:v>46088.40694444445</x:v>
      </x:c>
      <x:c r="B238" s="15" t="str">
        <x:v>Inflow</x:v>
      </x:c>
      <x:c r="C238" s="15" t="str">
        <x:v>Ag1 Seaside Village</x:v>
      </x:c>
      <x:c r="D238" s="38" t="n">
        <x:v>18277.16</x:v>
      </x:c>
      <x:c r="E238" s="15" t="str">
        <x:v>ZAR</x:v>
      </x:c>
      <x:c r="F238" s="15" t="str">
        <x:v>Sales / customer receipts</x:v>
      </x:c>
      <x:c r="G238" s="15" t="str">
        <x:v>Current a/c..512781</x:v>
      </x:c>
      <x:c r="H238" s="15" t="str">
        <x:v>Ag1 Seaside Village</x:v>
      </x:c>
      <x:c r="I238" s="15" t="str">
        <x:v>eml_ALL_currentac__512781 (2).zip &gt; eml5currentac__512781.zip / FNB _-) R18277.16 paid to Current a_c..512781 @ Online Banking. Ref.Ag1 Seaside Village.  7Mar 09_46.eml</x:v>
      </x:c>
    </x:row>
    <x:row r="239">
      <x:c r="A239" s="34" t="n">
        <x:v>46088.55625</x:v>
      </x:c>
      <x:c r="B239" s="15" t="str">
        <x:v>Outflow</x:v>
      </x:c>
      <x:c r="C239" s="15" t="str">
        <x:v>Electricity 04294887</x:v>
      </x:c>
      <x:c r="D239" s="38" t="n">
        <x:v>500</x:v>
      </x:c>
      <x:c r="E239" s="15" t="str">
        <x:v>ZAR</x:v>
      </x:c>
      <x:c r="F239" s="15" t="str">
        <x:v>Telecom / utilities</x:v>
      </x:c>
      <x:c r="G239" s="15" t="str">
        <x:v>Current a/c..512781</x:v>
      </x:c>
      <x:c r="H239" s="15" t="str">
        <x:v>Electricity 04294887</x:v>
      </x:c>
      <x:c r="I239" s="15" t="str">
        <x:v>eml_ALL_currentac__512781 (2).zip &gt; eml5currentac__512781.zip / FNB _-) R500.00 paid from Current a_c..512781 @ Smartapp. Ref.Electricity 04294887.  7Mar 13_21.eml</x:v>
      </x:c>
    </x:row>
    <x:row r="240">
      <x:c r="A240" s="34" t="n">
        <x:v>46089.55902777778</x:v>
      </x:c>
      <x:c r="B240" s="15" t="str">
        <x:v>Outflow</x:v>
      </x:c>
      <x:c r="C240" s="15" t="str">
        <x:v>Salary</x:v>
      </x:c>
      <x:c r="D240" s="38" t="n">
        <x:v>2000</x:v>
      </x:c>
      <x:c r="E240" s="15" t="str">
        <x:v>ZAR</x:v>
      </x:c>
      <x:c r="F240" s="15" t="str">
        <x:v>Salary / wages</x:v>
      </x:c>
      <x:c r="G240" s="15" t="str">
        <x:v>Current a/c..512781</x:v>
      </x:c>
      <x:c r="H240" s="15" t="str">
        <x:v>Salary</x:v>
      </x:c>
      <x:c r="I240" s="15" t="str">
        <x:v>eml_ALL_currentac__512781 (2).zip &gt; eml5currentac__512781.zip / FNB _-) R2000.00 paid from Current a_c..512781 @ Smartapp. Ref.Salary.  8Mar 13_25.eml</x:v>
      </x:c>
    </x:row>
    <x:row r="241">
      <x:c r="A241" s="34" t="n">
        <x:v>46089.57083333333</x:v>
      </x:c>
      <x:c r="B241" s="15" t="str">
        <x:v>Inflow</x:v>
      </x:c>
      <x:c r="C241" s="15" t="str">
        <x:v>7f040 Airbnb Payment</x:v>
      </x:c>
      <x:c r="D241" s="38" t="n">
        <x:v>2830.85</x:v>
      </x:c>
      <x:c r="E241" s="15" t="str">
        <x:v>ZAR</x:v>
      </x:c>
      <x:c r="F241" s="15" t="str">
        <x:v>Sales / customer receipts</x:v>
      </x:c>
      <x:c r="G241" s="15" t="str">
        <x:v>Current a/c..512781</x:v>
      </x:c>
      <x:c r="H241" s="15" t="str">
        <x:v>7f040 Airbnb Payment</x:v>
      </x:c>
      <x:c r="I241" s="15" t="str">
        <x:v>eml_ALL_currentac__512781 (2).zip &gt; eml5currentac__512781.zip / FNB _-) R2830.85 paid to Current a_c..512781 @ Payshap. Ref.7f040 Airbnb Payment.  8Mar 13_42.eml</x:v>
      </x:c>
    </x:row>
    <x:row r="242">
      <x:c r="A242" s="34" t="n">
        <x:v>46089.80902777778</x:v>
      </x:c>
      <x:c r="B242" s="15" t="str">
        <x:v>Outflow</x:v>
      </x:c>
      <x:c r="C242" s="15" t="str">
        <x:v>Electricity 14503572</x:v>
      </x:c>
      <x:c r="D242" s="38" t="n">
        <x:v>200</x:v>
      </x:c>
      <x:c r="E242" s="15" t="str">
        <x:v>ZAR</x:v>
      </x:c>
      <x:c r="F242" s="15" t="str">
        <x:v>Telecom / utilities</x:v>
      </x:c>
      <x:c r="G242" s="15" t="str">
        <x:v>Current a/c..512781</x:v>
      </x:c>
      <x:c r="H242" s="15" t="str">
        <x:v>Electricity 14503572</x:v>
      </x:c>
      <x:c r="I242" s="15" t="str">
        <x:v>eml_ALL_currentac__512781 (2).zip &gt; eml5currentac__512781.zip / FNB _-) R200.00 paid from Current a_c..512781 @ Smartapp. Ref.Electricity 14503572.  8Mar 19_25.eml</x:v>
      </x:c>
    </x:row>
    <x:row r="243">
      <x:c r="A243" s="34" t="n">
        <x:v>46091.71041666667</x:v>
      </x:c>
      <x:c r="B243" s="15" t="str">
        <x:v>Outflow</x:v>
      </x:c>
      <x:c r="C243" s="15" t="str">
        <x:v>Electricity 14503572</x:v>
      </x:c>
      <x:c r="D243" s="38" t="n">
        <x:v>150</x:v>
      </x:c>
      <x:c r="E243" s="15" t="str">
        <x:v>ZAR</x:v>
      </x:c>
      <x:c r="F243" s="15" t="str">
        <x:v>Telecom / utilities</x:v>
      </x:c>
      <x:c r="G243" s="15" t="str">
        <x:v>Current a/c..512781</x:v>
      </x:c>
      <x:c r="H243" s="15" t="str">
        <x:v>Electricity 14503572</x:v>
      </x:c>
      <x:c r="I243" s="15" t="str">
        <x:v>eml_ALL_currentac__512781 (2).zip &gt; eml5currentac__512781.zip / FNB _-) R150.00 paid from Current a_c..512781 @ Smartapp. Ref.Electricity 14503572. 10Mar 17_03.eml</x:v>
      </x:c>
    </x:row>
    <x:row r="244">
      <x:c r="A244" s="34" t="n">
        <x:v>46092.57638888889</x:v>
      </x:c>
      <x:c r="B244" s="15" t="str">
        <x:v>Outflow</x:v>
      </x:c>
      <x:c r="C244" s="15" t="str">
        <x:v>Kruger Safari 1686</x:v>
      </x:c>
      <x:c r="D244" s="38" t="n">
        <x:v>6008</x:v>
      </x:c>
      <x:c r="E244" s="15" t="str">
        <x:v>ZAR</x:v>
      </x:c>
      <x:c r="F244" s="15" t="str">
        <x:v>Supplier payments</x:v>
      </x:c>
      <x:c r="G244" s="15" t="str">
        <x:v>Current a/c..512781</x:v>
      </x:c>
      <x:c r="H244" s="15" t="str">
        <x:v>Kruger Safari 1686</x:v>
      </x:c>
      <x:c r="I244" s="15" t="str">
        <x:v>eml_ALL_currentac__512781 (2).zip &gt; eml5currentac__512781.zip / FNB _-) R6008.00 paid from Current a_c..512781 @ Smartapp. Ref.Kruger Safari 1686. 11Mar 13_50.eml</x:v>
      </x:c>
    </x:row>
    <x:row r="245">
      <x:c r="A245" s="34" t="n">
        <x:v>46093.34722222222</x:v>
      </x:c>
      <x:c r="B245" s="15" t="str">
        <x:v>Inflow</x:v>
      </x:c>
      <x:c r="C245" s="15" t="str">
        <x:v>R026vwnk80 Booking.c</x:v>
      </x:c>
      <x:c r="D245" s="38" t="n">
        <x:v>29321.53</x:v>
      </x:c>
      <x:c r="E245" s="15" t="str">
        <x:v>ZAR</x:v>
      </x:c>
      <x:c r="F245" s="15" t="str">
        <x:v>Sales / customer receipts</x:v>
      </x:c>
      <x:c r="G245" s="15" t="str">
        <x:v>Current a/c..512781</x:v>
      </x:c>
      <x:c r="H245" s="15" t="str">
        <x:v>R026vwnk80 Booking.c</x:v>
      </x:c>
      <x:c r="I245" s="15" t="str">
        <x:v>eml_ALL_currentac__512781 (2).zip &gt; eml5currentac__512781.zip / FNB _-) R29321.53 paid to Current a_c..512781 @ Retail Forex. Ref.R026vwnk80 Booking.c. 12Mar 08_20.eml</x:v>
      </x:c>
    </x:row>
    <x:row r="246">
      <x:c r="A246" s="34" t="n">
        <x:v>46093.572222222225</x:v>
      </x:c>
      <x:c r="B246" s="15" t="str">
        <x:v>Inflow</x:v>
      </x:c>
      <x:c r="C246" s="15" t="str">
        <x:v>Reeva</x:v>
      </x:c>
      <x:c r="D246" s="38" t="n">
        <x:v>1500</x:v>
      </x:c>
      <x:c r="E246" s="15" t="str">
        <x:v>ZAR</x:v>
      </x:c>
      <x:c r="F246" s="15" t="str">
        <x:v>Sales / customer receipts</x:v>
      </x:c>
      <x:c r="G246" s="15" t="str">
        <x:v>Current a/c..512781</x:v>
      </x:c>
      <x:c r="H246" s="15" t="str">
        <x:v>Reeva</x:v>
      </x:c>
      <x:c r="I246" s="15" t="str">
        <x:v>eml_ALL_currentac__512781 (2).zip &gt; eml5currentac__512781.zip / FNB _-) R1500.00 paid to Current a_c..512781 @ Smartapp. Ref.Reeva. 12Mar 13_44.eml</x:v>
      </x:c>
    </x:row>
    <x:row r="247">
      <x:c r="A247" s="34" t="n">
        <x:v>46093.575694444444</x:v>
      </x:c>
      <x:c r="B247" s="15" t="str">
        <x:v>Inflow</x:v>
      </x:c>
      <x:c r="C247" s="15" t="str">
        <x:v>Ik Pay 487882</x:v>
      </x:c>
      <x:c r="D247" s="38" t="n">
        <x:v>7391.15</x:v>
      </x:c>
      <x:c r="E247" s="15" t="str">
        <x:v>ZAR</x:v>
      </x:c>
      <x:c r="F247" s="15" t="str">
        <x:v>Sales / customer receipts</x:v>
      </x:c>
      <x:c r="G247" s="15" t="str">
        <x:v>Current a/c..512781</x:v>
      </x:c>
      <x:c r="H247" s="15" t="str">
        <x:v>Ik Pay 487882</x:v>
      </x:c>
      <x:c r="I247" s="15" t="str">
        <x:v>eml_ALL_currentac__512781 (2).zip &gt; eml5currentac__512781.zip / FNB _-) R7391.15 paid to Current a_c..512781 @ Payshap. Ref.Ik Pay 487882. 12Mar 13_49.eml</x:v>
      </x:c>
    </x:row>
    <x:row r="248">
      <x:c r="A248" s="34" t="n">
        <x:v>46093.67083333333</x:v>
      </x:c>
      <x:c r="B248" s="15" t="str">
        <x:v>Outflow</x:v>
      </x:c>
      <x:c r="C248" s="15" t="str">
        <x:v>Royal Bush 3798</x:v>
      </x:c>
      <x:c r="D248" s="38" t="n">
        <x:v>4240</x:v>
      </x:c>
      <x:c r="E248" s="15" t="str">
        <x:v>ZAR</x:v>
      </x:c>
      <x:c r="F248" s="15" t="str">
        <x:v>Supplier payments</x:v>
      </x:c>
      <x:c r="G248" s="15" t="str">
        <x:v>Current a/c..512781</x:v>
      </x:c>
      <x:c r="H248" s="15" t="str">
        <x:v>Royal Bush 3798</x:v>
      </x:c>
      <x:c r="I248" s="15" t="str">
        <x:v>eml_ALL_currentac__512781 (2).zip &gt; eml5currentac__512781.zip / FNB _-) R4240.00 paid from Current a_c..512781 @ Smartapp. Ref.Royal Bush 3798. 12Mar 16_06.eml</x:v>
      </x:c>
    </x:row>
    <x:row r="249">
      <x:c r="A249" s="34" t="n">
        <x:v>46093.67222222222</x:v>
      </x:c>
      <x:c r="B249" s="15" t="str">
        <x:v>Outflow</x:v>
      </x:c>
      <x:c r="C249" s="15" t="str">
        <x:v>Kruger Safari 1687</x:v>
      </x:c>
      <x:c r="D249" s="38" t="n">
        <x:v>4506</x:v>
      </x:c>
      <x:c r="E249" s="15" t="str">
        <x:v>ZAR</x:v>
      </x:c>
      <x:c r="F249" s="15" t="str">
        <x:v>Supplier payments</x:v>
      </x:c>
      <x:c r="G249" s="15" t="str">
        <x:v>Current a/c..512781</x:v>
      </x:c>
      <x:c r="H249" s="15" t="str">
        <x:v>Kruger Safari 1687</x:v>
      </x:c>
      <x:c r="I249" s="15" t="str">
        <x:v>eml_ALL_currentac__512781 (2).zip &gt; eml5currentac__512781.zip / FNB _-) R4506.00 paid from Current a_c..512781 @ Smartapp. Ref.Kruger Safari 1687. 12Mar 16_08.eml</x:v>
      </x:c>
    </x:row>
    <x:row r="250">
      <x:c r="A250" s="34" t="n">
        <x:v>46094.16180555556</x:v>
      </x:c>
      <x:c r="B250" s="15" t="str">
        <x:v>Outflow</x:v>
      </x:c>
      <x:c r="C250" s="15" t="str">
        <x:v>Salary- Feb</x:v>
      </x:c>
      <x:c r="D250" s="38" t="n">
        <x:v>5000</x:v>
      </x:c>
      <x:c r="E250" s="15" t="str">
        <x:v>ZAR</x:v>
      </x:c>
      <x:c r="F250" s="15" t="str">
        <x:v>Salary / wages</x:v>
      </x:c>
      <x:c r="G250" s="15" t="str">
        <x:v>Current a/c..512781</x:v>
      </x:c>
      <x:c r="H250" s="15" t="str">
        <x:v>Salary- Feb</x:v>
      </x:c>
      <x:c r="I250" s="15" t="str">
        <x:v>eml_ALL_currentac__512781 (2).zip &gt; eml5currentac__512781.zip / FNB _-) R5000.00 paid from Current a_c..512781 @ Smartapp. Ref.Salary- Feb. 13Mar 03_53.eml</x:v>
      </x:c>
    </x:row>
    <x:row r="251">
      <x:c r="A251" s="34" t="n">
        <x:v>46094.58888888889</x:v>
      </x:c>
      <x:c r="B251" s="15" t="str">
        <x:v>Outflow</x:v>
      </x:c>
      <x:c r="C251" s="15" t="str">
        <x:v>Sakkie Wages</x:v>
      </x:c>
      <x:c r="D251" s="38" t="n">
        <x:v>2500</x:v>
      </x:c>
      <x:c r="E251" s="15" t="str">
        <x:v>ZAR</x:v>
      </x:c>
      <x:c r="F251" s="15" t="str">
        <x:v>Salary / wages</x:v>
      </x:c>
      <x:c r="G251" s="15" t="str">
        <x:v>Current a/c..512781</x:v>
      </x:c>
      <x:c r="H251" s="15" t="str">
        <x:v>Sakkie Wages</x:v>
      </x:c>
      <x:c r="I251" s="15" t="str">
        <x:v>eml_ALL_currentac__512781 (2).zip &gt; eml5currentac__512781.zip / FNB _-) R2500.00 paid from Current a_c..512781 @ Smartapp. Ref.Sakkie Wages. 13Mar 14_08.eml</x:v>
      </x:c>
    </x:row>
    <x:row r="252">
      <x:c r="A252" s="34" t="n">
        <x:v>46096.46319444444</x:v>
      </x:c>
      <x:c r="B252" s="15" t="str">
        <x:v>Outflow</x:v>
      </x:c>
      <x:c r="C252" s="15" t="str">
        <x:v>Electricity 14503572</x:v>
      </x:c>
      <x:c r="D252" s="38" t="n">
        <x:v>150</x:v>
      </x:c>
      <x:c r="E252" s="15" t="str">
        <x:v>ZAR</x:v>
      </x:c>
      <x:c r="F252" s="15" t="str">
        <x:v>Telecom / utilities</x:v>
      </x:c>
      <x:c r="G252" s="15" t="str">
        <x:v>Current a/c..512781</x:v>
      </x:c>
      <x:c r="H252" s="15" t="str">
        <x:v>Electricity 14503572</x:v>
      </x:c>
      <x:c r="I252" s="15" t="str">
        <x:v>eml_ALL_currentac__512781 (2).zip &gt; eml5currentac__512781.zip / FNB _-) R150.00 paid from Current a_c..512781 @ Smartapp. Ref.Electricity 14503572. 15Mar 11_07.eml</x:v>
      </x:c>
    </x:row>
    <x:row r="253">
      <x:c r="A253" s="34" t="n">
        <x:v>46097.50625</x:v>
      </x:c>
      <x:c r="B253" s="15" t="str">
        <x:v>Outflow</x:v>
      </x:c>
      <x:c r="C253" s="15" t="str">
        <x:v>Electricity 14503572</x:v>
      </x:c>
      <x:c r="D253" s="38" t="n">
        <x:v>150</x:v>
      </x:c>
      <x:c r="E253" s="15" t="str">
        <x:v>ZAR</x:v>
      </x:c>
      <x:c r="F253" s="15" t="str">
        <x:v>Telecom / utilities</x:v>
      </x:c>
      <x:c r="G253" s="15" t="str">
        <x:v>Current a/c..512781</x:v>
      </x:c>
      <x:c r="H253" s="15" t="str">
        <x:v>Electricity 14503572</x:v>
      </x:c>
      <x:c r="I253" s="15" t="str">
        <x:v>eml_ALL_currentac__512781 (2).zip &gt; eml5currentac__512781.zip / FNB _-) R150.00 paid from Current a_c..512781 @ Smartapp. Ref.Electricity 14503572. 16Mar 12_09.eml</x:v>
      </x:c>
    </x:row>
    <x:row r="254">
      <x:c r="A254" s="34" t="n">
        <x:v>46097.71666666667</x:v>
      </x:c>
      <x:c r="B254" s="15" t="str">
        <x:v>Outflow</x:v>
      </x:c>
      <x:c r="C254" s="15" t="str">
        <x:v>City Of Capetown</x:v>
      </x:c>
      <x:c r="D254" s="38" t="n">
        <x:v>4835.36</x:v>
      </x:c>
      <x:c r="E254" s="15" t="str">
        <x:v>ZAR</x:v>
      </x:c>
      <x:c r="F254" s="15" t="str">
        <x:v>Supplier payments</x:v>
      </x:c>
      <x:c r="G254" s="15" t="str">
        <x:v>Current a/c..512781</x:v>
      </x:c>
      <x:c r="H254" s="15" t="str">
        <x:v>City Of Capetown</x:v>
      </x:c>
      <x:c r="I254" s="15" t="str">
        <x:v>eml_ALL_currentac__512781 (2).zip &gt; eml5currentac__512781.zip / FNB _-) R4835.36 paid from Current a_c..512781 @ Smartapp. Ref.City Of Capetown. 16Mar 17_12.eml</x:v>
      </x:c>
    </x:row>
    <x:row r="255">
      <x:c r="A255" s="34" t="n">
        <x:v>46097.75555555556</x:v>
      </x:c>
      <x:c r="B255" s="15" t="str">
        <x:v>Outflow</x:v>
      </x:c>
      <x:c r="C255" s="15" t="str">
        <x:v>Electricity 04294887</x:v>
      </x:c>
      <x:c r="D255" s="38" t="n">
        <x:v>500</x:v>
      </x:c>
      <x:c r="E255" s="15" t="str">
        <x:v>ZAR</x:v>
      </x:c>
      <x:c r="F255" s="15" t="str">
        <x:v>Telecom / utilities</x:v>
      </x:c>
      <x:c r="G255" s="15" t="str">
        <x:v>Current a/c..512781</x:v>
      </x:c>
      <x:c r="H255" s="15" t="str">
        <x:v>Electricity 04294887</x:v>
      </x:c>
      <x:c r="I255" s="15" t="str">
        <x:v>eml_ALL_currentac__512781 (2).zip &gt; eml5currentac__512781.zip / FNB _-) R500.00 paid from Current a_c..512781 @ Smartapp. Ref.Electricity 04294887. 16Mar 18_08.eml</x:v>
      </x:c>
    </x:row>
    <x:row r="256">
      <x:c r="A256" s="34" t="n">
        <x:v>46098.589583333334</x:v>
      </x:c>
      <x:c r="B256" s="15" t="str">
        <x:v>Outflow</x:v>
      </x:c>
      <x:c r="C256" s="15" t="str">
        <x:v>Dinner Box 108599</x:v>
      </x:c>
      <x:c r="D256" s="38" t="n">
        <x:v>1801</x:v>
      </x:c>
      <x:c r="E256" s="15" t="str">
        <x:v>ZAR</x:v>
      </x:c>
      <x:c r="F256" s="15" t="str">
        <x:v>Meals / restaurants / entertainment</x:v>
      </x:c>
      <x:c r="G256" s="15" t="str">
        <x:v>Current a/c..512781</x:v>
      </x:c>
      <x:c r="H256" s="15" t="str">
        <x:v>Dinner Box 108599</x:v>
      </x:c>
      <x:c r="I256" s="15" t="str">
        <x:v>eml_ALL_currentac__512781 (2).zip &gt; eml4currentac__512781.zip / FNB _-) R1801.00 paid from Current a_c..512781 @ Smartapp. Ref.Dinner Box 108599. 17Mar 14_09.eml</x:v>
      </x:c>
    </x:row>
    <x:row r="257">
      <x:c r="A257" s="34" t="n">
        <x:v>46099.79236111111</x:v>
      </x:c>
      <x:c r="B257" s="15" t="str">
        <x:v>Outflow</x:v>
      </x:c>
      <x:c r="C257" s="15" t="str">
        <x:v>Cf Moto Saf - Inv 2</x:v>
      </x:c>
      <x:c r="D257" s="38" t="n">
        <x:v>1292</x:v>
      </x:c>
      <x:c r="E257" s="15" t="str">
        <x:v>ZAR</x:v>
      </x:c>
      <x:c r="F257" s="15" t="str">
        <x:v>Supplier payments</x:v>
      </x:c>
      <x:c r="G257" s="15" t="str">
        <x:v>Current a/c..512781</x:v>
      </x:c>
      <x:c r="H257" s="15" t="str">
        <x:v>Cf Moto Saf - Inv 2</x:v>
      </x:c>
      <x:c r="I257" s="15" t="str">
        <x:v>eml_ALL_currentac__512781 (2).zip &gt; eml4currentac__512781.zip / FNB _-) R1292.00 paid from Current a_c..512781 @ Smartapp. Ref.Cf Moto Saf - Inv 2. 18Mar 19_01.eml</x:v>
      </x:c>
    </x:row>
    <x:row r="258">
      <x:c r="A258" s="34" t="n">
        <x:v>46100.34722222222</x:v>
      </x:c>
      <x:c r="B258" s="15" t="str">
        <x:v>Inflow</x:v>
      </x:c>
      <x:c r="C258" s="15" t="str">
        <x:v>R026vlwjc0 Booking.c</x:v>
      </x:c>
      <x:c r="D258" s="38" t="n">
        <x:v>6823.74</x:v>
      </x:c>
      <x:c r="E258" s="15" t="str">
        <x:v>ZAR</x:v>
      </x:c>
      <x:c r="F258" s="15" t="str">
        <x:v>Sales / customer receipts</x:v>
      </x:c>
      <x:c r="G258" s="15" t="str">
        <x:v>Current a/c..512781</x:v>
      </x:c>
      <x:c r="H258" s="15" t="str">
        <x:v>R026vlwjc0 Booking.c</x:v>
      </x:c>
      <x:c r="I258" s="15" t="str">
        <x:v>eml_ALL_currentac__512781 (2).zip &gt; eml4currentac__512781.zip / FNB _-) R6823.74 paid to Current a_c..512781 @ Retail Forex. Ref.R026vlwjc0 Booking.c. 19Mar 08_20.eml</x:v>
      </x:c>
    </x:row>
    <x:row r="259">
      <x:c r="A259" s="34" t="n">
        <x:v>46102.65416666667</x:v>
      </x:c>
      <x:c r="B259" s="15" t="str">
        <x:v>Outflow</x:v>
      </x:c>
      <x:c r="C259" s="15" t="str">
        <x:v>Kruger Safari 1688</x:v>
      </x:c>
      <x:c r="D259" s="38" t="n">
        <x:v>2929</x:v>
      </x:c>
      <x:c r="E259" s="15" t="str">
        <x:v>ZAR</x:v>
      </x:c>
      <x:c r="F259" s="15" t="str">
        <x:v>Supplier payments</x:v>
      </x:c>
      <x:c r="G259" s="15" t="str">
        <x:v>Current a/c..512781</x:v>
      </x:c>
      <x:c r="H259" s="15" t="str">
        <x:v>Kruger Safari 1688</x:v>
      </x:c>
      <x:c r="I259" s="15" t="str">
        <x:v>eml_ALL_currentac__512781 (2).zip &gt; eml4currentac__512781.zip / FNB _-) R2929.00 paid from Current a_c..512781 @ Smartapp. Ref.Kruger Safari 1688. 21Mar 15_42.eml</x:v>
      </x:c>
    </x:row>
    <x:row r="260">
      <x:c r="A260" s="34" t="n">
        <x:v>46104.51458333333</x:v>
      </x:c>
      <x:c r="B260" s="15" t="str">
        <x:v>Outflow</x:v>
      </x:c>
      <x:c r="C260" s="15" t="str">
        <x:v>Electricity 04294887</x:v>
      </x:c>
      <x:c r="D260" s="38" t="n">
        <x:v>500</x:v>
      </x:c>
      <x:c r="E260" s="15" t="str">
        <x:v>ZAR</x:v>
      </x:c>
      <x:c r="F260" s="15" t="str">
        <x:v>Telecom / utilities</x:v>
      </x:c>
      <x:c r="G260" s="15" t="str">
        <x:v>Current a/c..512781</x:v>
      </x:c>
      <x:c r="H260" s="15" t="str">
        <x:v>Electricity 04294887</x:v>
      </x:c>
      <x:c r="I260" s="15" t="str">
        <x:v>eml_ALL_currentac__512781 (2).zip &gt; eml4currentac__512781.zip / FNB _-) R500.00 paid from Current a_c..512781 @ Smartapp. Ref.Electricity 04294887. 23Mar 12_21.eml</x:v>
      </x:c>
    </x:row>
    <x:row r="261">
      <x:c r="A261" s="34" t="n">
        <x:v>46104.580555555556</x:v>
      </x:c>
      <x:c r="B261" s="15" t="str">
        <x:v>Inflow</x:v>
      </x:c>
      <x:c r="C261" s="15" t="str">
        <x:v>Ik Pay 487882</x:v>
      </x:c>
      <x:c r="D261" s="38" t="n">
        <x:v>5137.92</x:v>
      </x:c>
      <x:c r="E261" s="15" t="str">
        <x:v>ZAR</x:v>
      </x:c>
      <x:c r="F261" s="15" t="str">
        <x:v>Sales / customer receipts</x:v>
      </x:c>
      <x:c r="G261" s="15" t="str">
        <x:v>Current a/c..512781</x:v>
      </x:c>
      <x:c r="H261" s="15" t="str">
        <x:v>Ik Pay 487882</x:v>
      </x:c>
      <x:c r="I261" s="15" t="str">
        <x:v>eml_ALL_currentac__512781 (2).zip &gt; eml4currentac__512781.zip / FNB _-) R5137.92 paid to Current a_c..512781 @ Payshap. Ref.Ik Pay 487882. 23Mar 13_56.eml</x:v>
      </x:c>
    </x:row>
    <x:row r="262">
      <x:c r="A262" s="34" t="n">
        <x:v>46105.49722222222</x:v>
      </x:c>
      <x:c r="B262" s="15" t="str">
        <x:v>Outflow</x:v>
      </x:c>
      <x:c r="C262" s="15" t="str">
        <x:v>Dam Staff</x:v>
      </x:c>
      <x:c r="D262" s="38" t="n">
        <x:v>1000</x:v>
      </x:c>
      <x:c r="E262" s="15" t="str">
        <x:v>ZAR</x:v>
      </x:c>
      <x:c r="F262" s="15" t="str">
        <x:v>Salary / wages</x:v>
      </x:c>
      <x:c r="G262" s="15" t="str">
        <x:v>Current a/c..512781</x:v>
      </x:c>
      <x:c r="H262" s="15" t="str">
        <x:v>Dam Staff</x:v>
      </x:c>
      <x:c r="I262" s="15" t="str">
        <x:v>eml_ALL_currentac__512781 (2).zip &gt; eml4currentac__512781.zip / FNB _-) R1000.00 paid from Current a_c..512781 @ Smartapp. Ref.Dam Staff. 24Mar 11_56.eml</x:v>
      </x:c>
    </x:row>
    <x:row r="263">
      <x:c r="A263" s="34" t="n">
        <x:v>46105.864583333336</x:v>
      </x:c>
      <x:c r="B263" s="15" t="str">
        <x:v>Outflow</x:v>
      </x:c>
      <x:c r="C263" s="15" t="str">
        <x:v>Electricity 14503572</x:v>
      </x:c>
      <x:c r="D263" s="38" t="n">
        <x:v>150</x:v>
      </x:c>
      <x:c r="E263" s="15" t="str">
        <x:v>ZAR</x:v>
      </x:c>
      <x:c r="F263" s="15" t="str">
        <x:v>Telecom / utilities</x:v>
      </x:c>
      <x:c r="G263" s="15" t="str">
        <x:v>Current a/c..512781</x:v>
      </x:c>
      <x:c r="H263" s="15" t="str">
        <x:v>Electricity 14503572</x:v>
      </x:c>
      <x:c r="I263" s="15" t="str">
        <x:v>eml_ALL_currentac__512781 (2).zip &gt; eml4currentac__512781.zip / FNB _-) R150.00 paid from Current a_c..512781 @ Smartapp. Ref.Electricity 14503572. 24Mar 20_45.eml</x:v>
      </x:c>
    </x:row>
    <x:row r="264">
      <x:c r="A264" s="34" t="n">
        <x:v>46106.475</x:v>
      </x:c>
      <x:c r="B264" s="15" t="str">
        <x:v>Outflow</x:v>
      </x:c>
      <x:c r="C264" s="15" t="str">
        <x:v>Waterkloof Gas 11080</x:v>
      </x:c>
      <x:c r="D264" s="38" t="n">
        <x:v>1565</x:v>
      </x:c>
      <x:c r="E264" s="15" t="str">
        <x:v>ZAR</x:v>
      </x:c>
      <x:c r="F264" s="15" t="str">
        <x:v>Supplier payments</x:v>
      </x:c>
      <x:c r="G264" s="15" t="str">
        <x:v>Current a/c..512781</x:v>
      </x:c>
      <x:c r="H264" s="15" t="str">
        <x:v>Waterkloof Gas 11080</x:v>
      </x:c>
      <x:c r="I264" s="15" t="str">
        <x:v>eml_ALL_currentac__512781 (2).zip &gt; eml4currentac__512781.zip / FNB _-) R1565.00 paid from Current a_c..512781 @ Smartapp. Ref.Waterkloof Gas 11080. 25Mar 11_24.eml</x:v>
      </x:c>
    </x:row>
    <x:row r="265">
      <x:c r="A265" s="34" t="n">
        <x:v>46107.308333333334</x:v>
      </x:c>
      <x:c r="B265" s="15" t="str">
        <x:v>Outflow</x:v>
      </x:c>
      <x:c r="C265" s="15" t="str">
        <x:v>Electricity 14503572</x:v>
      </x:c>
      <x:c r="D265" s="38" t="n">
        <x:v>150</x:v>
      </x:c>
      <x:c r="E265" s="15" t="str">
        <x:v>ZAR</x:v>
      </x:c>
      <x:c r="F265" s="15" t="str">
        <x:v>Telecom / utilities</x:v>
      </x:c>
      <x:c r="G265" s="15" t="str">
        <x:v>Current a/c..512781</x:v>
      </x:c>
      <x:c r="H265" s="15" t="str">
        <x:v>Electricity 14503572</x:v>
      </x:c>
      <x:c r="I265" s="15" t="str">
        <x:v>eml_ALL_currentac__512781 (2).zip &gt; eml4currentac__512781.zip / FNB _-) R150.00 paid from Current a_c..512781 @ Smartapp. Ref.Electricity 14503572. 26Mar 07_24.eml</x:v>
      </x:c>
    </x:row>
    <x:row r="266">
      <x:c r="A266" s="34" t="n">
        <x:v>46107.33888888889</x:v>
      </x:c>
      <x:c r="B266" s="15" t="str">
        <x:v>Inflow</x:v>
      </x:c>
      <x:c r="C266" s="15" t="str">
        <x:v>R026v0kzq0 Booking.c</x:v>
      </x:c>
      <x:c r="D266" s="38" t="n">
        <x:v>11517.18</x:v>
      </x:c>
      <x:c r="E266" s="15" t="str">
        <x:v>ZAR</x:v>
      </x:c>
      <x:c r="F266" s="15" t="str">
        <x:v>Sales / customer receipts</x:v>
      </x:c>
      <x:c r="G266" s="15" t="str">
        <x:v>Current a/c..512781</x:v>
      </x:c>
      <x:c r="H266" s="15" t="str">
        <x:v>R026v0kzq0 Booking.c</x:v>
      </x:c>
      <x:c r="I266" s="15" t="str">
        <x:v>eml_ALL_currentac__512781 (2).zip &gt; eml4currentac__512781.zip / FNB _-) R11517.18 paid to Current a_c..512781 @ Retail Forex. Ref.R026v0kzq0 Booking.c. 26Mar 08_08.eml</x:v>
      </x:c>
    </x:row>
    <x:row r="267">
      <x:c r="A267" s="34" t="n">
        <x:v>46107.57777777778</x:v>
      </x:c>
      <x:c r="B267" s="15" t="str">
        <x:v>Inflow</x:v>
      </x:c>
      <x:c r="C267" s="15" t="str">
        <x:v>Ik Pay 487882</x:v>
      </x:c>
      <x:c r="D267" s="38" t="n">
        <x:v>1441.44</x:v>
      </x:c>
      <x:c r="E267" s="15" t="str">
        <x:v>ZAR</x:v>
      </x:c>
      <x:c r="F267" s="15" t="str">
        <x:v>Sales / customer receipts</x:v>
      </x:c>
      <x:c r="G267" s="15" t="str">
        <x:v>Current a/c..512781</x:v>
      </x:c>
      <x:c r="H267" s="15" t="str">
        <x:v>Ik Pay 487882</x:v>
      </x:c>
      <x:c r="I267" s="15" t="str">
        <x:v>eml_ALL_currentac__512781 (2).zip &gt; eml4currentac__512781.zip / FNB _-) R1441.44 paid to Current a_c..512781 @ Payshap. Ref.Ik Pay 487882. 26Mar 13_52.eml</x:v>
      </x:c>
    </x:row>
    <x:row r="268">
      <x:c r="A268" s="34" t="n">
        <x:v>46108.595138888886</x:v>
      </x:c>
      <x:c r="B268" s="15" t="str">
        <x:v>Outflow</x:v>
      </x:c>
      <x:c r="C268" s="15" t="str">
        <x:v>Electricity 04294887</x:v>
      </x:c>
      <x:c r="D268" s="38" t="n">
        <x:v>500</x:v>
      </x:c>
      <x:c r="E268" s="15" t="str">
        <x:v>ZAR</x:v>
      </x:c>
      <x:c r="F268" s="15" t="str">
        <x:v>Telecom / utilities</x:v>
      </x:c>
      <x:c r="G268" s="15" t="str">
        <x:v>Current a/c..512781</x:v>
      </x:c>
      <x:c r="H268" s="15" t="str">
        <x:v>Electricity 04294887</x:v>
      </x:c>
      <x:c r="I268" s="15" t="str">
        <x:v>eml_ALL_currentac__512781 (2).zip &gt; eml4currentac__512781.zip / FNB _-) R500.00 paid from Current a_c..512781 @ Smartapp. Ref.Electricity 04294887. 27Mar 14_17.eml</x:v>
      </x:c>
    </x:row>
    <x:row r="269">
      <x:c r="A269" s="34" t="n">
        <x:v>46109.521527777775</x:v>
      </x:c>
      <x:c r="B269" s="15" t="str">
        <x:v>Outflow</x:v>
      </x:c>
      <x:c r="C269" s="15" t="str">
        <x:v>Sakkie Wages</x:v>
      </x:c>
      <x:c r="D269" s="38" t="n">
        <x:v>2500</x:v>
      </x:c>
      <x:c r="E269" s="15" t="str">
        <x:v>ZAR</x:v>
      </x:c>
      <x:c r="F269" s="15" t="str">
        <x:v>Salary / wages</x:v>
      </x:c>
      <x:c r="G269" s="15" t="str">
        <x:v>Current a/c..512781</x:v>
      </x:c>
      <x:c r="H269" s="15" t="str">
        <x:v>Sakkie Wages</x:v>
      </x:c>
      <x:c r="I269" s="15" t="str">
        <x:v>eml_ALL_currentac__512781 (2).zip &gt; eml4currentac__512781.zip / FNB _-) R2500.00 paid from Current a_c..512781 @ Smartapp. Ref.Sakkie Wages. 28Mar 12_31.eml</x:v>
      </x:c>
    </x:row>
    <x:row r="270">
      <x:c r="A270" s="34" t="n">
        <x:v>46111.38888888889</x:v>
      </x:c>
      <x:c r="B270" s="15" t="str">
        <x:v>Outflow</x:v>
      </x:c>
      <x:c r="C270" s="15" t="str">
        <x:v>Lebombo Wash 03/30</x:v>
      </x:c>
      <x:c r="D270" s="38" t="n">
        <x:v>1500</x:v>
      </x:c>
      <x:c r="E270" s="15" t="str">
        <x:v>ZAR</x:v>
      </x:c>
      <x:c r="F270" s="15" t="str">
        <x:v>Supplier payments</x:v>
      </x:c>
      <x:c r="G270" s="15" t="str">
        <x:v>Current a/c..512781</x:v>
      </x:c>
      <x:c r="H270" s="15" t="str">
        <x:v>Lebombo Wash 03/30</x:v>
      </x:c>
      <x:c r="I270" s="15" t="str">
        <x:v>eml_ALL_currentac__512781 (2).zip &gt; eml4currentac__512781.zip / FNB _-) R1500.00 paid from Current a_c..512781 @ Smartapp. Ref.Lebombo Wash 03_30. 30Mar 09_20.eml</x:v>
      </x:c>
    </x:row>
    <x:row r="271">
      <x:c r="A271" s="34" t="n">
        <x:v>46111.49513888889</x:v>
      </x:c>
      <x:c r="B271" s="15" t="str">
        <x:v>Outflow</x:v>
      </x:c>
      <x:c r="C271" s="15" t="str">
        <x:v>Bon Express 8018</x:v>
      </x:c>
      <x:c r="D271" s="38" t="n">
        <x:v>142.08</x:v>
      </x:c>
      <x:c r="E271" s="15" t="str">
        <x:v>ZAR</x:v>
      </x:c>
      <x:c r="F271" s="15" t="str">
        <x:v>Supplier payments</x:v>
      </x:c>
      <x:c r="G271" s="15" t="str">
        <x:v>Current a/c..512781</x:v>
      </x:c>
      <x:c r="H271" s="15" t="str">
        <x:v>Bon Express 8018</x:v>
      </x:c>
      <x:c r="I271" s="15" t="str">
        <x:v>eml_ALL_currentac__512781 (2).zip &gt; eml4currentac__512781.zip / FNB _-) R142.08 paid from Current a_c..512781 @ Smartapp. Ref.Bon Express 8018. 30Mar 11_53.eml</x:v>
      </x:c>
    </x:row>
    <x:row r="272">
      <x:c r="A272" s="34" t="n">
        <x:v>46111.51458333333</x:v>
      </x:c>
      <x:c r="B272" s="15" t="str">
        <x:v>Inflow</x:v>
      </x:c>
      <x:c r="C272" s="15" t="str">
        <x:v>Ag1 Seaside Village</x:v>
      </x:c>
      <x:c r="D272" s="38" t="n">
        <x:v>23503</x:v>
      </x:c>
      <x:c r="E272" s="15" t="str">
        <x:v>ZAR</x:v>
      </x:c>
      <x:c r="F272" s="15" t="str">
        <x:v>Sales / customer receipts</x:v>
      </x:c>
      <x:c r="G272" s="15" t="str">
        <x:v>Current a/c..512781</x:v>
      </x:c>
      <x:c r="H272" s="15" t="str">
        <x:v>Ag1 Seaside Village</x:v>
      </x:c>
      <x:c r="I272" s="15" t="str">
        <x:v>eml_ALL_currentac__512781 (2).zip &gt; eml4currentac__512781.zip / FNB _-) R23503.00 paid to Current a_c..512781 @ Online Banking. Ref.Ag1 Seaside Village. 30Mar 12_21.eml</x:v>
      </x:c>
    </x:row>
    <x:row r="273">
      <x:c r="A273" s="34" t="n">
        <x:v>46111.57777777778</x:v>
      </x:c>
      <x:c r="B273" s="15" t="str">
        <x:v>Inflow</x:v>
      </x:c>
      <x:c r="C273" s="15" t="str">
        <x:v>Ik Pay 487882</x:v>
      </x:c>
      <x:c r="D273" s="38" t="n">
        <x:v>10191.21</x:v>
      </x:c>
      <x:c r="E273" s="15" t="str">
        <x:v>ZAR</x:v>
      </x:c>
      <x:c r="F273" s="15" t="str">
        <x:v>Sales / customer receipts</x:v>
      </x:c>
      <x:c r="G273" s="15" t="str">
        <x:v>Current a/c..512781</x:v>
      </x:c>
      <x:c r="H273" s="15" t="str">
        <x:v>Ik Pay 487882</x:v>
      </x:c>
      <x:c r="I273" s="15" t="str">
        <x:v>eml_ALL_currentac__512781 (2).zip &gt; eml4currentac__512781.zip / FNB _-) R10191.21 paid to Current a_c..512781 @ Payshap. Ref.Ik Pay 487882. 30Mar 13_52.eml</x:v>
      </x:c>
    </x:row>
    <x:row r="274">
      <x:c r="A274" s="34" t="n">
        <x:v>46112.37569444445</x:v>
      </x:c>
      <x:c r="B274" s="15" t="str">
        <x:v>Outflow</x:v>
      </x:c>
      <x:c r="C274" s="15" t="str">
        <x:v>Kpci - C1736 April</x:v>
      </x:c>
      <x:c r="D274" s="38" t="n">
        <x:v>500</x:v>
      </x:c>
      <x:c r="E274" s="15" t="str">
        <x:v>ZAR</x:v>
      </x:c>
      <x:c r="F274" s="15" t="str">
        <x:v>Supplier payments</x:v>
      </x:c>
      <x:c r="G274" s="15" t="str">
        <x:v>Current a/c..512781</x:v>
      </x:c>
      <x:c r="H274" s="15" t="str">
        <x:v>Kpci - C1736 April</x:v>
      </x:c>
      <x:c r="I274" s="15" t="str">
        <x:v>eml_ALL_currentac__512781 (2).zip &gt; eml4currentac__512781.zip / FNB _-) R500.00 paid from Current a_c..512781 @ Smartapp. Ref.Kpci - C1736 April. 31Mar 09_01.eml</x:v>
      </x:c>
    </x:row>
    <x:row r="275">
      <x:c r="A275" s="34" t="n">
        <x:v>46112.38125</x:v>
      </x:c>
      <x:c r="B275" s="15" t="str">
        <x:v>Outflow</x:v>
      </x:c>
      <x:c r="C275" s="15" t="str">
        <x:v>Kruger Safari 1689</x:v>
      </x:c>
      <x:c r="D275" s="38" t="n">
        <x:v>2929</x:v>
      </x:c>
      <x:c r="E275" s="15" t="str">
        <x:v>ZAR</x:v>
      </x:c>
      <x:c r="F275" s="15" t="str">
        <x:v>Supplier payments</x:v>
      </x:c>
      <x:c r="G275" s="15" t="str">
        <x:v>Current a/c..512781</x:v>
      </x:c>
      <x:c r="H275" s="15" t="str">
        <x:v>Kruger Safari 1689</x:v>
      </x:c>
      <x:c r="I275" s="15" t="str">
        <x:v>eml_ALL_currentac__512781 (2).zip &gt; eml4currentac__512781.zip / FNB _-) R2929.00 paid from Current a_c..512781 @ Smartapp. Ref.Kruger Safari 1689. 31Mar 09_09.eml</x:v>
      </x:c>
    </x:row>
    <x:row r="276">
      <x:c r="A276" s="34" t="n">
        <x:v>46112.39513888889</x:v>
      </x:c>
      <x:c r="B276" s="15" t="str">
        <x:v>Outflow</x:v>
      </x:c>
      <x:c r="C276" s="15" t="str">
        <x:v>Royal Bush 3766</x:v>
      </x:c>
      <x:c r="D276" s="38" t="n">
        <x:v>8480</x:v>
      </x:c>
      <x:c r="E276" s="15" t="str">
        <x:v>ZAR</x:v>
      </x:c>
      <x:c r="F276" s="15" t="str">
        <x:v>Supplier payments</x:v>
      </x:c>
      <x:c r="G276" s="15" t="str">
        <x:v>Current a/c..512781</x:v>
      </x:c>
      <x:c r="H276" s="15" t="str">
        <x:v>Royal Bush 3766</x:v>
      </x:c>
      <x:c r="I276" s="15" t="str">
        <x:v>eml_ALL_currentac__512781 (2).zip &gt; eml4currentac__512781.zip / FNB _-) R8480.00 paid from Current a_c..512781 @ Smartapp. Ref.Royal Bush 3766. 31Mar 09_29.eml</x:v>
      </x:c>
    </x:row>
    <x:row r="277">
      <x:c r="A277" s="34" t="n">
        <x:v>46112.575694444444</x:v>
      </x:c>
      <x:c r="B277" s="15" t="str">
        <x:v>Outflow</x:v>
      </x:c>
      <x:c r="C277" s="15" t="str">
        <x:v>Electricity 14503572</x:v>
      </x:c>
      <x:c r="D277" s="38" t="n">
        <x:v>150</x:v>
      </x:c>
      <x:c r="E277" s="15" t="str">
        <x:v>ZAR</x:v>
      </x:c>
      <x:c r="F277" s="15" t="str">
        <x:v>Telecom / utilities</x:v>
      </x:c>
      <x:c r="G277" s="15" t="str">
        <x:v>Current a/c..512781</x:v>
      </x:c>
      <x:c r="H277" s="15" t="str">
        <x:v>Electricity 14503572</x:v>
      </x:c>
      <x:c r="I277" s="15" t="str">
        <x:v>eml_ALL_currentac__512781 (2).zip &gt; eml4currentac__512781.zip / FNB _-) R150.00 paid from Current a_c..512781 @ Smartapp. Ref.Electricity 14503572. 31Mar 13_49.eml</x:v>
      </x:c>
    </x:row>
    <x:row r="278">
      <x:c r="A278" s="34" t="n">
        <x:v>46112.57708333333</x:v>
      </x:c>
      <x:c r="B278" s="15" t="str">
        <x:v>Inflow</x:v>
      </x:c>
      <x:c r="C278" s="15" t="str">
        <x:v>Ik Pay 487882</x:v>
      </x:c>
      <x:c r="D278" s="38" t="n">
        <x:v>9043.16</x:v>
      </x:c>
      <x:c r="E278" s="15" t="str">
        <x:v>ZAR</x:v>
      </x:c>
      <x:c r="F278" s="15" t="str">
        <x:v>Sales / customer receipts</x:v>
      </x:c>
      <x:c r="G278" s="15" t="str">
        <x:v>Current a/c..512781</x:v>
      </x:c>
      <x:c r="H278" s="15" t="str">
        <x:v>Ik Pay 487882</x:v>
      </x:c>
      <x:c r="I278" s="15" t="str">
        <x:v>eml_ALL_currentac__512781 (2).zip &gt; eml4currentac__512781.zip / FNB _-) R9043.16 paid to Current a_c..512781 @ Payshap. Ref.Ik Pay 487882. 31Mar 13_51.eml</x:v>
      </x:c>
    </x:row>
    <x:row r="279">
      <x:c r="A279" s="34" t="n">
        <x:v>46112.740277777775</x:v>
      </x:c>
      <x:c r="B279" s="15" t="str">
        <x:v>Internal Transfer</x:v>
      </x:c>
      <x:c r="C279" s="15" t="str">
        <x:v>Current a/c..261544</x:v>
      </x:c>
      <x:c r="D279" s="38" t="n">
        <x:v>25000</x:v>
      </x:c>
      <x:c r="E279" s="15" t="str">
        <x:v>ZAR</x:v>
      </x:c>
      <x:c r="F279" s="15" t="str">
        <x:v>Inter-account transfer</x:v>
      </x:c>
      <x:c r="G279" s="15" t="str">
        <x:v>Current a/c..512781</x:v>
      </x:c>
      <x:c r="H279" s="15" t="str">
        <x:v>R25000.00 t/fer from Current a/c..512781 to Current a/c..261544 @ Smartapp. Avail R42979. 31Mar 17:46</x:v>
      </x:c>
      <x:c r="I279" s="15" t="str">
        <x:v>eml_ALL_currentac__512781 (2).zip &gt; eml4currentac__512781.zip / FNB _-) R25000.00 t_fer from Current a_c..512781 to Current a_c..261544 @ Smartapp. 31Mar 17_46.eml</x:v>
      </x:c>
    </x:row>
    <x:row r="280">
      <x:c r="A280" s="34" t="n">
        <x:v>46113.39513888889</x:v>
      </x:c>
      <x:c r="B280" s="15" t="str">
        <x:v>Outflow</x:v>
      </x:c>
      <x:c r="C280" s="15" t="str">
        <x:v>Kruger Safari 1690</x:v>
      </x:c>
      <x:c r="D280" s="38" t="n">
        <x:v>2037</x:v>
      </x:c>
      <x:c r="E280" s="15" t="str">
        <x:v>ZAR</x:v>
      </x:c>
      <x:c r="F280" s="15" t="str">
        <x:v>Supplier payments</x:v>
      </x:c>
      <x:c r="G280" s="15" t="str">
        <x:v>Current a/c..512781</x:v>
      </x:c>
      <x:c r="H280" s="15" t="str">
        <x:v>Kruger Safari 1690</x:v>
      </x:c>
      <x:c r="I280" s="15" t="str">
        <x:v>eml_ALL_currentac__512781 (2).zip &gt; eml4currentac__512781.zip / FNB _-) R2037.00 paid from Current a_c..512781 @ Smartapp. Ref.Kruger Safari 1690.  1Apr 09_29.eml</x:v>
      </x:c>
    </x:row>
    <x:row r="281">
      <x:c r="A281" s="34" t="n">
        <x:v>46113.395833333336</x:v>
      </x:c>
      <x:c r="B281" s="15" t="str">
        <x:v>Outflow</x:v>
      </x:c>
      <x:c r="C281" s="15" t="str">
        <x:v>Staff Salary</x:v>
      </x:c>
      <x:c r="D281" s="38" t="n">
        <x:v>12000</x:v>
      </x:c>
      <x:c r="E281" s="15" t="str">
        <x:v>ZAR</x:v>
      </x:c>
      <x:c r="F281" s="15" t="str">
        <x:v>Salary / wages</x:v>
      </x:c>
      <x:c r="G281" s="15" t="str">
        <x:v>Current a/c..512781</x:v>
      </x:c>
      <x:c r="H281" s="15" t="str">
        <x:v>Staff Salary</x:v>
      </x:c>
      <x:c r="I281" s="15" t="str">
        <x:v>eml_ALL_currentac__512781 (2).zip &gt; eml4currentac__512781.zip / FNB _-) R12000.00 paid from Current a_c..512781 @ Gen Ph. Ref.Staff Salary.  1Apr 09_30.eml</x:v>
      </x:c>
    </x:row>
    <x:row r="282">
      <x:c r="A282" s="34" t="n">
        <x:v>46113.395833333336</x:v>
      </x:c>
      <x:c r="B282" s="15" t="str">
        <x:v>Outflow</x:v>
      </x:c>
      <x:c r="C282" s="15" t="str">
        <x:v>Staff Salary</x:v>
      </x:c>
      <x:c r="D282" s="38" t="n">
        <x:v>12000</x:v>
      </x:c>
      <x:c r="E282" s="15" t="str">
        <x:v>ZAR</x:v>
      </x:c>
      <x:c r="F282" s="15" t="str">
        <x:v>Salary / wages</x:v>
      </x:c>
      <x:c r="G282" s="15" t="str">
        <x:v>Current a/c..512781</x:v>
      </x:c>
      <x:c r="H282" s="15" t="str">
        <x:v>Staff Salary</x:v>
      </x:c>
      <x:c r="I282" s="15" t="str">
        <x:v>eml_ALL_currentac__512781 (2).zip &gt; eml4currentac__512781.zip / FNB _-) R12000.00 paid from Current a_c..512781 @ Gen Ph. Ref.Staff Salary.  1Apr 09_30_1.eml</x:v>
      </x:c>
    </x:row>
    <x:row r="283">
      <x:c r="A283" s="34" t="n">
        <x:v>46113.39722222222</x:v>
      </x:c>
      <x:c r="B283" s="15" t="str">
        <x:v>Outflow</x:v>
      </x:c>
      <x:c r="C283" s="15" t="str">
        <x:v>Nb N992820</x:v>
      </x:c>
      <x:c r="D283" s="38" t="n">
        <x:v>759</x:v>
      </x:c>
      <x:c r="E283" s="15" t="str">
        <x:v>ZAR</x:v>
      </x:c>
      <x:c r="F283" s="15" t="str">
        <x:v>Supplier payments</x:v>
      </x:c>
      <x:c r="G283" s="15" t="str">
        <x:v>Current a/c..512781</x:v>
      </x:c>
      <x:c r="H283" s="15" t="str">
        <x:v>Nb N992820</x:v>
      </x:c>
      <x:c r="I283" s="15" t="str">
        <x:v>eml_ALL_currentac__512781 (2).zip &gt; eml4currentac__512781.zip / FNB _-) R759.00 paid from Current a_c..512781 @ Smartapp. Ref.Nb N992820.  1Apr 09_32.eml</x:v>
      </x:c>
    </x:row>
    <x:row r="284">
      <x:c r="A284" s="34" t="n">
        <x:v>46113.39791666667</x:v>
      </x:c>
      <x:c r="B284" s="15" t="str">
        <x:v>Outflow</x:v>
      </x:c>
      <x:c r="C284" s="15" t="str">
        <x:v>Staff Salary</x:v>
      </x:c>
      <x:c r="D284" s="38" t="n">
        <x:v>3000</x:v>
      </x:c>
      <x:c r="E284" s="15" t="str">
        <x:v>ZAR</x:v>
      </x:c>
      <x:c r="F284" s="15" t="str">
        <x:v>Salary / wages</x:v>
      </x:c>
      <x:c r="G284" s="15" t="str">
        <x:v>Current a/c..512781</x:v>
      </x:c>
      <x:c r="H284" s="15" t="str">
        <x:v>Staff Salary</x:v>
      </x:c>
      <x:c r="I284" s="15" t="str">
        <x:v>eml_ALL_currentac__512781 (2).zip &gt; eml4currentac__512781.zip / FNB _-) R3000.00 paid from Current a_c..512781 @ Smartapp. Ref.Staff Salary.  1Apr 09_33.eml</x:v>
      </x:c>
    </x:row>
    <x:row r="285">
      <x:c r="A285" s="34" t="n">
        <x:v>46113.42013888889</x:v>
      </x:c>
      <x:c r="B285" s="15" t="str">
        <x:v>Outflow</x:v>
      </x:c>
      <x:c r="C285" s="15" t="str">
        <x:v>Dinner Box 109255</x:v>
      </x:c>
      <x:c r="D285" s="38" t="n">
        <x:v>1482</x:v>
      </x:c>
      <x:c r="E285" s="15" t="str">
        <x:v>ZAR</x:v>
      </x:c>
      <x:c r="F285" s="15" t="str">
        <x:v>Meals / restaurants / entertainment</x:v>
      </x:c>
      <x:c r="G285" s="15" t="str">
        <x:v>Current a/c..512781</x:v>
      </x:c>
      <x:c r="H285" s="15" t="str">
        <x:v>Dinner Box 109255</x:v>
      </x:c>
      <x:c r="I285" s="15" t="str">
        <x:v>eml_ALL_currentac__512781 (2).zip &gt; eml4currentac__512781.zip / FNB _-) R1482.00 paid from Current a_c..512781 @ Smartapp. Ref.Dinner Box 109255.  1Apr 10_05.eml</x:v>
      </x:c>
    </x:row>
    <x:row r="286">
      <x:c r="A286" s="34" t="n">
        <x:v>46113.427083333336</x:v>
      </x:c>
      <x:c r="B286" s="15" t="str">
        <x:v>Outflow</x:v>
      </x:c>
      <x:c r="C286" s="15" t="str">
        <x:v>Bon Express 008072</x:v>
      </x:c>
      <x:c r="D286" s="38" t="n">
        <x:v>284.17</x:v>
      </x:c>
      <x:c r="E286" s="15" t="str">
        <x:v>ZAR</x:v>
      </x:c>
      <x:c r="F286" s="15" t="str">
        <x:v>Supplier payments</x:v>
      </x:c>
      <x:c r="G286" s="15" t="str">
        <x:v>Current a/c..512781</x:v>
      </x:c>
      <x:c r="H286" s="15" t="str">
        <x:v>Bon Express 008072</x:v>
      </x:c>
      <x:c r="I286" s="15" t="str">
        <x:v>eml_ALL_currentac__512781 (2).zip &gt; eml4currentac__512781.zip / FNB _-) R284.17 paid from Current a_c..512781 @ Smartapp. Ref.Bon Express 008072.  1Apr 10_15.eml</x:v>
      </x:c>
    </x:row>
    <x:row r="287">
      <x:c r="A287" s="34" t="n">
        <x:v>46114.15138888889</x:v>
      </x:c>
      <x:c r="B287" s="15" t="str">
        <x:v>Outflow</x:v>
      </x:c>
      <x:c r="C287" s="15" t="str">
        <x:v>Staff</x:v>
      </x:c>
      <x:c r="D287" s="38" t="n">
        <x:v>2000</x:v>
      </x:c>
      <x:c r="E287" s="15" t="str">
        <x:v>ZAR</x:v>
      </x:c>
      <x:c r="F287" s="15" t="str">
        <x:v>Salary / wages</x:v>
      </x:c>
      <x:c r="G287" s="15" t="str">
        <x:v>Current a/c..512781</x:v>
      </x:c>
      <x:c r="H287" s="15" t="str">
        <x:v>Staff</x:v>
      </x:c>
      <x:c r="I287" s="15" t="str">
        <x:v>eml_ALL_currentac__512781 (2).zip &gt; eml4currentac__512781.zip / FNB _-) R2000.00 paid from Current a_c..512781 @ Smartapp. Ref.Staff.  2Apr 03_38.eml</x:v>
      </x:c>
    </x:row>
    <x:row r="288">
      <x:c r="A288" s="34" t="n">
        <x:v>46114.228472222225</x:v>
      </x:c>
      <x:c r="B288" s="15" t="str">
        <x:v>Outflow</x:v>
      </x:c>
      <x:c r="C288" s="15" t="str">
        <x:v>Staff</x:v>
      </x:c>
      <x:c r="D288" s="38" t="n">
        <x:v>2000</x:v>
      </x:c>
      <x:c r="E288" s="15" t="str">
        <x:v>ZAR</x:v>
      </x:c>
      <x:c r="F288" s="15" t="str">
        <x:v>Salary / wages</x:v>
      </x:c>
      <x:c r="G288" s="15" t="str">
        <x:v>Current a/c..512781</x:v>
      </x:c>
      <x:c r="H288" s="15" t="str">
        <x:v>Staff</x:v>
      </x:c>
      <x:c r="I288" s="15" t="str">
        <x:v>eml_ALL_currentac__512781 (2).zip &gt; eml4currentac__512781.zip / FNB _-) R2000.00 paid from Current a_c..512781 @ Smartapp. Ref.Staff.  2Apr 05_29.eml</x:v>
      </x:c>
    </x:row>
    <x:row r="289">
      <x:c r="A289" s="34" t="n">
        <x:v>46114.38055555556</x:v>
      </x:c>
      <x:c r="B289" s="15" t="str">
        <x:v>Inflow</x:v>
      </x:c>
      <x:c r="C289" s="15" t="str">
        <x:v>R026txbl00 Booking.c</x:v>
      </x:c>
      <x:c r="D289" s="38" t="n">
        <x:v>24034.56</x:v>
      </x:c>
      <x:c r="E289" s="15" t="str">
        <x:v>ZAR</x:v>
      </x:c>
      <x:c r="F289" s="15" t="str">
        <x:v>Sales / customer receipts</x:v>
      </x:c>
      <x:c r="G289" s="15" t="str">
        <x:v>Current a/c..512781</x:v>
      </x:c>
      <x:c r="H289" s="15" t="str">
        <x:v>R026txbl00 Booking.c</x:v>
      </x:c>
      <x:c r="I289" s="15" t="str">
        <x:v>eml_ALL_currentac__512781 (2).zip &gt; eml4currentac__512781.zip / FNB _-) R24034.56 paid to Current a_c..512781 @ Retail Forex. Ref.R026txbl00 Booking.c.  2Apr 09_08.eml</x:v>
      </x:c>
    </x:row>
    <x:row r="290">
      <x:c r="A290" s="34" t="n">
        <x:v>46114.68541666667</x:v>
      </x:c>
      <x:c r="B290" s="15" t="str">
        <x:v>Outflow</x:v>
      </x:c>
      <x:c r="C290" s="15" t="str">
        <x:v>Electricity 04294887</x:v>
      </x:c>
      <x:c r="D290" s="38" t="n">
        <x:v>500</x:v>
      </x:c>
      <x:c r="E290" s="15" t="str">
        <x:v>ZAR</x:v>
      </x:c>
      <x:c r="F290" s="15" t="str">
        <x:v>Telecom / utilities</x:v>
      </x:c>
      <x:c r="G290" s="15" t="str">
        <x:v>Current a/c..512781</x:v>
      </x:c>
      <x:c r="H290" s="15" t="str">
        <x:v>Electricity 04294887</x:v>
      </x:c>
      <x:c r="I290" s="15" t="str">
        <x:v>eml_ALL_currentac__512781 (2).zip &gt; eml4currentac__512781.zip / FNB _-) R500.00 paid from Current a_c..512781 @ Smartapp. Ref.Electricity 04294887.  2Apr 16_27.eml</x:v>
      </x:c>
    </x:row>
    <x:row r="291">
      <x:c r="A291" s="34" t="n">
        <x:v>46116.45</x:v>
      </x:c>
      <x:c r="B291" s="15" t="str">
        <x:v>Inflow</x:v>
      </x:c>
      <x:c r="C291" s="15" t="str">
        <x:v>Ik Pay 487882</x:v>
      </x:c>
      <x:c r="D291" s="38" t="n">
        <x:v>226.65</x:v>
      </x:c>
      <x:c r="E291" s="15" t="str">
        <x:v>ZAR</x:v>
      </x:c>
      <x:c r="F291" s="15" t="str">
        <x:v>Sales / customer receipts</x:v>
      </x:c>
      <x:c r="G291" s="15" t="str">
        <x:v>Current a/c..512781</x:v>
      </x:c>
      <x:c r="H291" s="15" t="str">
        <x:v>Ik Pay 487882</x:v>
      </x:c>
      <x:c r="I291" s="15" t="str">
        <x:v>eml_ALL_currentac__512781 (2).zip &gt; eml4currentac__512781.zip / FNB _-) R226.65 paid to Current a_c..512781 @ Payshap. Ref.Ik Pay 487882.  4Apr 10_48.eml</x:v>
      </x:c>
    </x:row>
    <x:row r="292">
      <x:c r="A292" s="34" t="n">
        <x:v>46116.600694444445</x:v>
      </x:c>
      <x:c r="B292" s="15" t="str">
        <x:v>Outflow</x:v>
      </x:c>
      <x:c r="C292" s="15" t="str">
        <x:v>Sakkie Wages</x:v>
      </x:c>
      <x:c r="D292" s="38" t="n">
        <x:v>250</x:v>
      </x:c>
      <x:c r="E292" s="15" t="str">
        <x:v>ZAR</x:v>
      </x:c>
      <x:c r="F292" s="15" t="str">
        <x:v>Salary / wages</x:v>
      </x:c>
      <x:c r="G292" s="15" t="str">
        <x:v>Current a/c..512781</x:v>
      </x:c>
      <x:c r="H292" s="15" t="str">
        <x:v>Sakkie Wages</x:v>
      </x:c>
      <x:c r="I292" s="15" t="str">
        <x:v>eml_ALL_currentac__512781 (2).zip &gt; eml4currentac__512781.zip / FNB _-) R250.00 paid from Current a_c..512781 @ Smartapp. Ref.Sakkie Wages.  4Apr 14_25.eml</x:v>
      </x:c>
    </x:row>
    <x:row r="293">
      <x:c r="A293" s="34" t="n">
        <x:v>46119.57708333333</x:v>
      </x:c>
      <x:c r="B293" s="15" t="str">
        <x:v>Inflow</x:v>
      </x:c>
      <x:c r="C293" s="15" t="str">
        <x:v>Ik Pay 487882</x:v>
      </x:c>
      <x:c r="D293" s="38" t="n">
        <x:v>27685.14</x:v>
      </x:c>
      <x:c r="E293" s="15" t="str">
        <x:v>ZAR</x:v>
      </x:c>
      <x:c r="F293" s="15" t="str">
        <x:v>Sales / customer receipts</x:v>
      </x:c>
      <x:c r="G293" s="15" t="str">
        <x:v>Current a/c..512781</x:v>
      </x:c>
      <x:c r="H293" s="15" t="str">
        <x:v>Ik Pay 487882</x:v>
      </x:c>
      <x:c r="I293" s="15" t="str">
        <x:v>eml_ALL_currentac__512781 (2).zip &gt; eml4currentac__512781.zip / FNB _-) R27685.14 paid to Current a_c..512781 @ Payshap. Ref.Ik Pay 487882.  7Apr 13_51.eml</x:v>
      </x:c>
    </x:row>
    <x:row r="294">
      <x:c r="A294" s="34" t="n">
        <x:v>46119.68819444445</x:v>
      </x:c>
      <x:c r="B294" s="15" t="str">
        <x:v>Outflow</x:v>
      </x:c>
      <x:c r="C294" s="15" t="str">
        <x:v>Royal Bush 3783</x:v>
      </x:c>
      <x:c r="D294" s="38" t="n">
        <x:v>4240</x:v>
      </x:c>
      <x:c r="E294" s="15" t="str">
        <x:v>ZAR</x:v>
      </x:c>
      <x:c r="F294" s="15" t="str">
        <x:v>Supplier payments</x:v>
      </x:c>
      <x:c r="G294" s="15" t="str">
        <x:v>Current a/c..512781</x:v>
      </x:c>
      <x:c r="H294" s="15" t="str">
        <x:v>Royal Bush 3783</x:v>
      </x:c>
      <x:c r="I294" s="15" t="str">
        <x:v>eml_ALL_currentac__512781 (2).zip &gt; eml4currentac__512781.zip / FNB _-) R4240.00 paid from Current a_c..512781 @ Smartapp. Ref.Royal Bush 3783.  7Apr 16_31.eml</x:v>
      </x:c>
    </x:row>
    <x:row r="295">
      <x:c r="A295" s="34" t="n">
        <x:v>46119.69236111111</x:v>
      </x:c>
      <x:c r="B295" s="15" t="str">
        <x:v>Outflow</x:v>
      </x:c>
      <x:c r="C295" s="15" t="str">
        <x:v>Kruger Safari 1691</x:v>
      </x:c>
      <x:c r="D295" s="38" t="n">
        <x:v>9176</x:v>
      </x:c>
      <x:c r="E295" s="15" t="str">
        <x:v>ZAR</x:v>
      </x:c>
      <x:c r="F295" s="15" t="str">
        <x:v>Supplier payments</x:v>
      </x:c>
      <x:c r="G295" s="15" t="str">
        <x:v>Current a/c..512781</x:v>
      </x:c>
      <x:c r="H295" s="15" t="str">
        <x:v>Kruger Safari 1691</x:v>
      </x:c>
      <x:c r="I295" s="15" t="str">
        <x:v>eml_ALL_currentac__512781 (2).zip &gt; eml4currentac__512781.zip / FNB _-) R9176.00 paid from Current a_c..512781 @ Smartapp. Ref.Kruger Safari 1691.  7Apr 16_37.eml</x:v>
      </x:c>
    </x:row>
    <x:row r="296">
      <x:c r="A296" s="34" t="n">
        <x:v>46119.69305555556</x:v>
      </x:c>
      <x:c r="B296" s="15" t="str">
        <x:v>Outflow</x:v>
      </x:c>
      <x:c r="C296" s="15" t="str">
        <x:v>Staff</x:v>
      </x:c>
      <x:c r="D296" s="38" t="n">
        <x:v>5000</x:v>
      </x:c>
      <x:c r="E296" s="15" t="str">
        <x:v>ZAR</x:v>
      </x:c>
      <x:c r="F296" s="15" t="str">
        <x:v>Salary / wages</x:v>
      </x:c>
      <x:c r="G296" s="15" t="str">
        <x:v>Current a/c..512781</x:v>
      </x:c>
      <x:c r="H296" s="15" t="str">
        <x:v>Staff</x:v>
      </x:c>
      <x:c r="I296" s="15" t="str">
        <x:v>eml_ALL_currentac__512781 (2).zip &gt; eml4currentac__512781.zip / FNB _-) R5000.00 paid from Current a_c..512781 @ Smartapp. Ref.Staff.  7Apr 16_38.eml</x:v>
      </x:c>
    </x:row>
    <x:row r="297">
      <x:c r="A297" s="34" t="n">
        <x:v>46119.75902777778</x:v>
      </x:c>
      <x:c r="B297" s="15" t="str">
        <x:v>Outflow</x:v>
      </x:c>
      <x:c r="C297" s="15" t="str">
        <x:v>Electricity 04294887</x:v>
      </x:c>
      <x:c r="D297" s="38" t="n">
        <x:v>500</x:v>
      </x:c>
      <x:c r="E297" s="15" t="str">
        <x:v>ZAR</x:v>
      </x:c>
      <x:c r="F297" s="15" t="str">
        <x:v>Telecom / utilities</x:v>
      </x:c>
      <x:c r="G297" s="15" t="str">
        <x:v>Current a/c..512781</x:v>
      </x:c>
      <x:c r="H297" s="15" t="str">
        <x:v>Electricity 04294887</x:v>
      </x:c>
      <x:c r="I297" s="15" t="str">
        <x:v>eml_ALL_currentac__512781 (2).zip &gt; eml4currentac__512781.zip / FNB _-) R500.00 paid from Current a_c..512781 @ Smartapp. Ref.Electricity 04294887.  7Apr 18_13.eml</x:v>
      </x:c>
    </x:row>
    <x:row r="298">
      <x:c r="A298" s="34" t="n">
        <x:v>46120.57638888889</x:v>
      </x:c>
      <x:c r="B298" s="15" t="str">
        <x:v>Inflow</x:v>
      </x:c>
      <x:c r="C298" s="15" t="str">
        <x:v>Ik Pay 487882</x:v>
      </x:c>
      <x:c r="D298" s="38" t="n">
        <x:v>9063.98</x:v>
      </x:c>
      <x:c r="E298" s="15" t="str">
        <x:v>ZAR</x:v>
      </x:c>
      <x:c r="F298" s="15" t="str">
        <x:v>Sales / customer receipts</x:v>
      </x:c>
      <x:c r="G298" s="15" t="str">
        <x:v>Current a/c..512781</x:v>
      </x:c>
      <x:c r="H298" s="15" t="str">
        <x:v>Ik Pay 487882</x:v>
      </x:c>
      <x:c r="I298" s="15" t="str">
        <x:v>eml_ALL_currentac__512781 (2).zip &gt; eml4currentac__512781.zip / FNB _-) R9063.98 paid to Current a_c..512781 @ Payshap. Ref.Ik Pay 487882.  8Apr 13_50.eml</x:v>
      </x:c>
    </x:row>
    <x:row r="299">
      <x:c r="A299" s="34" t="n">
        <x:v>46121.05347222222</x:v>
      </x:c>
      <x:c r="B299" s="15" t="str">
        <x:v>Outflow</x:v>
      </x:c>
      <x:c r="C299" s="15" t="str">
        <x:v>African Sky</x:v>
      </x:c>
      <x:c r="D299" s="38" t="n">
        <x:v>5000</x:v>
      </x:c>
      <x:c r="E299" s="15" t="str">
        <x:v>ZAR</x:v>
      </x:c>
      <x:c r="F299" s="15" t="str">
        <x:v>Supplier payments</x:v>
      </x:c>
      <x:c r="G299" s="15" t="str">
        <x:v>Current a/c..512781</x:v>
      </x:c>
      <x:c r="H299" s="15" t="str">
        <x:v>African Sky</x:v>
      </x:c>
      <x:c r="I299" s="15" t="str">
        <x:v>eml_ALL_currentac__512781 (2).zip &gt; eml4currentac__512781.zip / FNB _-) R5000.00 paid from Current a_c..512781 @ Gen Ph. Ref.African Sky.  9Apr 01_17.eml</x:v>
      </x:c>
    </x:row>
    <x:row r="300">
      <x:c r="A300" s="34" t="n">
        <x:v>46121.15277777778</x:v>
      </x:c>
      <x:c r="B300" s="15" t="str">
        <x:v>Outflow</x:v>
      </x:c>
      <x:c r="C300" s="15" t="str">
        <x:v>Staff</x:v>
      </x:c>
      <x:c r="D300" s="38" t="n">
        <x:v>4000</x:v>
      </x:c>
      <x:c r="E300" s="15" t="str">
        <x:v>ZAR</x:v>
      </x:c>
      <x:c r="F300" s="15" t="str">
        <x:v>Salary / wages</x:v>
      </x:c>
      <x:c r="G300" s="15" t="str">
        <x:v>Current a/c..512781</x:v>
      </x:c>
      <x:c r="H300" s="15" t="str">
        <x:v>Staff</x:v>
      </x:c>
      <x:c r="I300" s="15" t="str">
        <x:v>eml_ALL_currentac__512781 (2).zip &gt; eml4currentac__512781.zip / FNB _-) R4000.00 paid from Current a_c..512781 @ Smartapp. Ref.Staff.  9Apr 03_40.eml</x:v>
      </x:c>
    </x:row>
    <x:row r="301">
      <x:c r="A301" s="34" t="n">
        <x:v>46121.34722222222</x:v>
      </x:c>
      <x:c r="B301" s="15" t="str">
        <x:v>Inflow</x:v>
      </x:c>
      <x:c r="C301" s="15" t="str">
        <x:v>R026tnsk50 Booking.c</x:v>
      </x:c>
      <x:c r="D301" s="38" t="n">
        <x:v>35316.64</x:v>
      </x:c>
      <x:c r="E301" s="15" t="str">
        <x:v>ZAR</x:v>
      </x:c>
      <x:c r="F301" s="15" t="str">
        <x:v>Sales / customer receipts</x:v>
      </x:c>
      <x:c r="G301" s="15" t="str">
        <x:v>Current a/c..512781</x:v>
      </x:c>
      <x:c r="H301" s="15" t="str">
        <x:v>R026tnsk50 Booking.c</x:v>
      </x:c>
      <x:c r="I301" s="15" t="str">
        <x:v>eml_ALL_currentac__512781 (2).zip &gt; eml4currentac__512781.zip / FNB _-) R35316.64 paid to Current a_c..512781 @ Retail Forex. Ref.R026tnsk50 Booking.c.  9Apr 08_20.eml</x:v>
      </x:c>
    </x:row>
    <x:row r="302">
      <x:c r="A302" s="34" t="n">
        <x:v>46121.57638888889</x:v>
      </x:c>
      <x:c r="B302" s="15" t="str">
        <x:v>Inflow</x:v>
      </x:c>
      <x:c r="C302" s="15" t="str">
        <x:v>Ik Pay 487882</x:v>
      </x:c>
      <x:c r="D302" s="38" t="n">
        <x:v>8506.05</x:v>
      </x:c>
      <x:c r="E302" s="15" t="str">
        <x:v>ZAR</x:v>
      </x:c>
      <x:c r="F302" s="15" t="str">
        <x:v>Sales / customer receipts</x:v>
      </x:c>
      <x:c r="G302" s="15" t="str">
        <x:v>Current a/c..512781</x:v>
      </x:c>
      <x:c r="H302" s="15" t="str">
        <x:v>Ik Pay 487882</x:v>
      </x:c>
      <x:c r="I302" s="15" t="str">
        <x:v>eml_ALL_currentac__512781 (2).zip &gt; eml4currentac__512781.zip / FNB _-) R8506.05 paid to Current a_c..512781 @ Payshap. Ref.Ik Pay 487882.  9Apr 13_50.eml</x:v>
      </x:c>
    </x:row>
    <x:row r="303">
      <x:c r="A303" s="34" t="n">
        <x:v>46121.691666666666</x:v>
      </x:c>
      <x:c r="B303" s="15" t="str">
        <x:v>Outflow</x:v>
      </x:c>
      <x:c r="C303" s="15" t="str">
        <x:v>Electricity 14503572</x:v>
      </x:c>
      <x:c r="D303" s="38" t="n">
        <x:v>150</x:v>
      </x:c>
      <x:c r="E303" s="15" t="str">
        <x:v>ZAR</x:v>
      </x:c>
      <x:c r="F303" s="15" t="str">
        <x:v>Telecom / utilities</x:v>
      </x:c>
      <x:c r="G303" s="15" t="str">
        <x:v>Current a/c..512781</x:v>
      </x:c>
      <x:c r="H303" s="15" t="str">
        <x:v>Electricity 14503572</x:v>
      </x:c>
      <x:c r="I303" s="15" t="str">
        <x:v>eml_ALL_currentac__512781 (2).zip &gt; eml4currentac__512781.zip / FNB _-) R150.00 paid from Current a_c..512781 @ Smartapp. Ref.Electricity 14503572.  9Apr 16_36.eml</x:v>
      </x:c>
    </x:row>
    <x:row r="304">
      <x:c r="A304" s="34" t="n">
        <x:v>46122.39166666667</x:v>
      </x:c>
      <x:c r="B304" s="15" t="str">
        <x:v>Inflow</x:v>
      </x:c>
      <x:c r="C304" s="15" t="str">
        <x:v>R026tlz5b0 Johan Spr</x:v>
      </x:c>
      <x:c r="D304" s="38" t="n">
        <x:v>8865.5</x:v>
      </x:c>
      <x:c r="E304" s="15" t="str">
        <x:v>ZAR</x:v>
      </x:c>
      <x:c r="F304" s="15" t="str">
        <x:v>Sales / customer receipts</x:v>
      </x:c>
      <x:c r="G304" s="15" t="str">
        <x:v>Current a/c..512781</x:v>
      </x:c>
      <x:c r="H304" s="15" t="str">
        <x:v>R026tlz5b0 Johan Spr</x:v>
      </x:c>
      <x:c r="I304" s="15" t="str">
        <x:v>eml_ALL_currentac__512781 (2).zip &gt; eml4currentac__512781.zip / FNB _-) R8865.50 paid to Current a_c..512781 @ Retail Forex. Ref.R026tlz5b0 Johan Spr. 10Apr 09_24.eml</x:v>
      </x:c>
    </x:row>
    <x:row r="305">
      <x:c r="A305" s="34" t="n">
        <x:v>46122.4875</x:v>
      </x:c>
      <x:c r="B305" s="15" t="str">
        <x:v>Outflow</x:v>
      </x:c>
      <x:c r="C305" s="15" t="str">
        <x:v>Kruger Safari 1693</x:v>
      </x:c>
      <x:c r="D305" s="38" t="n">
        <x:v>2929</x:v>
      </x:c>
      <x:c r="E305" s="15" t="str">
        <x:v>ZAR</x:v>
      </x:c>
      <x:c r="F305" s="15" t="str">
        <x:v>Supplier payments</x:v>
      </x:c>
      <x:c r="G305" s="15" t="str">
        <x:v>Current a/c..512781</x:v>
      </x:c>
      <x:c r="H305" s="15" t="str">
        <x:v>Kruger Safari 1693</x:v>
      </x:c>
      <x:c r="I305" s="15" t="str">
        <x:v>eml_ALL_currentac__512781 (2).zip &gt; eml4currentac__512781.zip / FNB _-) R2929.00 paid from Current a_c..512781 @ Smartapp. Ref.Kruger Safari 1693. 10Apr 11_42.eml</x:v>
      </x:c>
    </x:row>
    <x:row r="306">
      <x:c r="A306" s="34" t="n">
        <x:v>46122.49097222222</x:v>
      </x:c>
      <x:c r="B306" s="15" t="str">
        <x:v>Outflow</x:v>
      </x:c>
      <x:c r="C306" s="15" t="str">
        <x:v>Muncipality Bigbay</x:v>
      </x:c>
      <x:c r="D306" s="38" t="n">
        <x:v>1500</x:v>
      </x:c>
      <x:c r="E306" s="15" t="str">
        <x:v>ZAR</x:v>
      </x:c>
      <x:c r="F306" s="15" t="str">
        <x:v>Supplier payments</x:v>
      </x:c>
      <x:c r="G306" s="15" t="str">
        <x:v>Current a/c..512781</x:v>
      </x:c>
      <x:c r="H306" s="15" t="str">
        <x:v>Muncipality Bigbay</x:v>
      </x:c>
      <x:c r="I306" s="15" t="str">
        <x:v>eml_ALL_currentac__512781 (2).zip &gt; eml4currentac__512781.zip / FNB _-) R1500.00 paid from Current a_c..512781 @ Smartapp. Ref.Muncipality Bigbay. 10Apr 11_47.eml</x:v>
      </x:c>
    </x:row>
    <x:row r="307">
      <x:c r="A307" s="34" t="n">
        <x:v>46122.57638888889</x:v>
      </x:c>
      <x:c r="B307" s="15" t="str">
        <x:v>Inflow</x:v>
      </x:c>
      <x:c r="C307" s="15" t="str">
        <x:v>Ik Pay 487882</x:v>
      </x:c>
      <x:c r="D307" s="38" t="n">
        <x:v>29586.28</x:v>
      </x:c>
      <x:c r="E307" s="15" t="str">
        <x:v>ZAR</x:v>
      </x:c>
      <x:c r="F307" s="15" t="str">
        <x:v>Sales / customer receipts</x:v>
      </x:c>
      <x:c r="G307" s="15" t="str">
        <x:v>Current a/c..512781</x:v>
      </x:c>
      <x:c r="H307" s="15" t="str">
        <x:v>Ik Pay 487882</x:v>
      </x:c>
      <x:c r="I307" s="15" t="str">
        <x:v>eml_ALL_currentac__512781 (2).zip &gt; eml4currentac__512781.zip / FNB _-) R29586.28 paid to Current a_c..512781 @ Payshap. Ref.Ik Pay 487882. 10Apr 13_50.eml</x:v>
      </x:c>
    </x:row>
    <x:row r="308">
      <x:c r="A308" s="34" t="n">
        <x:v>46122.604166666664</x:v>
      </x:c>
      <x:c r="B308" s="15" t="str">
        <x:v>Outflow</x:v>
      </x:c>
      <x:c r="C308" s="15" t="str">
        <x:v>Sakkie Wages</x:v>
      </x:c>
      <x:c r="D308" s="38" t="n">
        <x:v>2500</x:v>
      </x:c>
      <x:c r="E308" s="15" t="str">
        <x:v>ZAR</x:v>
      </x:c>
      <x:c r="F308" s="15" t="str">
        <x:v>Salary / wages</x:v>
      </x:c>
      <x:c r="G308" s="15" t="str">
        <x:v>Current a/c..512781</x:v>
      </x:c>
      <x:c r="H308" s="15" t="str">
        <x:v>Sakkie Wages</x:v>
      </x:c>
      <x:c r="I308" s="15" t="str">
        <x:v>eml_ALL_currentac__512781 (2).zip &gt; eml4currentac__512781.zip / FNB _-) R2500.00 paid from Current a_c..512781 @ Smartapp. Ref.Sakkie Wages. 10Apr 14_30.eml</x:v>
      </x:c>
    </x:row>
    <x:row r="309">
      <x:c r="A309" s="34" t="n">
        <x:v>46122.60555555556</x:v>
      </x:c>
      <x:c r="B309" s="15" t="str">
        <x:v>Outflow</x:v>
      </x:c>
      <x:c r="C309" s="15" t="str">
        <x:v>Salary</x:v>
      </x:c>
      <x:c r="D309" s="38" t="n">
        <x:v>5000</x:v>
      </x:c>
      <x:c r="E309" s="15" t="str">
        <x:v>ZAR</x:v>
      </x:c>
      <x:c r="F309" s="15" t="str">
        <x:v>Salary / wages</x:v>
      </x:c>
      <x:c r="G309" s="15" t="str">
        <x:v>Current a/c..512781</x:v>
      </x:c>
      <x:c r="H309" s="15" t="str">
        <x:v>Salary</x:v>
      </x:c>
      <x:c r="I309" s="15" t="str">
        <x:v>eml_ALL_currentac__512781 (2).zip &gt; eml4currentac__512781.zip / FNB _-) R5000.00 paid from Current a_c..512781 @ Smartapp. Ref.Salary. 10Apr 14_32.eml</x:v>
      </x:c>
    </x:row>
    <x:row r="310">
      <x:c r="A310" s="34" t="n">
        <x:v>46123.58541666667</x:v>
      </x:c>
      <x:c r="B310" s="15" t="str">
        <x:v>Outflow</x:v>
      </x:c>
      <x:c r="C310" s="15" t="str">
        <x:v>Cf Moto Saf - Inv 3</x:v>
      </x:c>
      <x:c r="D310" s="38" t="n">
        <x:v>372</x:v>
      </x:c>
      <x:c r="E310" s="15" t="str">
        <x:v>ZAR</x:v>
      </x:c>
      <x:c r="F310" s="15" t="str">
        <x:v>Supplier payments</x:v>
      </x:c>
      <x:c r="G310" s="15" t="str">
        <x:v>Current a/c..512781</x:v>
      </x:c>
      <x:c r="H310" s="15" t="str">
        <x:v>Cf Moto Saf - Inv 3</x:v>
      </x:c>
      <x:c r="I310" s="15" t="str">
        <x:v>eml_ALL_currentac__512781 (2).zip &gt; eml3currentac__512781.zip / FNB _-) R372.00 paid from Current a_c..512781 @ Smartapp. Ref.Cf Moto Saf - Inv 3. 11Apr 14_03.eml</x:v>
      </x:c>
    </x:row>
    <x:row r="311">
      <x:c r="A311" s="34" t="n">
        <x:v>46125.56736111111</x:v>
      </x:c>
      <x:c r="B311" s="15" t="str">
        <x:v>Outflow</x:v>
      </x:c>
      <x:c r="C311" s="15" t="str">
        <x:v>Kruger Safari 1694</x:v>
      </x:c>
      <x:c r="D311" s="38" t="n">
        <x:v>3274</x:v>
      </x:c>
      <x:c r="E311" s="15" t="str">
        <x:v>ZAR</x:v>
      </x:c>
      <x:c r="F311" s="15" t="str">
        <x:v>Supplier payments</x:v>
      </x:c>
      <x:c r="G311" s="15" t="str">
        <x:v>Current a/c..512781</x:v>
      </x:c>
      <x:c r="H311" s="15" t="str">
        <x:v>Kruger Safari 1694</x:v>
      </x:c>
      <x:c r="I311" s="15" t="str">
        <x:v>eml_ALL_currentac__512781 (2).zip &gt; eml3currentac__512781.zip / FNB _-) R3274.00 paid from Current a_c..512781 @ Smartapp. Ref.Kruger Safari 1694. 13Apr 13_37.eml</x:v>
      </x:c>
    </x:row>
    <x:row r="312">
      <x:c r="A312" s="34" t="n">
        <x:v>46125.84930555556</x:v>
      </x:c>
      <x:c r="B312" s="15" t="str">
        <x:v>Outflow</x:v>
      </x:c>
      <x:c r="C312" s="15" t="str">
        <x:v>Electricity 14503572</x:v>
      </x:c>
      <x:c r="D312" s="38" t="n">
        <x:v>150</x:v>
      </x:c>
      <x:c r="E312" s="15" t="str">
        <x:v>ZAR</x:v>
      </x:c>
      <x:c r="F312" s="15" t="str">
        <x:v>Telecom / utilities</x:v>
      </x:c>
      <x:c r="G312" s="15" t="str">
        <x:v>Current a/c..512781</x:v>
      </x:c>
      <x:c r="H312" s="15" t="str">
        <x:v>Electricity 14503572</x:v>
      </x:c>
      <x:c r="I312" s="15" t="str">
        <x:v>eml_ALL_currentac__512781 (2).zip &gt; eml3currentac__512781.zip / FNB _-) R150.00 paid from Current a_c..512781 @ Smartapp. Ref.Electricity 14503572. 13Apr 20_23.eml</x:v>
      </x:c>
    </x:row>
    <x:row r="313">
      <x:c r="A313" s="34" t="n">
        <x:v>46126.37222222222</x:v>
      </x:c>
      <x:c r="B313" s="15" t="str">
        <x:v>Outflow</x:v>
      </x:c>
      <x:c r="C313" s="15" t="str">
        <x:v>Electricity 04294887</x:v>
      </x:c>
      <x:c r="D313" s="38" t="n">
        <x:v>500</x:v>
      </x:c>
      <x:c r="E313" s="15" t="str">
        <x:v>ZAR</x:v>
      </x:c>
      <x:c r="F313" s="15" t="str">
        <x:v>Telecom / utilities</x:v>
      </x:c>
      <x:c r="G313" s="15" t="str">
        <x:v>Current a/c..512781</x:v>
      </x:c>
      <x:c r="H313" s="15" t="str">
        <x:v>Electricity 04294887</x:v>
      </x:c>
      <x:c r="I313" s="15" t="str">
        <x:v>eml_ALL_currentac__512781 (2).zip &gt; eml3currentac__512781.zip / FNB _-) R500.00 paid from Current a_c..512781 @ Smartapp. Ref.Electricity 04294887. 14Apr 08_56.eml</x:v>
      </x:c>
    </x:row>
    <x:row r="314">
      <x:c r="A314" s="34" t="n">
        <x:v>46126.575694444444</x:v>
      </x:c>
      <x:c r="B314" s="15" t="str">
        <x:v>Inflow</x:v>
      </x:c>
      <x:c r="C314" s="15" t="str">
        <x:v>Ik Pay 487882</x:v>
      </x:c>
      <x:c r="D314" s="38" t="n">
        <x:v>9152.55</x:v>
      </x:c>
      <x:c r="E314" s="15" t="str">
        <x:v>ZAR</x:v>
      </x:c>
      <x:c r="F314" s="15" t="str">
        <x:v>Sales / customer receipts</x:v>
      </x:c>
      <x:c r="G314" s="15" t="str">
        <x:v>Current a/c..512781</x:v>
      </x:c>
      <x:c r="H314" s="15" t="str">
        <x:v>Ik Pay 487882</x:v>
      </x:c>
      <x:c r="I314" s="15" t="str">
        <x:v>eml_ALL_currentac__512781 (2).zip &gt; eml3currentac__512781.zip / FNB _-) R9152.55 paid to Current a_c..512781 @ Payshap. Ref.Ik Pay 487882. 14Apr 13_49.eml</x:v>
      </x:c>
    </x:row>
    <x:row r="315">
      <x:c r="A315" s="34" t="n">
        <x:v>46127.39027777778</x:v>
      </x:c>
      <x:c r="B315" s="15" t="str">
        <x:v>Outflow</x:v>
      </x:c>
      <x:c r="C315" s="15" t="str">
        <x:v>Electricity 14503572</x:v>
      </x:c>
      <x:c r="D315" s="38" t="n">
        <x:v>150</x:v>
      </x:c>
      <x:c r="E315" s="15" t="str">
        <x:v>ZAR</x:v>
      </x:c>
      <x:c r="F315" s="15" t="str">
        <x:v>Telecom / utilities</x:v>
      </x:c>
      <x:c r="G315" s="15" t="str">
        <x:v>Current a/c..512781</x:v>
      </x:c>
      <x:c r="H315" s="15" t="str">
        <x:v>Electricity 14503572</x:v>
      </x:c>
      <x:c r="I315" s="15" t="str">
        <x:v>eml_ALL_currentac__512781 (2).zip &gt; eml3currentac__512781.zip / FNB _-) R150.00 paid from Current a_c..512781 @ Smartapp. Ref.Electricity 14503572. 15Apr 09_22.eml</x:v>
      </x:c>
    </x:row>
    <x:row r="316">
      <x:c r="A316" s="34" t="n">
        <x:v>46127.42222222222</x:v>
      </x:c>
      <x:c r="B316" s="15" t="str">
        <x:v>Outflow</x:v>
      </x:c>
      <x:c r="C316" s="15" t="str">
        <x:v>Printing Signboard</x:v>
      </x:c>
      <x:c r="D316" s="38" t="n">
        <x:v>600</x:v>
      </x:c>
      <x:c r="E316" s="15" t="str">
        <x:v>ZAR</x:v>
      </x:c>
      <x:c r="F316" s="15" t="str">
        <x:v>Supplier payments</x:v>
      </x:c>
      <x:c r="G316" s="15" t="str">
        <x:v>Current a/c..512781</x:v>
      </x:c>
      <x:c r="H316" s="15" t="str">
        <x:v>Printing Signboard</x:v>
      </x:c>
      <x:c r="I316" s="15" t="str">
        <x:v>eml_ALL_currentac__512781 (2).zip &gt; eml3currentac__512781.zip / FNB _-) R600.00 paid from Current a_c..512781 @ Smartapp. Ref.Printing Signboard. 15Apr 10_08.eml</x:v>
      </x:c>
    </x:row>
    <x:row r="317">
      <x:c r="A317" s="34" t="n">
        <x:v>46127.42222222222</x:v>
      </x:c>
      <x:c r="B317" s="15" t="str">
        <x:v>Inflow</x:v>
      </x:c>
      <x:c r="C317" s="15" t="str">
        <x:v>Printing Signboard</x:v>
      </x:c>
      <x:c r="D317" s="38" t="n">
        <x:v>600</x:v>
      </x:c>
      <x:c r="E317" s="15" t="str">
        <x:v>ZAR</x:v>
      </x:c>
      <x:c r="F317" s="15" t="str">
        <x:v>Sales / customer receipts</x:v>
      </x:c>
      <x:c r="G317" s="15" t="str">
        <x:v>Current a/c..512781</x:v>
      </x:c>
      <x:c r="H317" s="15" t="str">
        <x:v>Printing Signboard</x:v>
      </x:c>
      <x:c r="I317" s="15" t="str">
        <x:v>eml_ALL_currentac__512781 (2).zip &gt; eml3currentac__512781.zip / FNB _-) R600.00 paid to Current a_c..512781 @ Smartapp. Ref.Printing Signboard. 15Apr 10_08.eml</x:v>
      </x:c>
    </x:row>
    <x:row r="318">
      <x:c r="A318" s="34" t="n">
        <x:v>46127.427083333336</x:v>
      </x:c>
      <x:c r="B318" s="15" t="str">
        <x:v>Outflow</x:v>
      </x:c>
      <x:c r="C318" s="15" t="str">
        <x:v>Printing Signboard</x:v>
      </x:c>
      <x:c r="D318" s="38" t="n">
        <x:v>1200</x:v>
      </x:c>
      <x:c r="E318" s="15" t="str">
        <x:v>ZAR</x:v>
      </x:c>
      <x:c r="F318" s="15" t="str">
        <x:v>Supplier payments</x:v>
      </x:c>
      <x:c r="G318" s="15" t="str">
        <x:v>Current a/c..512781</x:v>
      </x:c>
      <x:c r="H318" s="15" t="str">
        <x:v>Printing Signboard</x:v>
      </x:c>
      <x:c r="I318" s="15" t="str">
        <x:v>eml_ALL_currentac__512781 (2).zip &gt; eml3currentac__512781.zip / FNB _-) R1200.00 paid from Current a_c..512781 @ Gen Ph. Ref.Printing Signboard. 15Apr 10_15.eml</x:v>
      </x:c>
    </x:row>
    <x:row r="319">
      <x:c r="A319" s="34" t="n">
        <x:v>46128.35486111111</x:v>
      </x:c>
      <x:c r="B319" s="15" t="str">
        <x:v>Inflow</x:v>
      </x:c>
      <x:c r="C319" s="15" t="str">
        <x:v>R026tc0tx0 Booking.c</x:v>
      </x:c>
      <x:c r="D319" s="38" t="n">
        <x:v>4822.71</x:v>
      </x:c>
      <x:c r="E319" s="15" t="str">
        <x:v>ZAR</x:v>
      </x:c>
      <x:c r="F319" s="15" t="str">
        <x:v>Sales / customer receipts</x:v>
      </x:c>
      <x:c r="G319" s="15" t="str">
        <x:v>Current a/c..512781</x:v>
      </x:c>
      <x:c r="H319" s="15" t="str">
        <x:v>R026tc0tx0 Booking.c</x:v>
      </x:c>
      <x:c r="I319" s="15" t="str">
        <x:v>eml_ALL_currentac__512781 (2).zip &gt; eml3currentac__512781.zip / FNB _-) R4822.71 paid to Current a_c..512781 @ Retail Forex. Ref.R026tc0tx0 Booking.c. 16Apr 08_31.eml</x:v>
      </x:c>
    </x:row>
    <x:row r="320">
      <x:c r="A320" s="34" t="n">
        <x:v>46128.37777777778</x:v>
      </x:c>
      <x:c r="B320" s="15" t="str">
        <x:v>Outflow</x:v>
      </x:c>
      <x:c r="C320" s="15" t="str">
        <x:v>Lebombo Washing Mach</x:v>
      </x:c>
      <x:c r="D320" s="38" t="n">
        <x:v>1250</x:v>
      </x:c>
      <x:c r="E320" s="15" t="str">
        <x:v>ZAR</x:v>
      </x:c>
      <x:c r="F320" s="15" t="str">
        <x:v>Supplier payments</x:v>
      </x:c>
      <x:c r="G320" s="15" t="str">
        <x:v>Current a/c..512781</x:v>
      </x:c>
      <x:c r="H320" s="15" t="str">
        <x:v>Lebombo Washing Mach</x:v>
      </x:c>
      <x:c r="I320" s="15" t="str">
        <x:v>eml_ALL_currentac__512781 (2).zip &gt; eml3currentac__512781.zip / FNB _-) R1250.00 paid from Current a_c..512781 @ Smartapp. Ref.Lebombo Washing Mach. 16Apr 09_04.eml</x:v>
      </x:c>
    </x:row>
    <x:row r="321">
      <x:c r="A321" s="34" t="n">
        <x:v>46129.25763888889</x:v>
      </x:c>
      <x:c r="B321" s="15" t="str">
        <x:v>Outflow</x:v>
      </x:c>
      <x:c r="C321" s="15" t="str">
        <x:v>Electricity 14503572</x:v>
      </x:c>
      <x:c r="D321" s="38" t="n">
        <x:v>150</x:v>
      </x:c>
      <x:c r="E321" s="15" t="str">
        <x:v>ZAR</x:v>
      </x:c>
      <x:c r="F321" s="15" t="str">
        <x:v>Telecom / utilities</x:v>
      </x:c>
      <x:c r="G321" s="15" t="str">
        <x:v>Current a/c..512781</x:v>
      </x:c>
      <x:c r="H321" s="15" t="str">
        <x:v>Electricity 14503572</x:v>
      </x:c>
      <x:c r="I321" s="15" t="str">
        <x:v>eml_ALL_currentac__512781 (2).zip &gt; eml3currentac__512781.zip / FNB _-) R150.00 paid from Current a_c..512781 @ Smartapp. Ref.Electricity 14503572. 17Apr 06_11.eml</x:v>
      </x:c>
    </x:row>
    <x:row r="322">
      <x:c r="A322" s="34" t="n">
        <x:v>46129.51458333333</x:v>
      </x:c>
      <x:c r="B322" s="15" t="str">
        <x:v>Outflow</x:v>
      </x:c>
      <x:c r="C322" s="15" t="str">
        <x:v>Car</x:v>
      </x:c>
      <x:c r="D322" s="38" t="n">
        <x:v>5000</x:v>
      </x:c>
      <x:c r="E322" s="15" t="str">
        <x:v>ZAR</x:v>
      </x:c>
      <x:c r="F322" s="15" t="str">
        <x:v>Supplier payments</x:v>
      </x:c>
      <x:c r="G322" s="15" t="str">
        <x:v>Current a/c..512781</x:v>
      </x:c>
      <x:c r="H322" s="15" t="str">
        <x:v>Car</x:v>
      </x:c>
      <x:c r="I322" s="15" t="str">
        <x:v>eml_ALL_currentac__512781 (2).zip &gt; eml3currentac__512781.zip / FNB _-) R5000.00 paid from Current a_c..512781 @ Smartapp. Ref.Car. 17Apr 12_21.eml</x:v>
      </x:c>
    </x:row>
    <x:row r="323">
      <x:c r="A323" s="34" t="n">
        <x:v>46130.44027777778</x:v>
      </x:c>
      <x:c r="B323" s="15" t="str">
        <x:v>Inflow</x:v>
      </x:c>
      <x:c r="C323" s="15" t="str">
        <x:v>Ik Pay 487882</x:v>
      </x:c>
      <x:c r="D323" s="38" t="n">
        <x:v>6086.11</x:v>
      </x:c>
      <x:c r="E323" s="15" t="str">
        <x:v>ZAR</x:v>
      </x:c>
      <x:c r="F323" s="15" t="str">
        <x:v>Sales / customer receipts</x:v>
      </x:c>
      <x:c r="G323" s="15" t="str">
        <x:v>Current a/c..512781</x:v>
      </x:c>
      <x:c r="H323" s="15" t="str">
        <x:v>Ik Pay 487882</x:v>
      </x:c>
      <x:c r="I323" s="15" t="str">
        <x:v>eml_ALL_currentac__512781 (2).zip &gt; eml3currentac__512781.zip / FNB _-) R6086.11 paid to Current a_c..512781 @ Payshap. Ref.Ik Pay 487882. 18Apr 10_34.eml</x:v>
      </x:c>
    </x:row>
    <x:row r="324">
      <x:c r="A324" s="34" t="n">
        <x:v>46132.638194444444</x:v>
      </x:c>
      <x:c r="B324" s="15" t="str">
        <x:v>Internal Transfer</x:v>
      </x:c>
      <x:c r="C324" s="15" t="str">
        <x:v>home loan a/c..057026</x:v>
      </x:c>
      <x:c r="D324" s="38" t="n">
        <x:v>26500</x:v>
      </x:c>
      <x:c r="E324" s="15" t="str">
        <x:v>ZAR</x:v>
      </x:c>
      <x:c r="F324" s="15" t="str">
        <x:v>Inter-account transfer</x:v>
      </x:c>
      <x:c r="G324" s="15" t="str">
        <x:v>Current a/c..512781</x:v>
      </x:c>
      <x:c r="H324" s="15" t="str">
        <x:v>R26500.00 t/fer from Current a/c..512781 to home loan a/c..057026 @ Smartapp. Avail R71664. 20Apr 15:19</x:v>
      </x:c>
      <x:c r="I324" s="15" t="str">
        <x:v>eml_ALL_currentac__512781 (2).zip &gt; eml3currentac__512781.zip / FNB _-) R26500.00 t_fer from Current a_c..512781 to home loan a_c..057026 @ Smartapp. 20Apr 15_19.eml</x:v>
      </x:c>
    </x:row>
    <x:row r="325">
      <x:c r="A325" s="34" t="n">
        <x:v>46132.854166666664</x:v>
      </x:c>
      <x:c r="B325" s="15" t="str">
        <x:v>Outflow</x:v>
      </x:c>
      <x:c r="C325" s="15" t="str">
        <x:v>Electricity 14503572</x:v>
      </x:c>
      <x:c r="D325" s="38" t="n">
        <x:v>150</x:v>
      </x:c>
      <x:c r="E325" s="15" t="str">
        <x:v>ZAR</x:v>
      </x:c>
      <x:c r="F325" s="15" t="str">
        <x:v>Telecom / utilities</x:v>
      </x:c>
      <x:c r="G325" s="15" t="str">
        <x:v>Current a/c..512781</x:v>
      </x:c>
      <x:c r="H325" s="15" t="str">
        <x:v>Electricity 14503572</x:v>
      </x:c>
      <x:c r="I325" s="15" t="str">
        <x:v>eml_ALL_currentac__512781 (2).zip &gt; eml3currentac__512781.zip / FNB _-) R150.00 paid from Current a_c..512781 @ Smartapp. Ref.Electricity 14503572. 20Apr 20_30.eml</x:v>
      </x:c>
    </x:row>
    <x:row r="326">
      <x:c r="A326" s="34" t="n">
        <x:v>46132.927083333336</x:v>
      </x:c>
      <x:c r="B326" s="15" t="str">
        <x:v>Outflow</x:v>
      </x:c>
      <x:c r="C326" s="15" t="str">
        <x:v>Electricity 14503572</x:v>
      </x:c>
      <x:c r="D326" s="38" t="n">
        <x:v>150</x:v>
      </x:c>
      <x:c r="E326" s="15" t="str">
        <x:v>ZAR</x:v>
      </x:c>
      <x:c r="F326" s="15" t="str">
        <x:v>Telecom / utilities</x:v>
      </x:c>
      <x:c r="G326" s="15" t="str">
        <x:v>Current a/c..512781</x:v>
      </x:c>
      <x:c r="H326" s="15" t="str">
        <x:v>Electricity 14503572</x:v>
      </x:c>
      <x:c r="I326" s="15" t="str">
        <x:v>eml_ALL_currentac__512781 (2).zip &gt; eml3currentac__512781.zip / FNB _-) R150.00 paid from Current a_c..512781 @ Smartapp. Ref.Electricity 14503572. 20Apr 22_15.eml</x:v>
      </x:c>
    </x:row>
    <x:row r="327">
      <x:c r="A327" s="34" t="n">
        <x:v>46133.67222222222</x:v>
      </x:c>
      <x:c r="B327" s="15" t="str">
        <x:v>Outflow</x:v>
      </x:c>
      <x:c r="C327" s="15" t="str">
        <x:v>Lebombo Washing Mach</x:v>
      </x:c>
      <x:c r="D327" s="38" t="n">
        <x:v>550</x:v>
      </x:c>
      <x:c r="E327" s="15" t="str">
        <x:v>ZAR</x:v>
      </x:c>
      <x:c r="F327" s="15" t="str">
        <x:v>Supplier payments</x:v>
      </x:c>
      <x:c r="G327" s="15" t="str">
        <x:v>Current a/c..512781</x:v>
      </x:c>
      <x:c r="H327" s="15" t="str">
        <x:v>Lebombo Washing Mach</x:v>
      </x:c>
      <x:c r="I327" s="15" t="str">
        <x:v>eml_ALL_currentac__512781 (2).zip &gt; eml3currentac__512781.zip / FNB _-) R550.00 paid from Current a_c..512781 @ Smartapp. Ref.Lebombo Washing Mach. 21Apr 16_08.eml</x:v>
      </x:c>
    </x:row>
    <x:row r="328">
      <x:c r="A328" s="34" t="n">
        <x:v>46134.38680555556</x:v>
      </x:c>
      <x:c r="B328" s="15" t="str">
        <x:v>Outflow</x:v>
      </x:c>
      <x:c r="C328" s="15" t="str">
        <x:v>Deon"s Diy 19/04</x:v>
      </x:c>
      <x:c r="D328" s="38" t="n">
        <x:v>850</x:v>
      </x:c>
      <x:c r="E328" s="15" t="str">
        <x:v>ZAR</x:v>
      </x:c>
      <x:c r="F328" s="15" t="str">
        <x:v>Supplier payments</x:v>
      </x:c>
      <x:c r="G328" s="15" t="str">
        <x:v>Current a/c..512781</x:v>
      </x:c>
      <x:c r="H328" s="15" t="str">
        <x:v>Deon"s Diy 19/04</x:v>
      </x:c>
      <x:c r="I328" s="15" t="str">
        <x:v>eml_ALL_currentac__512781 (2).zip &gt; eml3currentac__512781.zip / FNB _-) R850.00 paid from Current a_c..512781 @ Smartapp. Ref.Deon_s Diy 19_04. 22Apr 09_17.eml</x:v>
      </x:c>
    </x:row>
    <x:row r="329">
      <x:c r="A329" s="34" t="n">
        <x:v>46134.388194444444</x:v>
      </x:c>
      <x:c r="B329" s="15" t="str">
        <x:v>Outflow</x:v>
      </x:c>
      <x:c r="C329" s="15" t="str">
        <x:v>Kruger Safari 1695</x:v>
      </x:c>
      <x:c r="D329" s="38" t="n">
        <x:v>3966.6</x:v>
      </x:c>
      <x:c r="E329" s="15" t="str">
        <x:v>ZAR</x:v>
      </x:c>
      <x:c r="F329" s="15" t="str">
        <x:v>Supplier payments</x:v>
      </x:c>
      <x:c r="G329" s="15" t="str">
        <x:v>Current a/c..512781</x:v>
      </x:c>
      <x:c r="H329" s="15" t="str">
        <x:v>Kruger Safari 1695</x:v>
      </x:c>
      <x:c r="I329" s="15" t="str">
        <x:v>eml_ALL_currentac__512781 (2).zip &gt; eml3currentac__512781.zip / FNB _-) R3966.60 paid from Current a_c..512781 @ Smartapp. Ref.Kruger Safari 1695. 22Apr 09_19.eml</x:v>
      </x:c>
    </x:row>
    <x:row r="330">
      <x:c r="A330" s="34" t="n">
        <x:v>46134.38888888889</x:v>
      </x:c>
      <x:c r="B330" s="15" t="str">
        <x:v>Outflow</x:v>
      </x:c>
      <x:c r="C330" s="15" t="str">
        <x:v>Stratton Prop Mng</x:v>
      </x:c>
      <x:c r="D330" s="38" t="n">
        <x:v>7656.01</x:v>
      </x:c>
      <x:c r="E330" s="15" t="str">
        <x:v>ZAR</x:v>
      </x:c>
      <x:c r="F330" s="15" t="str">
        <x:v>Supplier payments</x:v>
      </x:c>
      <x:c r="G330" s="15" t="str">
        <x:v>Current a/c..512781</x:v>
      </x:c>
      <x:c r="H330" s="15" t="str">
        <x:v>Stratton Prop Mng</x:v>
      </x:c>
      <x:c r="I330" s="15" t="str">
        <x:v>eml_ALL_currentac__512781 (2).zip &gt; eml3currentac__512781.zip / FNB _-) R7656.01 paid from Current a_c..512781 @ Smartapp. Ref.Stratton Prop Mng. 22Apr 09_20.eml</x:v>
      </x:c>
    </x:row>
    <x:row r="331">
      <x:c r="A331" s="34" t="n">
        <x:v>46134.72222222222</x:v>
      </x:c>
      <x:c r="B331" s="15" t="str">
        <x:v>Outflow</x:v>
      </x:c>
      <x:c r="C331" s="15" t="str">
        <x:v>Electricity 04294887</x:v>
      </x:c>
      <x:c r="D331" s="38" t="n">
        <x:v>500</x:v>
      </x:c>
      <x:c r="E331" s="15" t="str">
        <x:v>ZAR</x:v>
      </x:c>
      <x:c r="F331" s="15" t="str">
        <x:v>Telecom / utilities</x:v>
      </x:c>
      <x:c r="G331" s="15" t="str">
        <x:v>Current a/c..512781</x:v>
      </x:c>
      <x:c r="H331" s="15" t="str">
        <x:v>Electricity 04294887</x:v>
      </x:c>
      <x:c r="I331" s="15" t="str">
        <x:v>eml_ALL_currentac__512781 (2).zip &gt; eml3currentac__512781.zip / FNB _-) R500.00 paid from Current a_c..512781 @ Smartapp. Ref.Electricity 04294887. 22Apr 17_20.eml</x:v>
      </x:c>
    </x:row>
    <x:row r="332">
      <x:c r="A332" s="34" t="n">
        <x:v>46134.729166666664</x:v>
      </x:c>
      <x:c r="B332" s="15" t="str">
        <x:v>Inflow</x:v>
      </x:c>
      <x:c r="C332" s="15" t="str">
        <x:v>108964,04294887007</x:v>
      </x:c>
      <x:c r="D332" s="38" t="n">
        <x:v>500</x:v>
      </x:c>
      <x:c r="E332" s="15" t="str">
        <x:v>ZAR</x:v>
      </x:c>
      <x:c r="F332" s="15" t="str">
        <x:v>Sales / customer receipts</x:v>
      </x:c>
      <x:c r="G332" s="15" t="str">
        <x:v>Current a/c..512781</x:v>
      </x:c>
      <x:c r="H332" s="15" t="str">
        <x:v>108964,04294887007</x:v>
      </x:c>
      <x:c r="I332" s="15" t="str">
        <x:v>eml_ALL_currentac__512781 (2).zip &gt; eml3currentac__512781.zip / FNB _-) R500.00 paid to Current a_c..512781 @ Smartapp. Ref.108964,04294887007. 22Apr 17_30.eml</x:v>
      </x:c>
    </x:row>
    <x:row r="333">
      <x:c r="A333" s="34" t="n">
        <x:v>46134.7375</x:v>
      </x:c>
      <x:c r="B333" s="15" t="str">
        <x:v>Outflow</x:v>
      </x:c>
      <x:c r="C333" s="15" t="str">
        <x:v>Electricity 04294887</x:v>
      </x:c>
      <x:c r="D333" s="38" t="n">
        <x:v>500</x:v>
      </x:c>
      <x:c r="E333" s="15" t="str">
        <x:v>ZAR</x:v>
      </x:c>
      <x:c r="F333" s="15" t="str">
        <x:v>Telecom / utilities</x:v>
      </x:c>
      <x:c r="G333" s="15" t="str">
        <x:v>Current a/c..512781</x:v>
      </x:c>
      <x:c r="H333" s="15" t="str">
        <x:v>Electricity 04294887</x:v>
      </x:c>
      <x:c r="I333" s="15" t="str">
        <x:v>eml_ALL_currentac__512781 (2).zip &gt; eml3currentac__512781.zip / FNB _-) R500.00 paid from Current a_c..512781 @ Smartapp. Ref.Electricity 04294887. 22Apr 17_42.eml</x:v>
      </x:c>
    </x:row>
    <x:row r="334">
      <x:c r="A334" s="34" t="n">
        <x:v>46135.370833333334</x:v>
      </x:c>
      <x:c r="B334" s="15" t="str">
        <x:v>Inflow</x:v>
      </x:c>
      <x:c r="C334" s="15" t="str">
        <x:v>R026t8t8r0 Booking.c</x:v>
      </x:c>
      <x:c r="D334" s="38" t="n">
        <x:v>7285.89</x:v>
      </x:c>
      <x:c r="E334" s="15" t="str">
        <x:v>ZAR</x:v>
      </x:c>
      <x:c r="F334" s="15" t="str">
        <x:v>Sales / customer receipts</x:v>
      </x:c>
      <x:c r="G334" s="15" t="str">
        <x:v>Current a/c..512781</x:v>
      </x:c>
      <x:c r="H334" s="15" t="str">
        <x:v>R026t8t8r0 Booking.c</x:v>
      </x:c>
      <x:c r="I334" s="15" t="str">
        <x:v>eml_ALL_currentac__512781 (2).zip &gt; eml3currentac__512781.zip / FNB _-) R7285.89 paid to Current a_c..512781 @ Retail Forex. Ref.R026t8t8r0 Booking.c. 23Apr 08_54.eml</x:v>
      </x:c>
    </x:row>
    <x:row r="335">
      <x:c r="A335" s="34" t="n">
        <x:v>46135.51597222222</x:v>
      </x:c>
      <x:c r="B335" s="15" t="str">
        <x:v>Outflow</x:v>
      </x:c>
      <x:c r="C335" s="15" t="str">
        <x:v>Car Deposit</x:v>
      </x:c>
      <x:c r="D335" s="38" t="n">
        <x:v>5000</x:v>
      </x:c>
      <x:c r="E335" s="15" t="str">
        <x:v>ZAR</x:v>
      </x:c>
      <x:c r="F335" s="15" t="str">
        <x:v>Supplier payments</x:v>
      </x:c>
      <x:c r="G335" s="15" t="str">
        <x:v>Current a/c..512781</x:v>
      </x:c>
      <x:c r="H335" s="15" t="str">
        <x:v>Car Deposit</x:v>
      </x:c>
      <x:c r="I335" s="15" t="str">
        <x:v>eml_ALL_currentac__512781 (2).zip &gt; eml3currentac__512781.zip / FNB _-) R5000.00 paid from Current a_c..512781 @ Smartapp. Ref.Car Deposit. 23Apr 12_23.eml</x:v>
      </x:c>
    </x:row>
    <x:row r="336">
      <x:c r="A336" s="34" t="n">
        <x:v>46136.73055555556</x:v>
      </x:c>
      <x:c r="B336" s="15" t="str">
        <x:v>Outflow</x:v>
      </x:c>
      <x:c r="C336" s="15" t="str">
        <x:v>Sakkie Wages</x:v>
      </x:c>
      <x:c r="D336" s="38" t="n">
        <x:v>2500</x:v>
      </x:c>
      <x:c r="E336" s="15" t="str">
        <x:v>ZAR</x:v>
      </x:c>
      <x:c r="F336" s="15" t="str">
        <x:v>Salary / wages</x:v>
      </x:c>
      <x:c r="G336" s="15" t="str">
        <x:v>Current a/c..512781</x:v>
      </x:c>
      <x:c r="H336" s="15" t="str">
        <x:v>Sakkie Wages</x:v>
      </x:c>
      <x:c r="I336" s="15" t="str">
        <x:v>eml_ALL_currentac__512781 (2).zip &gt; eml3currentac__512781.zip / FNB _-) R2500.00 paid from Current a_c..512781 @ Smartapp. Ref.Sakkie Wages. 24Apr 17_32.eml</x:v>
      </x:c>
    </x:row>
    <x:row r="337">
      <x:c r="A337" s="34" t="n">
        <x:v>46139.42569444444</x:v>
      </x:c>
      <x:c r="B337" s="15" t="str">
        <x:v>Inflow</x:v>
      </x:c>
      <x:c r="C337" s="15" t="str">
        <x:v>Ag1 Seaside Village</x:v>
      </x:c>
      <x:c r="D337" s="38" t="n">
        <x:v>24373</x:v>
      </x:c>
      <x:c r="E337" s="15" t="str">
        <x:v>ZAR</x:v>
      </x:c>
      <x:c r="F337" s="15" t="str">
        <x:v>Sales / customer receipts</x:v>
      </x:c>
      <x:c r="G337" s="15" t="str">
        <x:v>Current a/c..512781</x:v>
      </x:c>
      <x:c r="H337" s="15" t="str">
        <x:v>Ag1 Seaside Village</x:v>
      </x:c>
      <x:c r="I337" s="15" t="str">
        <x:v>eml_ALL_currentac__512781 (2).zip &gt; eml3currentac__512781.zip / FNB _-) R24373.00 paid to Current a_c..512781 @ Online Banking. Ref.Ag1 Seaside Village. 27Apr 10_13.eml</x:v>
      </x:c>
    </x:row>
    <x:row r="338">
      <x:c r="A338" s="34" t="n">
        <x:v>46140.58263888889</x:v>
      </x:c>
      <x:c r="B338" s="15" t="str">
        <x:v>Inflow</x:v>
      </x:c>
      <x:c r="C338" s="15" t="str">
        <x:v>Ik Pay 487882</x:v>
      </x:c>
      <x:c r="D338" s="38" t="n">
        <x:v>2194.44</x:v>
      </x:c>
      <x:c r="E338" s="15" t="str">
        <x:v>ZAR</x:v>
      </x:c>
      <x:c r="F338" s="15" t="str">
        <x:v>Sales / customer receipts</x:v>
      </x:c>
      <x:c r="G338" s="15" t="str">
        <x:v>Current a/c..512781</x:v>
      </x:c>
      <x:c r="H338" s="15" t="str">
        <x:v>Ik Pay 487882</x:v>
      </x:c>
      <x:c r="I338" s="15" t="str">
        <x:v>eml_ALL_currentac__512781 (2).zip &gt; eml3currentac__512781.zip / FNB _-) R2194.44 paid to Current a_c..512781 @ Payshap. Ref.Ik Pay 487882. 28Apr 13_59.eml</x:v>
      </x:c>
    </x:row>
    <x:row r="339">
      <x:c r="A339" s="34" t="n">
        <x:v>46141.419444444444</x:v>
      </x:c>
      <x:c r="B339" s="15" t="str">
        <x:v>Outflow</x:v>
      </x:c>
      <x:c r="C339" s="15" t="str">
        <x:v>Bon Express 008267</x:v>
      </x:c>
      <x:c r="D339" s="38" t="n">
        <x:v>142.08</x:v>
      </x:c>
      <x:c r="E339" s="15" t="str">
        <x:v>ZAR</x:v>
      </x:c>
      <x:c r="F339" s="15" t="str">
        <x:v>Supplier payments</x:v>
      </x:c>
      <x:c r="G339" s="15" t="str">
        <x:v>Current a/c..512781</x:v>
      </x:c>
      <x:c r="H339" s="15" t="str">
        <x:v>Bon Express 008267</x:v>
      </x:c>
      <x:c r="I339" s="15" t="str">
        <x:v>eml_ALL_currentac__512781 (2).zip &gt; eml3currentac__512781.zip / FNB _-) R142.08 paid from Current a_c..512781 @ Smartapp. Ref.Bon Express 008267. 29Apr 10_04.eml</x:v>
      </x:c>
    </x:row>
    <x:row r="340">
      <x:c r="A340" s="34" t="n">
        <x:v>46141.46319444444</x:v>
      </x:c>
      <x:c r="B340" s="15" t="str">
        <x:v>Outflow</x:v>
      </x:c>
      <x:c r="C340" s="15" t="str">
        <x:v>Smartapp</x:v>
      </x:c>
      <x:c r="D340" s="38" t="n">
        <x:v>200</x:v>
      </x:c>
      <x:c r="E340" s="15" t="str">
        <x:v>ZAR</x:v>
      </x:c>
      <x:c r="F340" s="15" t="str">
        <x:v>Supplier payments</x:v>
      </x:c>
      <x:c r="G340" s="15" t="str">
        <x:v>Current a/c..512781</x:v>
      </x:c>
      <x:c r="H340" s="15" t="str">
        <x:v>R200.00 paid from Current a/c..512781 @ Smartapp. Avail R72919. 29Apr 11:07</x:v>
      </x:c>
      <x:c r="I340" s="15" t="str">
        <x:v>eml_ALL_currentac__512781 (2).zip &gt; eml3currentac__512781.zip / FNB _-) R200.00 paid from Current a_c..512781 @ Smartapp. 29Apr 11_07.eml</x:v>
      </x:c>
    </x:row>
    <x:row r="341">
      <x:c r="A341" s="34" t="n">
        <x:v>46141.575694444444</x:v>
      </x:c>
      <x:c r="B341" s="15" t="str">
        <x:v>Inflow</x:v>
      </x:c>
      <x:c r="C341" s="15" t="str">
        <x:v>Ik Pay 487882</x:v>
      </x:c>
      <x:c r="D341" s="38" t="n">
        <x:v>19032.06</x:v>
      </x:c>
      <x:c r="E341" s="15" t="str">
        <x:v>ZAR</x:v>
      </x:c>
      <x:c r="F341" s="15" t="str">
        <x:v>Sales / customer receipts</x:v>
      </x:c>
      <x:c r="G341" s="15" t="str">
        <x:v>Current a/c..512781</x:v>
      </x:c>
      <x:c r="H341" s="15" t="str">
        <x:v>Ik Pay 487882</x:v>
      </x:c>
      <x:c r="I341" s="15" t="str">
        <x:v>eml_ALL_currentac__512781 (2).zip &gt; eml3currentac__512781.zip / FNB _-) R19032.06 paid to Current a_c..512781 @ Payshap. Ref.Ik Pay 487882. 29Apr 13_49.eml</x:v>
      </x:c>
    </x:row>
    <x:row r="342">
      <x:c r="A342" s="34" t="n">
        <x:v>46141.67291666667</x:v>
      </x:c>
      <x:c r="B342" s="15" t="str">
        <x:v>Outflow</x:v>
      </x:c>
      <x:c r="C342" s="15" t="str">
        <x:v>Kruger Safari 1696</x:v>
      </x:c>
      <x:c r="D342" s="38" t="n">
        <x:v>3454.6</x:v>
      </x:c>
      <x:c r="E342" s="15" t="str">
        <x:v>ZAR</x:v>
      </x:c>
      <x:c r="F342" s="15" t="str">
        <x:v>Supplier payments</x:v>
      </x:c>
      <x:c r="G342" s="15" t="str">
        <x:v>Current a/c..512781</x:v>
      </x:c>
      <x:c r="H342" s="15" t="str">
        <x:v>Kruger Safari 1696</x:v>
      </x:c>
      <x:c r="I342" s="15" t="str">
        <x:v>eml_ALL_currentac__512781 (2).zip &gt; eml3currentac__512781.zip / FNB _-) R3454.60 paid from Current a_c..512781 @ Smartapp. Ref.Kruger Safari 1696. 29Apr 16_09.eml</x:v>
      </x:c>
    </x:row>
    <x:row r="343">
      <x:c r="A343" s="34" t="n">
        <x:v>46141.69861111111</x:v>
      </x:c>
      <x:c r="B343" s="15" t="str">
        <x:v>Outflow</x:v>
      </x:c>
      <x:c r="C343" s="15" t="str">
        <x:v>Electricity 04294887</x:v>
      </x:c>
      <x:c r="D343" s="38" t="n">
        <x:v>500</x:v>
      </x:c>
      <x:c r="E343" s="15" t="str">
        <x:v>ZAR</x:v>
      </x:c>
      <x:c r="F343" s="15" t="str">
        <x:v>Telecom / utilities</x:v>
      </x:c>
      <x:c r="G343" s="15" t="str">
        <x:v>Current a/c..512781</x:v>
      </x:c>
      <x:c r="H343" s="15" t="str">
        <x:v>Electricity 04294887</x:v>
      </x:c>
      <x:c r="I343" s="15" t="str">
        <x:v>eml_ALL_currentac__512781 (2).zip &gt; eml3currentac__512781.zip / FNB _-) R500.00 paid from Current a_c..512781 @ Smartapp. Ref.Electricity 04294887. 29Apr 16_46.eml</x:v>
      </x:c>
    </x:row>
    <x:row r="344">
      <x:c r="A344" s="34" t="n">
        <x:v>46142.39027777778</x:v>
      </x:c>
      <x:c r="B344" s="15" t="str">
        <x:v>Inflow</x:v>
      </x:c>
      <x:c r="C344" s="15" t="str">
        <x:v>R026snghm0 Booking.c</x:v>
      </x:c>
      <x:c r="D344" s="38" t="n">
        <x:v>15228.38</x:v>
      </x:c>
      <x:c r="E344" s="15" t="str">
        <x:v>ZAR</x:v>
      </x:c>
      <x:c r="F344" s="15" t="str">
        <x:v>Sales / customer receipts</x:v>
      </x:c>
      <x:c r="G344" s="15" t="str">
        <x:v>Current a/c..512781</x:v>
      </x:c>
      <x:c r="H344" s="15" t="str">
        <x:v>R026snghm0 Booking.c</x:v>
      </x:c>
      <x:c r="I344" s="15" t="str">
        <x:v>eml_ALL_currentac__512781 (2).zip &gt; eml3currentac__512781.zip / FNB _-) R15228.38 paid to Current a_c..512781 @ Retail Forex. Ref.R026snghm0 Booking.c. 30Apr 09_22.eml</x:v>
      </x:c>
    </x:row>
    <x:row r="345">
      <x:c r="A345" s="34" t="n">
        <x:v>46142.49930555555</x:v>
      </x:c>
      <x:c r="B345" s="15" t="str">
        <x:v>Outflow</x:v>
      </x:c>
      <x:c r="C345" s="15" t="str">
        <x:v>Dinner Box 110658</x:v>
      </x:c>
      <x:c r="D345" s="38" t="n">
        <x:v>1541</x:v>
      </x:c>
      <x:c r="E345" s="15" t="str">
        <x:v>ZAR</x:v>
      </x:c>
      <x:c r="F345" s="15" t="str">
        <x:v>Meals / restaurants / entertainment</x:v>
      </x:c>
      <x:c r="G345" s="15" t="str">
        <x:v>Current a/c..512781</x:v>
      </x:c>
      <x:c r="H345" s="15" t="str">
        <x:v>Dinner Box 110658</x:v>
      </x:c>
      <x:c r="I345" s="15" t="str">
        <x:v>eml_ALL_currentac__512781 (2).zip &gt; eml3currentac__512781.zip / FNB _-) R1541.00 paid from Current a_c..512781 @ Smartapp. Ref.Dinner Box 110658. 30Apr 11_59.eml</x:v>
      </x:c>
    </x:row>
    <x:row r="346">
      <x:c r="A346" s="34" t="n">
        <x:v>46142.53611111111</x:v>
      </x:c>
      <x:c r="B346" s="15" t="str">
        <x:v>Internal Transfer</x:v>
      </x:c>
      <x:c r="C346" s="15" t="str">
        <x:v>Current a/c..261544</x:v>
      </x:c>
      <x:c r="D346" s="38" t="n">
        <x:v>26500</x:v>
      </x:c>
      <x:c r="E346" s="15" t="str">
        <x:v>ZAR</x:v>
      </x:c>
      <x:c r="F346" s="15" t="str">
        <x:v>Inter-account transfer</x:v>
      </x:c>
      <x:c r="G346" s="15" t="str">
        <x:v>Current a/c..512781</x:v>
      </x:c>
      <x:c r="H346" s="15" t="str">
        <x:v>R26500.00 t/fer from Current a/c..512781 to Current a/c..261544 @ Smartapp. Avail R74064. 30Apr 12:52</x:v>
      </x:c>
      <x:c r="I346" s="15" t="str">
        <x:v>eml_ALL_currentac__512781 (2).zip &gt; eml3currentac__512781.zip / FNB _-) R26500.00 t_fer from Current a_c..512781 to Current a_c..261544 @ Smartapp. 30Apr 12_52.eml</x:v>
      </x:c>
    </x:row>
    <x:row r="347">
      <x:c r="A347" s="34" t="n">
        <x:v>46143.37777777778</x:v>
      </x:c>
      <x:c r="B347" s="15" t="str">
        <x:v>Outflow</x:v>
      </x:c>
      <x:c r="C347" s="15" t="str">
        <x:v>Staff Salary</x:v>
      </x:c>
      <x:c r="D347" s="38" t="n">
        <x:v>12000</x:v>
      </x:c>
      <x:c r="E347" s="15" t="str">
        <x:v>ZAR</x:v>
      </x:c>
      <x:c r="F347" s="15" t="str">
        <x:v>Salary / wages</x:v>
      </x:c>
      <x:c r="G347" s="15" t="str">
        <x:v>Current a/c..512781</x:v>
      </x:c>
      <x:c r="H347" s="15" t="str">
        <x:v>Staff Salary</x:v>
      </x:c>
      <x:c r="I347" s="15" t="str">
        <x:v>eml_ALL_currentac__512781 (2).zip &gt; eml3currentac__512781.zip / FNB _-) R12000.00 paid from Current a_c..512781 @ Gen Ph. Ref.Staff Salary.  1May 09_04.eml</x:v>
      </x:c>
    </x:row>
    <x:row r="348">
      <x:c r="A348" s="34" t="n">
        <x:v>46143.37777777778</x:v>
      </x:c>
      <x:c r="B348" s="15" t="str">
        <x:v>Outflow</x:v>
      </x:c>
      <x:c r="C348" s="15" t="str">
        <x:v>Staff Salary</x:v>
      </x:c>
      <x:c r="D348" s="38" t="n">
        <x:v>12000</x:v>
      </x:c>
      <x:c r="E348" s="15" t="str">
        <x:v>ZAR</x:v>
      </x:c>
      <x:c r="F348" s="15" t="str">
        <x:v>Salary / wages</x:v>
      </x:c>
      <x:c r="G348" s="15" t="str">
        <x:v>Current a/c..512781</x:v>
      </x:c>
      <x:c r="H348" s="15" t="str">
        <x:v>Staff Salary</x:v>
      </x:c>
      <x:c r="I348" s="15" t="str">
        <x:v>eml_ALL_currentac__512781 (2).zip &gt; eml3currentac__512781.zip / FNB _-) R12000.00 paid from Current a_c..512781 @ Gen Ph. Ref.Staff Salary.  1May 09_04_1.eml</x:v>
      </x:c>
    </x:row>
    <x:row r="349">
      <x:c r="A349" s="34" t="n">
        <x:v>46143.37847222222</x:v>
      </x:c>
      <x:c r="B349" s="15" t="str">
        <x:v>Outflow</x:v>
      </x:c>
      <x:c r="C349" s="15" t="str">
        <x:v>Nb N992820</x:v>
      </x:c>
      <x:c r="D349" s="38" t="n">
        <x:v>759</x:v>
      </x:c>
      <x:c r="E349" s="15" t="str">
        <x:v>ZAR</x:v>
      </x:c>
      <x:c r="F349" s="15" t="str">
        <x:v>Supplier payments</x:v>
      </x:c>
      <x:c r="G349" s="15" t="str">
        <x:v>Current a/c..512781</x:v>
      </x:c>
      <x:c r="H349" s="15" t="str">
        <x:v>Nb N992820</x:v>
      </x:c>
      <x:c r="I349" s="15" t="str">
        <x:v>eml_ALL_currentac__512781 (2).zip &gt; eml3currentac__512781.zip / FNB _-) R759.00 paid from Current a_c..512781 @ Smartapp. Ref.Nb N992820.  1May 09_05.eml</x:v>
      </x:c>
    </x:row>
    <x:row r="350">
      <x:c r="A350" s="34" t="n">
        <x:v>46143.379166666666</x:v>
      </x:c>
      <x:c r="B350" s="15" t="str">
        <x:v>Outflow</x:v>
      </x:c>
      <x:c r="C350" s="15" t="str">
        <x:v>Kpci - C1736</x:v>
      </x:c>
      <x:c r="D350" s="38" t="n">
        <x:v>500</x:v>
      </x:c>
      <x:c r="E350" s="15" t="str">
        <x:v>ZAR</x:v>
      </x:c>
      <x:c r="F350" s="15" t="str">
        <x:v>Supplier payments</x:v>
      </x:c>
      <x:c r="G350" s="15" t="str">
        <x:v>Current a/c..512781</x:v>
      </x:c>
      <x:c r="H350" s="15" t="str">
        <x:v>Kpci - C1736</x:v>
      </x:c>
      <x:c r="I350" s="15" t="str">
        <x:v>eml_ALL_currentac__512781 (2).zip &gt; eml3currentac__512781.zip / FNB _-) R500.00 paid from Current a_c..512781 @ Smartapp. Ref.Kpci - C1736.  1May 09_06.eml</x:v>
      </x:c>
    </x:row>
    <x:row r="351">
      <x:c r="A351" s="34" t="n">
        <x:v>46144.67222222222</x:v>
      </x:c>
      <x:c r="B351" s="15" t="str">
        <x:v>Outflow</x:v>
      </x:c>
      <x:c r="C351" s="15" t="str">
        <x:v>Ac De Jager Vleis</x:v>
      </x:c>
      <x:c r="D351" s="38" t="n">
        <x:v>1805.86</x:v>
      </x:c>
      <x:c r="E351" s="15" t="str">
        <x:v>ZAR</x:v>
      </x:c>
      <x:c r="F351" s="15" t="str">
        <x:v>Supplier payments</x:v>
      </x:c>
      <x:c r="G351" s="15" t="str">
        <x:v>Current a/c..512781</x:v>
      </x:c>
      <x:c r="H351" s="15" t="str">
        <x:v>Ac De Jager Vleis</x:v>
      </x:c>
      <x:c r="I351" s="15" t="str">
        <x:v>eml_ALL_currentac__512781 (2).zip &gt; eml3currentac__512781.zip / FNB _-) R1805.86 paid from Current a_c..512781 @ Smartapp. Ref.Ac De Jager Vleis.  2May 16_08.eml</x:v>
      </x:c>
    </x:row>
    <x:row r="352">
      <x:c r="A352" s="34" t="n">
        <x:v>46146.31319444445</x:v>
      </x:c>
      <x:c r="B352" s="15" t="str">
        <x:v>Outflow</x:v>
      </x:c>
      <x:c r="C352" s="15" t="str">
        <x:v>Electricity 14503572</x:v>
      </x:c>
      <x:c r="D352" s="38" t="n">
        <x:v>150</x:v>
      </x:c>
      <x:c r="E352" s="15" t="str">
        <x:v>ZAR</x:v>
      </x:c>
      <x:c r="F352" s="15" t="str">
        <x:v>Telecom / utilities</x:v>
      </x:c>
      <x:c r="G352" s="15" t="str">
        <x:v>Current a/c..512781</x:v>
      </x:c>
      <x:c r="H352" s="15" t="str">
        <x:v>Electricity 14503572</x:v>
      </x:c>
      <x:c r="I352" s="15" t="str">
        <x:v>eml_ALL_currentac__512781 (2).zip &gt; eml3currentac__512781.zip / FNB _-) R150.00 paid from Current a_c..512781 @ Smartapp. Ref.Electricity 14503572.  4May 07_31.eml</x:v>
      </x:c>
    </x:row>
    <x:row r="353">
      <x:c r="A353" s="34" t="n">
        <x:v>46146.575694444444</x:v>
      </x:c>
      <x:c r="B353" s="15" t="str">
        <x:v>Inflow</x:v>
      </x:c>
      <x:c r="C353" s="15" t="str">
        <x:v>Ik Pay 487882</x:v>
      </x:c>
      <x:c r="D353" s="38" t="n">
        <x:v>31641.63</x:v>
      </x:c>
      <x:c r="E353" s="15" t="str">
        <x:v>ZAR</x:v>
      </x:c>
      <x:c r="F353" s="15" t="str">
        <x:v>Sales / customer receipts</x:v>
      </x:c>
      <x:c r="G353" s="15" t="str">
        <x:v>Current a/c..512781</x:v>
      </x:c>
      <x:c r="H353" s="15" t="str">
        <x:v>Ik Pay 487882</x:v>
      </x:c>
      <x:c r="I353" s="15" t="str">
        <x:v>eml_ALL_currentac__512781 (2).zip &gt; eml3currentac__512781.zip / FNB _-) R31641.63 paid to Current a_c..512781 @ Payshap. Ref.Ik Pay 487882.  4May 13_49.eml</x:v>
      </x:c>
    </x:row>
    <x:row r="354">
      <x:c r="A354" s="34" t="n">
        <x:v>46146.65277777778</x:v>
      </x:c>
      <x:c r="B354" s="15" t="str">
        <x:v>Outflow</x:v>
      </x:c>
      <x:c r="C354" s="15" t="str">
        <x:v>Salary</x:v>
      </x:c>
      <x:c r="D354" s="38" t="n">
        <x:v>6000</x:v>
      </x:c>
      <x:c r="E354" s="15" t="str">
        <x:v>ZAR</x:v>
      </x:c>
      <x:c r="F354" s="15" t="str">
        <x:v>Salary / wages</x:v>
      </x:c>
      <x:c r="G354" s="15" t="str">
        <x:v>Current a/c..512781</x:v>
      </x:c>
      <x:c r="H354" s="15" t="str">
        <x:v>Salary</x:v>
      </x:c>
      <x:c r="I354" s="15" t="str">
        <x:v>eml_ALL_currentac__512781 (2).zip &gt; eml3currentac__512781.zip / FNB _-) R6000.00 paid from Current a_c..512781 @ Smartapp. Ref.Salary.  4May 15_40.eml</x:v>
      </x:c>
    </x:row>
    <x:row r="355">
      <x:c r="A355" s="34" t="n">
        <x:v>46147.379166666666</x:v>
      </x:c>
      <x:c r="B355" s="15" t="str">
        <x:v>Outflow</x:v>
      </x:c>
      <x:c r="C355" s="15" t="str">
        <x:v>Electricity 14503572</x:v>
      </x:c>
      <x:c r="D355" s="38" t="n">
        <x:v>150</x:v>
      </x:c>
      <x:c r="E355" s="15" t="str">
        <x:v>ZAR</x:v>
      </x:c>
      <x:c r="F355" s="15" t="str">
        <x:v>Telecom / utilities</x:v>
      </x:c>
      <x:c r="G355" s="15" t="str">
        <x:v>Current a/c..512781</x:v>
      </x:c>
      <x:c r="H355" s="15" t="str">
        <x:v>Electricity 14503572</x:v>
      </x:c>
      <x:c r="I355" s="15" t="str">
        <x:v>eml_ALL_currentac__512781 (2).zip &gt; eml3currentac__512781.zip / FNB _-) R150.00 paid from Current a_c..512781 @ Smartapp. Ref.Electricity 14503572.  5May 09_06.eml</x:v>
      </x:c>
    </x:row>
    <x:row r="356">
      <x:c r="A356" s="34" t="n">
        <x:v>46147.45138888889</x:v>
      </x:c>
      <x:c r="B356" s="15" t="str">
        <x:v>Outflow</x:v>
      </x:c>
      <x:c r="C356" s="15" t="str">
        <x:v>Kruger Safari 1697</x:v>
      </x:c>
      <x:c r="D356" s="38" t="n">
        <x:v>13128</x:v>
      </x:c>
      <x:c r="E356" s="15" t="str">
        <x:v>ZAR</x:v>
      </x:c>
      <x:c r="F356" s="15" t="str">
        <x:v>Supplier payments</x:v>
      </x:c>
      <x:c r="G356" s="15" t="str">
        <x:v>Current a/c..512781</x:v>
      </x:c>
      <x:c r="H356" s="15" t="str">
        <x:v>Kruger Safari 1697</x:v>
      </x:c>
      <x:c r="I356" s="15" t="str">
        <x:v>eml_ALL_currentac__512781 (2).zip &gt; eml3currentac__512781.zip / FNB _-) R13128.00 paid from Current a_c..512781 @ Smartapp. Ref.Kruger Safari 1697.  5May 10_50.eml</x:v>
      </x:c>
    </x:row>
    <x:row r="357">
      <x:c r="A357" s="34" t="n">
        <x:v>46147.45208333333</x:v>
      </x:c>
      <x:c r="B357" s="15" t="str">
        <x:v>Outflow</x:v>
      </x:c>
      <x:c r="C357" s="15" t="str">
        <x:v>Royal Bush 3945</x:v>
      </x:c>
      <x:c r="D357" s="38" t="n">
        <x:v>8480</x:v>
      </x:c>
      <x:c r="E357" s="15" t="str">
        <x:v>ZAR</x:v>
      </x:c>
      <x:c r="F357" s="15" t="str">
        <x:v>Supplier payments</x:v>
      </x:c>
      <x:c r="G357" s="15" t="str">
        <x:v>Current a/c..512781</x:v>
      </x:c>
      <x:c r="H357" s="15" t="str">
        <x:v>Royal Bush 3945</x:v>
      </x:c>
      <x:c r="I357" s="15" t="str">
        <x:v>eml_ALL_currentac__512781 (2).zip &gt; eml3currentac__512781.zip / FNB _-) R8480.00 paid from Current a_c..512781 @ Smartapp. Ref.Royal Bush 3945.  5May 10_51.eml</x:v>
      </x:c>
    </x:row>
    <x:row r="358">
      <x:c r="A358" s="34" t="n">
        <x:v>46149.35</x:v>
      </x:c>
      <x:c r="B358" s="15" t="str">
        <x:v>Inflow</x:v>
      </x:c>
      <x:c r="C358" s="15" t="str">
        <x:v>R026sb0230 Booking.c</x:v>
      </x:c>
      <x:c r="D358" s="38" t="n">
        <x:v>17426.63</x:v>
      </x:c>
      <x:c r="E358" s="15" t="str">
        <x:v>ZAR</x:v>
      </x:c>
      <x:c r="F358" s="15" t="str">
        <x:v>Sales / customer receipts</x:v>
      </x:c>
      <x:c r="G358" s="15" t="str">
        <x:v>Current a/c..512781</x:v>
      </x:c>
      <x:c r="H358" s="15" t="str">
        <x:v>R026sb0230 Booking.c</x:v>
      </x:c>
      <x:c r="I358" s="15" t="str">
        <x:v>eml_ALL_currentac__512781 (2).zip &gt; eml2currentac__512781.zip / FNB _-) R17426.63 paid to Current a_c..512781 @ Retail Forex. Ref.R026sb0230 Booking.c.  7May 08_24.eml</x:v>
      </x:c>
    </x:row>
    <x:row r="359">
      <x:c r="A359" s="34" t="n">
        <x:v>46149.49375</x:v>
      </x:c>
      <x:c r="B359" s="15" t="str">
        <x:v>Outflow</x:v>
      </x:c>
      <x:c r="C359" s="15" t="str">
        <x:v>Sk Transfer 0194</x:v>
      </x:c>
      <x:c r="D359" s="38" t="n">
        <x:v>2200</x:v>
      </x:c>
      <x:c r="E359" s="15" t="str">
        <x:v>ZAR</x:v>
      </x:c>
      <x:c r="F359" s="15" t="str">
        <x:v>Supplier payments</x:v>
      </x:c>
      <x:c r="G359" s="15" t="str">
        <x:v>Current a/c..512781</x:v>
      </x:c>
      <x:c r="H359" s="15" t="str">
        <x:v>Sk Transfer 0194</x:v>
      </x:c>
      <x:c r="I359" s="15" t="str">
        <x:v>eml_ALL_currentac__512781 (2).zip &gt; eml2currentac__512781.zip / FNB _-) R2200.00 paid from Current a_c..512781 @ Smartapp. Ref.Sk Transfer 0194.  7May 11_51.eml</x:v>
      </x:c>
    </x:row>
    <x:row r="360">
      <x:c r="A360" s="34" t="n">
        <x:v>46149.78402777778</x:v>
      </x:c>
      <x:c r="B360" s="15" t="str">
        <x:v>Outflow</x:v>
      </x:c>
      <x:c r="C360" s="15" t="str">
        <x:v>Electricity 04294887</x:v>
      </x:c>
      <x:c r="D360" s="38" t="n">
        <x:v>500</x:v>
      </x:c>
      <x:c r="E360" s="15" t="str">
        <x:v>ZAR</x:v>
      </x:c>
      <x:c r="F360" s="15" t="str">
        <x:v>Telecom / utilities</x:v>
      </x:c>
      <x:c r="G360" s="15" t="str">
        <x:v>Current a/c..512781</x:v>
      </x:c>
      <x:c r="H360" s="15" t="str">
        <x:v>Electricity 04294887</x:v>
      </x:c>
      <x:c r="I360" s="15" t="str">
        <x:v>eml_ALL_currentac__512781 (2).zip &gt; eml2currentac__512781.zip / FNB _-) R500.00 paid from Current a_c..512781 @ Smartapp. Ref.Electricity 04294887.  7May 18_49.eml</x:v>
      </x:c>
    </x:row>
    <x:row r="361">
      <x:c r="A361" s="34" t="n">
        <x:v>46150.30347222222</x:v>
      </x:c>
      <x:c r="B361" s="15" t="str">
        <x:v>Outflow</x:v>
      </x:c>
      <x:c r="C361" s="15" t="str">
        <x:v>Electricity 14503572</x:v>
      </x:c>
      <x:c r="D361" s="38" t="n">
        <x:v>150</x:v>
      </x:c>
      <x:c r="E361" s="15" t="str">
        <x:v>ZAR</x:v>
      </x:c>
      <x:c r="F361" s="15" t="str">
        <x:v>Telecom / utilities</x:v>
      </x:c>
      <x:c r="G361" s="15" t="str">
        <x:v>Current a/c..512781</x:v>
      </x:c>
      <x:c r="H361" s="15" t="str">
        <x:v>Electricity 14503572</x:v>
      </x:c>
      <x:c r="I361" s="15" t="str">
        <x:v>eml_ALL_currentac__512781 (2).zip &gt; eml2currentac__512781.zip / FNB _-) R150.00 paid from Current a_c..512781 @ Smartapp. Ref.Electricity 14503572.  8May 07_17.eml</x:v>
      </x:c>
    </x:row>
    <x:row r="362">
      <x:c r="A362" s="34" t="n">
        <x:v>46150.50625</x:v>
      </x:c>
      <x:c r="B362" s="15" t="str">
        <x:v>Outflow</x:v>
      </x:c>
      <x:c r="C362" s="15" t="str">
        <x:v>Send Peter Carpentor</x:v>
      </x:c>
      <x:c r="D362" s="38" t="n">
        <x:v>800</x:v>
      </x:c>
      <x:c r="E362" s="15" t="str">
        <x:v>ZAR</x:v>
      </x:c>
      <x:c r="F362" s="15" t="str">
        <x:v>Supplier payments</x:v>
      </x:c>
      <x:c r="G362" s="15" t="str">
        <x:v>Current a/c..512781</x:v>
      </x:c>
      <x:c r="H362" s="15" t="str">
        <x:v>Send Peter Carpentor</x:v>
      </x:c>
      <x:c r="I362" s="15" t="str">
        <x:v>eml_ALL_currentac__512781 (2).zip &gt; eml2currentac__512781.zip / FNB _-) R800.00 paid from Current a_c..512781 @ Smartapp. Ref.Send Peter Carpentor.  8May 12_09.eml</x:v>
      </x:c>
    </x:row>
    <x:row r="363">
      <x:c r="A363" s="34" t="n">
        <x:v>46150.73402777778</x:v>
      </x:c>
      <x:c r="B363" s="15" t="str">
        <x:v>Outflow</x:v>
      </x:c>
      <x:c r="C363" s="15" t="str">
        <x:v>Sakkie Wages</x:v>
      </x:c>
      <x:c r="D363" s="38" t="n">
        <x:v>2500</x:v>
      </x:c>
      <x:c r="E363" s="15" t="str">
        <x:v>ZAR</x:v>
      </x:c>
      <x:c r="F363" s="15" t="str">
        <x:v>Salary / wages</x:v>
      </x:c>
      <x:c r="G363" s="15" t="str">
        <x:v>Current a/c..512781</x:v>
      </x:c>
      <x:c r="H363" s="15" t="str">
        <x:v>Sakkie Wages</x:v>
      </x:c>
      <x:c r="I363" s="15" t="str">
        <x:v>eml_ALL_currentac__512781 (2).zip &gt; eml2currentac__512781.zip / FNB _-) R2500.00 paid from Current a_c..512781 @ Smartapp. Ref.Sakkie Wages.  8May 17_37.eml</x:v>
      </x:c>
    </x:row>
    <x:row r="364">
      <x:c r="A364" s="34" t="n">
        <x:v>46151.438888888886</x:v>
      </x:c>
      <x:c r="B364" s="15" t="str">
        <x:v>Inflow</x:v>
      </x:c>
      <x:c r="C364" s="15" t="str">
        <x:v>Ik Pay 487882</x:v>
      </x:c>
      <x:c r="D364" s="38" t="n">
        <x:v>1729.1</x:v>
      </x:c>
      <x:c r="E364" s="15" t="str">
        <x:v>ZAR</x:v>
      </x:c>
      <x:c r="F364" s="15" t="str">
        <x:v>Sales / customer receipts</x:v>
      </x:c>
      <x:c r="G364" s="15" t="str">
        <x:v>Current a/c..512781</x:v>
      </x:c>
      <x:c r="H364" s="15" t="str">
        <x:v>Ik Pay 487882</x:v>
      </x:c>
      <x:c r="I364" s="15" t="str">
        <x:v>eml_ALL_currentac__512781 (2).zip &gt; eml2currentac__512781.zip / FNB _-) R1729.10 paid to Current a_c..512781 @ Payshap. Ref.Ik Pay 487882.  9May 10_32.eml</x:v>
      </x:c>
    </x:row>
    <x:row r="365">
      <x:c r="A365" s="34" t="n">
        <x:v>46153.40347222222</x:v>
      </x:c>
      <x:c r="B365" s="15" t="str">
        <x:v>Outflow</x:v>
      </x:c>
      <x:c r="C365" s="15" t="str">
        <x:v>Bon Express 008340</x:v>
      </x:c>
      <x:c r="D365" s="38" t="n">
        <x:v>345.4</x:v>
      </x:c>
      <x:c r="E365" s="15" t="str">
        <x:v>ZAR</x:v>
      </x:c>
      <x:c r="F365" s="15" t="str">
        <x:v>Supplier payments</x:v>
      </x:c>
      <x:c r="G365" s="15" t="str">
        <x:v>Current a/c..512781</x:v>
      </x:c>
      <x:c r="H365" s="15" t="str">
        <x:v>Bon Express 008340</x:v>
      </x:c>
      <x:c r="I365" s="15" t="str">
        <x:v>eml_ALL_currentac__512781 (2).zip &gt; eml2currentac__512781.zip / FNB _-) R345.40 paid from Current a_c..512781 @ Smartapp. Ref.Bon Express 008340. 11May 09_41.eml</x:v>
      </x:c>
    </x:row>
    <x:row r="366">
      <x:c r="A366" s="34" t="n">
        <x:v>46153.44652777778</x:v>
      </x:c>
      <x:c r="B366" s="15" t="str">
        <x:v>Internal Transfer</x:v>
      </x:c>
      <x:c r="C366" s="15" t="str">
        <x:v>Private Cheq Acc..566332</x:v>
      </x:c>
      <x:c r="D366" s="38" t="n">
        <x:v>2000</x:v>
      </x:c>
      <x:c r="E366" s="15" t="str">
        <x:v>ZAR</x:v>
      </x:c>
      <x:c r="F366" s="15" t="str">
        <x:v>Inter-account transfer</x:v>
      </x:c>
      <x:c r="G366" s="15" t="str">
        <x:v>Current a/c..512781</x:v>
      </x:c>
      <x:c r="H366" s="15" t="str">
        <x:v>R2000.00 t/fer from Current a/c..512781 to Private Cheq Acc..566332 @ Smartapp. Avail R49797. 11May 10:43</x:v>
      </x:c>
      <x:c r="I366" s="15" t="str">
        <x:v>eml_ALL_currentac__512781 (2).zip &gt; eml2currentac__512781.zip / FNB _-) R2000.00 t_fer from Current a_c..512781 to Private Cheq Acc..566332 @ Smartapp. 11May 10_43.eml</x:v>
      </x:c>
    </x:row>
    <x:row r="367">
      <x:c r="A367" s="34" t="n">
        <x:v>46153.544444444444</x:v>
      </x:c>
      <x:c r="B367" s="15" t="str">
        <x:v>Outflow</x:v>
      </x:c>
      <x:c r="C367" s="15" t="str">
        <x:v>Salary</x:v>
      </x:c>
      <x:c r="D367" s="38" t="n">
        <x:v>4000</x:v>
      </x:c>
      <x:c r="E367" s="15" t="str">
        <x:v>ZAR</x:v>
      </x:c>
      <x:c r="F367" s="15" t="str">
        <x:v>Salary / wages</x:v>
      </x:c>
      <x:c r="G367" s="15" t="str">
        <x:v>Current a/c..512781</x:v>
      </x:c>
      <x:c r="H367" s="15" t="str">
        <x:v>Salary</x:v>
      </x:c>
      <x:c r="I367" s="15" t="str">
        <x:v>eml_ALL_currentac__512781 (2).zip &gt; eml2currentac__512781.zip / FNB _-) R4000.00 paid from Current a_c..512781 @ Smartapp. Ref.Salary. 11May 13_04.eml</x:v>
      </x:c>
    </x:row>
    <x:row r="368">
      <x:c r="A368" s="34" t="n">
        <x:v>46153.55</x:v>
      </x:c>
      <x:c r="B368" s="15" t="str">
        <x:v>Internal Transfer</x:v>
      </x:c>
      <x:c r="C368" s="15" t="str">
        <x:v>Private Cheq Acc..566332</x:v>
      </x:c>
      <x:c r="D368" s="38" t="n">
        <x:v>1000</x:v>
      </x:c>
      <x:c r="E368" s="15" t="str">
        <x:v>ZAR</x:v>
      </x:c>
      <x:c r="F368" s="15" t="str">
        <x:v>Inter-account transfer</x:v>
      </x:c>
      <x:c r="G368" s="15" t="str">
        <x:v>Current a/c..512781</x:v>
      </x:c>
      <x:c r="H368" s="15" t="str">
        <x:v>R1000.00 t/fer from Current a/c..512781 to Private Cheq Acc..566332 @ Smartapp. Avail R44794. 11May 13:12</x:v>
      </x:c>
      <x:c r="I368" s="15" t="str">
        <x:v>eml_ALL_currentac__512781 (2).zip &gt; eml2currentac__512781.zip / FNB _-) R1000.00 t_fer from Current a_c..512781 to Private Cheq Acc..566332 @ Smartapp. 11May 13_12.eml</x:v>
      </x:c>
    </x:row>
    <x:row r="369">
      <x:c r="A369" s="34" t="n">
        <x:v>46153.615277777775</x:v>
      </x:c>
      <x:c r="B369" s="15" t="str">
        <x:v>Outflow</x:v>
      </x:c>
      <x:c r="C369" s="15" t="str">
        <x:v>Send Donald Bus</x:v>
      </x:c>
      <x:c r="D369" s="38" t="n">
        <x:v>1500</x:v>
      </x:c>
      <x:c r="E369" s="15" t="str">
        <x:v>ZAR</x:v>
      </x:c>
      <x:c r="F369" s="15" t="str">
        <x:v>Supplier payments</x:v>
      </x:c>
      <x:c r="G369" s="15" t="str">
        <x:v>Current a/c..512781</x:v>
      </x:c>
      <x:c r="H369" s="15" t="str">
        <x:v>Send Donald Bus</x:v>
      </x:c>
      <x:c r="I369" s="15" t="str">
        <x:v>eml_ALL_currentac__512781 (2).zip &gt; eml2currentac__512781.zip / FNB _-) R1500.00 paid from Current a_c..512781 @ Smartapp. Ref.Send Donald Bus. 11May 14_46.eml</x:v>
      </x:c>
    </x:row>
    <x:row r="370">
      <x:c r="A370" s="34" t="n">
        <x:v>46153.65625</x:v>
      </x:c>
      <x:c r="B370" s="15" t="str">
        <x:v>Inflow</x:v>
      </x:c>
      <x:c r="C370" s="15" t="str">
        <x:v>Send Rev</x:v>
      </x:c>
      <x:c r="D370" s="38" t="n">
        <x:v>1500</x:v>
      </x:c>
      <x:c r="E370" s="15" t="str">
        <x:v>ZAR</x:v>
      </x:c>
      <x:c r="F370" s="15" t="str">
        <x:v>Sales / customer receipts</x:v>
      </x:c>
      <x:c r="G370" s="15" t="str">
        <x:v>Current a/c..512781</x:v>
      </x:c>
      <x:c r="H370" s="15" t="str">
        <x:v>Send Rev</x:v>
      </x:c>
      <x:c r="I370" s="15" t="str">
        <x:v>eml_ALL_currentac__512781 (2).zip &gt; eml2currentac__512781.zip / FNB _-) R1500.00 paid to Current a_c..512781 @ Smartapp. Ref.Send Rev. 11May 15_45.eml</x:v>
      </x:c>
    </x:row>
    <x:row r="371">
      <x:c r="A371" s="34" t="n">
        <x:v>46153.65902777778</x:v>
      </x:c>
      <x:c r="B371" s="15" t="str">
        <x:v>Outflow</x:v>
      </x:c>
      <x:c r="C371" s="15" t="str">
        <x:v>Send Donald Bus</x:v>
      </x:c>
      <x:c r="D371" s="38" t="n">
        <x:v>1500</x:v>
      </x:c>
      <x:c r="E371" s="15" t="str">
        <x:v>ZAR</x:v>
      </x:c>
      <x:c r="F371" s="15" t="str">
        <x:v>Supplier payments</x:v>
      </x:c>
      <x:c r="G371" s="15" t="str">
        <x:v>Current a/c..512781</x:v>
      </x:c>
      <x:c r="H371" s="15" t="str">
        <x:v>Send Donald Bus</x:v>
      </x:c>
      <x:c r="I371" s="15" t="str">
        <x:v>eml_ALL_currentac__512781 (2).zip &gt; eml2currentac__512781.zip / FNB _-) R1500.00 paid from Current a_c..512781 @ Smartapp. Ref.Send Donald Bus. 11May 15_49.eml</x:v>
      </x:c>
    </x:row>
    <x:row r="372">
      <x:c r="A372" s="34" t="n">
        <x:v>46154.52638888889</x:v>
      </x:c>
      <x:c r="B372" s="15" t="str">
        <x:v>Outflow</x:v>
      </x:c>
      <x:c r="C372" s="15" t="str">
        <x:v>Smartapp</x:v>
      </x:c>
      <x:c r="D372" s="38" t="n">
        <x:v>200</x:v>
      </x:c>
      <x:c r="E372" s="15" t="str">
        <x:v>ZAR</x:v>
      </x:c>
      <x:c r="F372" s="15" t="str">
        <x:v>Supplier payments</x:v>
      </x:c>
      <x:c r="G372" s="15" t="str">
        <x:v>Current a/c..512781</x:v>
      </x:c>
      <x:c r="H372" s="15" t="str">
        <x:v>R200.00 paid from Current a/c..512781 @ Smartapp. Avail R42990. 12May 12:38</x:v>
      </x:c>
      <x:c r="I372" s="15" t="str">
        <x:v>eml_ALL_currentac__512781 (2).zip &gt; eml2currentac__512781.zip / FNB _-) R200.00 paid from Current a_c..512781 @ Smartapp. 12May 12_38.eml</x:v>
      </x:c>
    </x:row>
    <x:row r="373">
      <x:c r="A373" s="34" t="n">
        <x:v>46155.39097222222</x:v>
      </x:c>
      <x:c r="B373" s="15" t="str">
        <x:v>Outflow</x:v>
      </x:c>
      <x:c r="C373" s="15" t="str">
        <x:v>Sk Transfer 0202</x:v>
      </x:c>
      <x:c r="D373" s="38" t="n">
        <x:v>2200</x:v>
      </x:c>
      <x:c r="E373" s="15" t="str">
        <x:v>ZAR</x:v>
      </x:c>
      <x:c r="F373" s="15" t="str">
        <x:v>Supplier payments</x:v>
      </x:c>
      <x:c r="G373" s="15" t="str">
        <x:v>Current a/c..512781</x:v>
      </x:c>
      <x:c r="H373" s="15" t="str">
        <x:v>Sk Transfer 0202</x:v>
      </x:c>
      <x:c r="I373" s="15" t="str">
        <x:v>eml_ALL_currentac__512781 (2).zip &gt; eml2currentac__512781.zip / FNB _-) R2200.00 paid from Current a_c..512781 @ Smartapp. Ref.Sk Transfer 0202. 13May 09_23.eml</x:v>
      </x:c>
    </x:row>
    <x:row r="374">
      <x:c r="A374" s="34" t="n">
        <x:v>46155.40277777778</x:v>
      </x:c>
      <x:c r="B374" s="15" t="str">
        <x:v>Outflow</x:v>
      </x:c>
      <x:c r="C374" s="15" t="str">
        <x:v>Electricity 14503572</x:v>
      </x:c>
      <x:c r="D374" s="38" t="n">
        <x:v>150</x:v>
      </x:c>
      <x:c r="E374" s="15" t="str">
        <x:v>ZAR</x:v>
      </x:c>
      <x:c r="F374" s="15" t="str">
        <x:v>Telecom / utilities</x:v>
      </x:c>
      <x:c r="G374" s="15" t="str">
        <x:v>Current a/c..512781</x:v>
      </x:c>
      <x:c r="H374" s="15" t="str">
        <x:v>Electricity 14503572</x:v>
      </x:c>
      <x:c r="I374" s="15" t="str">
        <x:v>eml_ALL_currentac__512781 (2).zip &gt; eml2currentac__512781.zip / FNB _-) R150.00 paid from Current a_c..512781 @ Smartapp. Ref.Electricity 14503572. 13May 09_40.eml</x:v>
      </x:c>
    </x:row>
    <x:row r="375">
      <x:c r="A375" s="34" t="n">
        <x:v>46155.404861111114</x:v>
      </x:c>
      <x:c r="B375" s="15" t="str">
        <x:v>Outflow</x:v>
      </x:c>
      <x:c r="C375" s="15" t="str">
        <x:v>Send Tyron Bos</x:v>
      </x:c>
      <x:c r="D375" s="38" t="n">
        <x:v>1000</x:v>
      </x:c>
      <x:c r="E375" s="15" t="str">
        <x:v>ZAR</x:v>
      </x:c>
      <x:c r="F375" s="15" t="str">
        <x:v>Supplier payments</x:v>
      </x:c>
      <x:c r="G375" s="15" t="str">
        <x:v>Current a/c..512781</x:v>
      </x:c>
      <x:c r="H375" s="15" t="str">
        <x:v>Send Tyron Bos</x:v>
      </x:c>
      <x:c r="I375" s="15" t="str">
        <x:v>eml_ALL_currentac__512781 (2).zip &gt; eml2currentac__512781.zip / FNB _-) R1000.00 paid from Current a_c..512781 @ Smartapp. Ref.Send Tyron Bos. 13May 09_43.eml</x:v>
      </x:c>
    </x:row>
    <x:row r="376">
      <x:c r="A376" s="34" t="n">
        <x:v>46155.675</x:v>
      </x:c>
      <x:c r="B376" s="15" t="str">
        <x:v>Internal Transfer</x:v>
      </x:c>
      <x:c r="C376" s="15" t="str">
        <x:v>home loan a/c..057026</x:v>
      </x:c>
      <x:c r="D376" s="38" t="n">
        <x:v>21600</x:v>
      </x:c>
      <x:c r="E376" s="15" t="str">
        <x:v>ZAR</x:v>
      </x:c>
      <x:c r="F376" s="15" t="str">
        <x:v>Inter-account transfer</x:v>
      </x:c>
      <x:c r="G376" s="15" t="str">
        <x:v>Current a/c..512781</x:v>
      </x:c>
      <x:c r="H376" s="15" t="str">
        <x:v>R21600.00 t/fer from Current a/c..512781 to home loan a/c..057026 @ Smartapp. Avail R16425. 13May 16:12</x:v>
      </x:c>
      <x:c r="I376" s="15" t="str">
        <x:v>eml_ALL_currentac__512781 (2).zip &gt; eml2currentac__512781.zip / FNB _-) R21600.00 t_fer from Current a_c..512781 to home loan a_c..057026 @ Smartapp. 13May 16_12.eml</x:v>
      </x:c>
    </x:row>
    <x:row r="377">
      <x:c r="A377" s="34" t="n">
        <x:v>46156.48402777778</x:v>
      </x:c>
      <x:c r="B377" s="15" t="str">
        <x:v>Internal Transfer</x:v>
      </x:c>
      <x:c r="C377" s="15" t="str">
        <x:v>Private Cheq Acc..566332</x:v>
      </x:c>
      <x:c r="D377" s="38" t="n">
        <x:v>1000</x:v>
      </x:c>
      <x:c r="E377" s="15" t="str">
        <x:v>ZAR</x:v>
      </x:c>
      <x:c r="F377" s="15" t="str">
        <x:v>Inter-account transfer</x:v>
      </x:c>
      <x:c r="G377" s="15" t="str">
        <x:v>Current a/c..512781</x:v>
      </x:c>
      <x:c r="H377" s="15" t="str">
        <x:v>R1000.00 t/fer from Current a/c..512781 to Private Cheq Acc..566332 @ Smartapp. Avail R14749. 14May 11:37</x:v>
      </x:c>
      <x:c r="I377" s="15" t="str">
        <x:v>eml_ALL_currentac__512781 (2).zip &gt; eml2currentac__512781.zip / FNB _-) R1000.00 t_fer from Current a_c..512781 to Private Cheq Acc..566332 @ Smartapp. 14May 11_37.eml</x:v>
      </x:c>
    </x:row>
    <x:row r="378">
      <x:c r="A378" s="34" t="n">
        <x:v>46156.489583333336</x:v>
      </x:c>
      <x:c r="B378" s="15" t="str">
        <x:v>Internal Transfer</x:v>
      </x:c>
      <x:c r="C378" s="15" t="str">
        <x:v>Private Cheq Acc..566332</x:v>
      </x:c>
      <x:c r="D378" s="38" t="n">
        <x:v>400</x:v>
      </x:c>
      <x:c r="E378" s="15" t="str">
        <x:v>ZAR</x:v>
      </x:c>
      <x:c r="F378" s="15" t="str">
        <x:v>Inter-account transfer</x:v>
      </x:c>
      <x:c r="G378" s="15" t="str">
        <x:v>Current a/c..512781</x:v>
      </x:c>
      <x:c r="H378" s="15" t="str">
        <x:v>R400.00 t/fer from Current a/c..512781 to Private Cheq Acc..566332 @ Smartapp. Avail R14349. 14May 11:45</x:v>
      </x:c>
      <x:c r="I378" s="15" t="str">
        <x:v>eml_ALL_currentac__512781 (2).zip &gt; eml2currentac__512781.zip / FNB _-) R400.00 t_fer from Current a_c..512781 to Private Cheq Acc..566332 @ Smartapp. 14May 11_45.eml</x:v>
      </x:c>
    </x:row>
    <x:row r="379">
      <x:c r="A379" s="34" t="n">
        <x:v>46156.677777777775</x:v>
      </x:c>
      <x:c r="B379" s="15" t="str">
        <x:v>Outflow</x:v>
      </x:c>
      <x:c r="C379" s="15" t="str">
        <x:v>Cm Coetzee Wage</x:v>
      </x:c>
      <x:c r="D379" s="38" t="n">
        <x:v>1500</x:v>
      </x:c>
      <x:c r="E379" s="15" t="str">
        <x:v>ZAR</x:v>
      </x:c>
      <x:c r="F379" s="15" t="str">
        <x:v>Salary / wages</x:v>
      </x:c>
      <x:c r="G379" s="15" t="str">
        <x:v>Current a/c..512781</x:v>
      </x:c>
      <x:c r="H379" s="15" t="str">
        <x:v>Cm Coetzee Wage</x:v>
      </x:c>
      <x:c r="I379" s="15" t="str">
        <x:v>eml_ALL_currentac__512781 (2).zip &gt; eml2currentac__512781.zip / FNB _-) R1500.00 paid from Current a_c..512781 @ Smartapp. Ref.Cm Coetzee Wage. 14May 16_16.eml</x:v>
      </x:c>
    </x:row>
    <x:row r="380">
      <x:c r="A380" s="34" t="n">
        <x:v>46157.345138888886</x:v>
      </x:c>
      <x:c r="B380" s="15" t="str">
        <x:v>Outflow</x:v>
      </x:c>
      <x:c r="C380" s="15" t="str">
        <x:v>Electricity 14503572</x:v>
      </x:c>
      <x:c r="D380" s="38" t="n">
        <x:v>150</x:v>
      </x:c>
      <x:c r="E380" s="15" t="str">
        <x:v>ZAR</x:v>
      </x:c>
      <x:c r="F380" s="15" t="str">
        <x:v>Telecom / utilities</x:v>
      </x:c>
      <x:c r="G380" s="15" t="str">
        <x:v>Current a/c..512781</x:v>
      </x:c>
      <x:c r="H380" s="15" t="str">
        <x:v>Electricity 14503572</x:v>
      </x:c>
      <x:c r="I380" s="15" t="str">
        <x:v>eml_ALL_currentac__512781 (2).zip &gt; eml2currentac__512781.zip / FNB _-) R150.00 paid from Current a_c..512781 @ Smartapp. Ref.Electricity 14503572. 15May 08_17.eml</x:v>
      </x:c>
    </x:row>
    <x:row r="381">
      <x:c r="A381" s="34" t="n">
        <x:v>46157.34861111111</x:v>
      </x:c>
      <x:c r="B381" s="15" t="str">
        <x:v>Inflow</x:v>
      </x:c>
      <x:c r="C381" s="15" t="str">
        <x:v>R026rzc0k0 Booking.c</x:v>
      </x:c>
      <x:c r="D381" s="38" t="n">
        <x:v>13502.81</x:v>
      </x:c>
      <x:c r="E381" s="15" t="str">
        <x:v>ZAR</x:v>
      </x:c>
      <x:c r="F381" s="15" t="str">
        <x:v>Sales / customer receipts</x:v>
      </x:c>
      <x:c r="G381" s="15" t="str">
        <x:v>Current a/c..512781</x:v>
      </x:c>
      <x:c r="H381" s="15" t="str">
        <x:v>R026rzc0k0 Booking.c</x:v>
      </x:c>
      <x:c r="I381" s="15" t="str">
        <x:v>eml_ALL_currentac__512781 (2).zip &gt; eml2currentac__512781.zip / FNB _-) R13502.81 paid to Current a_c..512781 @ Retail Forex. Ref.R026rzc0k0 Booking.c. 15May 08_22.eml</x:v>
      </x:c>
    </x:row>
    <x:row r="382">
      <x:c r="A382" s="34" t="n">
        <x:v>46157.34930555556</x:v>
      </x:c>
      <x:c r="B382" s="15" t="str">
        <x:v>Outflow</x:v>
      </x:c>
      <x:c r="C382" s="15" t="str">
        <x:v>Salary</x:v>
      </x:c>
      <x:c r="D382" s="38" t="n">
        <x:v>2000</x:v>
      </x:c>
      <x:c r="E382" s="15" t="str">
        <x:v>ZAR</x:v>
      </x:c>
      <x:c r="F382" s="15" t="str">
        <x:v>Salary / wages</x:v>
      </x:c>
      <x:c r="G382" s="15" t="str">
        <x:v>Current a/c..512781</x:v>
      </x:c>
      <x:c r="H382" s="15" t="str">
        <x:v>Salary</x:v>
      </x:c>
      <x:c r="I382" s="15" t="str">
        <x:v>eml_ALL_currentac__512781 (2).zip &gt; eml2currentac__512781.zip / FNB _-) R2000.00 paid from Current a_c..512781 @ Smartapp. Ref.Salary. 15May 08_23.eml</x:v>
      </x:c>
    </x:row>
    <x:row r="383">
      <x:c r="A383" s="34" t="n">
        <x:v>46158.44305555556</x:v>
      </x:c>
      <x:c r="B383" s="15" t="str">
        <x:v>Inflow</x:v>
      </x:c>
      <x:c r="C383" s="15" t="str">
        <x:v>Ik Pay 487882</x:v>
      </x:c>
      <x:c r="D383" s="38" t="n">
        <x:v>371</x:v>
      </x:c>
      <x:c r="E383" s="15" t="str">
        <x:v>ZAR</x:v>
      </x:c>
      <x:c r="F383" s="15" t="str">
        <x:v>Sales / customer receipts</x:v>
      </x:c>
      <x:c r="G383" s="15" t="str">
        <x:v>Current a/c..512781</x:v>
      </x:c>
      <x:c r="H383" s="15" t="str">
        <x:v>Ik Pay 487882</x:v>
      </x:c>
      <x:c r="I383" s="15" t="str">
        <x:v>eml_ALL_currentac__512781 (2).zip &gt; eml2currentac__512781.zip / FNB _-) R371.00 paid to Current a_c..512781 @ Payshap. Ref.Ik Pay 487882. 16May 10_38.eml</x:v>
      </x:c>
    </x:row>
    <x:row r="384">
      <x:c r="A384" s="34" t="n">
        <x:v>46158.61111111111</x:v>
      </x:c>
      <x:c r="B384" s="15" t="str">
        <x:v>Outflow</x:v>
      </x:c>
      <x:c r="C384" s="15" t="str">
        <x:v>Send Tyron Bos</x:v>
      </x:c>
      <x:c r="D384" s="38" t="n">
        <x:v>1000</x:v>
      </x:c>
      <x:c r="E384" s="15" t="str">
        <x:v>ZAR</x:v>
      </x:c>
      <x:c r="F384" s="15" t="str">
        <x:v>Supplier payments</x:v>
      </x:c>
      <x:c r="G384" s="15" t="str">
        <x:v>Current a/c..512781</x:v>
      </x:c>
      <x:c r="H384" s="15" t="str">
        <x:v>Send Tyron Bos</x:v>
      </x:c>
      <x:c r="I384" s="15" t="str">
        <x:v>eml_ALL_currentac__512781 (2).zip &gt; eml2currentac__512781.zip / FNB _-) R1000.00 paid from Current a_c..512781 @ Smartapp. Ref.Send Tyron Bos. 16May 14_40.eml</x:v>
      </x:c>
    </x:row>
    <x:row r="385">
      <x:c r="A385" s="34" t="n">
        <x:v>46158.77916666667</x:v>
      </x:c>
      <x:c r="B385" s="15" t="str">
        <x:v>Outflow</x:v>
      </x:c>
      <x:c r="C385" s="15" t="str">
        <x:v>Electricity 14503572</x:v>
      </x:c>
      <x:c r="D385" s="38" t="n">
        <x:v>150</x:v>
      </x:c>
      <x:c r="E385" s="15" t="str">
        <x:v>ZAR</x:v>
      </x:c>
      <x:c r="F385" s="15" t="str">
        <x:v>Telecom / utilities</x:v>
      </x:c>
      <x:c r="G385" s="15" t="str">
        <x:v>Current a/c..512781</x:v>
      </x:c>
      <x:c r="H385" s="15" t="str">
        <x:v>Electricity 14503572</x:v>
      </x:c>
      <x:c r="I385" s="15" t="str">
        <x:v>eml_ALL_currentac__512781 (2).zip &gt; eml2currentac__512781.zip / FNB _-) R150.00 paid from Current a_c..512781 @ Smartapp. Ref.Electricity 14503572. 16May 18_42.eml</x:v>
      </x:c>
    </x:row>
    <x:row r="386">
      <x:c r="A386" s="34" t="n">
        <x:v>46159.529861111114</x:v>
      </x:c>
      <x:c r="B386" s="15" t="str">
        <x:v>Outflow</x:v>
      </x:c>
      <x:c r="C386" s="15" t="str">
        <x:v>Staff</x:v>
      </x:c>
      <x:c r="D386" s="38" t="n">
        <x:v>1000</x:v>
      </x:c>
      <x:c r="E386" s="15" t="str">
        <x:v>ZAR</x:v>
      </x:c>
      <x:c r="F386" s="15" t="str">
        <x:v>Salary / wages</x:v>
      </x:c>
      <x:c r="G386" s="15" t="str">
        <x:v>Current a/c..512781</x:v>
      </x:c>
      <x:c r="H386" s="15" t="str">
        <x:v>Staff</x:v>
      </x:c>
      <x:c r="I386" s="15" t="str">
        <x:v>eml_ALL_currentac__512781 (2).zip &gt; eml2currentac__512781.zip / FNB _-) R1000.00 paid from Current a_c..512781 @ Smartapp. Ref.Staff. 17May 12_43.eml</x:v>
      </x:c>
    </x:row>
    <x:row r="387">
      <x:c r="A387" s="34" t="n">
        <x:v>46160.46597222222</x:v>
      </x:c>
      <x:c r="B387" s="15" t="str">
        <x:v>Outflow</x:v>
      </x:c>
      <x:c r="C387" s="15" t="str">
        <x:v>Car</x:v>
      </x:c>
      <x:c r="D387" s="38" t="n">
        <x:v>5000</x:v>
      </x:c>
      <x:c r="E387" s="15" t="str">
        <x:v>ZAR</x:v>
      </x:c>
      <x:c r="F387" s="15" t="str">
        <x:v>Supplier payments</x:v>
      </x:c>
      <x:c r="G387" s="15" t="str">
        <x:v>Current a/c..512781</x:v>
      </x:c>
      <x:c r="H387" s="15" t="str">
        <x:v>Car</x:v>
      </x:c>
      <x:c r="I387" s="15" t="str">
        <x:v>eml_ALL_currentac__512781 (2).zip &gt; eml2currentac__512781.zip / FNB _-) R5000.00 paid from Current a_c..512781 @ Smartapp. Ref.Car. 18May 11_11.eml</x:v>
      </x:c>
    </x:row>
    <x:row r="388">
      <x:c r="A388" s="34" t="n">
        <x:v>46160.572916666664</x:v>
      </x:c>
      <x:c r="B388" s="15" t="str">
        <x:v>Inflow</x:v>
      </x:c>
      <x:c r="C388" s="15" t="str">
        <x:v>Ik Pay 487882</x:v>
      </x:c>
      <x:c r="D388" s="38" t="n">
        <x:v>335.25</x:v>
      </x:c>
      <x:c r="E388" s="15" t="str">
        <x:v>ZAR</x:v>
      </x:c>
      <x:c r="F388" s="15" t="str">
        <x:v>Sales / customer receipts</x:v>
      </x:c>
      <x:c r="G388" s="15" t="str">
        <x:v>Current a/c..512781</x:v>
      </x:c>
      <x:c r="H388" s="15" t="str">
        <x:v>Ik Pay 487882</x:v>
      </x:c>
      <x:c r="I388" s="15" t="str">
        <x:v>eml_ALL_currentac__512781 (2).zip &gt; eml2currentac__512781.zip / FNB _-) R335.25 paid to Current a_c..512781 @ Payshap. Ref.Ik Pay 487882. 18May 13_45.eml</x:v>
      </x:c>
    </x:row>
    <x:row r="389">
      <x:c r="A389" s="34" t="n">
        <x:v>46160.73333333333</x:v>
      </x:c>
      <x:c r="B389" s="15" t="str">
        <x:v>Outflow</x:v>
      </x:c>
      <x:c r="C389" s="15" t="str">
        <x:v>Electricity 14503572</x:v>
      </x:c>
      <x:c r="D389" s="38" t="n">
        <x:v>150</x:v>
      </x:c>
      <x:c r="E389" s="15" t="str">
        <x:v>ZAR</x:v>
      </x:c>
      <x:c r="F389" s="15" t="str">
        <x:v>Telecom / utilities</x:v>
      </x:c>
      <x:c r="G389" s="15" t="str">
        <x:v>Current a/c..512781</x:v>
      </x:c>
      <x:c r="H389" s="15" t="str">
        <x:v>Electricity 14503572</x:v>
      </x:c>
      <x:c r="I389" s="15" t="str">
        <x:v>eml_ALL_currentac__512781 (2).zip &gt; eml2currentac__512781.zip / FNB _-) R150.00 paid from Current a_c..512781 @ Smartapp. Ref.Electricity 14503572. 18May 17_36.eml</x:v>
      </x:c>
    </x:row>
    <x:row r="390">
      <x:c r="A390" s="34" t="n">
        <x:v>46161.638194444444</x:v>
      </x:c>
      <x:c r="B390" s="15" t="str">
        <x:v>Outflow</x:v>
      </x:c>
      <x:c r="C390" s="15" t="str">
        <x:v>Salary</x:v>
      </x:c>
      <x:c r="D390" s="38" t="n">
        <x:v>1000</x:v>
      </x:c>
      <x:c r="E390" s="15" t="str">
        <x:v>ZAR</x:v>
      </x:c>
      <x:c r="F390" s="15" t="str">
        <x:v>Salary / wages</x:v>
      </x:c>
      <x:c r="G390" s="15" t="str">
        <x:v>Current a/c..512781</x:v>
      </x:c>
      <x:c r="H390" s="15" t="str">
        <x:v>Salary</x:v>
      </x:c>
      <x:c r="I390" s="15" t="str">
        <x:v>eml_ALL_currentac__512781 (2).zip &gt; eml2currentac__512781.zip / FNB _-) R1000.00 paid from Current a_c..512781 @ Smartapp. Ref.Salary. 19May 15_19.eml</x:v>
      </x:c>
    </x:row>
    <x:row r="391">
      <x:c r="A391" s="34" t="n">
        <x:v>46161.675</x:v>
      </x:c>
      <x:c r="B391" s="15" t="str">
        <x:v>Outflow</x:v>
      </x:c>
      <x:c r="C391" s="15" t="str">
        <x:v>Electricity 04294887</x:v>
      </x:c>
      <x:c r="D391" s="38" t="n">
        <x:v>500</x:v>
      </x:c>
      <x:c r="E391" s="15" t="str">
        <x:v>ZAR</x:v>
      </x:c>
      <x:c r="F391" s="15" t="str">
        <x:v>Telecom / utilities</x:v>
      </x:c>
      <x:c r="G391" s="15" t="str">
        <x:v>Current a/c..512781</x:v>
      </x:c>
      <x:c r="H391" s="15" t="str">
        <x:v>Electricity 04294887</x:v>
      </x:c>
      <x:c r="I391" s="15" t="str">
        <x:v>eml_ALL_currentac__512781 (2).zip &gt; eml2currentac__512781.zip / FNB _-) R500.00 paid from Current a_c..512781 @ Smartapp. Ref.Electricity 04294887. 19May 16_12.eml</x:v>
      </x:c>
    </x:row>
    <x:row r="392">
      <x:c r="A392" s="34" t="n">
        <x:v>46162.58125</x:v>
      </x:c>
      <x:c r="B392" s="15" t="str">
        <x:v>Inflow</x:v>
      </x:c>
      <x:c r="C392" s="15" t="str">
        <x:v>Ik Pay 487882</x:v>
      </x:c>
      <x:c r="D392" s="38" t="n">
        <x:v>3197.67</x:v>
      </x:c>
      <x:c r="E392" s="15" t="str">
        <x:v>ZAR</x:v>
      </x:c>
      <x:c r="F392" s="15" t="str">
        <x:v>Sales / customer receipts</x:v>
      </x:c>
      <x:c r="G392" s="15" t="str">
        <x:v>Current a/c..512781</x:v>
      </x:c>
      <x:c r="H392" s="15" t="str">
        <x:v>Ik Pay 487882</x:v>
      </x:c>
      <x:c r="I392" s="15" t="str">
        <x:v>eml_ALL_currentac__512781 (2).zip &gt; eml2currentac__512781.zip / FNB _-) R3197.67 paid to Current a_c..512781 @ Payshap. Ref.Ik Pay 487882. 20May 13_57.eml</x:v>
      </x:c>
    </x:row>
    <x:row r="393">
      <x:c r="A393" s="34" t="n">
        <x:v>46162.68194444444</x:v>
      </x:c>
      <x:c r="B393" s="15" t="str">
        <x:v>Outflow</x:v>
      </x:c>
      <x:c r="C393" s="15" t="str">
        <x:v>Staff Loan</x:v>
      </x:c>
      <x:c r="D393" s="38" t="n">
        <x:v>1000</x:v>
      </x:c>
      <x:c r="E393" s="15" t="str">
        <x:v>ZAR</x:v>
      </x:c>
      <x:c r="F393" s="15" t="str">
        <x:v>Salary / wages</x:v>
      </x:c>
      <x:c r="G393" s="15" t="str">
        <x:v>Current a/c..512781</x:v>
      </x:c>
      <x:c r="H393" s="15" t="str">
        <x:v>Staff Loan</x:v>
      </x:c>
      <x:c r="I393" s="15" t="str">
        <x:v>eml_ALL_currentac__512781 (2).zip &gt; eml2currentac__512781.zip / FNB _-) R1000.00 paid from Current a_c..512781 @ Smartapp. Ref.Staff Loan. 20May 16_22.eml</x:v>
      </x:c>
    </x:row>
    <x:row r="394">
      <x:c r="A394" s="34" t="n">
        <x:v>46163.34375</x:v>
      </x:c>
      <x:c r="B394" s="15" t="str">
        <x:v>Inflow</x:v>
      </x:c>
      <x:c r="C394" s="15" t="str">
        <x:v>R026rpg4x0 Booking.c</x:v>
      </x:c>
      <x:c r="D394" s="38" t="n">
        <x:v>28594.43</x:v>
      </x:c>
      <x:c r="E394" s="15" t="str">
        <x:v>ZAR</x:v>
      </x:c>
      <x:c r="F394" s="15" t="str">
        <x:v>Sales / customer receipts</x:v>
      </x:c>
      <x:c r="G394" s="15" t="str">
        <x:v>Current a/c..512781</x:v>
      </x:c>
      <x:c r="H394" s="15" t="str">
        <x:v>R026rpg4x0 Booking.c</x:v>
      </x:c>
      <x:c r="I394" s="15" t="str">
        <x:v>eml_ALL_currentac__512781 (2).zip &gt; eml2currentac__512781.zip / FNB _-) R28594.43 paid to Current a_c..512781 @ Retail Forex. Ref.R026rpg4x0 Booking.c. 21May 08_15.eml</x:v>
      </x:c>
    </x:row>
    <x:row r="395">
      <x:c r="A395" s="34" t="n">
        <x:v>46163.49722222222</x:v>
      </x:c>
      <x:c r="B395" s="15" t="str">
        <x:v>Internal Transfer</x:v>
      </x:c>
      <x:c r="C395" s="15" t="str">
        <x:v>Private Cheq Acc..566332</x:v>
      </x:c>
      <x:c r="D395" s="38" t="n">
        <x:v>300</x:v>
      </x:c>
      <x:c r="E395" s="15" t="str">
        <x:v>ZAR</x:v>
      </x:c>
      <x:c r="F395" s="15" t="str">
        <x:v>Inter-account transfer</x:v>
      </x:c>
      <x:c r="G395" s="15" t="str">
        <x:v>Current a/c..512781</x:v>
      </x:c>
      <x:c r="H395" s="15" t="str">
        <x:v>R300.00 t/fer from Current a/c..512781 to Private Cheq Acc..566332 @ Smartapp. Avail R35937. 21May 11:56</x:v>
      </x:c>
      <x:c r="I395" s="15" t="str">
        <x:v>eml_ALL_currentac__512781 (2).zip &gt; eml2currentac__512781.zip / FNB _-) R300.00 t_fer from Current a_c..512781 to Private Cheq Acc..566332 @ Smartapp. 21May 11_56.eml</x:v>
      </x:c>
    </x:row>
    <x:row r="396">
      <x:c r="A396" s="34" t="n">
        <x:v>46164.254166666666</x:v>
      </x:c>
      <x:c r="B396" s="15" t="str">
        <x:v>Outflow</x:v>
      </x:c>
      <x:c r="C396" s="15" t="str">
        <x:v>Electricity 04279376</x:v>
      </x:c>
      <x:c r="D396" s="38" t="n">
        <x:v>1000</x:v>
      </x:c>
      <x:c r="E396" s="15" t="str">
        <x:v>ZAR</x:v>
      </x:c>
      <x:c r="F396" s="15" t="str">
        <x:v>Telecom / utilities</x:v>
      </x:c>
      <x:c r="G396" s="15" t="str">
        <x:v>Current a/c..512781</x:v>
      </x:c>
      <x:c r="H396" s="15" t="str">
        <x:v>Electricity 04279376</x:v>
      </x:c>
      <x:c r="I396" s="15" t="str">
        <x:v>eml_ALL_currentac__512781 (2).zip &gt; eml2currentac__512781.zip / FNB _-) R1000.00 paid from Current a_c..512781 @ Smartapp. Ref.Electricity 04279376. 22May 06_06.eml</x:v>
      </x:c>
    </x:row>
    <x:row r="397">
      <x:c r="A397" s="34" t="n">
        <x:v>46164.595138888886</x:v>
      </x:c>
      <x:c r="B397" s="15" t="str">
        <x:v>Outflow</x:v>
      </x:c>
      <x:c r="C397" s="15" t="str">
        <x:v>Fuel</x:v>
      </x:c>
      <x:c r="D397" s="38" t="n">
        <x:v>1000</x:v>
      </x:c>
      <x:c r="E397" s="15" t="str">
        <x:v>ZAR</x:v>
      </x:c>
      <x:c r="F397" s="15" t="str">
        <x:v>Fuel / transport</x:v>
      </x:c>
      <x:c r="G397" s="15" t="str">
        <x:v>Current a/c..512781</x:v>
      </x:c>
      <x:c r="H397" s="15" t="str">
        <x:v>Fuel</x:v>
      </x:c>
      <x:c r="I397" s="15" t="str">
        <x:v>eml_ALL_currentac__512781 (2).zip &gt; eml2currentac__512781.zip / FNB _-) R1000.00 paid from Current a_c..512781 @ Smartapp. Ref.Fuel. 22May 14_17.eml</x:v>
      </x:c>
    </x:row>
    <x:row r="398">
      <x:c r="A398" s="34" t="n">
        <x:v>46164.646527777775</x:v>
      </x:c>
      <x:c r="B398" s="15" t="str">
        <x:v>Internal Transfer</x:v>
      </x:c>
      <x:c r="C398" s="15" t="str">
        <x:v>Private Cheq Acc..566332</x:v>
      </x:c>
      <x:c r="D398" s="38" t="n">
        <x:v>1000</x:v>
      </x:c>
      <x:c r="E398" s="15" t="str">
        <x:v>ZAR</x:v>
      </x:c>
      <x:c r="F398" s="15" t="str">
        <x:v>Inter-account transfer</x:v>
      </x:c>
      <x:c r="G398" s="15" t="str">
        <x:v>Current a/c..512781</x:v>
      </x:c>
      <x:c r="H398" s="15" t="str">
        <x:v>R1000.00 t/fer from Current a/c..512781 to Private Cheq Acc..566332 @ Smartapp. Avail R30877. 22May 15:31</x:v>
      </x:c>
      <x:c r="I398" s="15" t="str">
        <x:v>eml_ALL_currentac__512781 (2).zip &gt; eml2currentac__512781.zip / FNB _-) R1000.00 t_fer from Current a_c..512781 to Private Cheq Acc..566332 @ Smartapp. 22May 15_31.eml</x:v>
      </x:c>
    </x:row>
    <x:row r="399">
      <x:c r="A399" s="34" t="n">
        <x:v>46164.75625</x:v>
      </x:c>
      <x:c r="B399" s="15" t="str">
        <x:v>Outflow</x:v>
      </x:c>
      <x:c r="C399" s="15" t="str">
        <x:v>Sakkie Wages</x:v>
      </x:c>
      <x:c r="D399" s="38" t="n">
        <x:v>2500</x:v>
      </x:c>
      <x:c r="E399" s="15" t="str">
        <x:v>ZAR</x:v>
      </x:c>
      <x:c r="F399" s="15" t="str">
        <x:v>Salary / wages</x:v>
      </x:c>
      <x:c r="G399" s="15" t="str">
        <x:v>Current a/c..512781</x:v>
      </x:c>
      <x:c r="H399" s="15" t="str">
        <x:v>Sakkie Wages</x:v>
      </x:c>
      <x:c r="I399" s="15" t="str">
        <x:v>eml_ALL_currentac__512781 (2).zip &gt; eml2currentac__512781.zip / FNB _-) R2500.00 paid from Current a_c..512781 @ Smartapp. Ref.Sakkie Wages. 22May 18_09.eml</x:v>
      </x:c>
    </x:row>
    <x:row r="400">
      <x:c r="A400" s="34" t="n">
        <x:v>46165.42083333333</x:v>
      </x:c>
      <x:c r="B400" s="15" t="str">
        <x:v>Outflow</x:v>
      </x:c>
      <x:c r="C400" s="15" t="str">
        <x:v>Electricity 14503572</x:v>
      </x:c>
      <x:c r="D400" s="38" t="n">
        <x:v>150</x:v>
      </x:c>
      <x:c r="E400" s="15" t="str">
        <x:v>ZAR</x:v>
      </x:c>
      <x:c r="F400" s="15" t="str">
        <x:v>Telecom / utilities</x:v>
      </x:c>
      <x:c r="G400" s="15" t="str">
        <x:v>Current a/c..512781</x:v>
      </x:c>
      <x:c r="H400" s="15" t="str">
        <x:v>Electricity 14503572</x:v>
      </x:c>
      <x:c r="I400" s="15" t="str">
        <x:v>eml_ALL_currentac__512781 (2).zip &gt; eml2currentac__512781.zip / FNB _-) R150.00 paid from Current a_c..512781 @ Smartapp. Ref.Electricity 14503572. 23May 10_06.eml</x:v>
      </x:c>
    </x:row>
    <x:row r="401">
      <x:c r="A401" s="34" t="n">
        <x:v>46166.77361111111</x:v>
      </x:c>
      <x:c r="B401" s="15" t="str">
        <x:v>Internal Transfer</x:v>
      </x:c>
      <x:c r="C401" s="15" t="str">
        <x:v>Private Cheq Acc..566332</x:v>
      </x:c>
      <x:c r="D401" s="38" t="n">
        <x:v>500</x:v>
      </x:c>
      <x:c r="E401" s="15" t="str">
        <x:v>ZAR</x:v>
      </x:c>
      <x:c r="F401" s="15" t="str">
        <x:v>Inter-account transfer</x:v>
      </x:c>
      <x:c r="G401" s="15" t="str">
        <x:v>Current a/c..512781</x:v>
      </x:c>
      <x:c r="H401" s="15" t="str">
        <x:v>R500.00 t/fer from Current a/c..512781 to Private Cheq Acc..566332 @ Smartapp. Avail R26128. 24May 18:34</x:v>
      </x:c>
      <x:c r="I401" s="15" t="str">
        <x:v>eml_ALL_currentac__512781 (2).zip &gt; eml2currentac__512781.zip / FNB _-) R500.00 t_fer from Current a_c..512781 to Private Cheq Acc..566332 @ Smartapp. 24May 18_34.eml</x:v>
      </x:c>
    </x:row>
    <x:row r="402">
      <x:c r="A402" s="34" t="n">
        <x:v>46166.774305555555</x:v>
      </x:c>
      <x:c r="B402" s="15" t="str">
        <x:v>Internal Transfer</x:v>
      </x:c>
      <x:c r="C402" s="15" t="str">
        <x:v>Private Cheq Acc..566332</x:v>
      </x:c>
      <x:c r="D402" s="38" t="n">
        <x:v>200</x:v>
      </x:c>
      <x:c r="E402" s="15" t="str">
        <x:v>ZAR</x:v>
      </x:c>
      <x:c r="F402" s="15" t="str">
        <x:v>Inter-account transfer</x:v>
      </x:c>
      <x:c r="G402" s="15" t="str">
        <x:v>Current a/c..512781</x:v>
      </x:c>
      <x:c r="H402" s="15" t="str">
        <x:v>R200.00 t/fer from Current a/c..512781 to Private Cheq Acc..566332 @ Smartapp. Avail R25928. 24May 18:35</x:v>
      </x:c>
      <x:c r="I402" s="15" t="str">
        <x:v>eml_ALL_currentac__512781 (2).zip &gt; eml2currentac__512781.zip / FNB _-) R200.00 t_fer from Current a_c..512781 to Private Cheq Acc..566332 @ Smartapp. 24May 18_35.eml</x:v>
      </x:c>
    </x:row>
    <x:row r="403">
      <x:c r="A403" s="34" t="n">
        <x:v>46166.94305555556</x:v>
      </x:c>
      <x:c r="B403" s="15" t="str">
        <x:v>Internal Transfer</x:v>
      </x:c>
      <x:c r="C403" s="15" t="str">
        <x:v>Private Cheq Acc..566332</x:v>
      </x:c>
      <x:c r="D403" s="38" t="n">
        <x:v>200</x:v>
      </x:c>
      <x:c r="E403" s="15" t="str">
        <x:v>ZAR</x:v>
      </x:c>
      <x:c r="F403" s="15" t="str">
        <x:v>Inter-account transfer</x:v>
      </x:c>
      <x:c r="G403" s="15" t="str">
        <x:v>Current a/c..512781</x:v>
      </x:c>
      <x:c r="H403" s="15" t="str">
        <x:v>R200.00 t/fer from Current a/c..512781 to Private Cheq Acc..566332 @ Smartapp. Avail R25728. 24May 22:38</x:v>
      </x:c>
      <x:c r="I403" s="15" t="str">
        <x:v>eml_ALL_currentac__512781 (2).zip &gt; eml2currentac__512781.zip / FNB _-) R200.00 t_fer from Current a_c..512781 to Private Cheq Acc..566332 @ Smartapp. 24May 22_38.eml</x:v>
      </x:c>
    </x:row>
    <x:row r="404">
      <x:c r="A404" s="34" t="n">
        <x:v>46167.489583333336</x:v>
      </x:c>
      <x:c r="B404" s="15" t="str">
        <x:v>Outflow</x:v>
      </x:c>
      <x:c r="C404" s="15" t="str">
        <x:v>Kruger Sa 1698 50%</x:v>
      </x:c>
      <x:c r="D404" s="38" t="n">
        <x:v>3454.5</x:v>
      </x:c>
      <x:c r="E404" s="15" t="str">
        <x:v>ZAR</x:v>
      </x:c>
      <x:c r="F404" s="15" t="str">
        <x:v>Supplier payments</x:v>
      </x:c>
      <x:c r="G404" s="15" t="str">
        <x:v>Current a/c..512781</x:v>
      </x:c>
      <x:c r="H404" s="15" t="str">
        <x:v>Kruger Sa 1698 50%</x:v>
      </x:c>
      <x:c r="I404" s="15" t="str">
        <x:v>eml_ALL_currentac__512781 (2).zip &gt; eml2currentac__512781.zip / FNB _-) R3454.50 paid from Current a_c..512781 @ Smartapp. Ref.Kruger Sa 1698 50%. 25May 11_45.eml</x:v>
      </x:c>
    </x:row>
    <x:row r="405">
      <x:c r="A405" s="34" t="n">
        <x:v>46167.49166666667</x:v>
      </x:c>
      <x:c r="B405" s="15" t="str">
        <x:v>Outflow</x:v>
      </x:c>
      <x:c r="C405" s="15" t="str">
        <x:v>Royal Bush 3979</x:v>
      </x:c>
      <x:c r="D405" s="38" t="n">
        <x:v>4240</x:v>
      </x:c>
      <x:c r="E405" s="15" t="str">
        <x:v>ZAR</x:v>
      </x:c>
      <x:c r="F405" s="15" t="str">
        <x:v>Supplier payments</x:v>
      </x:c>
      <x:c r="G405" s="15" t="str">
        <x:v>Current a/c..512781</x:v>
      </x:c>
      <x:c r="H405" s="15" t="str">
        <x:v>Royal Bush 3979</x:v>
      </x:c>
      <x:c r="I405" s="15" t="str">
        <x:v>eml_ALL_currentac__512781 (2).zip &gt; eml2currentac__512781.zip / FNB _-) R4240.00 paid from Current a_c..512781 @ Smartapp. Ref.Royal Bush 3979. 25May 11_48.eml</x:v>
      </x:c>
    </x:row>
    <x:row r="406">
      <x:c r="A406" s="34" t="n">
        <x:v>46167.50069444445</x:v>
      </x:c>
      <x:c r="B406" s="15" t="str">
        <x:v>Internal Transfer</x:v>
      </x:c>
      <x:c r="C406" s="15" t="str">
        <x:v>Current a/c..261544</x:v>
      </x:c>
      <x:c r="D406" s="38" t="n">
        <x:v>5000</x:v>
      </x:c>
      <x:c r="E406" s="15" t="str">
        <x:v>ZAR</x:v>
      </x:c>
      <x:c r="F406" s="15" t="str">
        <x:v>Inter-account transfer</x:v>
      </x:c>
      <x:c r="G406" s="15" t="str">
        <x:v>Current a/c..512781</x:v>
      </x:c>
      <x:c r="H406" s="15" t="str">
        <x:v>R5000.00 t/fer from Current a/c..512781 to Current a/c..261544 @ Smartapp. Avail R16280. 25May 12:01</x:v>
      </x:c>
      <x:c r="I406" s="15" t="str">
        <x:v>eml_ALL_currentac__512781 (2).zip &gt; eml2currentac__512781.zip / FNB _-) R5000.00 t_fer from Current a_c..512781 to Current a_c..261544 @ Smartapp. 25May 12_01.eml</x:v>
      </x:c>
    </x:row>
    <x:row r="407">
      <x:c r="A407" s="34" t="n">
        <x:v>46167.583333333336</x:v>
      </x:c>
      <x:c r="B407" s="15" t="str">
        <x:v>Inflow</x:v>
      </x:c>
      <x:c r="C407" s="15" t="str">
        <x:v>6114000315</x:v>
      </x:c>
      <x:c r="D407" s="38" t="n">
        <x:v>38411.98</x:v>
      </x:c>
      <x:c r="E407" s="15" t="str">
        <x:v>ZAR</x:v>
      </x:c>
      <x:c r="F407" s="15" t="str">
        <x:v>Sales / customer receipts</x:v>
      </x:c>
      <x:c r="G407" s="15" t="str">
        <x:v>Current a/c..512781</x:v>
      </x:c>
      <x:c r="H407" s="15" t="str">
        <x:v>6114000315</x:v>
      </x:c>
      <x:c r="I407" s="15" t="str">
        <x:v>eml_ALL_currentac__512781 (2).zip &gt; eml2currentac__512781.zip / FNB _-) R38411.98 paid to Current a_c..512781 @ Real Time Cl. Ref.6114000315. 25May 14_00.eml</x:v>
      </x:c>
    </x:row>
    <x:row r="408">
      <x:c r="A408" s="34" t="n">
        <x:v>46167.62013888889</x:v>
      </x:c>
      <x:c r="B408" s="15" t="str">
        <x:v>Internal Transfer</x:v>
      </x:c>
      <x:c r="C408" s="15" t="str">
        <x:v>Private Cheq Acc..566332</x:v>
      </x:c>
      <x:c r="D408" s="38" t="n">
        <x:v>600</x:v>
      </x:c>
      <x:c r="E408" s="15" t="str">
        <x:v>ZAR</x:v>
      </x:c>
      <x:c r="F408" s="15" t="str">
        <x:v>Inter-account transfer</x:v>
      </x:c>
      <x:c r="G408" s="15" t="str">
        <x:v>Current a/c..512781</x:v>
      </x:c>
      <x:c r="H408" s="15" t="str">
        <x:v>R600.00 t/fer from Current a/c..512781 to Private Cheq Acc..566332 @ Smartapp. Avail R53068. 25May 14:53</x:v>
      </x:c>
      <x:c r="I408" s="15" t="str">
        <x:v>eml_ALL_currentac__512781 (2).zip &gt; eml2currentac__512781.zip / FNB _-) R600.00 t_fer from Current a_c..512781 to Private Cheq Acc..566332 @ Smartapp. 25May 14_53.eml</x:v>
      </x:c>
    </x:row>
    <x:row r="409">
      <x:c r="A409" s="34" t="n">
        <x:v>46167.73055555556</x:v>
      </x:c>
      <x:c r="B409" s="15" t="str">
        <x:v>Outflow</x:v>
      </x:c>
      <x:c r="C409" s="15" t="str">
        <x:v>Kruger Safari 1698</x:v>
      </x:c>
      <x:c r="D409" s="38" t="n">
        <x:v>6008</x:v>
      </x:c>
      <x:c r="E409" s="15" t="str">
        <x:v>ZAR</x:v>
      </x:c>
      <x:c r="F409" s="15" t="str">
        <x:v>Supplier payments</x:v>
      </x:c>
      <x:c r="G409" s="15" t="str">
        <x:v>Current a/c..512781</x:v>
      </x:c>
      <x:c r="H409" s="15" t="str">
        <x:v>Kruger Safari 1698</x:v>
      </x:c>
      <x:c r="I409" s="15" t="str">
        <x:v>eml_ALL_currentac__512781 (2).zip &gt; eml2currentac__512781.zip / FNB _-) R6008.00 paid from Current a_c..512781 @ Smartapp. Ref.Kruger Safari 1698. 25May 17_32.eml</x:v>
      </x:c>
    </x:row>
    <x:row r="410">
      <x:c r="A410" s="34" t="n">
        <x:v>46167.87708333333</x:v>
      </x:c>
      <x:c r="B410" s="15" t="str">
        <x:v>Internal Transfer</x:v>
      </x:c>
      <x:c r="C410" s="15" t="str">
        <x:v>Private Cheq Acc..566332</x:v>
      </x:c>
      <x:c r="D410" s="38" t="n">
        <x:v>500</x:v>
      </x:c>
      <x:c r="E410" s="15" t="str">
        <x:v>ZAR</x:v>
      </x:c>
      <x:c r="F410" s="15" t="str">
        <x:v>Inter-account transfer</x:v>
      </x:c>
      <x:c r="G410" s="15" t="str">
        <x:v>Current a/c..512781</x:v>
      </x:c>
      <x:c r="H410" s="15" t="str">
        <x:v>R500.00 t/fer from Current a/c..512781 to Private Cheq Acc..566332 @ Smartapp. Avail R46552. 25May 21:03</x:v>
      </x:c>
      <x:c r="I410" s="15" t="str">
        <x:v>eml_ALL_currentac__512781 (2).zip &gt; eml2currentac__512781.zip / FNB _-) R500.00 t_fer from Current a_c..512781 to Private Cheq Acc..566332 @ Smartapp. 25May 21_03.eml</x:v>
      </x:c>
    </x:row>
    <x:row r="411">
      <x:c r="A411" s="34" t="n">
        <x:v>46168.584027777775</x:v>
      </x:c>
      <x:c r="B411" s="15" t="str">
        <x:v>Inflow</x:v>
      </x:c>
      <x:c r="C411" s="15" t="str">
        <x:v>Ag1 Seaside Village</x:v>
      </x:c>
      <x:c r="D411" s="38" t="n">
        <x:v>24373</x:v>
      </x:c>
      <x:c r="E411" s="15" t="str">
        <x:v>ZAR</x:v>
      </x:c>
      <x:c r="F411" s="15" t="str">
        <x:v>Sales / customer receipts</x:v>
      </x:c>
      <x:c r="G411" s="15" t="str">
        <x:v>Current a/c..512781</x:v>
      </x:c>
      <x:c r="H411" s="15" t="str">
        <x:v>Ag1 Seaside Village</x:v>
      </x:c>
      <x:c r="I411" s="15" t="str">
        <x:v>eml_ALL_currentac__512781 (2).zip &gt; eml2currentac__512781.zip / FNB _-) R24373.00 paid to Current a_c..512781 @ Online Banking. Ref.Ag1 Seaside Village. 26May 14_01.eml</x:v>
      </x:c>
    </x:row>
    <x:row r="412">
      <x:c r="A412" s="34" t="n">
        <x:v>46168.725</x:v>
      </x:c>
      <x:c r="B412" s="15" t="str">
        <x:v>Internal Transfer</x:v>
      </x:c>
      <x:c r="C412" s="15" t="str">
        <x:v>Current a/c..261544</x:v>
      </x:c>
      <x:c r="D412" s="38" t="n">
        <x:v>25500</x:v>
      </x:c>
      <x:c r="E412" s="15" t="str">
        <x:v>ZAR</x:v>
      </x:c>
      <x:c r="F412" s="15" t="str">
        <x:v>Inter-account transfer</x:v>
      </x:c>
      <x:c r="G412" s="15" t="str">
        <x:v>Current a/c..512781</x:v>
      </x:c>
      <x:c r="H412" s="15" t="str">
        <x:v>R25500.00 t/fer from Current a/c..512781 to Current a/c..261544 @ Smartapp. Avail R45049. 26May 17:24</x:v>
      </x:c>
      <x:c r="I412" s="15" t="str">
        <x:v>eml_ALL_currentac__512781 (2).zip &gt; eml2currentac__512781.zip / FNB _-) R25500.00 t_fer from Current a_c..512781 to Current a_c..261544 @ Smartapp. 26May 17_24.eml</x:v>
      </x:c>
    </x:row>
    <x:row r="413">
      <x:c r="A413" s="34" t="n">
        <x:v>46169.43472222222</x:v>
      </x:c>
      <x:c r="B413" s="15" t="str">
        <x:v>Outflow</x:v>
      </x:c>
      <x:c r="C413" s="15" t="str">
        <x:v>Kpci - C1736</x:v>
      </x:c>
      <x:c r="D413" s="38" t="n">
        <x:v>500</x:v>
      </x:c>
      <x:c r="E413" s="15" t="str">
        <x:v>ZAR</x:v>
      </x:c>
      <x:c r="F413" s="15" t="str">
        <x:v>Supplier payments</x:v>
      </x:c>
      <x:c r="G413" s="15" t="str">
        <x:v>Current a/c..512781</x:v>
      </x:c>
      <x:c r="H413" s="15" t="str">
        <x:v>Kpci - C1736</x:v>
      </x:c>
      <x:c r="I413" s="15" t="str">
        <x:v>eml_ALL_currentac__512781 (2).zip &gt; eml2currentac__512781.zip / FNB _-) R500.00 paid from Current a_c..512781 @ Smartapp. Ref.Kpci - C1736. 27May 10_26.eml</x:v>
      </x:c>
    </x:row>
    <x:row r="414">
      <x:c r="A414" s="34" t="n">
        <x:v>46169.43541666667</x:v>
      </x:c>
      <x:c r="B414" s="15" t="str">
        <x:v>Outflow</x:v>
      </x:c>
      <x:c r="C414" s="15" t="str">
        <x:v>Sk Transfer 0213</x:v>
      </x:c>
      <x:c r="D414" s="38" t="n">
        <x:v>8200</x:v>
      </x:c>
      <x:c r="E414" s="15" t="str">
        <x:v>ZAR</x:v>
      </x:c>
      <x:c r="F414" s="15" t="str">
        <x:v>Supplier payments</x:v>
      </x:c>
      <x:c r="G414" s="15" t="str">
        <x:v>Current a/c..512781</x:v>
      </x:c>
      <x:c r="H414" s="15" t="str">
        <x:v>Sk Transfer 0213</x:v>
      </x:c>
      <x:c r="I414" s="15" t="str">
        <x:v>eml_ALL_currentac__512781 (2).zip &gt; eml2currentac__512781.zip / FNB _-) R8200.00 paid from Current a_c..512781 @ Smartapp. Ref.Sk Transfer 0213. 27May 10_27.eml</x:v>
      </x:c>
    </x:row>
    <x:row r="415">
      <x:c r="A415" s="34" t="n">
        <x:v>46169.441666666666</x:v>
      </x:c>
      <x:c r="B415" s="15" t="str">
        <x:v>Outflow</x:v>
      </x:c>
      <x:c r="C415" s="15" t="str">
        <x:v>Royal Bush 3965</x:v>
      </x:c>
      <x:c r="D415" s="38" t="n">
        <x:v>7276</x:v>
      </x:c>
      <x:c r="E415" s="15" t="str">
        <x:v>ZAR</x:v>
      </x:c>
      <x:c r="F415" s="15" t="str">
        <x:v>Supplier payments</x:v>
      </x:c>
      <x:c r="G415" s="15" t="str">
        <x:v>Current a/c..512781</x:v>
      </x:c>
      <x:c r="H415" s="15" t="str">
        <x:v>Royal Bush 3965</x:v>
      </x:c>
      <x:c r="I415" s="15" t="str">
        <x:v>eml_ALL_currentac__512781 (2).zip &gt; eml2currentac__512781.zip / FNB _-) R7276.00 paid from Current a_c..512781 @ Smartapp. Ref.Royal Bush 3965. 27May 10_36.eml</x:v>
      </x:c>
    </x:row>
    <x:row r="416">
      <x:c r="A416" s="34" t="n">
        <x:v>46169.49791666667</x:v>
      </x:c>
      <x:c r="B416" s="15" t="str">
        <x:v>Outflow</x:v>
      </x:c>
      <x:c r="C416" s="15" t="str">
        <x:v>Dinner Box 111862</x:v>
      </x:c>
      <x:c r="D416" s="38" t="n">
        <x:v>1541</x:v>
      </x:c>
      <x:c r="E416" s="15" t="str">
        <x:v>ZAR</x:v>
      </x:c>
      <x:c r="F416" s="15" t="str">
        <x:v>Meals / restaurants / entertainment</x:v>
      </x:c>
      <x:c r="G416" s="15" t="str">
        <x:v>Current a/c..512781</x:v>
      </x:c>
      <x:c r="H416" s="15" t="str">
        <x:v>Dinner Box 111862</x:v>
      </x:c>
      <x:c r="I416" s="15" t="str">
        <x:v>eml_ALL_currentac__512781 (2).zip &gt; eml2currentac__512781.zip / FNB _-) R1541.00 paid from Current a_c..512781 @ Smartapp. Ref.Dinner Box 111862. 27May 11_57.eml</x:v>
      </x:c>
    </x:row>
    <x:row r="417">
      <x:c r="A417" s="34" t="n">
        <x:v>46170.35972222222</x:v>
      </x:c>
      <x:c r="B417" s="15" t="str">
        <x:v>Inflow</x:v>
      </x:c>
      <x:c r="C417" s="15" t="str">
        <x:v>R026rbwzx0 Booking.c</x:v>
      </x:c>
      <x:c r="D417" s="38" t="n">
        <x:v>19442.24</x:v>
      </x:c>
      <x:c r="E417" s="15" t="str">
        <x:v>ZAR</x:v>
      </x:c>
      <x:c r="F417" s="15" t="str">
        <x:v>Sales / customer receipts</x:v>
      </x:c>
      <x:c r="G417" s="15" t="str">
        <x:v>Current a/c..512781</x:v>
      </x:c>
      <x:c r="H417" s="15" t="str">
        <x:v>R026rbwzx0 Booking.c</x:v>
      </x:c>
      <x:c r="I417" s="15" t="str">
        <x:v>eml_ALL_currentac__512781 (2).zip &gt; eml1currentac__512781.zip / FNB _-) R19442.24 paid to Current a_c..512781 @ Retail Forex. Ref.R026rbwzx0 Booking.c. 28May 08_38.eml</x:v>
      </x:c>
    </x:row>
    <x:row r="418">
      <x:c r="A418" s="34" t="n">
        <x:v>46170.58125</x:v>
      </x:c>
      <x:c r="B418" s="15" t="str">
        <x:v>Inflow</x:v>
      </x:c>
      <x:c r="C418" s="15" t="str">
        <x:v>Ik Pay 487882</x:v>
      </x:c>
      <x:c r="D418" s="38" t="n">
        <x:v>5770.16</x:v>
      </x:c>
      <x:c r="E418" s="15" t="str">
        <x:v>ZAR</x:v>
      </x:c>
      <x:c r="F418" s="15" t="str">
        <x:v>Sales / customer receipts</x:v>
      </x:c>
      <x:c r="G418" s="15" t="str">
        <x:v>Current a/c..512781</x:v>
      </x:c>
      <x:c r="H418" s="15" t="str">
        <x:v>Ik Pay 487882</x:v>
      </x:c>
      <x:c r="I418" s="15" t="str">
        <x:v>eml_ALL_currentac__512781 (2).zip &gt; eml1currentac__512781.zip / FNB _-) R5770.16 paid to Current a_c..512781 @ Payshap. Ref.Ik Pay 487882. 28May 13_57.eml</x:v>
      </x:c>
    </x:row>
    <x:row r="419">
      <x:c r="A419" s="34" t="n">
        <x:v>46170.65347222222</x:v>
      </x:c>
      <x:c r="B419" s="15" t="str">
        <x:v>Outflow</x:v>
      </x:c>
      <x:c r="C419" s="15" t="str">
        <x:v>Kruger Saf 1699 50%</x:v>
      </x:c>
      <x:c r="D419" s="38" t="n">
        <x:v>6909</x:v>
      </x:c>
      <x:c r="E419" s="15" t="str">
        <x:v>ZAR</x:v>
      </x:c>
      <x:c r="F419" s="15" t="str">
        <x:v>Supplier payments</x:v>
      </x:c>
      <x:c r="G419" s="15" t="str">
        <x:v>Current a/c..512781</x:v>
      </x:c>
      <x:c r="H419" s="15" t="str">
        <x:v>Kruger Saf 1699 50%</x:v>
      </x:c>
      <x:c r="I419" s="15" t="str">
        <x:v>eml_ALL_currentac__512781 (2).zip &gt; eml1currentac__512781.zip / FNB _-) R6909.00 paid from Current a_c..512781 @ Smartapp. Ref.Kruger Saf 1699 50%. 28May 15_41.eml</x:v>
      </x:c>
    </x:row>
    <x:row r="420">
      <x:c r="A420" s="34" t="n">
        <x:v>46170.756944444445</x:v>
      </x:c>
      <x:c r="B420" s="15" t="str">
        <x:v>Outflow</x:v>
      </x:c>
      <x:c r="C420" s="15" t="str">
        <x:v>Electricity 14503572</x:v>
      </x:c>
      <x:c r="D420" s="38" t="n">
        <x:v>150</x:v>
      </x:c>
      <x:c r="E420" s="15" t="str">
        <x:v>ZAR</x:v>
      </x:c>
      <x:c r="F420" s="15" t="str">
        <x:v>Telecom / utilities</x:v>
      </x:c>
      <x:c r="G420" s="15" t="str">
        <x:v>Current a/c..512781</x:v>
      </x:c>
      <x:c r="H420" s="15" t="str">
        <x:v>Electricity 14503572</x:v>
      </x:c>
      <x:c r="I420" s="15" t="str">
        <x:v>eml_ALL_currentac__512781 (2).zip &gt; eml1currentac__512781.zip / FNB _-) R150.00 paid from Current a_c..512781 @ Smartapp. Ref.Electricity 14503572. 28May 18_10.eml</x:v>
      </x:c>
    </x:row>
    <x:row r="421">
      <x:c r="A421" s="34" t="n">
        <x:v>46171.37430555555</x:v>
      </x:c>
      <x:c r="B421" s="15" t="str">
        <x:v>Internal Transfer</x:v>
      </x:c>
      <x:c r="C421" s="15" t="str">
        <x:v>FNB card a/c..279000</x:v>
      </x:c>
      <x:c r="D421" s="38" t="n">
        <x:v>5000</x:v>
      </x:c>
      <x:c r="E421" s="15" t="str">
        <x:v>ZAR</x:v>
      </x:c>
      <x:c r="F421" s="15" t="str">
        <x:v>Inter-account transfer</x:v>
      </x:c>
      <x:c r="G421" s="15" t="str">
        <x:v>Current a/c..512781</x:v>
      </x:c>
      <x:c r="H421" s="15" t="str">
        <x:v>R5000.00 t/fer from Current a/c..512781 to FNB card a/c..279000 @ Smartapp. Avail R38089. 29May 08:59</x:v>
      </x:c>
      <x:c r="I421" s="15" t="str">
        <x:v>eml_ALL_currentac__512781 (2).zip &gt; eml1currentac__512781.zip / FNB _-) R5000.00 t_fer from Current a_c..512781 to FNB card a_c..279000 @ Smartapp. 29May 08_59.eml</x:v>
      </x:c>
    </x:row>
    <x:row r="422">
      <x:c r="A422" s="34" t="n">
        <x:v>46171.45972222222</x:v>
      </x:c>
      <x:c r="B422" s="15" t="str">
        <x:v>Outflow</x:v>
      </x:c>
      <x:c r="C422" s="15" t="str">
        <x:v>Bon Express 8470</x:v>
      </x:c>
      <x:c r="D422" s="38" t="n">
        <x:v>725.77</x:v>
      </x:c>
      <x:c r="E422" s="15" t="str">
        <x:v>ZAR</x:v>
      </x:c>
      <x:c r="F422" s="15" t="str">
        <x:v>Supplier payments</x:v>
      </x:c>
      <x:c r="G422" s="15" t="str">
        <x:v>Current a/c..512781</x:v>
      </x:c>
      <x:c r="H422" s="15" t="str">
        <x:v>Bon Express 8470</x:v>
      </x:c>
      <x:c r="I422" s="15" t="str">
        <x:v>eml_ALL_currentac__512781 (2).zip &gt; eml1currentac__512781.zip / FNB _-) R725.77 paid from Current a_c..512781 @ Smartapp. Ref.Bon Express 8470. 29May 11_02.eml</x:v>
      </x:c>
    </x:row>
    <x:row r="423">
      <x:c r="A423" s="34" t="n">
        <x:v>46171.46041666667</x:v>
      </x:c>
      <x:c r="B423" s="15" t="str">
        <x:v>Outflow</x:v>
      </x:c>
      <x:c r="C423" s="15" t="str">
        <x:v>Electricity 04294887</x:v>
      </x:c>
      <x:c r="D423" s="38" t="n">
        <x:v>500</x:v>
      </x:c>
      <x:c r="E423" s="15" t="str">
        <x:v>ZAR</x:v>
      </x:c>
      <x:c r="F423" s="15" t="str">
        <x:v>Telecom / utilities</x:v>
      </x:c>
      <x:c r="G423" s="15" t="str">
        <x:v>Current a/c..512781</x:v>
      </x:c>
      <x:c r="H423" s="15" t="str">
        <x:v>Electricity 04294887</x:v>
      </x:c>
      <x:c r="I423" s="15" t="str">
        <x:v>eml_ALL_currentac__512781 (2).zip &gt; eml1currentac__512781.zip / FNB _-) R500.00 paid from Current a_c..512781 @ Smartapp. Ref.Electricity 04294887. 29May 11_03.eml</x:v>
      </x:c>
    </x:row>
    <x:row r="424">
      <x:c r="A424" s="34" t="n">
        <x:v>46172.34930555556</x:v>
      </x:c>
      <x:c r="B424" s="15" t="str">
        <x:v>Outflow</x:v>
      </x:c>
      <x:c r="C424" s="15" t="str">
        <x:v>Electricity 14503572</x:v>
      </x:c>
      <x:c r="D424" s="38" t="n">
        <x:v>150</x:v>
      </x:c>
      <x:c r="E424" s="15" t="str">
        <x:v>ZAR</x:v>
      </x:c>
      <x:c r="F424" s="15" t="str">
        <x:v>Telecom / utilities</x:v>
      </x:c>
      <x:c r="G424" s="15" t="str">
        <x:v>Current a/c..512781</x:v>
      </x:c>
      <x:c r="H424" s="15" t="str">
        <x:v>Electricity 14503572</x:v>
      </x:c>
      <x:c r="I424" s="15" t="str">
        <x:v>eml_ALL_currentac__512781 (2).zip &gt; eml1currentac__512781.zip / FNB _-) R150.00 paid from Current a_c..512781 @ Smartapp. Ref.Electricity 14503572. 30May 08_23.eml</x:v>
      </x:c>
    </x:row>
    <x:row r="425">
      <x:c r="A425" s="34" t="n">
        <x:v>46172.43958333333</x:v>
      </x:c>
      <x:c r="B425" s="15" t="str">
        <x:v>Outflow</x:v>
      </x:c>
      <x:c r="C425" s="15" t="str">
        <x:v>Kruger Safa 1698 Vat</x:v>
      </x:c>
      <x:c r="D425" s="38" t="n">
        <x:v>901.2</x:v>
      </x:c>
      <x:c r="E425" s="15" t="str">
        <x:v>ZAR</x:v>
      </x:c>
      <x:c r="F425" s="15" t="str">
        <x:v>Taxes / statutory payments</x:v>
      </x:c>
      <x:c r="G425" s="15" t="str">
        <x:v>Current a/c..512781</x:v>
      </x:c>
      <x:c r="H425" s="15" t="str">
        <x:v>Kruger Safa 1698 Vat</x:v>
      </x:c>
      <x:c r="I425" s="15" t="str">
        <x:v>eml_ALL_currentac__512781 (2).zip &gt; eml1currentac__512781.zip / FNB _-) R901.20 paid from Current a_c..512781 @ Smartapp. Ref.Kruger Safa 1698 Vat. 30May 10_33.eml</x:v>
      </x:c>
    </x:row>
    <x:row r="426">
      <x:c r="A426" s="34" t="n">
        <x:v>46172.44027777778</x:v>
      </x:c>
      <x:c r="B426" s="15" t="str">
        <x:v>Outflow</x:v>
      </x:c>
      <x:c r="C426" s="15" t="str">
        <x:v>Nb N992820</x:v>
      </x:c>
      <x:c r="D426" s="38" t="n">
        <x:v>759</x:v>
      </x:c>
      <x:c r="E426" s="15" t="str">
        <x:v>ZAR</x:v>
      </x:c>
      <x:c r="F426" s="15" t="str">
        <x:v>Supplier payments</x:v>
      </x:c>
      <x:c r="G426" s="15" t="str">
        <x:v>Current a/c..512781</x:v>
      </x:c>
      <x:c r="H426" s="15" t="str">
        <x:v>Nb N992820</x:v>
      </x:c>
      <x:c r="I426" s="15" t="str">
        <x:v>eml_ALL_currentac__512781 (2).zip &gt; eml1currentac__512781.zip / FNB _-) R759.00 paid from Current a_c..512781 @ Smartapp. Ref.Nb N992820. 30May 10_34.eml</x:v>
      </x:c>
    </x:row>
    <x:row r="427">
      <x:c r="A427" s="34" t="n">
        <x:v>46172.44097222222</x:v>
      </x:c>
      <x:c r="B427" s="15" t="str">
        <x:v>Outflow</x:v>
      </x:c>
      <x:c r="C427" s="15" t="str">
        <x:v>Staff</x:v>
      </x:c>
      <x:c r="D427" s="38" t="n">
        <x:v>12000</x:v>
      </x:c>
      <x:c r="E427" s="15" t="str">
        <x:v>ZAR</x:v>
      </x:c>
      <x:c r="F427" s="15" t="str">
        <x:v>Salary / wages</x:v>
      </x:c>
      <x:c r="G427" s="15" t="str">
        <x:v>Current a/c..512781</x:v>
      </x:c>
      <x:c r="H427" s="15" t="str">
        <x:v>Staff</x:v>
      </x:c>
      <x:c r="I427" s="15" t="str">
        <x:v>eml_ALL_currentac__512781 (2).zip &gt; eml1currentac__512781.zip / FNB _-) R12000.00 paid from Current a_c..512781 @ Gen Ph. Ref.Staff. 30May 10_35.eml</x:v>
      </x:c>
    </x:row>
    <x:row r="428">
      <x:c r="A428" s="34" t="n">
        <x:v>46172.44097222222</x:v>
      </x:c>
      <x:c r="B428" s="15" t="str">
        <x:v>Outflow</x:v>
      </x:c>
      <x:c r="C428" s="15" t="str">
        <x:v>Staff</x:v>
      </x:c>
      <x:c r="D428" s="38" t="n">
        <x:v>12000</x:v>
      </x:c>
      <x:c r="E428" s="15" t="str">
        <x:v>ZAR</x:v>
      </x:c>
      <x:c r="F428" s="15" t="str">
        <x:v>Salary / wages</x:v>
      </x:c>
      <x:c r="G428" s="15" t="str">
        <x:v>Current a/c..512781</x:v>
      </x:c>
      <x:c r="H428" s="15" t="str">
        <x:v>Staff</x:v>
      </x:c>
      <x:c r="I428" s="15" t="str">
        <x:v>eml_ALL_currentac__512781 (2).zip &gt; eml1currentac__512781.zip / FNB _-) R12000.00 paid from Current a_c..512781 @ Smartapp. Ref.Staff. 30May 10_35.eml</x:v>
      </x:c>
    </x:row>
    <x:row r="429">
      <x:c r="A429" s="34" t="n">
        <x:v>46173.524305555555</x:v>
      </x:c>
      <x:c r="B429" s="15" t="str">
        <x:v>Outflow</x:v>
      </x:c>
      <x:c r="C429" s="15" t="str">
        <x:v>Electricity 14503572</x:v>
      </x:c>
      <x:c r="D429" s="38" t="n">
        <x:v>150</x:v>
      </x:c>
      <x:c r="E429" s="15" t="str">
        <x:v>ZAR</x:v>
      </x:c>
      <x:c r="F429" s="15" t="str">
        <x:v>Telecom / utilities</x:v>
      </x:c>
      <x:c r="G429" s="15" t="str">
        <x:v>Current a/c..512781</x:v>
      </x:c>
      <x:c r="H429" s="15" t="str">
        <x:v>Electricity 14503572</x:v>
      </x:c>
      <x:c r="I429" s="15" t="str">
        <x:v>eml_ALL_currentac__512781 (2).zip &gt; eml1currentac__512781.zip / FNB _-) R150.00 paid from Current a_c..512781 @ Smartapp. Ref.Electricity 14503572. 31May 12_35.eml</x:v>
      </x:c>
    </x:row>
    <x:row r="430">
      <x:c r="A430" s="34" t="n">
        <x:v>46174.66736111111</x:v>
      </x:c>
      <x:c r="B430" s="15" t="str">
        <x:v>Outflow</x:v>
      </x:c>
      <x:c r="C430" s="15" t="str">
        <x:v>Sk Transfer 0209</x:v>
      </x:c>
      <x:c r="D430" s="38" t="n">
        <x:v>7400</x:v>
      </x:c>
      <x:c r="E430" s="15" t="str">
        <x:v>ZAR</x:v>
      </x:c>
      <x:c r="F430" s="15" t="str">
        <x:v>Supplier payments</x:v>
      </x:c>
      <x:c r="G430" s="15" t="str">
        <x:v>Current a/c..512781</x:v>
      </x:c>
      <x:c r="H430" s="15" t="str">
        <x:v>Sk Transfer 0209</x:v>
      </x:c>
      <x:c r="I430" s="15" t="str">
        <x:v>eml_ALL_currentac__512781 (2).zip &gt; eml1currentac__512781.zip / FNB _-) R7400.00 paid from Current a_c..512781 @ Smartapp. Ref.Sk Transfer 0209.  1Jun 16_01.eml</x:v>
      </x:c>
    </x:row>
    <x:row r="431">
      <x:c r="A431" s="34" t="n">
        <x:v>46175.30486111111</x:v>
      </x:c>
      <x:c r="B431" s="15" t="str">
        <x:v>Outflow</x:v>
      </x:c>
      <x:c r="C431" s="15" t="str">
        <x:v>Electricity 14503572</x:v>
      </x:c>
      <x:c r="D431" s="38" t="n">
        <x:v>150</x:v>
      </x:c>
      <x:c r="E431" s="15" t="str">
        <x:v>ZAR</x:v>
      </x:c>
      <x:c r="F431" s="15" t="str">
        <x:v>Telecom / utilities</x:v>
      </x:c>
      <x:c r="G431" s="15" t="str">
        <x:v>Current a/c..512781</x:v>
      </x:c>
      <x:c r="H431" s="15" t="str">
        <x:v>Electricity 14503572</x:v>
      </x:c>
      <x:c r="I431" s="15" t="str">
        <x:v>eml_ALL_currentac__512781 (2).zip &gt; eml1currentac__512781.zip / FNB _-) R150.00 paid from Current a_c..512781 @ Smartapp. Ref.Electricity 14503572.  2Jun 07_19.eml</x:v>
      </x:c>
    </x:row>
    <x:row r="432">
      <x:c r="A432" s="34" t="n">
        <x:v>46175.35208333333</x:v>
      </x:c>
      <x:c r="B432" s="15" t="str">
        <x:v>Inflow</x:v>
      </x:c>
      <x:c r="C432" s="15" t="str">
        <x:v>Ik Pay 487882</x:v>
      </x:c>
      <x:c r="D432" s="38" t="n">
        <x:v>9225.78</x:v>
      </x:c>
      <x:c r="E432" s="15" t="str">
        <x:v>ZAR</x:v>
      </x:c>
      <x:c r="F432" s="15" t="str">
        <x:v>Sales / customer receipts</x:v>
      </x:c>
      <x:c r="G432" s="15" t="str">
        <x:v>Current a/c..512781</x:v>
      </x:c>
      <x:c r="H432" s="15" t="str">
        <x:v>Ik Pay 487882</x:v>
      </x:c>
      <x:c r="I432" s="15" t="str">
        <x:v>eml_ALL_currentac__512781 (2).zip &gt; eml1currentac__512781.zip / FNB _-) R9225.78 paid to Current a_c..512781 @ Payshap. Ref.Ik Pay 487882.  2Jun 08_27.eml</x:v>
      </x:c>
    </x:row>
    <x:row r="433">
      <x:c r="A433" s="34" t="n">
        <x:v>46175.39722222222</x:v>
      </x:c>
      <x:c r="B433" s="15" t="str">
        <x:v>Outflow</x:v>
      </x:c>
      <x:c r="C433" s="15" t="str">
        <x:v>Cf Moto Saf - Inv 3</x:v>
      </x:c>
      <x:c r="D433" s="38" t="n">
        <x:v>4794</x:v>
      </x:c>
      <x:c r="E433" s="15" t="str">
        <x:v>ZAR</x:v>
      </x:c>
      <x:c r="F433" s="15" t="str">
        <x:v>Supplier payments</x:v>
      </x:c>
      <x:c r="G433" s="15" t="str">
        <x:v>Current a/c..512781</x:v>
      </x:c>
      <x:c r="H433" s="15" t="str">
        <x:v>Cf Moto Saf - Inv 3</x:v>
      </x:c>
      <x:c r="I433" s="15" t="str">
        <x:v>eml_ALL_currentac__512781 (2).zip &gt; eml1currentac__512781.zip / FNB _-) R4794.00 paid from Current a_c..512781 @ Smartapp. Ref.Cf Moto Saf - Inv 3.  2Jun 09_32.eml</x:v>
      </x:c>
    </x:row>
    <x:row r="434">
      <x:c r="A434" s="34" t="n">
        <x:v>46176.381944444445</x:v>
      </x:c>
      <x:c r="B434" s="15" t="str">
        <x:v>Outflow</x:v>
      </x:c>
      <x:c r="C434" s="15" t="str">
        <x:v>Staff Tips For Aug</x:v>
      </x:c>
      <x:c r="D434" s="38" t="n">
        <x:v>400</x:v>
      </x:c>
      <x:c r="E434" s="15" t="str">
        <x:v>ZAR</x:v>
      </x:c>
      <x:c r="F434" s="15" t="str">
        <x:v>Salary / wages</x:v>
      </x:c>
      <x:c r="G434" s="15" t="str">
        <x:v>Current a/c..512781</x:v>
      </x:c>
      <x:c r="H434" s="15" t="str">
        <x:v>Staff Tips For Aug</x:v>
      </x:c>
      <x:c r="I434" s="15" t="str">
        <x:v>eml_ALL_currentac__512781 (2).zip &gt; eml1currentac__512781.zip / FNB _-) R400.00 paid from Current a_c..512781 @ Smartapp. Ref.Staff Tips For Aug.  3Jun 09_10.eml</x:v>
      </x:c>
    </x:row>
    <x:row r="435">
      <x:c r="A435" s="34" t="n">
        <x:v>46177.277083333334</x:v>
      </x:c>
      <x:c r="B435" s="15" t="str">
        <x:v>Outflow</x:v>
      </x:c>
      <x:c r="C435" s="15" t="str">
        <x:v>Electricity 14503572</x:v>
      </x:c>
      <x:c r="D435" s="38" t="n">
        <x:v>150</x:v>
      </x:c>
      <x:c r="E435" s="15" t="str">
        <x:v>ZAR</x:v>
      </x:c>
      <x:c r="F435" s="15" t="str">
        <x:v>Telecom / utilities</x:v>
      </x:c>
      <x:c r="G435" s="15" t="str">
        <x:v>Current a/c..512781</x:v>
      </x:c>
      <x:c r="H435" s="15" t="str">
        <x:v>Electricity 14503572</x:v>
      </x:c>
      <x:c r="I435" s="15" t="str">
        <x:v>eml_ALL_currentac__512781 (2).zip &gt; eml1currentac__512781.zip / FNB _-) R150.00 paid from Current a_c..512781 @ Smartapp. Ref.Electricity 14503572.  4Jun 06_39.eml</x:v>
      </x:c>
    </x:row>
    <x:row r="436">
      <x:c r="A436" s="34" t="n">
        <x:v>46177.33819444444</x:v>
      </x:c>
      <x:c r="B436" s="15" t="str">
        <x:v>Inflow</x:v>
      </x:c>
      <x:c r="C436" s="15" t="str">
        <x:v>R026qzlwv0 Booking.c</x:v>
      </x:c>
      <x:c r="D436" s="38" t="n">
        <x:v>8567.39</x:v>
      </x:c>
      <x:c r="E436" s="15" t="str">
        <x:v>ZAR</x:v>
      </x:c>
      <x:c r="F436" s="15" t="str">
        <x:v>Sales / customer receipts</x:v>
      </x:c>
      <x:c r="G436" s="15" t="str">
        <x:v>Current a/c..512781</x:v>
      </x:c>
      <x:c r="H436" s="15" t="str">
        <x:v>R026qzlwv0 Booking.c</x:v>
      </x:c>
      <x:c r="I436" s="15" t="str">
        <x:v>eml_ALL_currentac__512781 (2).zip &gt; eml1currentac__512781.zip / FNB _-) R8567.39 paid to Current a_c..512781 @ Retail Forex. Ref.R026qzlwv0 Booking.c.  4Jun 08_07.eml</x:v>
      </x:c>
    </x:row>
    <x:row r="437">
      <x:c r="A437" s="34" t="n">
        <x:v>46177.67986111111</x:v>
      </x:c>
      <x:c r="B437" s="15" t="str">
        <x:v>Internal Transfer</x:v>
      </x:c>
      <x:c r="C437" s="15" t="str">
        <x:v>Private Cheq Acc..566332</x:v>
      </x:c>
      <x:c r="D437" s="38" t="n">
        <x:v>1000</x:v>
      </x:c>
      <x:c r="E437" s="15" t="str">
        <x:v>ZAR</x:v>
      </x:c>
      <x:c r="F437" s="15" t="str">
        <x:v>Inter-account transfer</x:v>
      </x:c>
      <x:c r="G437" s="15" t="str">
        <x:v>Current a/c..512781</x:v>
      </x:c>
      <x:c r="H437" s="15" t="str">
        <x:v>R1000.00 t/fer from Current a/c..512781 to Private Cheq Acc..566332 @ Smartapp. Avail R11989. 4Jun 16:19</x:v>
      </x:c>
      <x:c r="I437" s="15" t="str">
        <x:v>eml_ALL_currentac__512781 (2).zip &gt; eml1currentac__512781.zip / FNB _-) R1000.00 t_fer from Current a_c..512781 to Private Cheq Acc..566332 @ Smartapp.  4Jun 16_19.eml</x:v>
      </x:c>
    </x:row>
    <x:row r="438">
      <x:c r="A438" s="34" t="n">
        <x:v>46178.52361111111</x:v>
      </x:c>
      <x:c r="B438" s="15" t="str">
        <x:v>Internal Transfer</x:v>
      </x:c>
      <x:c r="C438" s="15" t="str">
        <x:v>Private Cheq Acc..566332</x:v>
      </x:c>
      <x:c r="D438" s="38" t="n">
        <x:v>1000</x:v>
      </x:c>
      <x:c r="E438" s="15" t="str">
        <x:v>ZAR</x:v>
      </x:c>
      <x:c r="F438" s="15" t="str">
        <x:v>Inter-account transfer</x:v>
      </x:c>
      <x:c r="G438" s="15" t="str">
        <x:v>Current a/c..512781</x:v>
      </x:c>
      <x:c r="H438" s="15" t="str">
        <x:v>R1000.00 t/fer from Current a/c..512781 to Private Cheq Acc..566332 @ Smartapp. Avail R10989. 5Jun 12:34</x:v>
      </x:c>
      <x:c r="I438" s="15" t="str">
        <x:v>eml_ALL_currentac__512781 (2).zip &gt; eml1currentac__512781.zip / FNB _-) R1000.00 t_fer from Current a_c..512781 to Private Cheq Acc..566332 @ Smartapp.  5Jun 12_34.eml</x:v>
      </x:c>
    </x:row>
    <x:row r="439">
      <x:c r="A439" s="34" t="n">
        <x:v>46178.532638888886</x:v>
      </x:c>
      <x:c r="B439" s="15" t="str">
        <x:v>Outflow</x:v>
      </x:c>
      <x:c r="C439" s="15" t="str">
        <x:v>Kruger Safari 1700</x:v>
      </x:c>
      <x:c r="D439" s="38" t="n">
        <x:v>4189</x:v>
      </x:c>
      <x:c r="E439" s="15" t="str">
        <x:v>ZAR</x:v>
      </x:c>
      <x:c r="F439" s="15" t="str">
        <x:v>Supplier payments</x:v>
      </x:c>
      <x:c r="G439" s="15" t="str">
        <x:v>Current a/c..512781</x:v>
      </x:c>
      <x:c r="H439" s="15" t="str">
        <x:v>Kruger Safari 1700</x:v>
      </x:c>
      <x:c r="I439" s="15" t="str">
        <x:v>eml_ALL_currentac__512781 (2).zip &gt; eml1currentac__512781.zip / FNB _-) R4189.00 paid from Current a_c..512781 @ Smartapp. Ref.Kruger Safari 1700.  5Jun 12_47.eml</x:v>
      </x:c>
    </x:row>
    <x:row r="440">
      <x:c r="A440" s="34" t="n">
        <x:v>46178.53333333333</x:v>
      </x:c>
      <x:c r="B440" s="15" t="str">
        <x:v>Outflow</x:v>
      </x:c>
      <x:c r="C440" s="15" t="str">
        <x:v>Sakkie Wages</x:v>
      </x:c>
      <x:c r="D440" s="38" t="n">
        <x:v>2500</x:v>
      </x:c>
      <x:c r="E440" s="15" t="str">
        <x:v>ZAR</x:v>
      </x:c>
      <x:c r="F440" s="15" t="str">
        <x:v>Salary / wages</x:v>
      </x:c>
      <x:c r="G440" s="15" t="str">
        <x:v>Current a/c..512781</x:v>
      </x:c>
      <x:c r="H440" s="15" t="str">
        <x:v>Sakkie Wages</x:v>
      </x:c>
      <x:c r="I440" s="15" t="str">
        <x:v>eml_ALL_currentac__512781 (2).zip &gt; eml1currentac__512781.zip / FNB _-) R2500.00 paid from Current a_c..512781 @ Smartapp. Ref.Sakkie Wages.  5Jun 12_48.eml</x:v>
      </x:c>
    </x:row>
    <x:row r="441">
      <x:c r="A441" s="34" t="n">
        <x:v>46179.44375</x:v>
      </x:c>
      <x:c r="B441" s="15" t="str">
        <x:v>Inflow</x:v>
      </x:c>
      <x:c r="C441" s="15" t="str">
        <x:v>Ik Pay 487882</x:v>
      </x:c>
      <x:c r="D441" s="38" t="n">
        <x:v>2254.86</x:v>
      </x:c>
      <x:c r="E441" s="15" t="str">
        <x:v>ZAR</x:v>
      </x:c>
      <x:c r="F441" s="15" t="str">
        <x:v>Sales / customer receipts</x:v>
      </x:c>
      <x:c r="G441" s="15" t="str">
        <x:v>Current a/c..512781</x:v>
      </x:c>
      <x:c r="H441" s="15" t="str">
        <x:v>Ik Pay 487882</x:v>
      </x:c>
      <x:c r="I441" s="15" t="str">
        <x:v>eml_ALL_currentac__512781 (2).zip &gt; eml1currentac__512781.zip / FNB _-) R2254.86 paid to Current a_c..512781 @ Payshap. Ref.Ik Pay 487882.  6Jun 10_39.eml</x:v>
      </x:c>
    </x:row>
    <x:row r="442">
      <x:c r="A442" s="34" t="n">
        <x:v>46180.72986111111</x:v>
      </x:c>
      <x:c r="B442" s="15" t="str">
        <x:v>Outflow</x:v>
      </x:c>
      <x:c r="C442" s="15" t="str">
        <x:v>Electricity 14503572</x:v>
      </x:c>
      <x:c r="D442" s="38" t="n">
        <x:v>150</x:v>
      </x:c>
      <x:c r="E442" s="15" t="str">
        <x:v>ZAR</x:v>
      </x:c>
      <x:c r="F442" s="15" t="str">
        <x:v>Telecom / utilities</x:v>
      </x:c>
      <x:c r="G442" s="15" t="str">
        <x:v>Current a/c..512781</x:v>
      </x:c>
      <x:c r="H442" s="15" t="str">
        <x:v>Electricity 14503572</x:v>
      </x:c>
      <x:c r="I442" s="15" t="str">
        <x:v>eml_ALL_currentac__512781 (2).zip &gt; eml1currentac__512781.zip / FNB _-) R150.00 paid from Current a_c..512781 @ Smartapp. Ref.Electricity 14503572.  7Jun 17_31.eml</x:v>
      </x:c>
    </x:row>
    <x:row r="443">
      <x:c r="A443" s="34" t="n">
        <x:v>46181.498611111114</x:v>
      </x:c>
      <x:c r="B443" s="15" t="str">
        <x:v>Inflow</x:v>
      </x:c>
      <x:c r="C443" s="15" t="str">
        <x:v>Gd</x:v>
      </x:c>
      <x:c r="D443" s="38" t="n">
        <x:v>4100</x:v>
      </x:c>
      <x:c r="E443" s="15" t="str">
        <x:v>ZAR</x:v>
      </x:c>
      <x:c r="F443" s="15" t="str">
        <x:v>Sales / customer receipts</x:v>
      </x:c>
      <x:c r="G443" s="15" t="str">
        <x:v>Current a/c..512781</x:v>
      </x:c>
      <x:c r="H443" s="15" t="str">
        <x:v>Gd</x:v>
      </x:c>
      <x:c r="I443" s="15" t="str">
        <x:v>eml_ALL_currentac__512781 (2).zip &gt; eml1currentac__512781.zip / FNB _-) R4100.00 paid to Current a_c..512781 @ 00182007 ATM. Ref.Gd.  8Jun 11_58.eml</x:v>
      </x:c>
    </x:row>
    <x:row r="444">
      <x:c r="A444" s="34" t="n">
        <x:v>46181.54722222222</x:v>
      </x:c>
      <x:c r="B444" s="15" t="str">
        <x:v>Outflow</x:v>
      </x:c>
      <x:c r="C444" s="15" t="str">
        <x:v>Kruger Saf 1700 50%</x:v>
      </x:c>
      <x:c r="D444" s="38" t="n">
        <x:v>5056.4</x:v>
      </x:c>
      <x:c r="E444" s="15" t="str">
        <x:v>ZAR</x:v>
      </x:c>
      <x:c r="F444" s="15" t="str">
        <x:v>Supplier payments</x:v>
      </x:c>
      <x:c r="G444" s="15" t="str">
        <x:v>Current a/c..512781</x:v>
      </x:c>
      <x:c r="H444" s="15" t="str">
        <x:v>Kruger Saf 1700 50%</x:v>
      </x:c>
      <x:c r="I444" s="15" t="str">
        <x:v>eml_ALL_currentac__512781 (2).zip &gt; eml1currentac__512781.zip / FNB _-) R5056.40 paid from Current a_c..512781 @ Smartapp. Ref.Kruger Saf 1700 50%.  8Jun 13_08.eml</x:v>
      </x:c>
    </x:row>
    <x:row r="445">
      <x:c r="A445" s="34" t="n">
        <x:v>46182.41875</x:v>
      </x:c>
      <x:c r="B445" s="15" t="str">
        <x:v>Outflow</x:v>
      </x:c>
      <x:c r="C445" s="15" t="str">
        <x:v>Electricity 14503572</x:v>
      </x:c>
      <x:c r="D445" s="38" t="n">
        <x:v>150</x:v>
      </x:c>
      <x:c r="E445" s="15" t="str">
        <x:v>ZAR</x:v>
      </x:c>
      <x:c r="F445" s="15" t="str">
        <x:v>Telecom / utilities</x:v>
      </x:c>
      <x:c r="G445" s="15" t="str">
        <x:v>Current a/c..512781</x:v>
      </x:c>
      <x:c r="H445" s="15" t="str">
        <x:v>Electricity 14503572</x:v>
      </x:c>
      <x:c r="I445" s="15" t="str">
        <x:v>eml_ALL_currentac__512781 (2).zip &gt; eml1currentac__512781.zip / FNB _-) R150.00 paid from Current a_c..512781 @ Smartapp. Ref.Electricity 14503572.  9Jun 10_03.eml</x:v>
      </x:c>
    </x:row>
    <x:row r="446">
      <x:c r="A446" s="34" t="n">
        <x:v>46182.81736111111</x:v>
      </x:c>
      <x:c r="B446" s="15" t="str">
        <x:v>Outflow</x:v>
      </x:c>
      <x:c r="C446" s="15" t="str">
        <x:v>Electricity 04294887</x:v>
      </x:c>
      <x:c r="D446" s="38" t="n">
        <x:v>150</x:v>
      </x:c>
      <x:c r="E446" s="15" t="str">
        <x:v>ZAR</x:v>
      </x:c>
      <x:c r="F446" s="15" t="str">
        <x:v>Telecom / utilities</x:v>
      </x:c>
      <x:c r="G446" s="15" t="str">
        <x:v>Current a/c..512781</x:v>
      </x:c>
      <x:c r="H446" s="15" t="str">
        <x:v>Electricity 04294887</x:v>
      </x:c>
      <x:c r="I446" s="15" t="str">
        <x:v>eml_ALL_currentac__512781 (2).zip &gt; eml1currentac__512781.zip / FNB _-) R150.00 paid from Current a_c..512781 @ Smartapp. Ref.Electricity 04294887.  9Jun 19_37.eml</x:v>
      </x:c>
    </x:row>
    <x:row r="447">
      <x:c r="A447" s="34" t="n">
        <x:v>46182.81736111111</x:v>
      </x:c>
      <x:c r="B447" s="15" t="str">
        <x:v>Inflow</x:v>
      </x:c>
      <x:c r="C447" s="15" t="str">
        <x:v>524405,04294887007</x:v>
      </x:c>
      <x:c r="D447" s="38" t="n">
        <x:v>150</x:v>
      </x:c>
      <x:c r="E447" s="15" t="str">
        <x:v>ZAR</x:v>
      </x:c>
      <x:c r="F447" s="15" t="str">
        <x:v>Sales / customer receipts</x:v>
      </x:c>
      <x:c r="G447" s="15" t="str">
        <x:v>Current a/c..512781</x:v>
      </x:c>
      <x:c r="H447" s="15" t="str">
        <x:v>524405,04294887007</x:v>
      </x:c>
      <x:c r="I447" s="15" t="str">
        <x:v>eml_ALL_currentac__512781 (2).zip &gt; eml1currentac__512781.zip / FNB _-) R150.00 paid to Current a_c..512781 @ Smartapp. Ref.524405,04294887007.  9Jun 19_37.eml</x:v>
      </x:c>
    </x:row>
    <x:row r="448">
      <x:c r="A448" s="34" t="n">
        <x:v>46182.81805555556</x:v>
      </x:c>
      <x:c r="B448" s="15" t="str">
        <x:v>Outflow</x:v>
      </x:c>
      <x:c r="C448" s="15" t="str">
        <x:v>Electricity 04294887</x:v>
      </x:c>
      <x:c r="D448" s="38" t="n">
        <x:v>150</x:v>
      </x:c>
      <x:c r="E448" s="15" t="str">
        <x:v>ZAR</x:v>
      </x:c>
      <x:c r="F448" s="15" t="str">
        <x:v>Telecom / utilities</x:v>
      </x:c>
      <x:c r="G448" s="15" t="str">
        <x:v>Current a/c..512781</x:v>
      </x:c>
      <x:c r="H448" s="15" t="str">
        <x:v>Electricity 04294887</x:v>
      </x:c>
      <x:c r="I448" s="15" t="str">
        <x:v>eml_ALL_currentac__512781 (2).zip &gt; eml1currentac__512781.zip / FNB _-) R150.00 paid from Current a_c..512781 @ Smartapp. Ref.Electricity 04294887.  9Jun 19_38.eml</x:v>
      </x:c>
    </x:row>
    <x:row r="449">
      <x:c r="A449" s="34" t="n">
        <x:v>46182.81805555556</x:v>
      </x:c>
      <x:c r="B449" s="15" t="str">
        <x:v>Inflow</x:v>
      </x:c>
      <x:c r="C449" s="15" t="str">
        <x:v>524745,04294887007</x:v>
      </x:c>
      <x:c r="D449" s="38" t="n">
        <x:v>150</x:v>
      </x:c>
      <x:c r="E449" s="15" t="str">
        <x:v>ZAR</x:v>
      </x:c>
      <x:c r="F449" s="15" t="str">
        <x:v>Sales / customer receipts</x:v>
      </x:c>
      <x:c r="G449" s="15" t="str">
        <x:v>Current a/c..512781</x:v>
      </x:c>
      <x:c r="H449" s="15" t="str">
        <x:v>524745,04294887007</x:v>
      </x:c>
      <x:c r="I449" s="15" t="str">
        <x:v>eml_ALL_currentac__512781 (2).zip &gt; eml1currentac__512781.zip / FNB _-) R150.00 paid to Current a_c..512781 @ Smartapp. Ref.524745,04294887007.  9Jun 19_38.eml</x:v>
      </x:c>
    </x:row>
    <x:row r="450">
      <x:c r="A450" s="34" t="n">
        <x:v>46183.87569444445</x:v>
      </x:c>
      <x:c r="B450" s="15" t="str">
        <x:v>Outflow</x:v>
      </x:c>
      <x:c r="C450" s="15" t="str">
        <x:v>Electricity 14503572</x:v>
      </x:c>
      <x:c r="D450" s="38" t="n">
        <x:v>150</x:v>
      </x:c>
      <x:c r="E450" s="15" t="str">
        <x:v>ZAR</x:v>
      </x:c>
      <x:c r="F450" s="15" t="str">
        <x:v>Telecom / utilities</x:v>
      </x:c>
      <x:c r="G450" s="15" t="str">
        <x:v>Current a/c..512781</x:v>
      </x:c>
      <x:c r="H450" s="15" t="str">
        <x:v>Electricity 14503572</x:v>
      </x:c>
      <x:c r="I450" s="15" t="str">
        <x:v>eml_ALL_currentac__512781 (2).zip &gt; eml1currentac__512781.zip / FNB _-) R150.00 paid from Current a_c..512781 @ Smartapp. Ref.Electricity 14503572. 10Jun 21_01.eml</x:v>
      </x:c>
    </x:row>
    <x:row r="451">
      <x:c r="A451" s="34" t="n">
        <x:v>46184.34027777778</x:v>
      </x:c>
      <x:c r="B451" s="15" t="str">
        <x:v>Inflow</x:v>
      </x:c>
      <x:c r="C451" s="15" t="str">
        <x:v>R026qn5f90 Booking.c</x:v>
      </x:c>
      <x:c r="D451" s="38" t="n">
        <x:v>12141.73</x:v>
      </x:c>
      <x:c r="E451" s="15" t="str">
        <x:v>ZAR</x:v>
      </x:c>
      <x:c r="F451" s="15" t="str">
        <x:v>Sales / customer receipts</x:v>
      </x:c>
      <x:c r="G451" s="15" t="str">
        <x:v>Current a/c..512781</x:v>
      </x:c>
      <x:c r="H451" s="15" t="str">
        <x:v>R026qn5f90 Booking.c</x:v>
      </x:c>
      <x:c r="I451" s="15" t="str">
        <x:v>eml_ALL_currentac__512781 (2).zip &gt; eml1currentac__512781.zip / FNB _-) R12141.73 paid to Current a_c..512781 @ Retail Forex. Ref.R026qn5f90 Booking.c. 11Jun 08_10.eml</x:v>
      </x:c>
    </x:row>
    <x:row r="452">
      <x:c r="A452" s="34" t="n">
        <x:v>46184.56597222222</x:v>
      </x:c>
      <x:c r="B452" s="15" t="str">
        <x:v>Inflow</x:v>
      </x:c>
      <x:c r="C452" s="15" t="str">
        <x:v>Ik Pay 487882</x:v>
      </x:c>
      <x:c r="D452" s="38" t="n">
        <x:v>629.06</x:v>
      </x:c>
      <x:c r="E452" s="15" t="str">
        <x:v>ZAR</x:v>
      </x:c>
      <x:c r="F452" s="15" t="str">
        <x:v>Sales / customer receipts</x:v>
      </x:c>
      <x:c r="G452" s="15" t="str">
        <x:v>Current a/c..512781</x:v>
      </x:c>
      <x:c r="H452" s="15" t="str">
        <x:v>Ik Pay 487882</x:v>
      </x:c>
      <x:c r="I452" s="15" t="str">
        <x:v>eml_ALL_currentac__512781 (2).zip &gt; eml1currentac__512781.zip / FNB _-) R629.06 paid to Current a_c..512781 @ Payshap. Ref.Ik Pay 487882. 11Jun 13_35.eml</x:v>
      </x:c>
    </x:row>
    <x:row r="453">
      <x:c r="A453" s="34" t="n">
        <x:v>46184.76666666667</x:v>
      </x:c>
      <x:c r="B453" s="15" t="str">
        <x:v>Internal Transfer</x:v>
      </x:c>
      <x:c r="C453" s="15" t="str">
        <x:v>Private Cheq Acc..566332</x:v>
      </x:c>
      <x:c r="D453" s="38" t="n">
        <x:v>1000</x:v>
      </x:c>
      <x:c r="E453" s="15" t="str">
        <x:v>ZAR</x:v>
      </x:c>
      <x:c r="F453" s="15" t="str">
        <x:v>Inter-account transfer</x:v>
      </x:c>
      <x:c r="G453" s="15" t="str">
        <x:v>Current a/c..512781</x:v>
      </x:c>
      <x:c r="H453" s="15" t="str">
        <x:v>R1000.00 t/fer from Current a/c..512781 to Private Cheq Acc..566332 @ Smartapp. Avail R12201. 11Jun 18:24</x:v>
      </x:c>
      <x:c r="I453" s="15" t="str">
        <x:v>eml_ALL_currentac__512781 (2).zip &gt; eml1currentac__512781.zip / FNB _-) R1000.00 t_fer from Current a_c..512781 to Private Cheq Acc..566332 @ Smartapp. 11Jun 18_24.eml</x:v>
      </x:c>
    </x:row>
    <x:row r="454">
      <x:c r="A454" s="34" t="n">
        <x:v>46184.79722222222</x:v>
      </x:c>
      <x:c r="B454" s="15" t="str">
        <x:v>Internal Transfer</x:v>
      </x:c>
      <x:c r="C454" s="15" t="str">
        <x:v>Private Cheq Acc..566332</x:v>
      </x:c>
      <x:c r="D454" s="38" t="n">
        <x:v>200</x:v>
      </x:c>
      <x:c r="E454" s="15" t="str">
        <x:v>ZAR</x:v>
      </x:c>
      <x:c r="F454" s="15" t="str">
        <x:v>Inter-account transfer</x:v>
      </x:c>
      <x:c r="G454" s="15" t="str">
        <x:v>Current a/c..512781</x:v>
      </x:c>
      <x:c r="H454" s="15" t="str">
        <x:v>R200.00 t/fer from Current a/c..512781 to Private Cheq Acc..566332 @ Smartapp. Avail R12001. 11Jun 19:08</x:v>
      </x:c>
      <x:c r="I454" s="15" t="str">
        <x:v>eml_ALL_currentac__512781 (2).zip &gt; eml1currentac__512781.zip / FNB _-) R200.00 t_fer from Current a_c..512781 to Private Cheq Acc..566332 @ Smartapp. 11Jun 19_08.eml</x:v>
      </x:c>
    </x:row>
    <x:row r="455">
      <x:c r="A455" s="34" t="n">
        <x:v>46184.88055555556</x:v>
      </x:c>
      <x:c r="B455" s="15" t="str">
        <x:v>Internal Transfer</x:v>
      </x:c>
      <x:c r="C455" s="15" t="str">
        <x:v>Private Cheq Acc..566332</x:v>
      </x:c>
      <x:c r="D455" s="38" t="n">
        <x:v>500</x:v>
      </x:c>
      <x:c r="E455" s="15" t="str">
        <x:v>ZAR</x:v>
      </x:c>
      <x:c r="F455" s="15" t="str">
        <x:v>Inter-account transfer</x:v>
      </x:c>
      <x:c r="G455" s="15" t="str">
        <x:v>Current a/c..512781</x:v>
      </x:c>
      <x:c r="H455" s="15" t="str">
        <x:v>R500.00 t/fer from Current a/c..512781 to Private Cheq Acc..566332 @ Smartapp. Avail R11501. 11Jun 21:08</x:v>
      </x:c>
      <x:c r="I455" s="15" t="str">
        <x:v>eml_ALL_currentac__512781 (2).zip &gt; eml1currentac__512781.zip / FNB _-) R500.00 t_fer from Current a_c..512781 to Private Cheq Acc..566332 @ Smartapp. 11Jun 21_08.eml</x:v>
      </x:c>
    </x:row>
    <x:row r="456">
      <x:c r="A456" s="34" t="n">
        <x:v>46185.38402777778</x:v>
      </x:c>
      <x:c r="B456" s="15" t="str">
        <x:v>Outflow</x:v>
      </x:c>
      <x:c r="C456" s="15" t="str">
        <x:v>Staff</x:v>
      </x:c>
      <x:c r="D456" s="38" t="n">
        <x:v>1000</x:v>
      </x:c>
      <x:c r="E456" s="15" t="str">
        <x:v>ZAR</x:v>
      </x:c>
      <x:c r="F456" s="15" t="str">
        <x:v>Salary / wages</x:v>
      </x:c>
      <x:c r="G456" s="15" t="str">
        <x:v>Current a/c..512781</x:v>
      </x:c>
      <x:c r="H456" s="15" t="str">
        <x:v>Staff</x:v>
      </x:c>
      <x:c r="I456" s="15" t="str">
        <x:v>eml_ALL_currentac__512781 (2).zip &gt; eml1currentac__512781.zip / FNB _-) R1000.00 paid from Current a_c..512781 @ Smartapp. Ref.Staff. 12Jun 09_13.eml</x:v>
      </x:c>
    </x:row>
    <x:row r="457">
      <x:c r="A457" s="34" t="n">
        <x:v>46185.51736111111</x:v>
      </x:c>
      <x:c r="B457" s="15" t="str">
        <x:v>Outflow</x:v>
      </x:c>
      <x:c r="C457" s="15" t="str">
        <x:v>Kruger Saf 1700 50%</x:v>
      </x:c>
      <x:c r="D457" s="38" t="n">
        <x:v>5056.4</x:v>
      </x:c>
      <x:c r="E457" s="15" t="str">
        <x:v>ZAR</x:v>
      </x:c>
      <x:c r="F457" s="15" t="str">
        <x:v>Supplier payments</x:v>
      </x:c>
      <x:c r="G457" s="15" t="str">
        <x:v>Current a/c..512781</x:v>
      </x:c>
      <x:c r="H457" s="15" t="str">
        <x:v>Kruger Saf 1700 50%</x:v>
      </x:c>
      <x:c r="I457" s="15" t="str">
        <x:v>eml_ALL_currentac__512781 (2).zip &gt; eml1currentac__512781.zip / FNB _-) R5056.40 paid from Current a_c..512781 @ Smartapp. Ref.Kruger Saf 1700 50%. 12Jun 12_25.eml</x:v>
      </x:c>
    </x:row>
    <x:row r="458">
      <x:c r="A458" s="34" t="n">
        <x:v>46185.99513888889</x:v>
      </x:c>
      <x:c r="B458" s="15" t="str">
        <x:v>Internal Transfer</x:v>
      </x:c>
      <x:c r="C458" s="15" t="str">
        <x:v>Private Cheq Acc..566332</x:v>
      </x:c>
      <x:c r="D458" s="38" t="n">
        <x:v>120</x:v>
      </x:c>
      <x:c r="E458" s="15" t="str">
        <x:v>ZAR</x:v>
      </x:c>
      <x:c r="F458" s="15" t="str">
        <x:v>Inter-account transfer</x:v>
      </x:c>
      <x:c r="G458" s="15" t="str">
        <x:v>Current a/c..512781</x:v>
      </x:c>
      <x:c r="H458" s="15" t="str">
        <x:v>R120.00 t/fer from Current a/c..512781 to Private Cheq Acc..566332 @ Smartapp. Avail R5300. 12Jun 23:53</x:v>
      </x:c>
      <x:c r="I458" s="15" t="str">
        <x:v>eml_ALL_currentac__512781 (2).zip &gt; eml1currentac__512781.zip / FNB _-) R120.00 t_fer from Current a_c..512781 to Private Cheq Acc..566332 @ Smartapp. 12Jun 23_53.eml</x:v>
      </x:c>
    </x:row>
    <x:row r="459">
      <x:c r="A459" s="34" t="n">
        <x:v>46186.404861111114</x:v>
      </x:c>
      <x:c r="B459" s="15" t="str">
        <x:v>Outflow</x:v>
      </x:c>
      <x:c r="C459" s="15" t="str">
        <x:v>Electricity 14503572</x:v>
      </x:c>
      <x:c r="D459" s="38" t="n">
        <x:v>150</x:v>
      </x:c>
      <x:c r="E459" s="15" t="str">
        <x:v>ZAR</x:v>
      </x:c>
      <x:c r="F459" s="15" t="str">
        <x:v>Telecom / utilities</x:v>
      </x:c>
      <x:c r="G459" s="15" t="str">
        <x:v>Current a/c..512781</x:v>
      </x:c>
      <x:c r="H459" s="15" t="str">
        <x:v>Electricity 14503572</x:v>
      </x:c>
      <x:c r="I459" s="15" t="str">
        <x:v>eml_ALL_currentac__512781 (2).zip &gt; eml1currentac__512781.zip / FNB _-) R150.00 paid from Current a_c..512781 @ Smartapp. Ref.Electricity 14503572. 13Jun 09_43.eml</x:v>
      </x:c>
    </x:row>
    <x:row r="460">
      <x:c r="A460" s="34" t="n">
        <x:v>46187.66527777778</x:v>
      </x:c>
      <x:c r="B460" s="15" t="str">
        <x:v>Internal Transfer</x:v>
      </x:c>
      <x:c r="C460" s="15" t="str">
        <x:v>Private Cheq Acc..566332</x:v>
      </x:c>
      <x:c r="D460" s="38" t="n">
        <x:v>460</x:v>
      </x:c>
      <x:c r="E460" s="15" t="str">
        <x:v>ZAR</x:v>
      </x:c>
      <x:c r="F460" s="15" t="str">
        <x:v>Inter-account transfer</x:v>
      </x:c>
      <x:c r="G460" s="15" t="str">
        <x:v>Current a/c..512781</x:v>
      </x:c>
      <x:c r="H460" s="15" t="str">
        <x:v>R460.00 t/fer from Current a/c..512781 to Private Cheq Acc..566332 @ Smartapp. Avail R2828. 14Jun 15:58</x:v>
      </x:c>
      <x:c r="I460" s="15" t="str">
        <x:v>eml_ALL_currentac__512781 (2).zip &gt; eml1currentac__512781.zip / FNB _-) R460.00 t_fer from Current a_c..512781 to Private Cheq Acc..566332 @ Smartapp. 14Jun 15_58.eml</x:v>
      </x:c>
    </x:row>
    <x:row r="461">
      <x:c r="A461" s="34" t="n">
        <x:v>46188.325</x:v>
      </x:c>
      <x:c r="B461" s="15" t="str">
        <x:v>Outflow</x:v>
      </x:c>
      <x:c r="C461" s="15" t="str">
        <x:v>Electricity 14503572</x:v>
      </x:c>
      <x:c r="D461" s="38" t="n">
        <x:v>150</x:v>
      </x:c>
      <x:c r="E461" s="15" t="str">
        <x:v>ZAR</x:v>
      </x:c>
      <x:c r="F461" s="15" t="str">
        <x:v>Telecom / utilities</x:v>
      </x:c>
      <x:c r="G461" s="15" t="str">
        <x:v>Current a/c..512781</x:v>
      </x:c>
      <x:c r="H461" s="15" t="str">
        <x:v>Electricity 14503572</x:v>
      </x:c>
      <x:c r="I461" s="15" t="str">
        <x:v>eml_ALL_currentac__512781 (2).zip &gt; eml1currentac__512781.zip / FNB _-) R150.00 paid from Current a_c..512781 @ Smartapp. Ref.Electricity 14503572. 15Jun 07_48.eml</x:v>
      </x:c>
    </x:row>
    <x:row r="462">
      <x:c r="A462" s="34" t="n">
        <x:v>46188.415972222225</x:v>
      </x:c>
      <x:c r="B462" s="15" t="str">
        <x:v>Outflow</x:v>
      </x:c>
      <x:c r="C462" s="15" t="str">
        <x:v>Electricity 04294887</x:v>
      </x:c>
      <x:c r="D462" s="38" t="n">
        <x:v>500</x:v>
      </x:c>
      <x:c r="E462" s="15" t="str">
        <x:v>ZAR</x:v>
      </x:c>
      <x:c r="F462" s="15" t="str">
        <x:v>Telecom / utilities</x:v>
      </x:c>
      <x:c r="G462" s="15" t="str">
        <x:v>Current a/c..512781</x:v>
      </x:c>
      <x:c r="H462" s="15" t="str">
        <x:v>Electricity 04294887</x:v>
      </x:c>
      <x:c r="I462" s="15" t="str">
        <x:v>eml_ALL_currentac__512781 (2).zip &gt; eml1currentac__512781.zip / FNB _-) R500.00 paid from Current a_c..512781 @ Smartapp. Ref.Electricity 04294887. 15Jun 09_59.eml</x:v>
      </x:c>
    </x:row>
    <x:row r="463">
      <x:c r="A463" s="34" t="n">
        <x:v>46188.572222222225</x:v>
      </x:c>
      <x:c r="B463" s="15" t="str">
        <x:v>Inflow</x:v>
      </x:c>
      <x:c r="C463" s="15" t="str">
        <x:v>Ik Pay 487882</x:v>
      </x:c>
      <x:c r="D463" s="38" t="n">
        <x:v>22887.88</x:v>
      </x:c>
      <x:c r="E463" s="15" t="str">
        <x:v>ZAR</x:v>
      </x:c>
      <x:c r="F463" s="15" t="str">
        <x:v>Sales / customer receipts</x:v>
      </x:c>
      <x:c r="G463" s="15" t="str">
        <x:v>Current a/c..512781</x:v>
      </x:c>
      <x:c r="H463" s="15" t="str">
        <x:v>Ik Pay 487882</x:v>
      </x:c>
      <x:c r="I463" s="15" t="str">
        <x:v>eml_ALL_currentac__512781 (2).zip &gt; eml1currentac__512781.zip / FNB _-) R22887.88 paid to Current a_c..512781 @ Payshap. Ref.Ik Pay 487882. 15Jun 13_44.eml</x:v>
      </x:c>
    </x:row>
    <x:row r="464">
      <x:c r="A464" s="34" t="n">
        <x:v>46188.59583333333</x:v>
      </x:c>
      <x:c r="B464" s="15" t="str">
        <x:v>Internal Transfer</x:v>
      </x:c>
      <x:c r="C464" s="15" t="str">
        <x:v>Current a/c..261544</x:v>
      </x:c>
      <x:c r="D464" s="38" t="n">
        <x:v>12000</x:v>
      </x:c>
      <x:c r="E464" s="15" t="str">
        <x:v>ZAR</x:v>
      </x:c>
      <x:c r="F464" s="15" t="str">
        <x:v>Inter-account transfer</x:v>
      </x:c>
      <x:c r="G464" s="15" t="str">
        <x:v>Current a/c..512781</x:v>
      </x:c>
      <x:c r="H464" s="15" t="str">
        <x:v>R12000.00 t/fer from Current a/c..512781 to Current a/c..261544 @ Smartapp. Avail R12123. 15Jun 14:18</x:v>
      </x:c>
      <x:c r="I464" s="15" t="str">
        <x:v>eml_ALL_currentac__512781 (2).zip &gt; eml1currentac__512781.zip / FNB _-) R12000.00 t_fer from Current a_c..512781 to Current a_c..261544 @ Smartapp. 15Jun 14_18.eml</x:v>
      </x:c>
    </x:row>
    <x:row r="465">
      <x:c r="A465" s="34" t="n">
        <x:v>46189.384722222225</x:v>
      </x:c>
      <x:c r="B465" s="15" t="str">
        <x:v>Outflow</x:v>
      </x:c>
      <x:c r="C465" s="15" t="str">
        <x:v>Repay</x:v>
      </x:c>
      <x:c r="D465" s="38" t="n">
        <x:v>2000</x:v>
      </x:c>
      <x:c r="E465" s="15" t="str">
        <x:v>ZAR</x:v>
      </x:c>
      <x:c r="F465" s="15" t="str">
        <x:v>Supplier payments</x:v>
      </x:c>
      <x:c r="G465" s="15" t="str">
        <x:v>Current a/c..512781</x:v>
      </x:c>
      <x:c r="H465" s="15" t="str">
        <x:v>Repay</x:v>
      </x:c>
      <x:c r="I465" s="15" t="str">
        <x:v>eml_ALL_currentac__512781 (2).zip &gt; eml1currentac__512781.zip / FNB _-) R2000.00 paid from Current a_c..512781 @ Smartapp. Ref.Repay. 16Jun 09_14.eml</x:v>
      </x:c>
    </x:row>
    <x:row r="466">
      <x:c r="A466" s="34" t="n">
        <x:v>46189.69930555556</x:v>
      </x:c>
      <x:c r="B466" s="15" t="str">
        <x:v>Outflow</x:v>
      </x:c>
      <x:c r="C466" s="15" t="str">
        <x:v>Sakkie Wages</x:v>
      </x:c>
      <x:c r="D466" s="38" t="n">
        <x:v>250</x:v>
      </x:c>
      <x:c r="E466" s="15" t="str">
        <x:v>ZAR</x:v>
      </x:c>
      <x:c r="F466" s="15" t="str">
        <x:v>Salary / wages</x:v>
      </x:c>
      <x:c r="G466" s="15" t="str">
        <x:v>Current a/c..512781</x:v>
      </x:c>
      <x:c r="H466" s="15" t="str">
        <x:v>Sakkie Wages</x:v>
      </x:c>
      <x:c r="I466" s="15" t="str">
        <x:v>eml_ALL_currentac__512781 (2).zip &gt; eml1currentac__512781.zip / FNB _-) R250.00 paid from Current a_c..512781 @ Smartapp. Ref.Sakkie Wages. 16Jun 16_47.eml</x:v>
      </x:c>
    </x:row>
    <x:row r="467">
      <x:c r="A467" s="34" t="n">
        <x:v>46190.282638888886</x:v>
      </x:c>
      <x:c r="B467" s="15" t="str">
        <x:v>Outflow</x:v>
      </x:c>
      <x:c r="C467" s="15" t="str">
        <x:v>Electricity 14503572</x:v>
      </x:c>
      <x:c r="D467" s="38" t="n">
        <x:v>150</x:v>
      </x:c>
      <x:c r="E467" s="15" t="str">
        <x:v>ZAR</x:v>
      </x:c>
      <x:c r="F467" s="15" t="str">
        <x:v>Telecom / utilities</x:v>
      </x:c>
      <x:c r="G467" s="15" t="str">
        <x:v>Current a/c..512781</x:v>
      </x:c>
      <x:c r="H467" s="15" t="str">
        <x:v>Electricity 14503572</x:v>
      </x:c>
      <x:c r="I467" s="15" t="str">
        <x:v>eml_ALL_currentac__512781 (2).zip &gt; eml1currentac__512781.zip / FNB _-) R150.00 paid from Current a_c..512781 @ Smartapp. Ref.Electricity 14503572. 17Jun 06_47.eml</x:v>
      </x:c>
    </x:row>
    <x:row r="468">
      <x:c r="A468" s="34" t="n">
        <x:v>46190.49375</x:v>
      </x:c>
      <x:c r="B468" s="15" t="str">
        <x:v>Outflow</x:v>
      </x:c>
      <x:c r="C468" s="15" t="str">
        <x:v>Car</x:v>
      </x:c>
      <x:c r="D468" s="38" t="n">
        <x:v>5000</x:v>
      </x:c>
      <x:c r="E468" s="15" t="str">
        <x:v>ZAR</x:v>
      </x:c>
      <x:c r="F468" s="15" t="str">
        <x:v>Supplier payments</x:v>
      </x:c>
      <x:c r="G468" s="15" t="str">
        <x:v>Current a/c..512781</x:v>
      </x:c>
      <x:c r="H468" s="15" t="str">
        <x:v>Car</x:v>
      </x:c>
      <x:c r="I468" s="15" t="str">
        <x:v>eml_ALL_currentac__512781 (2).zip &gt; eml1currentac__512781.zip / FNB _-) R5000.00 paid from Current a_c..512781 @ Smartapp. Ref.Car. 17Jun 11_51.eml</x:v>
      </x:c>
    </x:row>
    <x:row r="469">
      <x:c r="A469" s="34" t="n">
        <x:v>46191.38958333333</x:v>
      </x:c>
      <x:c r="B469" s="15" t="str">
        <x:v>Inflow</x:v>
      </x:c>
      <x:c r="C469" s="15" t="str">
        <x:v>R026qc6v20 Booking.c</x:v>
      </x:c>
      <x:c r="D469" s="38" t="n">
        <x:v>6363.32</x:v>
      </x:c>
      <x:c r="E469" s="15" t="str">
        <x:v>ZAR</x:v>
      </x:c>
      <x:c r="F469" s="15" t="str">
        <x:v>Sales / customer receipts</x:v>
      </x:c>
      <x:c r="G469" s="15" t="str">
        <x:v>Current a/c..512781</x:v>
      </x:c>
      <x:c r="H469" s="15" t="str">
        <x:v>R026qc6v20 Booking.c</x:v>
      </x:c>
      <x:c r="I469" s="15" t="str">
        <x:v>eml_ALL_currentac__512781 (2).zip &gt; eml1currentac__512781.zip / FNB _-) R6363.32 paid to Current a_c..512781 @ Retail Forex. Ref.R026qc6v20 Booking.c. 18Jun 09_21.eml</x:v>
      </x:c>
    </x:row>
    <x:row r="470">
      <x:c r="A470" s="34" t="n">
        <x:v>46192.50069444445</x:v>
      </x:c>
      <x:c r="B470" s="15" t="str">
        <x:v>Outflow</x:v>
      </x:c>
      <x:c r="C470" s="15" t="str">
        <x:v>Royal Bush 3846</x:v>
      </x:c>
      <x:c r="D470" s="38" t="n">
        <x:v>2990</x:v>
      </x:c>
      <x:c r="E470" s="15" t="str">
        <x:v>ZAR</x:v>
      </x:c>
      <x:c r="F470" s="15" t="str">
        <x:v>Supplier payments</x:v>
      </x:c>
      <x:c r="G470" s="15" t="str">
        <x:v>Current a/c..512781</x:v>
      </x:c>
      <x:c r="H470" s="15" t="str">
        <x:v>Royal Bush 3846</x:v>
      </x:c>
      <x:c r="I470" s="15" t="str">
        <x:v>eml_ALL_currentac__512781 (2).zip &gt; eml1currentac__512781.zip / FNB _-) R2990.00 paid from Current a_c..512781 @ Smartapp. Ref.Royal Bush 3846. 19Jun 12_01.eml</x:v>
      </x:c>
    </x:row>
    <x:row r="471">
      <x:c r="A471" s="34" t="n">
        <x:v>46192.57152777778</x:v>
      </x:c>
      <x:c r="B471" s="15" t="str">
        <x:v>Inflow</x:v>
      </x:c>
      <x:c r="C471" s="15" t="str">
        <x:v>Ik Pay 487882</x:v>
      </x:c>
      <x:c r="D471" s="38" t="n">
        <x:v>1641.66</x:v>
      </x:c>
      <x:c r="E471" s="15" t="str">
        <x:v>ZAR</x:v>
      </x:c>
      <x:c r="F471" s="15" t="str">
        <x:v>Sales / customer receipts</x:v>
      </x:c>
      <x:c r="G471" s="15" t="str">
        <x:v>Current a/c..512781</x:v>
      </x:c>
      <x:c r="H471" s="15" t="str">
        <x:v>Ik Pay 487882</x:v>
      </x:c>
      <x:c r="I471" s="15" t="str">
        <x:v>eml_ALL_currentac__512781 (2).zip &gt; eml1currentac__512781.zip / FNB _-) R1641.66 paid to Current a_c..512781 @ Payshap. Ref.Ik Pay 487882. 19Jun 13_43.eml</x:v>
      </x:c>
    </x:row>
    <x:row r="472">
      <x:c r="A472" s="34" t="n">
        <x:v>46192.595138888886</x:v>
      </x:c>
      <x:c r="B472" s="15" t="str">
        <x:v>Outflow</x:v>
      </x:c>
      <x:c r="C472" s="15" t="str">
        <x:v>Sakkie Wages</x:v>
      </x:c>
      <x:c r="D472" s="38" t="n">
        <x:v>2500</x:v>
      </x:c>
      <x:c r="E472" s="15" t="str">
        <x:v>ZAR</x:v>
      </x:c>
      <x:c r="F472" s="15" t="str">
        <x:v>Salary / wages</x:v>
      </x:c>
      <x:c r="G472" s="15" t="str">
        <x:v>Current a/c..512781</x:v>
      </x:c>
      <x:c r="H472" s="15" t="str">
        <x:v>Sakkie Wages</x:v>
      </x:c>
      <x:c r="I472" s="15" t="str">
        <x:v>eml_ALL_currentac__512781 (2).zip &gt; eml1currentac__512781.zip / FNB _-) R2500.00 paid from Current a_c..512781 @ Smartapp. Ref.Sakkie Wages. 19Jun 14_17.eml</x:v>
      </x:c>
    </x:row>
    <x:row r="473">
      <x:c r="A473" s="34" t="n">
        <x:v>46192.67013888889</x:v>
      </x:c>
      <x:c r="B473" s="15" t="str">
        <x:v>Outflow</x:v>
      </x:c>
      <x:c r="C473" s="15" t="str">
        <x:v>Bushwise Inv 0122</x:v>
      </x:c>
      <x:c r="D473" s="38" t="n">
        <x:v>2975</x:v>
      </x:c>
      <x:c r="E473" s="15" t="str">
        <x:v>ZAR</x:v>
      </x:c>
      <x:c r="F473" s="15" t="str">
        <x:v>Supplier payments</x:v>
      </x:c>
      <x:c r="G473" s="15" t="str">
        <x:v>Current a/c..512781</x:v>
      </x:c>
      <x:c r="H473" s="15" t="str">
        <x:v>Bushwise Inv 0122</x:v>
      </x:c>
      <x:c r="I473" s="15" t="str">
        <x:v>eml_ALL_currentac__512781 (2).zip &gt; eml1currentac__512781.zip / FNB _-) R2975.00 paid from Current a_c..512781 @ Smartapp. Ref.Bushwise Inv 0122. 19Jun 16_05.eml</x:v>
      </x:c>
    </x:row>
  </x:sheetData>
  <x:pageMargins left="0.7" right="0.7" top="0.75" bottom="0.75" header="0.3" footer="0.3"/>
  <x:tableParts count="1">
    <x:tablePart xmlns:r="http://schemas.openxmlformats.org/officeDocument/2006/relationships" r:id="R20c9b588b2d748c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36" hidden="0" customWidth="1"/>
    <x:col min="6" max="6" width="16" hidden="0" customWidth="1"/>
    <x:col min="7" max="7" width="28" hidden="0" customWidth="1"/>
    <x:col min="8" max="8" width="36" hidden="0" customWidth="1"/>
  </x:cols>
  <x:sheetData>
    <x:row r="1">
      <x:c r="A1" s="29" t="str">
        <x:v>Category</x:v>
      </x:c>
      <x:c r="B1" s="29" t="str">
        <x:v>Total inflows</x:v>
      </x:c>
      <x:c r="C1" s="29" t="str">
        <x:v>Total outflows</x:v>
      </x:c>
      <x:c r="D1" s="29" t="str">
        <x:v>Net amount</x:v>
      </x:c>
      <x:c r="E1" s="29" t="str">
        <x:v>Number of transactions</x:v>
      </x:c>
      <x:c r="F1" s="29" t="str">
        <x:v>Percentage of total outflows</x:v>
      </x:c>
      <x:c r="G1" s="29" t="str">
        <x:v>Top merchants/payees in category</x:v>
      </x:c>
      <x:c r="H1" s="29" t="str">
        <x:v>Notes</x:v>
      </x:c>
    </x:row>
    <x:row r="2">
      <x:c r="A2" s="15" t="str">
        <x:v>Accommodation / hotels</x:v>
      </x:c>
      <x:c r="B2" s="38" t="n">
        <x:v>0</x:v>
      </x:c>
      <x:c r="C2" s="38" t="n">
        <x:v>1150</x:v>
      </x:c>
      <x:c r="D2" s="38" t="n">
        <x:v>-1150</x:v>
      </x:c>
      <x:c r="E2" s="15" t="n">
        <x:v>2</x:v>
      </x:c>
      <x:c r="F2" s="40" t="n">
        <x:v>0.0009940802263197384</x:v>
      </x:c>
      <x:c r="G2" s="15" t="str">
        <x:v>Seaside Village Elec (1,000.00); Jabula Lodge 73 (150.00)</x:v>
      </x:c>
      <x:c r="H2" s="15" t="str"/>
    </x:row>
    <x:row r="3">
      <x:c r="A3" s="15" t="str">
        <x:v>Card spend</x:v>
      </x:c>
      <x:c r="B3" s="38" t="n">
        <x:v>0</x:v>
      </x:c>
      <x:c r="C3" s="38" t="n">
        <x:v>43401.25</x:v>
      </x:c>
      <x:c r="D3" s="38" t="n">
        <x:v>-43401.25</x:v>
      </x:c>
      <x:c r="E3" s="15" t="n">
        <x:v>50</x:v>
      </x:c>
      <x:c r="F3" s="40" t="n">
        <x:v>0.037516803845703946</x:v>
      </x:c>
      <x:c r="G3" s="15" t="str">
        <x:v>Nkomazi Local Munici (13,904.18); Sanparks Crocodile B (13,332.00); Autozone Malelane (2,440.00); Hpy*vodafone Cellula (1,300.00); Yoco *k2025744041 (1,055.00)</x:v>
      </x:c>
      <x:c r="H3" s="15" t="str">
        <x:v>Contains broad/default mappings; review Category_Mapping and Exceptions_Review for uncertainty.</x:v>
      </x:c>
    </x:row>
    <x:row r="4">
      <x:c r="A4" s="15" t="str">
        <x:v>Cash withdrawal</x:v>
      </x:c>
      <x:c r="B4" s="38" t="n">
        <x:v>0</x:v>
      </x:c>
      <x:c r="C4" s="38" t="n">
        <x:v>3469.94</x:v>
      </x:c>
      <x:c r="D4" s="38" t="n">
        <x:v>-3469.94</x:v>
      </x:c>
      <x:c r="E4" s="15" t="n">
        <x:v>10</x:v>
      </x:c>
      <x:c r="F4" s="40" t="n">
        <x:v>0.0029994771656660113</x:v>
      </x:c>
      <x:c r="G4" s="15" t="str">
        <x:v>Atmh11960000001 (2,650.00); Riviera Cash N Carry (369.94); Absa Bush Centr (250.00); Cash Ag18 3884 Olif (200.00)</x:v>
      </x:c>
      <x:c r="H4" s="15" t="str"/>
    </x:row>
    <x:row r="5">
      <x:c r="A5" s="15" t="str">
        <x:v>Fuel / transport</x:v>
      </x:c>
      <x:c r="B5" s="38" t="n">
        <x:v>0</x:v>
      </x:c>
      <x:c r="C5" s="38" t="n">
        <x:v>17177.75</x:v>
      </x:c>
      <x:c r="D5" s="38" t="n">
        <x:v>-17177.75</x:v>
      </x:c>
      <x:c r="E5" s="15" t="n">
        <x:v>45</x:v>
      </x:c>
      <x:c r="F5" s="40" t="n">
        <x:v>0.014848749224055552</x:v>
      </x:c>
      <x:c r="G5" s="15" t="str">
        <x:v>Marlothi Petrol Stat (9,273.95); Frontier Fuels (2,080.00); Fuel (1,000.00); Eastern Border Fuels (950.00); Sasol Emkhatsini (800.00)</x:v>
      </x:c>
      <x:c r="H5" s="15" t="str"/>
    </x:row>
    <x:row r="6">
      <x:c r="A6" s="15" t="str">
        <x:v>Inter-account transfer</x:v>
      </x:c>
      <x:c r="B6" s="38" t="n">
        <x:v>0</x:v>
      </x:c>
      <x:c r="C6" s="38" t="n">
        <x:v>0</x:v>
      </x:c>
      <x:c r="D6" s="38" t="n">
        <x:v>0</x:v>
      </x:c>
      <x:c r="E6" s="15" t="n">
        <x:v>40</x:v>
      </x:c>
      <x:c r="F6" s="40" t="n">
        <x:v>0</x:v>
      </x:c>
      <x:c r="G6" s="15" t="str"/>
      <x:c r="H6" s="15" t="str"/>
    </x:row>
    <x:row r="7">
      <x:c r="A7" s="15" t="str">
        <x:v>Meals / restaurants / entertainment</x:v>
      </x:c>
      <x:c r="B7" s="38" t="n">
        <x:v>0</x:v>
      </x:c>
      <x:c r="C7" s="38" t="n">
        <x:v>38302.34</x:v>
      </x:c>
      <x:c r="D7" s="38" t="n">
        <x:v>-38302.34</x:v>
      </x:c>
      <x:c r="E7" s="15" t="n">
        <x:v>66</x:v>
      </x:c>
      <x:c r="F7" s="40" t="n">
        <x:v>0.033109216361543965</x:v>
      </x:c>
      <x:c r="G7" s="15" t="str">
        <x:v>The Tin Shack (3,767.00); Savemor Marloth Liqu (3,562.05); Tops Komatipoort (2,709.16); Dinner Box 99970 (2,543.95); Giraffe Pub And Gril (2,300.00)</x:v>
      </x:c>
      <x:c r="H7" s="15" t="str"/>
    </x:row>
    <x:row r="8">
      <x:c r="A8" s="15" t="str">
        <x:v>Other</x:v>
      </x:c>
      <x:c r="B8" s="38" t="n">
        <x:v>0</x:v>
      </x:c>
      <x:c r="C8" s="38" t="n">
        <x:v>0</x:v>
      </x:c>
      <x:c r="D8" s="38" t="n">
        <x:v>0</x:v>
      </x:c>
      <x:c r="E8" s="15" t="n">
        <x:v>37</x:v>
      </x:c>
      <x:c r="F8" s="40" t="n">
        <x:v>0</x:v>
      </x:c>
      <x:c r="G8" s="15" t="str"/>
      <x:c r="H8" s="15" t="str">
        <x:v>Contains broad/default mappings; review Category_Mapping and Exceptions_Review for uncertainty.</x:v>
      </x:c>
    </x:row>
    <x:row r="9">
      <x:c r="A9" s="15" t="str">
        <x:v>Refunds / reversals</x:v>
      </x:c>
      <x:c r="B9" s="38" t="n">
        <x:v>4969.48</x:v>
      </x:c>
      <x:c r="C9" s="38" t="n">
        <x:v>0</x:v>
      </x:c>
      <x:c r="D9" s="38" t="n">
        <x:v>4969.48</x:v>
      </x:c>
      <x:c r="E9" s="15" t="n">
        <x:v>6</x:v>
      </x:c>
      <x:c r="F9" s="40" t="n">
        <x:v>0</x:v>
      </x:c>
      <x:c r="G9" s="15" t="str">
        <x:v>Kruger Sa 1698 50% (3,454.50); Card purchase reversal (778.98); Cr Vc Temu (536.00); Cash withdrawal reversal (200.00)</x:v>
      </x:c>
      <x:c r="H9" s="15" t="str">
        <x:v>Separated from income and applied as positive cashflow against outflows.</x:v>
      </x:c>
    </x:row>
    <x:row r="10">
      <x:c r="A10" s="15" t="str">
        <x:v>Rent / property</x:v>
      </x:c>
      <x:c r="B10" s="38" t="n">
        <x:v>0</x:v>
      </x:c>
      <x:c r="C10" s="38" t="n">
        <x:v>3550</x:v>
      </x:c>
      <x:c r="D10" s="38" t="n">
        <x:v>-3550</x:v>
      </x:c>
      <x:c r="E10" s="15" t="n">
        <x:v>1</x:v>
      </x:c>
      <x:c r="F10" s="40" t="n">
        <x:v>0.003068682437769627</x:v>
      </x:c>
      <x:c r="G10" s="15" t="str">
        <x:v>Big Bay Maintenance (3,550.00)</x:v>
      </x:c>
      <x:c r="H10" s="15" t="str"/>
    </x:row>
    <x:row r="11">
      <x:c r="A11" s="15" t="str">
        <x:v>Salary / wages</x:v>
      </x:c>
      <x:c r="B11" s="38" t="n">
        <x:v>0</x:v>
      </x:c>
      <x:c r="C11" s="38" t="n">
        <x:v>301850</x:v>
      </x:c>
      <x:c r="D11" s="38" t="n">
        <x:v>-301850</x:v>
      </x:c>
      <x:c r="E11" s="15" t="n">
        <x:v>69</x:v>
      </x:c>
      <x:c r="F11" s="40" t="n">
        <x:v>0.2609244489692287</x:v>
      </x:c>
      <x:c r="G11" s="15" t="str">
        <x:v>Staff Salary (63,000.00); Staff (39,000.00); Sakkie Wages (25,600.00); Salary (20,000.00); Wage Jan (15,000.00)</x:v>
      </x:c>
      <x:c r="H11" s="15" t="str"/>
    </x:row>
    <x:row r="12">
      <x:c r="A12" s="15" t="str">
        <x:v>Sales / customer receipts</x:v>
      </x:c>
      <x:c r="B12" s="38" t="n">
        <x:v>1333722.88</x:v>
      </x:c>
      <x:c r="C12" s="38" t="n">
        <x:v>0</x:v>
      </x:c>
      <x:c r="D12" s="38" t="n">
        <x:v>1333722.88</x:v>
      </x:c>
      <x:c r="E12" s="15" t="n">
        <x:v>119</x:v>
      </x:c>
      <x:c r="F12" s="40" t="n">
        <x:v>0</x:v>
      </x:c>
      <x:c r="G12" s="15" t="str">
        <x:v>Ik Pay 487882 (451,281.48); Ag1 Seaside Village (91,291.16); R026zdm6s0 Booking.c (45,321.13); R025n8vc90 Booking.c (41,435.63); 6114000315 (38,411.98)</x:v>
      </x:c>
      <x:c r="H12" s="15" t="str"/>
    </x:row>
    <x:row r="13">
      <x:c r="A13" s="15" t="str">
        <x:v>Software / subscriptions</x:v>
      </x:c>
      <x:c r="B13" s="38" t="n">
        <x:v>0</x:v>
      </x:c>
      <x:c r="C13" s="38" t="n">
        <x:v>11904.13</x:v>
      </x:c>
      <x:c r="D13" s="38" t="n">
        <x:v>-11904.13</x:v>
      </x:c>
      <x:c r="E13" s="15" t="n">
        <x:v>21</x:v>
      </x:c>
      <x:c r="F13" s="40" t="n">
        <x:v>0.0102901393430779</x:v>
      </x:c>
      <x:c r="G13" s="15" t="str">
        <x:v>Claude.ai Subscription+14 (3,958.01); Sqsp* Websit (3,716.49); Openai *chatgpt Subscr+14 (2,208.34); Paystack *zoho Co (1,601.95); Sqsp* Domain (419.34)</x:v>
      </x:c>
      <x:c r="H13" s="15" t="str"/>
    </x:row>
    <x:row r="14">
      <x:c r="A14" s="15" t="str">
        <x:v>Supplier payments</x:v>
      </x:c>
      <x:c r="B14" s="38" t="n">
        <x:v>0</x:v>
      </x:c>
      <x:c r="C14" s="38" t="n">
        <x:v>709891.88</x:v>
      </x:c>
      <x:c r="D14" s="38" t="n">
        <x:v>-709891.88</x:v>
      </x:c>
      <x:c r="E14" s="15" t="n">
        <x:v>411</x:v>
      </x:c>
      <x:c r="F14" s="40" t="n">
        <x:v>0.6136430267242996</x:v>
      </x:c>
      <x:c r="G14" s="15" t="str">
        <x:v>Superspar Komatipoor (63,735.70); Savemor Marloth (26,674.83); Royal 3380 + 3463 (26,185.00); Royal Bush 3380 50% (21,945.00); Stratton Prop Mng (20,927.54)</x:v>
      </x:c>
      <x:c r="H14" s="15" t="str">
        <x:v>Contains broad/default mappings; review Category_Mapping and Exceptions_Review for uncertainty.</x:v>
      </x:c>
    </x:row>
    <x:row r="15">
      <x:c r="A15" s="15" t="str">
        <x:v>Taxes / statutory payments</x:v>
      </x:c>
      <x:c r="B15" s="38" t="n">
        <x:v>0</x:v>
      </x:c>
      <x:c r="C15" s="38" t="n">
        <x:v>901.2</x:v>
      </x:c>
      <x:c r="D15" s="38" t="n">
        <x:v>-901.2</x:v>
      </x:c>
      <x:c r="E15" s="15" t="n">
        <x:v>1</x:v>
      </x:c>
      <x:c r="F15" s="40" t="n">
        <x:v>0.0007790131303994332</x:v>
      </x:c>
      <x:c r="G15" s="15" t="str">
        <x:v>Kruger Safa 1698 Vat (901.20)</x:v>
      </x:c>
      <x:c r="H15" s="15" t="str"/>
    </x:row>
    <x:row r="16">
      <x:c r="A16" s="15" t="str">
        <x:v>Telecom / utilities</x:v>
      </x:c>
      <x:c r="B16" s="38" t="n">
        <x:v>0</x:v>
      </x:c>
      <x:c r="C16" s="38" t="n">
        <x:v>25249.79</x:v>
      </x:c>
      <x:c r="D16" s="38" t="n">
        <x:v>-25249.79</x:v>
      </x:c>
      <x:c r="E16" s="15" t="n">
        <x:v>69</x:v>
      </x:c>
      <x:c r="F16" s="40" t="n">
        <x:v>0.021826362571935536</x:v>
      </x:c>
      <x:c r="G16" s="15" t="str">
        <x:v>Electricity 04294887 (15,800.00); Electricity 14503572 (4,850.00); Electricity 04279376 (3,000.00); Impala Electrical Wh (1,099.79); Electricity (500.00)</x:v>
      </x:c>
      <x:c r="H16" s="15" t="str"/>
    </x:row>
  </x:sheetData>
  <x:pageMargins left="0.7" right="0.7" top="0.75" bottom="0.75" header="0.3" footer="0.3"/>
  <x:tableParts count="1">
    <x:tablePart xmlns:r="http://schemas.openxmlformats.org/officeDocument/2006/relationships" r:id="R62be14c7ead64b9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20" hidden="0" customWidth="1"/>
    <x:col min="9" max="9" width="20" hidden="0" customWidth="1"/>
  </x:cols>
  <x:sheetData>
    <x:row r="1">
      <x:c r="A1" s="29" t="str">
        <x:v>Counterparty / merchant / payer / payee</x:v>
      </x:c>
      <x:c r="B1" s="29" t="str">
        <x:v>Direction</x:v>
      </x:c>
      <x:c r="C1" s="29" t="str">
        <x:v>Category</x:v>
      </x:c>
      <x:c r="D1" s="29" t="str">
        <x:v>Total inflows</x:v>
      </x:c>
      <x:c r="E1" s="29" t="str">
        <x:v>Total outflows</x:v>
      </x:c>
      <x:c r="F1" s="29" t="str">
        <x:v>Net amount</x:v>
      </x:c>
      <x:c r="G1" s="29" t="str">
        <x:v>Number of transactions</x:v>
      </x:c>
      <x:c r="H1" s="29" t="str">
        <x:v>First transaction date</x:v>
      </x:c>
      <x:c r="I1" s="29" t="str">
        <x:v>Last transaction date</x:v>
      </x:c>
    </x:row>
    <x:row r="2">
      <x:c r="A2" s="15" t="str">
        <x:v>Ik Pay 487882</x:v>
      </x:c>
      <x:c r="B2" s="15" t="str">
        <x:v>Inflow</x:v>
      </x:c>
      <x:c r="C2" s="15" t="str">
        <x:v>Sales / customer receipts</x:v>
      </x:c>
      <x:c r="D2" s="38" t="n">
        <x:v>451281.48</x:v>
      </x:c>
      <x:c r="E2" s="38" t="n">
        <x:v>0</x:v>
      </x:c>
      <x:c r="F2" s="38" t="n">
        <x:v>451281.48</x:v>
      </x:c>
      <x:c r="G2" s="15" t="n">
        <x:v>57</x:v>
      </x:c>
      <x:c r="H2" s="34" t="n">
        <x:v>45971.57152777778</x:v>
      </x:c>
      <x:c r="I2" s="34" t="n">
        <x:v>46192.57152777778</x:v>
      </x:c>
    </x:row>
    <x:row r="3">
      <x:c r="A3" s="15" t="str">
        <x:v>Current a/c..261544</x:v>
      </x:c>
      <x:c r="B3" s="15" t="str">
        <x:v>Internal Transfer</x:v>
      </x:c>
      <x:c r="C3" s="15" t="str">
        <x:v>Inter-account transfer</x:v>
      </x:c>
      <x:c r="D3" s="38" t="n">
        <x:v>0</x:v>
      </x:c>
      <x:c r="E3" s="38" t="n">
        <x:v>0</x:v>
      </x:c>
      <x:c r="F3" s="38" t="n">
        <x:v>0</x:v>
      </x:c>
      <x:c r="G3" s="15" t="n">
        <x:v>14</x:v>
      </x:c>
      <x:c r="H3" s="34" t="n">
        <x:v>45930.73333333333</x:v>
      </x:c>
      <x:c r="I3" s="34" t="n">
        <x:v>46188.59583333333</x:v>
      </x:c>
    </x:row>
    <x:row r="4">
      <x:c r="A4" s="15" t="str">
        <x:v>Ag1 Seaside Village</x:v>
      </x:c>
      <x:c r="B4" s="15" t="str">
        <x:v>Inflow</x:v>
      </x:c>
      <x:c r="C4" s="15" t="str">
        <x:v>Sales / customer receipts</x:v>
      </x:c>
      <x:c r="D4" s="38" t="n">
        <x:v>91291.16</x:v>
      </x:c>
      <x:c r="E4" s="38" t="n">
        <x:v>0</x:v>
      </x:c>
      <x:c r="F4" s="38" t="n">
        <x:v>91291.16</x:v>
      </x:c>
      <x:c r="G4" s="15" t="n">
        <x:v>5</x:v>
      </x:c>
      <x:c r="H4" s="34" t="n">
        <x:v>46088.40555555555</x:v>
      </x:c>
      <x:c r="I4" s="34" t="n">
        <x:v>46168.584027777775</x:v>
      </x:c>
    </x:row>
    <x:row r="5">
      <x:c r="A5" s="15" t="str">
        <x:v>Superspar Komatipoor</x:v>
      </x:c>
      <x:c r="B5" s="15" t="str">
        <x:v>Outflow</x:v>
      </x:c>
      <x:c r="C5" s="15" t="str">
        <x:v>Supplier payments</x:v>
      </x:c>
      <x:c r="D5" s="38" t="n">
        <x:v>0</x:v>
      </x:c>
      <x:c r="E5" s="38" t="n">
        <x:v>63735.7</x:v>
      </x:c>
      <x:c r="F5" s="38" t="n">
        <x:v>-63735.7</x:v>
      </x:c>
      <x:c r="G5" s="15" t="n">
        <x:v>64</x:v>
      </x:c>
      <x:c r="H5" s="34" t="n">
        <x:v>45925.683333333334</x:v>
      </x:c>
      <x:c r="I5" s="34" t="n">
        <x:v>46192.50069444445</x:v>
      </x:c>
    </x:row>
    <x:row r="6">
      <x:c r="A6" s="15" t="str">
        <x:v>Staff Salary</x:v>
      </x:c>
      <x:c r="B6" s="15" t="str">
        <x:v>Outflow</x:v>
      </x:c>
      <x:c r="C6" s="15" t="str">
        <x:v>Salary / wages</x:v>
      </x:c>
      <x:c r="D6" s="38" t="n">
        <x:v>0</x:v>
      </x:c>
      <x:c r="E6" s="38" t="n">
        <x:v>63000</x:v>
      </x:c>
      <x:c r="F6" s="38" t="n">
        <x:v>-63000</x:v>
      </x:c>
      <x:c r="G6" s="15" t="n">
        <x:v>6</x:v>
      </x:c>
      <x:c r="H6" s="34" t="n">
        <x:v>46080.45972222222</x:v>
      </x:c>
      <x:c r="I6" s="34" t="n">
        <x:v>46143.37777777778</x:v>
      </x:c>
    </x:row>
    <x:row r="7">
      <x:c r="A7" s="15" t="str">
        <x:v>home loan a/c..057026</x:v>
      </x:c>
      <x:c r="B7" s="15" t="str">
        <x:v>Internal Transfer</x:v>
      </x:c>
      <x:c r="C7" s="15" t="str">
        <x:v>Inter-account transfer</x:v>
      </x:c>
      <x:c r="D7" s="38" t="n">
        <x:v>0</x:v>
      </x:c>
      <x:c r="E7" s="38" t="n">
        <x:v>0</x:v>
      </x:c>
      <x:c r="F7" s="38" t="n">
        <x:v>0</x:v>
      </x:c>
      <x:c r="G7" s="15" t="n">
        <x:v>2</x:v>
      </x:c>
      <x:c r="H7" s="34" t="n">
        <x:v>46132.638194444444</x:v>
      </x:c>
      <x:c r="I7" s="34" t="n">
        <x:v>46155.675</x:v>
      </x:c>
    </x:row>
    <x:row r="8">
      <x:c r="A8" s="15" t="str">
        <x:v>R026zdm6s0 Booking.c</x:v>
      </x:c>
      <x:c r="B8" s="15" t="str">
        <x:v>Inflow</x:v>
      </x:c>
      <x:c r="C8" s="15" t="str">
        <x:v>Sales / customer receipts</x:v>
      </x:c>
      <x:c r="D8" s="38" t="n">
        <x:v>45321.13</x:v>
      </x:c>
      <x:c r="E8" s="38" t="n">
        <x:v>0</x:v>
      </x:c>
      <x:c r="F8" s="38" t="n">
        <x:v>45321.13</x:v>
      </x:c>
      <x:c r="G8" s="15" t="n">
        <x:v>1</x:v>
      </x:c>
      <x:c r="H8" s="34" t="n">
        <x:v>46038.368055555555</x:v>
      </x:c>
      <x:c r="I8" s="34" t="n">
        <x:v>46038.368055555555</x:v>
      </x:c>
    </x:row>
    <x:row r="9">
      <x:c r="A9" s="15" t="str">
        <x:v>R025n8vc90 Booking.c</x:v>
      </x:c>
      <x:c r="B9" s="15" t="str">
        <x:v>Inflow</x:v>
      </x:c>
      <x:c r="C9" s="15" t="str">
        <x:v>Sales / customer receipts</x:v>
      </x:c>
      <x:c r="D9" s="38" t="n">
        <x:v>41435.63</x:v>
      </x:c>
      <x:c r="E9" s="38" t="n">
        <x:v>0</x:v>
      </x:c>
      <x:c r="F9" s="38" t="n">
        <x:v>41435.63</x:v>
      </x:c>
      <x:c r="G9" s="15" t="n">
        <x:v>1</x:v>
      </x:c>
      <x:c r="H9" s="34" t="n">
        <x:v>45933.42638888889</x:v>
      </x:c>
      <x:c r="I9" s="34" t="n">
        <x:v>45933.42638888889</x:v>
      </x:c>
    </x:row>
    <x:row r="10">
      <x:c r="A10" s="15" t="str">
        <x:v>Staff</x:v>
      </x:c>
      <x:c r="B10" s="15" t="str">
        <x:v>Outflow</x:v>
      </x:c>
      <x:c r="C10" s="15" t="str">
        <x:v>Salary / wages</x:v>
      </x:c>
      <x:c r="D10" s="38" t="n">
        <x:v>0</x:v>
      </x:c>
      <x:c r="E10" s="38" t="n">
        <x:v>39000</x:v>
      </x:c>
      <x:c r="F10" s="38" t="n">
        <x:v>-39000</x:v>
      </x:c>
      <x:c r="G10" s="15" t="n">
        <x:v>8</x:v>
      </x:c>
      <x:c r="H10" s="34" t="n">
        <x:v>46114.15138888889</x:v>
      </x:c>
      <x:c r="I10" s="34" t="n">
        <x:v>46185.38402777778</x:v>
      </x:c>
    </x:row>
    <x:row r="11">
      <x:c r="A11" s="15" t="str">
        <x:v>6114000315</x:v>
      </x:c>
      <x:c r="B11" s="15" t="str">
        <x:v>Inflow</x:v>
      </x:c>
      <x:c r="C11" s="15" t="str">
        <x:v>Sales / customer receipts</x:v>
      </x:c>
      <x:c r="D11" s="38" t="n">
        <x:v>38411.98</x:v>
      </x:c>
      <x:c r="E11" s="38" t="n">
        <x:v>0</x:v>
      </x:c>
      <x:c r="F11" s="38" t="n">
        <x:v>38411.98</x:v>
      </x:c>
      <x:c r="G11" s="15" t="n">
        <x:v>1</x:v>
      </x:c>
      <x:c r="H11" s="34" t="n">
        <x:v>46167.583333333336</x:v>
      </x:c>
      <x:c r="I11" s="34" t="n">
        <x:v>46167.583333333336</x:v>
      </x:c>
    </x:row>
    <x:row r="12">
      <x:c r="A12" s="15" t="str">
        <x:v>R026x4wv90 Booking.c</x:v>
      </x:c>
      <x:c r="B12" s="15" t="str">
        <x:v>Inflow</x:v>
      </x:c>
      <x:c r="C12" s="15" t="str">
        <x:v>Sales / customer receipts</x:v>
      </x:c>
      <x:c r="D12" s="38" t="n">
        <x:v>35459.34</x:v>
      </x:c>
      <x:c r="E12" s="38" t="n">
        <x:v>0</x:v>
      </x:c>
      <x:c r="F12" s="38" t="n">
        <x:v>35459.34</x:v>
      </x:c>
      <x:c r="G12" s="15" t="n">
        <x:v>1</x:v>
      </x:c>
      <x:c r="H12" s="34" t="n">
        <x:v>46065.353472222225</x:v>
      </x:c>
      <x:c r="I12" s="34" t="n">
        <x:v>46065.353472222225</x:v>
      </x:c>
    </x:row>
    <x:row r="13">
      <x:c r="A13" s="15" t="str">
        <x:v>R026tnsk50 Booking.c</x:v>
      </x:c>
      <x:c r="B13" s="15" t="str">
        <x:v>Inflow</x:v>
      </x:c>
      <x:c r="C13" s="15" t="str">
        <x:v>Sales / customer receipts</x:v>
      </x:c>
      <x:c r="D13" s="38" t="n">
        <x:v>35316.64</x:v>
      </x:c>
      <x:c r="E13" s="38" t="n">
        <x:v>0</x:v>
      </x:c>
      <x:c r="F13" s="38" t="n">
        <x:v>35316.64</x:v>
      </x:c>
      <x:c r="G13" s="15" t="n">
        <x:v>1</x:v>
      </x:c>
      <x:c r="H13" s="34" t="n">
        <x:v>46121.34722222222</x:v>
      </x:c>
      <x:c r="I13" s="34" t="n">
        <x:v>46121.34722222222</x:v>
      </x:c>
    </x:row>
    <x:row r="14">
      <x:c r="A14" s="15" t="str">
        <x:v>R026znlj30 Booking.c</x:v>
      </x:c>
      <x:c r="B14" s="15" t="str">
        <x:v>Inflow</x:v>
      </x:c>
      <x:c r="C14" s="15" t="str">
        <x:v>Sales / customer receipts</x:v>
      </x:c>
      <x:c r="D14" s="38" t="n">
        <x:v>33960.52</x:v>
      </x:c>
      <x:c r="E14" s="38" t="n">
        <x:v>0</x:v>
      </x:c>
      <x:c r="F14" s="38" t="n">
        <x:v>33960.52</x:v>
      </x:c>
      <x:c r="G14" s="15" t="n">
        <x:v>1</x:v>
      </x:c>
      <x:c r="H14" s="34" t="n">
        <x:v>46031.46111111111</x:v>
      </x:c>
      <x:c r="I14" s="34" t="n">
        <x:v>46031.46111111111</x:v>
      </x:c>
    </x:row>
    <x:row r="15">
      <x:c r="A15" s="15" t="str">
        <x:v>Private Cheq Acc..566332</x:v>
      </x:c>
      <x:c r="B15" s="15" t="str">
        <x:v>Internal Transfer</x:v>
      </x:c>
      <x:c r="C15" s="15" t="str">
        <x:v>Inter-account transfer</x:v>
      </x:c>
      <x:c r="D15" s="38" t="n">
        <x:v>0</x:v>
      </x:c>
      <x:c r="E15" s="38" t="n">
        <x:v>0</x:v>
      </x:c>
      <x:c r="F15" s="38" t="n">
        <x:v>0</x:v>
      </x:c>
      <x:c r="G15" s="15" t="n">
        <x:v>23</x:v>
      </x:c>
      <x:c r="H15" s="34" t="n">
        <x:v>45982.552777777775</x:v>
      </x:c>
      <x:c r="I15" s="34" t="n">
        <x:v>46187.66527777778</x:v>
      </x:c>
    </x:row>
    <x:row r="16">
      <x:c r="A16" s="15" t="str">
        <x:v>R025mp0hp0 Booking.c</x:v>
      </x:c>
      <x:c r="B16" s="15" t="str">
        <x:v>Inflow</x:v>
      </x:c>
      <x:c r="C16" s="15" t="str">
        <x:v>Sales / customer receipts</x:v>
      </x:c>
      <x:c r="D16" s="38" t="n">
        <x:v>32699.14</x:v>
      </x:c>
      <x:c r="E16" s="38" t="n">
        <x:v>0</x:v>
      </x:c>
      <x:c r="F16" s="38" t="n">
        <x:v>32699.14</x:v>
      </x:c>
      <x:c r="G16" s="15" t="n">
        <x:v>1</x:v>
      </x:c>
      <x:c r="H16" s="34" t="n">
        <x:v>45933.498611111114</x:v>
      </x:c>
      <x:c r="I16" s="34" t="n">
        <x:v>45933.498611111114</x:v>
      </x:c>
    </x:row>
    <x:row r="17">
      <x:c r="A17" s="15" t="str">
        <x:v>R026wj48l0 Booking.c</x:v>
      </x:c>
      <x:c r="B17" s="15" t="str">
        <x:v>Inflow</x:v>
      </x:c>
      <x:c r="C17" s="15" t="str">
        <x:v>Sales / customer receipts</x:v>
      </x:c>
      <x:c r="D17" s="38" t="n">
        <x:v>30949.25</x:v>
      </x:c>
      <x:c r="E17" s="38" t="n">
        <x:v>0</x:v>
      </x:c>
      <x:c r="F17" s="38" t="n">
        <x:v>30949.25</x:v>
      </x:c>
      <x:c r="G17" s="15" t="n">
        <x:v>1</x:v>
      </x:c>
      <x:c r="H17" s="34" t="n">
        <x:v>46080.41805555556</x:v>
      </x:c>
      <x:c r="I17" s="34" t="n">
        <x:v>46080.41805555556</x:v>
      </x:c>
    </x:row>
    <x:row r="18">
      <x:c r="A18" s="15" t="str">
        <x:v>R026vwnk80 Booking.c</x:v>
      </x:c>
      <x:c r="B18" s="15" t="str">
        <x:v>Inflow</x:v>
      </x:c>
      <x:c r="C18" s="15" t="str">
        <x:v>Sales / customer receipts</x:v>
      </x:c>
      <x:c r="D18" s="38" t="n">
        <x:v>29321.53</x:v>
      </x:c>
      <x:c r="E18" s="38" t="n">
        <x:v>0</x:v>
      </x:c>
      <x:c r="F18" s="38" t="n">
        <x:v>29321.53</x:v>
      </x:c>
      <x:c r="G18" s="15" t="n">
        <x:v>1</x:v>
      </x:c>
      <x:c r="H18" s="34" t="n">
        <x:v>46093.34722222222</x:v>
      </x:c>
      <x:c r="I18" s="34" t="n">
        <x:v>46093.34722222222</x:v>
      </x:c>
    </x:row>
    <x:row r="19">
      <x:c r="A19" s="15" t="str">
        <x:v>R026rpg4x0 Booking.c</x:v>
      </x:c>
      <x:c r="B19" s="15" t="str">
        <x:v>Inflow</x:v>
      </x:c>
      <x:c r="C19" s="15" t="str">
        <x:v>Sales / customer receipts</x:v>
      </x:c>
      <x:c r="D19" s="38" t="n">
        <x:v>28594.43</x:v>
      </x:c>
      <x:c r="E19" s="38" t="n">
        <x:v>0</x:v>
      </x:c>
      <x:c r="F19" s="38" t="n">
        <x:v>28594.43</x:v>
      </x:c>
      <x:c r="G19" s="15" t="n">
        <x:v>1</x:v>
      </x:c>
      <x:c r="H19" s="34" t="n">
        <x:v>46163.34375</x:v>
      </x:c>
      <x:c r="I19" s="34" t="n">
        <x:v>46163.34375</x:v>
      </x:c>
    </x:row>
    <x:row r="20">
      <x:c r="A20" s="15" t="str">
        <x:v>R025klftk0 Booking.c</x:v>
      </x:c>
      <x:c r="B20" s="15" t="str">
        <x:v>Inflow</x:v>
      </x:c>
      <x:c r="C20" s="15" t="str">
        <x:v>Sales / customer receipts</x:v>
      </x:c>
      <x:c r="D20" s="38" t="n">
        <x:v>27704.96</x:v>
      </x:c>
      <x:c r="E20" s="38" t="n">
        <x:v>0</x:v>
      </x:c>
      <x:c r="F20" s="38" t="n">
        <x:v>27704.96</x:v>
      </x:c>
      <x:c r="G20" s="15" t="n">
        <x:v>1</x:v>
      </x:c>
      <x:c r="H20" s="34" t="n">
        <x:v>45982.59930555556</x:v>
      </x:c>
      <x:c r="I20" s="34" t="n">
        <x:v>45982.59930555556</x:v>
      </x:c>
    </x:row>
    <x:row r="21">
      <x:c r="A21" s="15" t="str">
        <x:v>R025mdszb0 Booking.c</x:v>
      </x:c>
      <x:c r="B21" s="15" t="str">
        <x:v>Inflow</x:v>
      </x:c>
      <x:c r="C21" s="15" t="str">
        <x:v>Sales / customer receipts</x:v>
      </x:c>
      <x:c r="D21" s="38" t="n">
        <x:v>27423.36</x:v>
      </x:c>
      <x:c r="E21" s="38" t="n">
        <x:v>0</x:v>
      </x:c>
      <x:c r="F21" s="38" t="n">
        <x:v>27423.36</x:v>
      </x:c>
      <x:c r="G21" s="15" t="n">
        <x:v>1</x:v>
      </x:c>
      <x:c r="H21" s="34" t="n">
        <x:v>45940.36666666667</x:v>
      </x:c>
      <x:c r="I21" s="34" t="n">
        <x:v>45940.36666666667</x:v>
      </x:c>
    </x:row>
    <x:row r="22">
      <x:c r="A22" s="15" t="str">
        <x:v>R026wwtl60 Booking.c</x:v>
      </x:c>
      <x:c r="B22" s="15" t="str">
        <x:v>Inflow</x:v>
      </x:c>
      <x:c r="C22" s="15" t="str">
        <x:v>Sales / customer receipts</x:v>
      </x:c>
      <x:c r="D22" s="38" t="n">
        <x:v>26868.57</x:v>
      </x:c>
      <x:c r="E22" s="38" t="n">
        <x:v>0</x:v>
      </x:c>
      <x:c r="F22" s="38" t="n">
        <x:v>26868.57</x:v>
      </x:c>
      <x:c r="G22" s="15" t="n">
        <x:v>1</x:v>
      </x:c>
      <x:c r="H22" s="34" t="n">
        <x:v>46072.35</x:v>
      </x:c>
      <x:c r="I22" s="34" t="n">
        <x:v>46072.35</x:v>
      </x:c>
    </x:row>
    <x:row r="23">
      <x:c r="A23" s="15" t="str">
        <x:v>Savemor Marloth</x:v>
      </x:c>
      <x:c r="B23" s="15" t="str">
        <x:v>Outflow</x:v>
      </x:c>
      <x:c r="C23" s="15" t="str">
        <x:v>Supplier payments</x:v>
      </x:c>
      <x:c r="D23" s="38" t="n">
        <x:v>0</x:v>
      </x:c>
      <x:c r="E23" s="38" t="n">
        <x:v>26674.83</x:v>
      </x:c>
      <x:c r="F23" s="38" t="n">
        <x:v>-26674.83</x:v>
      </x:c>
      <x:c r="G23" s="15" t="n">
        <x:v>78</x:v>
      </x:c>
      <x:c r="H23" s="34" t="n">
        <x:v>45932.71875</x:v>
      </x:c>
      <x:c r="I23" s="34" t="n">
        <x:v>46172.55138888889</x:v>
      </x:c>
    </x:row>
    <x:row r="24">
      <x:c r="A24" s="15" t="str">
        <x:v>Royal 3380 + 3463</x:v>
      </x:c>
      <x:c r="B24" s="15" t="str">
        <x:v>Outflow</x:v>
      </x:c>
      <x:c r="C24" s="15" t="str">
        <x:v>Supplier payments</x:v>
      </x:c>
      <x:c r="D24" s="38" t="n">
        <x:v>0</x:v>
      </x:c>
      <x:c r="E24" s="38" t="n">
        <x:v>26185</x:v>
      </x:c>
      <x:c r="F24" s="38" t="n">
        <x:v>-26185</x:v>
      </x:c>
      <x:c r="G24" s="15" t="n">
        <x:v>1</x:v>
      </x:c>
      <x:c r="H24" s="34" t="n">
        <x:v>45975.45416666667</x:v>
      </x:c>
      <x:c r="I24" s="34" t="n">
        <x:v>45975.45416666667</x:v>
      </x:c>
    </x:row>
    <x:row r="25">
      <x:c r="A25" s="15" t="str">
        <x:v>Sakkie Wages</x:v>
      </x:c>
      <x:c r="B25" s="15" t="str">
        <x:v>Outflow</x:v>
      </x:c>
      <x:c r="C25" s="15" t="str">
        <x:v>Salary / wages</x:v>
      </x:c>
      <x:c r="D25" s="38" t="n">
        <x:v>0</x:v>
      </x:c>
      <x:c r="E25" s="38" t="n">
        <x:v>25600</x:v>
      </x:c>
      <x:c r="F25" s="38" t="n">
        <x:v>-25600</x:v>
      </x:c>
      <x:c r="G25" s="15" t="n">
        <x:v>13</x:v>
      </x:c>
      <x:c r="H25" s="34" t="n">
        <x:v>46059.65833333333</x:v>
      </x:c>
      <x:c r="I25" s="34" t="n">
        <x:v>46192.595138888886</x:v>
      </x:c>
    </x:row>
    <x:row r="26">
      <x:c r="A26" s="15" t="str">
        <x:v>R026txbl00 Booking.c</x:v>
      </x:c>
      <x:c r="B26" s="15" t="str">
        <x:v>Inflow</x:v>
      </x:c>
      <x:c r="C26" s="15" t="str">
        <x:v>Sales / customer receipts</x:v>
      </x:c>
      <x:c r="D26" s="38" t="n">
        <x:v>24034.56</x:v>
      </x:c>
      <x:c r="E26" s="38" t="n">
        <x:v>0</x:v>
      </x:c>
      <x:c r="F26" s="38" t="n">
        <x:v>24034.56</x:v>
      </x:c>
      <x:c r="G26" s="15" t="n">
        <x:v>1</x:v>
      </x:c>
      <x:c r="H26" s="34" t="n">
        <x:v>46114.38055555556</x:v>
      </x:c>
      <x:c r="I26" s="34" t="n">
        <x:v>46114.38055555556</x:v>
      </x:c>
    </x:row>
    <x:row r="27">
      <x:c r="A27" s="15" t="str">
        <x:v>R026z3l840 De Pauw D</x:v>
      </x:c>
      <x:c r="B27" s="15" t="str">
        <x:v>Inflow</x:v>
      </x:c>
      <x:c r="C27" s="15" t="str">
        <x:v>Sales / customer receipts</x:v>
      </x:c>
      <x:c r="D27" s="38" t="n">
        <x:v>23287.5</x:v>
      </x:c>
      <x:c r="E27" s="38" t="n">
        <x:v>0</x:v>
      </x:c>
      <x:c r="F27" s="38" t="n">
        <x:v>23287.5</x:v>
      </x:c>
      <x:c r="G27" s="15" t="n">
        <x:v>1</x:v>
      </x:c>
      <x:c r="H27" s="34" t="n">
        <x:v>46043.56805555556</x:v>
      </x:c>
      <x:c r="I27" s="34" t="n">
        <x:v>46043.56805555556</x:v>
      </x:c>
    </x:row>
    <x:row r="28">
      <x:c r="A28" s="15" t="str">
        <x:v>Royal Bush 3380 50%</x:v>
      </x:c>
      <x:c r="B28" s="15" t="str">
        <x:v>Outflow</x:v>
      </x:c>
      <x:c r="C28" s="15" t="str">
        <x:v>Supplier payments</x:v>
      </x:c>
      <x:c r="D28" s="38" t="n">
        <x:v>0</x:v>
      </x:c>
      <x:c r="E28" s="38" t="n">
        <x:v>21945</x:v>
      </x:c>
      <x:c r="F28" s="38" t="n">
        <x:v>-21945</x:v>
      </x:c>
      <x:c r="G28" s="15" t="n">
        <x:v>1</x:v>
      </x:c>
      <x:c r="H28" s="34" t="n">
        <x:v>45972.60763888889</x:v>
      </x:c>
      <x:c r="I28" s="34" t="n">
        <x:v>45972.60763888889</x:v>
      </x:c>
    </x:row>
    <x:row r="29">
      <x:c r="A29" s="15" t="str">
        <x:v>Stratton Prop Mng</x:v>
      </x:c>
      <x:c r="B29" s="15" t="str">
        <x:v>Outflow</x:v>
      </x:c>
      <x:c r="C29" s="15" t="str">
        <x:v>Supplier payments</x:v>
      </x:c>
      <x:c r="D29" s="38" t="n">
        <x:v>0</x:v>
      </x:c>
      <x:c r="E29" s="38" t="n">
        <x:v>20927.54</x:v>
      </x:c>
      <x:c r="F29" s="38" t="n">
        <x:v>-20927.54</x:v>
      </x:c>
      <x:c r="G29" s="15" t="n">
        <x:v>2</x:v>
      </x:c>
      <x:c r="H29" s="34" t="n">
        <x:v>46045.6625</x:v>
      </x:c>
      <x:c r="I29" s="34" t="n">
        <x:v>46134.38888888889</x:v>
      </x:c>
    </x:row>
    <x:row r="30">
      <x:c r="A30" s="15" t="str">
        <x:v>Salary</x:v>
      </x:c>
      <x:c r="B30" s="15" t="str">
        <x:v>Outflow</x:v>
      </x:c>
      <x:c r="C30" s="15" t="str">
        <x:v>Salary / wages</x:v>
      </x:c>
      <x:c r="D30" s="38" t="n">
        <x:v>0</x:v>
      </x:c>
      <x:c r="E30" s="38" t="n">
        <x:v>20000</x:v>
      </x:c>
      <x:c r="F30" s="38" t="n">
        <x:v>-20000</x:v>
      </x:c>
      <x:c r="G30" s="15" t="n">
        <x:v>6</x:v>
      </x:c>
      <x:c r="H30" s="34" t="n">
        <x:v>46089.55902777778</x:v>
      </x:c>
      <x:c r="I30" s="34" t="n">
        <x:v>46161.638194444444</x:v>
      </x:c>
    </x:row>
    <x:row r="31">
      <x:c r="A31" s="15" t="str">
        <x:v>R026rbwzx0 Booking.c</x:v>
      </x:c>
      <x:c r="B31" s="15" t="str">
        <x:v>Inflow</x:v>
      </x:c>
      <x:c r="C31" s="15" t="str">
        <x:v>Sales / customer receipts</x:v>
      </x:c>
      <x:c r="D31" s="38" t="n">
        <x:v>19442.24</x:v>
      </x:c>
      <x:c r="E31" s="38" t="n">
        <x:v>0</x:v>
      </x:c>
      <x:c r="F31" s="38" t="n">
        <x:v>19442.24</x:v>
      </x:c>
      <x:c r="G31" s="15" t="n">
        <x:v>1</x:v>
      </x:c>
      <x:c r="H31" s="34" t="n">
        <x:v>46170.35972222222</x:v>
      </x:c>
      <x:c r="I31" s="34" t="n">
        <x:v>46170.35972222222</x:v>
      </x:c>
    </x:row>
    <x:row r="32">
      <x:c r="A32" s="15" t="str">
        <x:v>R025k2rz50 Booking.c</x:v>
      </x:c>
      <x:c r="B32" s="15" t="str">
        <x:v>Inflow</x:v>
      </x:c>
      <x:c r="C32" s="15" t="str">
        <x:v>Sales / customer receipts</x:v>
      </x:c>
      <x:c r="D32" s="38" t="n">
        <x:v>19163.49</x:v>
      </x:c>
      <x:c r="E32" s="38" t="n">
        <x:v>0</x:v>
      </x:c>
      <x:c r="F32" s="38" t="n">
        <x:v>19163.49</x:v>
      </x:c>
      <x:c r="G32" s="15" t="n">
        <x:v>1</x:v>
      </x:c>
      <x:c r="H32" s="34" t="n">
        <x:v>45989.59444444445</x:v>
      </x:c>
      <x:c r="I32" s="34" t="n">
        <x:v>45989.59444444445</x:v>
      </x:c>
    </x:row>
    <x:row r="33">
      <x:c r="A33" s="15" t="str">
        <x:v>R026zvfqh0 Booking.c</x:v>
      </x:c>
      <x:c r="B33" s="15" t="str">
        <x:v>Inflow</x:v>
      </x:c>
      <x:c r="C33" s="15" t="str">
        <x:v>Sales / customer receipts</x:v>
      </x:c>
      <x:c r="D33" s="38" t="n">
        <x:v>18851.23</x:v>
      </x:c>
      <x:c r="E33" s="38" t="n">
        <x:v>0</x:v>
      </x:c>
      <x:c r="F33" s="38" t="n">
        <x:v>18851.23</x:v>
      </x:c>
      <x:c r="G33" s="15" t="n">
        <x:v>1</x:v>
      </x:c>
      <x:c r="H33" s="34" t="n">
        <x:v>46027.518055555556</x:v>
      </x:c>
      <x:c r="I33" s="34" t="n">
        <x:v>46027.518055555556</x:v>
      </x:c>
    </x:row>
    <x:row r="34">
      <x:c r="A34" s="15" t="str">
        <x:v>R025kw5cs0 Booking.c</x:v>
      </x:c>
      <x:c r="B34" s="15" t="str">
        <x:v>Inflow</x:v>
      </x:c>
      <x:c r="C34" s="15" t="str">
        <x:v>Sales / customer receipts</x:v>
      </x:c>
      <x:c r="D34" s="38" t="n">
        <x:v>18242.98</x:v>
      </x:c>
      <x:c r="E34" s="38" t="n">
        <x:v>0</x:v>
      </x:c>
      <x:c r="F34" s="38" t="n">
        <x:v>18242.98</x:v>
      </x:c>
      <x:c r="G34" s="15" t="n">
        <x:v>1</x:v>
      </x:c>
      <x:c r="H34" s="34" t="n">
        <x:v>45975.44583333333</x:v>
      </x:c>
      <x:c r="I34" s="34" t="n">
        <x:v>45975.44583333333</x:v>
      </x:c>
    </x:row>
    <x:row r="35">
      <x:c r="A35" s="15" t="str">
        <x:v>R026sb0230 Booking.c</x:v>
      </x:c>
      <x:c r="B35" s="15" t="str">
        <x:v>Inflow</x:v>
      </x:c>
      <x:c r="C35" s="15" t="str">
        <x:v>Sales / customer receipts</x:v>
      </x:c>
      <x:c r="D35" s="38" t="n">
        <x:v>17426.63</x:v>
      </x:c>
      <x:c r="E35" s="38" t="n">
        <x:v>0</x:v>
      </x:c>
      <x:c r="F35" s="38" t="n">
        <x:v>17426.63</x:v>
      </x:c>
      <x:c r="G35" s="15" t="n">
        <x:v>1</x:v>
      </x:c>
      <x:c r="H35" s="34" t="n">
        <x:v>46149.35</x:v>
      </x:c>
      <x:c r="I35" s="34" t="n">
        <x:v>46149.35</x:v>
      </x:c>
    </x:row>
    <x:row r="36">
      <x:c r="A36" s="15" t="str">
        <x:v>R025hthth0 Booking.c</x:v>
      </x:c>
      <x:c r="B36" s="15" t="str">
        <x:v>Inflow</x:v>
      </x:c>
      <x:c r="C36" s="15" t="str">
        <x:v>Sales / customer receipts</x:v>
      </x:c>
      <x:c r="D36" s="38" t="n">
        <x:v>17245.52</x:v>
      </x:c>
      <x:c r="E36" s="38" t="n">
        <x:v>0</x:v>
      </x:c>
      <x:c r="F36" s="38" t="n">
        <x:v>17245.52</x:v>
      </x:c>
      <x:c r="G36" s="15" t="n">
        <x:v>1</x:v>
      </x:c>
      <x:c r="H36" s="34" t="n">
        <x:v>46021.44236111111</x:v>
      </x:c>
      <x:c r="I36" s="34" t="n">
        <x:v>46021.44236111111</x:v>
      </x:c>
    </x:row>
    <x:row r="37">
      <x:c r="A37" s="15" t="str">
        <x:v>Pj Els</x:v>
      </x:c>
      <x:c r="B37" s="15" t="str">
        <x:v>Outflow</x:v>
      </x:c>
      <x:c r="C37" s="15" t="str">
        <x:v>Supplier payments</x:v>
      </x:c>
      <x:c r="D37" s="38" t="n">
        <x:v>0</x:v>
      </x:c>
      <x:c r="E37" s="38" t="n">
        <x:v>16500</x:v>
      </x:c>
      <x:c r="F37" s="38" t="n">
        <x:v>-16500</x:v>
      </x:c>
      <x:c r="G37" s="15" t="n">
        <x:v>1</x:v>
      </x:c>
      <x:c r="H37" s="34" t="n">
        <x:v>46040.350694444445</x:v>
      </x:c>
      <x:c r="I37" s="34" t="n">
        <x:v>46040.350694444445</x:v>
      </x:c>
    </x:row>
    <x:row r="38">
      <x:c r="A38" s="15" t="str">
        <x:v>Electricity 04294887</x:v>
      </x:c>
      <x:c r="B38" s="15" t="str">
        <x:v>Outflow</x:v>
      </x:c>
      <x:c r="C38" s="15" t="str">
        <x:v>Telecom / utilities</x:v>
      </x:c>
      <x:c r="D38" s="38" t="n">
        <x:v>0</x:v>
      </x:c>
      <x:c r="E38" s="38" t="n">
        <x:v>15800</x:v>
      </x:c>
      <x:c r="F38" s="38" t="n">
        <x:v>-15800</x:v>
      </x:c>
      <x:c r="G38" s="15" t="n">
        <x:v>32</x:v>
      </x:c>
      <x:c r="H38" s="34" t="n">
        <x:v>45941.489583333336</x:v>
      </x:c>
      <x:c r="I38" s="34" t="n">
        <x:v>46188.415972222225</x:v>
      </x:c>
    </x:row>
    <x:row r="39">
      <x:c r="A39" s="15" t="str">
        <x:v>R026w3r9l0 Booking.c</x:v>
      </x:c>
      <x:c r="B39" s="15" t="str">
        <x:v>Inflow</x:v>
      </x:c>
      <x:c r="C39" s="15" t="str">
        <x:v>Sales / customer receipts</x:v>
      </x:c>
      <x:c r="D39" s="38" t="n">
        <x:v>15593.21</x:v>
      </x:c>
      <x:c r="E39" s="38" t="n">
        <x:v>0</x:v>
      </x:c>
      <x:c r="F39" s="38" t="n">
        <x:v>15593.21</x:v>
      </x:c>
      <x:c r="G39" s="15" t="n">
        <x:v>1</x:v>
      </x:c>
      <x:c r="H39" s="34" t="n">
        <x:v>46086.35763888889</x:v>
      </x:c>
      <x:c r="I39" s="34" t="n">
        <x:v>46086.35763888889</x:v>
      </x:c>
    </x:row>
    <x:row r="40">
      <x:c r="A40" s="15" t="str">
        <x:v>R026snghm0 Booking.c</x:v>
      </x:c>
      <x:c r="B40" s="15" t="str">
        <x:v>Inflow</x:v>
      </x:c>
      <x:c r="C40" s="15" t="str">
        <x:v>Sales / customer receipts</x:v>
      </x:c>
      <x:c r="D40" s="38" t="n">
        <x:v>15228.38</x:v>
      </x:c>
      <x:c r="E40" s="38" t="n">
        <x:v>0</x:v>
      </x:c>
      <x:c r="F40" s="38" t="n">
        <x:v>15228.38</x:v>
      </x:c>
      <x:c r="G40" s="15" t="n">
        <x:v>1</x:v>
      </x:c>
      <x:c r="H40" s="34" t="n">
        <x:v>46142.39027777778</x:v>
      </x:c>
      <x:c r="I40" s="34" t="n">
        <x:v>46142.39027777778</x:v>
      </x:c>
    </x:row>
    <x:row r="41">
      <x:c r="A41" s="15" t="str">
        <x:v>Car</x:v>
      </x:c>
      <x:c r="B41" s="15" t="str">
        <x:v>Outflow</x:v>
      </x:c>
      <x:c r="C41" s="15" t="str">
        <x:v>Supplier payments</x:v>
      </x:c>
      <x:c r="D41" s="38" t="n">
        <x:v>0</x:v>
      </x:c>
      <x:c r="E41" s="38" t="n">
        <x:v>15000</x:v>
      </x:c>
      <x:c r="F41" s="38" t="n">
        <x:v>-15000</x:v>
      </x:c>
      <x:c r="G41" s="15" t="n">
        <x:v>3</x:v>
      </x:c>
      <x:c r="H41" s="34" t="n">
        <x:v>46129.51458333333</x:v>
      </x:c>
      <x:c r="I41" s="34" t="n">
        <x:v>46190.49375</x:v>
      </x:c>
    </x:row>
    <x:row r="42">
      <x:c r="A42" s="15" t="str">
        <x:v>Repairs + Maintenanc</x:v>
      </x:c>
      <x:c r="B42" s="15" t="str">
        <x:v>Outflow</x:v>
      </x:c>
      <x:c r="C42" s="15" t="str">
        <x:v>Supplier payments</x:v>
      </x:c>
      <x:c r="D42" s="38" t="n">
        <x:v>0</x:v>
      </x:c>
      <x:c r="E42" s="38" t="n">
        <x:v>15000</x:v>
      </x:c>
      <x:c r="F42" s="38" t="n">
        <x:v>-15000</x:v>
      </x:c>
      <x:c r="G42" s="15" t="n">
        <x:v>1</x:v>
      </x:c>
      <x:c r="H42" s="34" t="n">
        <x:v>46048.88888888889</x:v>
      </x:c>
      <x:c r="I42" s="34" t="n">
        <x:v>46048.88888888889</x:v>
      </x:c>
    </x:row>
    <x:row r="43">
      <x:c r="A43" s="15" t="str">
        <x:v>Wage Jan</x:v>
      </x:c>
      <x:c r="B43" s="15" t="str">
        <x:v>Outflow</x:v>
      </x:c>
      <x:c r="C43" s="15" t="str">
        <x:v>Salary / wages</x:v>
      </x:c>
      <x:c r="D43" s="38" t="n">
        <x:v>0</x:v>
      </x:c>
      <x:c r="E43" s="38" t="n">
        <x:v>15000</x:v>
      </x:c>
      <x:c r="F43" s="38" t="n">
        <x:v>-15000</x:v>
      </x:c>
      <x:c r="G43" s="15" t="n">
        <x:v>1</x:v>
      </x:c>
      <x:c r="H43" s="34" t="n">
        <x:v>46053.55694444444</x:v>
      </x:c>
      <x:c r="I43" s="34" t="n">
        <x:v>46053.55694444444</x:v>
      </x:c>
    </x:row>
    <x:row r="44">
      <x:c r="A44" s="15" t="str">
        <x:v>Staff Wage - Feb</x:v>
      </x:c>
      <x:c r="B44" s="15" t="str">
        <x:v>Outflow</x:v>
      </x:c>
      <x:c r="C44" s="15" t="str">
        <x:v>Salary / wages</x:v>
      </x:c>
      <x:c r="D44" s="38" t="n">
        <x:v>0</x:v>
      </x:c>
      <x:c r="E44" s="38" t="n">
        <x:v>14500</x:v>
      </x:c>
      <x:c r="F44" s="38" t="n">
        <x:v>-14500</x:v>
      </x:c>
      <x:c r="G44" s="15" t="n">
        <x:v>1</x:v>
      </x:c>
      <x:c r="H44" s="34" t="n">
        <x:v>46080.66805555556</x:v>
      </x:c>
      <x:c r="I44" s="34" t="n">
        <x:v>46080.66805555556</x:v>
      </x:c>
    </x:row>
    <x:row r="45">
      <x:c r="A45" s="15" t="str">
        <x:v>Nkomazi Local Munici</x:v>
      </x:c>
      <x:c r="B45" s="15" t="str">
        <x:v>Outflow</x:v>
      </x:c>
      <x:c r="C45" s="15" t="str">
        <x:v>Card spend</x:v>
      </x:c>
      <x:c r="D45" s="38" t="n">
        <x:v>0</x:v>
      </x:c>
      <x:c r="E45" s="38" t="n">
        <x:v>13904.18</x:v>
      </x:c>
      <x:c r="F45" s="38" t="n">
        <x:v>-13904.18</x:v>
      </x:c>
      <x:c r="G45" s="15" t="n">
        <x:v>2</x:v>
      </x:c>
      <x:c r="H45" s="34" t="n">
        <x:v>45938.438888888886</x:v>
      </x:c>
      <x:c r="I45" s="34" t="n">
        <x:v>46079.46875</x:v>
      </x:c>
    </x:row>
    <x:row r="46">
      <x:c r="A46" s="15" t="str">
        <x:v>R026rzc0k0 Booking.c</x:v>
      </x:c>
      <x:c r="B46" s="15" t="str">
        <x:v>Inflow</x:v>
      </x:c>
      <x:c r="C46" s="15" t="str">
        <x:v>Sales / customer receipts</x:v>
      </x:c>
      <x:c r="D46" s="38" t="n">
        <x:v>13502.81</x:v>
      </x:c>
      <x:c r="E46" s="38" t="n">
        <x:v>0</x:v>
      </x:c>
      <x:c r="F46" s="38" t="n">
        <x:v>13502.81</x:v>
      </x:c>
      <x:c r="G46" s="15" t="n">
        <x:v>1</x:v>
      </x:c>
      <x:c r="H46" s="34" t="n">
        <x:v>46157.34861111111</x:v>
      </x:c>
      <x:c r="I46" s="34" t="n">
        <x:v>46157.34861111111</x:v>
      </x:c>
    </x:row>
    <x:row r="47">
      <x:c r="A47" s="15" t="str">
        <x:v>Sanparks Crocodile B</x:v>
      </x:c>
      <x:c r="B47" s="15" t="str">
        <x:v>Outflow</x:v>
      </x:c>
      <x:c r="C47" s="15" t="str">
        <x:v>Card spend</x:v>
      </x:c>
      <x:c r="D47" s="38" t="n">
        <x:v>0</x:v>
      </x:c>
      <x:c r="E47" s="38" t="n">
        <x:v>13332</x:v>
      </x:c>
      <x:c r="F47" s="38" t="n">
        <x:v>-13332</x:v>
      </x:c>
      <x:c r="G47" s="15" t="n">
        <x:v>1</x:v>
      </x:c>
      <x:c r="H47" s="34" t="n">
        <x:v>45971.23402777778</x:v>
      </x:c>
      <x:c r="I47" s="34" t="n">
        <x:v>45971.23402777778</x:v>
      </x:c>
    </x:row>
    <x:row r="48">
      <x:c r="A48" s="15" t="str">
        <x:v>Kruger Safari 1697</x:v>
      </x:c>
      <x:c r="B48" s="15" t="str">
        <x:v>Outflow</x:v>
      </x:c>
      <x:c r="C48" s="15" t="str">
        <x:v>Supplier payments</x:v>
      </x:c>
      <x:c r="D48" s="38" t="n">
        <x:v>0</x:v>
      </x:c>
      <x:c r="E48" s="38" t="n">
        <x:v>13128</x:v>
      </x:c>
      <x:c r="F48" s="38" t="n">
        <x:v>-13128</x:v>
      </x:c>
      <x:c r="G48" s="15" t="n">
        <x:v>1</x:v>
      </x:c>
      <x:c r="H48" s="34" t="n">
        <x:v>46147.45138888889</x:v>
      </x:c>
      <x:c r="I48" s="34" t="n">
        <x:v>46147.45138888889</x:v>
      </x:c>
    </x:row>
    <x:row r="49">
      <x:c r="A49" s="15" t="str">
        <x:v>Kruger Safari 1673</x:v>
      </x:c>
      <x:c r="B49" s="15" t="str">
        <x:v>Outflow</x:v>
      </x:c>
      <x:c r="C49" s="15" t="str">
        <x:v>Supplier payments</x:v>
      </x:c>
      <x:c r="D49" s="38" t="n">
        <x:v>0</x:v>
      </x:c>
      <x:c r="E49" s="38" t="n">
        <x:v>13095</x:v>
      </x:c>
      <x:c r="F49" s="38" t="n">
        <x:v>-13095</x:v>
      </x:c>
      <x:c r="G49" s="15" t="n">
        <x:v>1</x:v>
      </x:c>
      <x:c r="H49" s="34" t="n">
        <x:v>46021.444444444445</x:v>
      </x:c>
      <x:c r="I49" s="34" t="n">
        <x:v>46021.444444444445</x:v>
      </x:c>
    </x:row>
    <x:row r="50">
      <x:c r="A50" s="15" t="str">
        <x:v>R026zd2np0 Booking.c</x:v>
      </x:c>
      <x:c r="B50" s="15" t="str">
        <x:v>Inflow</x:v>
      </x:c>
      <x:c r="C50" s="15" t="str">
        <x:v>Sales / customer receipts</x:v>
      </x:c>
      <x:c r="D50" s="38" t="n">
        <x:v>13006.93</x:v>
      </x:c>
      <x:c r="E50" s="38" t="n">
        <x:v>0</x:v>
      </x:c>
      <x:c r="F50" s="38" t="n">
        <x:v>13006.93</x:v>
      </x:c>
      <x:c r="G50" s="15" t="n">
        <x:v>1</x:v>
      </x:c>
      <x:c r="H50" s="34" t="n">
        <x:v>46038.42013888889</x:v>
      </x:c>
      <x:c r="I50" s="34" t="n">
        <x:v>46038.42013888889</x:v>
      </x:c>
    </x:row>
    <x:row r="51">
      <x:c r="A51" s="15" t="str">
        <x:v>Salary Portion Oct</x:v>
      </x:c>
      <x:c r="B51" s="15" t="str">
        <x:v>Outflow</x:v>
      </x:c>
      <x:c r="C51" s="15" t="str">
        <x:v>Salary / wages</x:v>
      </x:c>
      <x:c r="D51" s="38" t="n">
        <x:v>0</x:v>
      </x:c>
      <x:c r="E51" s="38" t="n">
        <x:v>13000</x:v>
      </x:c>
      <x:c r="F51" s="38" t="n">
        <x:v>-13000</x:v>
      </x:c>
      <x:c r="G51" s="15" t="n">
        <x:v>1</x:v>
      </x:c>
      <x:c r="H51" s="34" t="n">
        <x:v>45982.635416666664</x:v>
      </x:c>
      <x:c r="I51" s="34" t="n">
        <x:v>45982.635416666664</x:v>
      </x:c>
    </x:row>
    <x:row r="52">
      <x:c r="A52" s="15" t="str">
        <x:v>R026xf8n60 Booking.c</x:v>
      </x:c>
      <x:c r="B52" s="15" t="str">
        <x:v>Inflow</x:v>
      </x:c>
      <x:c r="C52" s="15" t="str">
        <x:v>Sales / customer receipts</x:v>
      </x:c>
      <x:c r="D52" s="38" t="n">
        <x:v>12861.68</x:v>
      </x:c>
      <x:c r="E52" s="38" t="n">
        <x:v>0</x:v>
      </x:c>
      <x:c r="F52" s="38" t="n">
        <x:v>12861.68</x:v>
      </x:c>
      <x:c r="G52" s="15" t="n">
        <x:v>1</x:v>
      </x:c>
      <x:c r="H52" s="34" t="n">
        <x:v>46059.42361111111</x:v>
      </x:c>
      <x:c r="I52" s="34" t="n">
        <x:v>46059.42361111111</x:v>
      </x:c>
    </x:row>
    <x:row r="53">
      <x:c r="A53" s="15" t="str">
        <x:v>R026z6vq90 Booking.c</x:v>
      </x:c>
      <x:c r="B53" s="15" t="str">
        <x:v>Inflow</x:v>
      </x:c>
      <x:c r="C53" s="15" t="str">
        <x:v>Sales / customer receipts</x:v>
      </x:c>
      <x:c r="D53" s="38" t="n">
        <x:v>12786.76</x:v>
      </x:c>
      <x:c r="E53" s="38" t="n">
        <x:v>0</x:v>
      </x:c>
      <x:c r="F53" s="38" t="n">
        <x:v>12786.76</x:v>
      </x:c>
      <x:c r="G53" s="15" t="n">
        <x:v>1</x:v>
      </x:c>
      <x:c r="H53" s="34" t="n">
        <x:v>46045.410416666666</x:v>
      </x:c>
      <x:c r="I53" s="34" t="n">
        <x:v>46045.410416666666</x:v>
      </x:c>
    </x:row>
    <x:row r="54">
      <x:c r="A54" s="15" t="str">
        <x:v>R026qn5f90 Booking.c</x:v>
      </x:c>
      <x:c r="B54" s="15" t="str">
        <x:v>Inflow</x:v>
      </x:c>
      <x:c r="C54" s="15" t="str">
        <x:v>Sales / customer receipts</x:v>
      </x:c>
      <x:c r="D54" s="38" t="n">
        <x:v>12141.73</x:v>
      </x:c>
      <x:c r="E54" s="38" t="n">
        <x:v>0</x:v>
      </x:c>
      <x:c r="F54" s="38" t="n">
        <x:v>12141.73</x:v>
      </x:c>
      <x:c r="G54" s="15" t="n">
        <x:v>1</x:v>
      </x:c>
      <x:c r="H54" s="34" t="n">
        <x:v>46184.34027777778</x:v>
      </x:c>
      <x:c r="I54" s="34" t="n">
        <x:v>46184.34027777778</x:v>
      </x:c>
    </x:row>
    <x:row r="55">
      <x:c r="A55" s="15" t="str">
        <x:v>Candace Osbourn</x:v>
      </x:c>
      <x:c r="B55" s="15" t="str">
        <x:v>Inflow</x:v>
      </x:c>
      <x:c r="C55" s="15" t="str">
        <x:v>Sales / customer receipts</x:v>
      </x:c>
      <x:c r="D55" s="38" t="n">
        <x:v>12000</x:v>
      </x:c>
      <x:c r="E55" s="38" t="n">
        <x:v>0</x:v>
      </x:c>
      <x:c r="F55" s="38" t="n">
        <x:v>12000</x:v>
      </x:c>
      <x:c r="G55" s="15" t="n">
        <x:v>1</x:v>
      </x:c>
      <x:c r="H55" s="34" t="n">
        <x:v>46073.39166666667</x:v>
      </x:c>
      <x:c r="I55" s="34" t="n">
        <x:v>46073.39166666667</x:v>
      </x:c>
    </x:row>
    <x:row r="56">
      <x:c r="A56" s="15" t="str">
        <x:v>Wage - Jan 2026</x:v>
      </x:c>
      <x:c r="B56" s="15" t="str">
        <x:v>Outflow</x:v>
      </x:c>
      <x:c r="C56" s="15" t="str">
        <x:v>Salary / wages</x:v>
      </x:c>
      <x:c r="D56" s="38" t="n">
        <x:v>0</x:v>
      </x:c>
      <x:c r="E56" s="38" t="n">
        <x:v>12000</x:v>
      </x:c>
      <x:c r="F56" s="38" t="n">
        <x:v>-12000</x:v>
      </x:c>
      <x:c r="G56" s="15" t="n">
        <x:v>1</x:v>
      </x:c>
      <x:c r="H56" s="34" t="n">
        <x:v>46053.55763888889</x:v>
      </x:c>
      <x:c r="I56" s="34" t="n">
        <x:v>46053.55763888889</x:v>
      </x:c>
    </x:row>
    <x:row r="57">
      <x:c r="A57" s="15" t="str">
        <x:v>Superspar Malelane</x:v>
      </x:c>
      <x:c r="B57" s="15" t="str">
        <x:v>Outflow</x:v>
      </x:c>
      <x:c r="C57" s="15" t="str">
        <x:v>Supplier payments</x:v>
      </x:c>
      <x:c r="D57" s="38" t="n">
        <x:v>0</x:v>
      </x:c>
      <x:c r="E57" s="38" t="n">
        <x:v>11980.14</x:v>
      </x:c>
      <x:c r="F57" s="38" t="n">
        <x:v>-11980.14</x:v>
      </x:c>
      <x:c r="G57" s="15" t="n">
        <x:v>14</x:v>
      </x:c>
      <x:c r="H57" s="34" t="n">
        <x:v>45975.638194444444</x:v>
      </x:c>
      <x:c r="I57" s="34" t="n">
        <x:v>46188.540972222225</x:v>
      </x:c>
    </x:row>
    <x:row r="58">
      <x:c r="A58" s="15" t="str">
        <x:v>R026v0kzq0 Booking.c</x:v>
      </x:c>
      <x:c r="B58" s="15" t="str">
        <x:v>Inflow</x:v>
      </x:c>
      <x:c r="C58" s="15" t="str">
        <x:v>Sales / customer receipts</x:v>
      </x:c>
      <x:c r="D58" s="38" t="n">
        <x:v>11517.18</x:v>
      </x:c>
      <x:c r="E58" s="38" t="n">
        <x:v>0</x:v>
      </x:c>
      <x:c r="F58" s="38" t="n">
        <x:v>11517.18</x:v>
      </x:c>
      <x:c r="G58" s="15" t="n">
        <x:v>1</x:v>
      </x:c>
      <x:c r="H58" s="34" t="n">
        <x:v>46107.33888888889</x:v>
      </x:c>
      <x:c r="I58" s="34" t="n">
        <x:v>46107.33888888889</x:v>
      </x:c>
    </x:row>
    <x:row r="59">
      <x:c r="A59" s="15" t="str">
        <x:v>R026xr9cp0 Booking.c</x:v>
      </x:c>
      <x:c r="B59" s="15" t="str">
        <x:v>Inflow</x:v>
      </x:c>
      <x:c r="C59" s="15" t="str">
        <x:v>Sales / customer receipts</x:v>
      </x:c>
      <x:c r="D59" s="38" t="n">
        <x:v>11313.46</x:v>
      </x:c>
      <x:c r="E59" s="38" t="n">
        <x:v>0</x:v>
      </x:c>
      <x:c r="F59" s="38" t="n">
        <x:v>11313.46</x:v>
      </x:c>
      <x:c r="G59" s="15" t="n">
        <x:v>1</x:v>
      </x:c>
      <x:c r="H59" s="34" t="n">
        <x:v>46052.42222222222</x:v>
      </x:c>
      <x:c r="I59" s="34" t="n">
        <x:v>46052.42222222222</x:v>
      </x:c>
    </x:row>
    <x:row r="60">
      <x:c r="A60" s="15" t="str">
        <x:v>Jsl - 9/12 Nov</x:v>
      </x:c>
      <x:c r="B60" s="15" t="str">
        <x:v>Outflow</x:v>
      </x:c>
      <x:c r="C60" s="15" t="str">
        <x:v>Supplier payments</x:v>
      </x:c>
      <x:c r="D60" s="38" t="n">
        <x:v>0</x:v>
      </x:c>
      <x:c r="E60" s="38" t="n">
        <x:v>11280</x:v>
      </x:c>
      <x:c r="F60" s="38" t="n">
        <x:v>-11280</x:v>
      </x:c>
      <x:c r="G60" s="15" t="n">
        <x:v>1</x:v>
      </x:c>
      <x:c r="H60" s="34" t="n">
        <x:v>45991.76736111111</x:v>
      </x:c>
      <x:c r="I60" s="34" t="n">
        <x:v>45991.76736111111</x:v>
      </x:c>
    </x:row>
    <x:row r="61">
      <x:c r="A61" s="15" t="str">
        <x:v>Kruger Saf 1662/1663</x:v>
      </x:c>
      <x:c r="B61" s="15" t="str">
        <x:v>Outflow</x:v>
      </x:c>
      <x:c r="C61" s="15" t="str">
        <x:v>Supplier payments</x:v>
      </x:c>
      <x:c r="D61" s="38" t="n">
        <x:v>0</x:v>
      </x:c>
      <x:c r="E61" s="38" t="n">
        <x:v>11016</x:v>
      </x:c>
      <x:c r="F61" s="38" t="n">
        <x:v>-11016</x:v>
      </x:c>
      <x:c r="G61" s="15" t="n">
        <x:v>1</x:v>
      </x:c>
      <x:c r="H61" s="34" t="n">
        <x:v>45978.2125</x:v>
      </x:c>
      <x:c r="I61" s="34" t="n">
        <x:v>45978.2125</x:v>
      </x:c>
    </x:row>
    <x:row r="62">
      <x:c r="A62" s="15" t="str">
        <x:v>Kruger Saf 1700 50%</x:v>
      </x:c>
      <x:c r="B62" s="15" t="str">
        <x:v>Outflow</x:v>
      </x:c>
      <x:c r="C62" s="15" t="str">
        <x:v>Supplier payments</x:v>
      </x:c>
      <x:c r="D62" s="38" t="n">
        <x:v>0</x:v>
      </x:c>
      <x:c r="E62" s="38" t="n">
        <x:v>10112.8</x:v>
      </x:c>
      <x:c r="F62" s="38" t="n">
        <x:v>-10112.8</x:v>
      </x:c>
      <x:c r="G62" s="15" t="n">
        <x:v>2</x:v>
      </x:c>
      <x:c r="H62" s="34" t="n">
        <x:v>46181.54722222222</x:v>
      </x:c>
      <x:c r="I62" s="34" t="n">
        <x:v>46185.51736111111</x:v>
      </x:c>
    </x:row>
    <x:row r="63">
      <x:c r="A63" s="15" t="str">
        <x:v>Nyala Safari 145</x:v>
      </x:c>
      <x:c r="B63" s="15" t="str">
        <x:v>Outflow</x:v>
      </x:c>
      <x:c r="C63" s="15" t="str">
        <x:v>Supplier payments</x:v>
      </x:c>
      <x:c r="D63" s="38" t="n">
        <x:v>0</x:v>
      </x:c>
      <x:c r="E63" s="38" t="n">
        <x:v>10080</x:v>
      </x:c>
      <x:c r="F63" s="38" t="n">
        <x:v>-10080</x:v>
      </x:c>
      <x:c r="G63" s="15" t="n">
        <x:v>1</x:v>
      </x:c>
      <x:c r="H63" s="34" t="n">
        <x:v>45935.41458333333</x:v>
      </x:c>
      <x:c r="I63" s="34" t="n">
        <x:v>45935.41458333333</x:v>
      </x:c>
    </x:row>
    <x:row r="64">
      <x:c r="A64" s="15" t="str">
        <x:v>Salary Jan</x:v>
      </x:c>
      <x:c r="B64" s="15" t="str">
        <x:v>Outflow</x:v>
      </x:c>
      <x:c r="C64" s="15" t="str">
        <x:v>Salary / wages</x:v>
      </x:c>
      <x:c r="D64" s="38" t="n">
        <x:v>0</x:v>
      </x:c>
      <x:c r="E64" s="38" t="n">
        <x:v>10000</x:v>
      </x:c>
      <x:c r="F64" s="38" t="n">
        <x:v>-10000</x:v>
      </x:c>
      <x:c r="G64" s="15" t="n">
        <x:v>3</x:v>
      </x:c>
      <x:c r="H64" s="34" t="n">
        <x:v>46059.07361111111</x:v>
      </x:c>
      <x:c r="I64" s="34" t="n">
        <x:v>46064.525</x:v>
      </x:c>
    </x:row>
    <x:row r="65">
      <x:c r="A65" s="15" t="str">
        <x:v>Marlothi Petrol Stat</x:v>
      </x:c>
      <x:c r="B65" s="15" t="str">
        <x:v>Outflow</x:v>
      </x:c>
      <x:c r="C65" s="15" t="str">
        <x:v>Fuel / transport</x:v>
      </x:c>
      <x:c r="D65" s="38" t="n">
        <x:v>0</x:v>
      </x:c>
      <x:c r="E65" s="38" t="n">
        <x:v>9273.95</x:v>
      </x:c>
      <x:c r="F65" s="38" t="n">
        <x:v>-9273.95</x:v>
      </x:c>
      <x:c r="G65" s="15" t="n">
        <x:v>30</x:v>
      </x:c>
      <x:c r="H65" s="34" t="n">
        <x:v>45945.62152777778</x:v>
      </x:c>
      <x:c r="I65" s="34" t="n">
        <x:v>46172.55486111111</x:v>
      </x:c>
    </x:row>
    <x:row r="66">
      <x:c r="A66" s="15" t="str">
        <x:v>Kruger Safari 1691</x:v>
      </x:c>
      <x:c r="B66" s="15" t="str">
        <x:v>Outflow</x:v>
      </x:c>
      <x:c r="C66" s="15" t="str">
        <x:v>Supplier payments</x:v>
      </x:c>
      <x:c r="D66" s="38" t="n">
        <x:v>0</x:v>
      </x:c>
      <x:c r="E66" s="38" t="n">
        <x:v>9176</x:v>
      </x:c>
      <x:c r="F66" s="38" t="n">
        <x:v>-9176</x:v>
      </x:c>
      <x:c r="G66" s="15" t="n">
        <x:v>1</x:v>
      </x:c>
      <x:c r="H66" s="34" t="n">
        <x:v>46119.69236111111</x:v>
      </x:c>
      <x:c r="I66" s="34" t="n">
        <x:v>46119.69236111111</x:v>
      </x:c>
    </x:row>
    <x:row r="67">
      <x:c r="A67" s="15" t="str">
        <x:v>Shoprite Komatipoort</x:v>
      </x:c>
      <x:c r="B67" s="15" t="str">
        <x:v>Outflow</x:v>
      </x:c>
      <x:c r="C67" s="15" t="str">
        <x:v>Supplier payments</x:v>
      </x:c>
      <x:c r="D67" s="38" t="n">
        <x:v>0</x:v>
      </x:c>
      <x:c r="E67" s="38" t="n">
        <x:v>8966.05</x:v>
      </x:c>
      <x:c r="F67" s="38" t="n">
        <x:v>-8966.05</x:v>
      </x:c>
      <x:c r="G67" s="15" t="n">
        <x:v>14</x:v>
      </x:c>
      <x:c r="H67" s="34" t="n">
        <x:v>45944.620833333334</x:v>
      </x:c>
      <x:c r="I67" s="34" t="n">
        <x:v>46191.46944444445</x:v>
      </x:c>
    </x:row>
    <x:row r="68">
      <x:c r="A68" s="15" t="str">
        <x:v>R026tlz5b0 Johan Spr</x:v>
      </x:c>
      <x:c r="B68" s="15" t="str">
        <x:v>Inflow</x:v>
      </x:c>
      <x:c r="C68" s="15" t="str">
        <x:v>Sales / customer receipts</x:v>
      </x:c>
      <x:c r="D68" s="38" t="n">
        <x:v>8865.5</x:v>
      </x:c>
      <x:c r="E68" s="38" t="n">
        <x:v>0</x:v>
      </x:c>
      <x:c r="F68" s="38" t="n">
        <x:v>8865.5</x:v>
      </x:c>
      <x:c r="G68" s="15" t="n">
        <x:v>1</x:v>
      </x:c>
      <x:c r="H68" s="34" t="n">
        <x:v>46122.39166666667</x:v>
      </x:c>
      <x:c r="I68" s="34" t="n">
        <x:v>46122.39166666667</x:v>
      </x:c>
    </x:row>
    <x:row r="69">
      <x:c r="A69" s="15" t="str">
        <x:v>R026qzlwv0 Booking.c</x:v>
      </x:c>
      <x:c r="B69" s="15" t="str">
        <x:v>Inflow</x:v>
      </x:c>
      <x:c r="C69" s="15" t="str">
        <x:v>Sales / customer receipts</x:v>
      </x:c>
      <x:c r="D69" s="38" t="n">
        <x:v>8567.39</x:v>
      </x:c>
      <x:c r="E69" s="38" t="n">
        <x:v>0</x:v>
      </x:c>
      <x:c r="F69" s="38" t="n">
        <x:v>8567.39</x:v>
      </x:c>
      <x:c r="G69" s="15" t="n">
        <x:v>1</x:v>
      </x:c>
      <x:c r="H69" s="34" t="n">
        <x:v>46177.33819444444</x:v>
      </x:c>
      <x:c r="I69" s="34" t="n">
        <x:v>46177.33819444444</x:v>
      </x:c>
    </x:row>
    <x:row r="70">
      <x:c r="A70" s="15" t="str">
        <x:v>Pj Els - Showp</x:v>
      </x:c>
      <x:c r="B70" s="15" t="str">
        <x:v>Outflow</x:v>
      </x:c>
      <x:c r="C70" s="15" t="str">
        <x:v>Supplier payments</x:v>
      </x:c>
      <x:c r="D70" s="38" t="n">
        <x:v>0</x:v>
      </x:c>
      <x:c r="E70" s="38" t="n">
        <x:v>8500</x:v>
      </x:c>
      <x:c r="F70" s="38" t="n">
        <x:v>-8500</x:v>
      </x:c>
      <x:c r="G70" s="15" t="n">
        <x:v>2</x:v>
      </x:c>
      <x:c r="H70" s="34" t="n">
        <x:v>46045.34305555555</x:v>
      </x:c>
      <x:c r="I70" s="34" t="n">
        <x:v>46048.370833333334</x:v>
      </x:c>
    </x:row>
    <x:row r="71">
      <x:c r="A71" s="15" t="str">
        <x:v>Royal Bush 3751</x:v>
      </x:c>
      <x:c r="B71" s="15" t="str">
        <x:v>Outflow</x:v>
      </x:c>
      <x:c r="C71" s="15" t="str">
        <x:v>Supplier payments</x:v>
      </x:c>
      <x:c r="D71" s="38" t="n">
        <x:v>0</x:v>
      </x:c>
      <x:c r="E71" s="38" t="n">
        <x:v>8480</x:v>
      </x:c>
      <x:c r="F71" s="38" t="n">
        <x:v>-8480</x:v>
      </x:c>
      <x:c r="G71" s="15" t="n">
        <x:v>1</x:v>
      </x:c>
      <x:c r="H71" s="34" t="n">
        <x:v>46077.46597222222</x:v>
      </x:c>
      <x:c r="I71" s="34" t="n">
        <x:v>46077.46597222222</x:v>
      </x:c>
    </x:row>
    <x:row r="72">
      <x:c r="A72" s="15" t="str">
        <x:v>Royal Bush 3766</x:v>
      </x:c>
      <x:c r="B72" s="15" t="str">
        <x:v>Outflow</x:v>
      </x:c>
      <x:c r="C72" s="15" t="str">
        <x:v>Supplier payments</x:v>
      </x:c>
      <x:c r="D72" s="38" t="n">
        <x:v>0</x:v>
      </x:c>
      <x:c r="E72" s="38" t="n">
        <x:v>8480</x:v>
      </x:c>
      <x:c r="F72" s="38" t="n">
        <x:v>-8480</x:v>
      </x:c>
      <x:c r="G72" s="15" t="n">
        <x:v>1</x:v>
      </x:c>
      <x:c r="H72" s="34" t="n">
        <x:v>46112.39513888889</x:v>
      </x:c>
      <x:c r="I72" s="34" t="n">
        <x:v>46112.39513888889</x:v>
      </x:c>
    </x:row>
    <x:row r="73">
      <x:c r="A73" s="15" t="str">
        <x:v>Royal Bush 3945</x:v>
      </x:c>
      <x:c r="B73" s="15" t="str">
        <x:v>Outflow</x:v>
      </x:c>
      <x:c r="C73" s="15" t="str">
        <x:v>Supplier payments</x:v>
      </x:c>
      <x:c r="D73" s="38" t="n">
        <x:v>0</x:v>
      </x:c>
      <x:c r="E73" s="38" t="n">
        <x:v>8480</x:v>
      </x:c>
      <x:c r="F73" s="38" t="n">
        <x:v>-8480</x:v>
      </x:c>
      <x:c r="G73" s="15" t="n">
        <x:v>1</x:v>
      </x:c>
      <x:c r="H73" s="34" t="n">
        <x:v>46147.45208333333</x:v>
      </x:c>
      <x:c r="I73" s="34" t="n">
        <x:v>46147.45208333333</x:v>
      </x:c>
    </x:row>
    <x:row r="74">
      <x:c r="A74" s="15" t="str">
        <x:v>Sk Transfer 0213</x:v>
      </x:c>
      <x:c r="B74" s="15" t="str">
        <x:v>Outflow</x:v>
      </x:c>
      <x:c r="C74" s="15" t="str">
        <x:v>Supplier payments</x:v>
      </x:c>
      <x:c r="D74" s="38" t="n">
        <x:v>0</x:v>
      </x:c>
      <x:c r="E74" s="38" t="n">
        <x:v>8200</x:v>
      </x:c>
      <x:c r="F74" s="38" t="n">
        <x:v>-8200</x:v>
      </x:c>
      <x:c r="G74" s="15" t="n">
        <x:v>1</x:v>
      </x:c>
      <x:c r="H74" s="34" t="n">
        <x:v>46169.43541666667</x:v>
      </x:c>
      <x:c r="I74" s="34" t="n">
        <x:v>46169.43541666667</x:v>
      </x:c>
    </x:row>
    <x:row r="75">
      <x:c r="A75" s="15" t="str">
        <x:v>Staff Tips For Aug</x:v>
      </x:c>
      <x:c r="B75" s="15" t="str">
        <x:v>Outflow</x:v>
      </x:c>
      <x:c r="C75" s="15" t="str">
        <x:v>Salary / wages</x:v>
      </x:c>
      <x:c r="D75" s="38" t="n">
        <x:v>0</x:v>
      </x:c>
      <x:c r="E75" s="38" t="n">
        <x:v>8200</x:v>
      </x:c>
      <x:c r="F75" s="38" t="n">
        <x:v>-8200</x:v>
      </x:c>
      <x:c r="G75" s="15" t="n">
        <x:v>4</x:v>
      </x:c>
      <x:c r="H75" s="34" t="n">
        <x:v>45934.495833333334</x:v>
      </x:c>
      <x:c r="I75" s="34" t="n">
        <x:v>46176.381944444445</x:v>
      </x:c>
    </x:row>
    <x:row r="76">
      <x:c r="A76" s="15" t="str">
        <x:v>Kruger Safari 1666</x:v>
      </x:c>
      <x:c r="B76" s="15" t="str">
        <x:v>Outflow</x:v>
      </x:c>
      <x:c r="C76" s="15" t="str">
        <x:v>Supplier payments</x:v>
      </x:c>
      <x:c r="D76" s="38" t="n">
        <x:v>0</x:v>
      </x:c>
      <x:c r="E76" s="38" t="n">
        <x:v>8112</x:v>
      </x:c>
      <x:c r="F76" s="38" t="n">
        <x:v>-8112</x:v>
      </x:c>
      <x:c r="G76" s="15" t="n">
        <x:v>1</x:v>
      </x:c>
      <x:c r="H76" s="34" t="n">
        <x:v>45981.61388888889</x:v>
      </x:c>
      <x:c r="I76" s="34" t="n">
        <x:v>45981.61388888889</x:v>
      </x:c>
    </x:row>
    <x:row r="77">
      <x:c r="A77" s="15" t="str">
        <x:v>Kruger Safari 1678</x:v>
      </x:c>
      <x:c r="B77" s="15" t="str">
        <x:v>Outflow</x:v>
      </x:c>
      <x:c r="C77" s="15" t="str">
        <x:v>Supplier payments</x:v>
      </x:c>
      <x:c r="D77" s="38" t="n">
        <x:v>0</x:v>
      </x:c>
      <x:c r="E77" s="38" t="n">
        <x:v>7510</x:v>
      </x:c>
      <x:c r="F77" s="38" t="n">
        <x:v>-7510</x:v>
      </x:c>
      <x:c r="G77" s="15" t="n">
        <x:v>1</x:v>
      </x:c>
      <x:c r="H77" s="34" t="n">
        <x:v>46038.643055555556</x:v>
      </x:c>
      <x:c r="I77" s="34" t="n">
        <x:v>46038.643055555556</x:v>
      </x:c>
    </x:row>
    <x:row r="78">
      <x:c r="A78" s="15" t="str">
        <x:v>Kruger Safari 1664</x:v>
      </x:c>
      <x:c r="B78" s="15" t="str">
        <x:v>Outflow</x:v>
      </x:c>
      <x:c r="C78" s="15" t="str">
        <x:v>Supplier payments</x:v>
      </x:c>
      <x:c r="D78" s="38" t="n">
        <x:v>0</x:v>
      </x:c>
      <x:c r="E78" s="38" t="n">
        <x:v>7500</x:v>
      </x:c>
      <x:c r="F78" s="38" t="n">
        <x:v>-7500</x:v>
      </x:c>
      <x:c r="G78" s="15" t="n">
        <x:v>1</x:v>
      </x:c>
      <x:c r="H78" s="34" t="n">
        <x:v>45971.36736111111</x:v>
      </x:c>
      <x:c r="I78" s="34" t="n">
        <x:v>45971.36736111111</x:v>
      </x:c>
    </x:row>
    <x:row r="79">
      <x:c r="A79" s="15" t="str">
        <x:v>Sk Transfer 0209</x:v>
      </x:c>
      <x:c r="B79" s="15" t="str">
        <x:v>Outflow</x:v>
      </x:c>
      <x:c r="C79" s="15" t="str">
        <x:v>Supplier payments</x:v>
      </x:c>
      <x:c r="D79" s="38" t="n">
        <x:v>0</x:v>
      </x:c>
      <x:c r="E79" s="38" t="n">
        <x:v>7400</x:v>
      </x:c>
      <x:c r="F79" s="38" t="n">
        <x:v>-7400</x:v>
      </x:c>
      <x:c r="G79" s="15" t="n">
        <x:v>1</x:v>
      </x:c>
      <x:c r="H79" s="34" t="n">
        <x:v>46174.66736111111</x:v>
      </x:c>
      <x:c r="I79" s="34" t="n">
        <x:v>46174.66736111111</x:v>
      </x:c>
    </x:row>
    <x:row r="80">
      <x:c r="A80" s="15" t="str">
        <x:v>R026t8t8r0 Booking.c</x:v>
      </x:c>
      <x:c r="B80" s="15" t="str">
        <x:v>Inflow</x:v>
      </x:c>
      <x:c r="C80" s="15" t="str">
        <x:v>Sales / customer receipts</x:v>
      </x:c>
      <x:c r="D80" s="38" t="n">
        <x:v>7285.89</x:v>
      </x:c>
      <x:c r="E80" s="38" t="n">
        <x:v>0</x:v>
      </x:c>
      <x:c r="F80" s="38" t="n">
        <x:v>7285.89</x:v>
      </x:c>
      <x:c r="G80" s="15" t="n">
        <x:v>1</x:v>
      </x:c>
      <x:c r="H80" s="34" t="n">
        <x:v>46135.370833333334</x:v>
      </x:c>
      <x:c r="I80" s="34" t="n">
        <x:v>46135.370833333334</x:v>
      </x:c>
    </x:row>
    <x:row r="81">
      <x:c r="A81" s="15" t="str">
        <x:v>Royal Bush 3965</x:v>
      </x:c>
      <x:c r="B81" s="15" t="str">
        <x:v>Outflow</x:v>
      </x:c>
      <x:c r="C81" s="15" t="str">
        <x:v>Supplier payments</x:v>
      </x:c>
      <x:c r="D81" s="38" t="n">
        <x:v>0</x:v>
      </x:c>
      <x:c r="E81" s="38" t="n">
        <x:v>7276</x:v>
      </x:c>
      <x:c r="F81" s="38" t="n">
        <x:v>-7276</x:v>
      </x:c>
      <x:c r="G81" s="15" t="n">
        <x:v>1</x:v>
      </x:c>
      <x:c r="H81" s="34" t="n">
        <x:v>46169.441666666666</x:v>
      </x:c>
      <x:c r="I81" s="34" t="n">
        <x:v>46169.441666666666</x:v>
      </x:c>
    </x:row>
    <x:row r="82">
      <x:c r="A82" s="15" t="str">
        <x:v>Kruger Safari 1677</x:v>
      </x:c>
      <x:c r="B82" s="15" t="str">
        <x:v>Outflow</x:v>
      </x:c>
      <x:c r="C82" s="15" t="str">
        <x:v>Supplier payments</x:v>
      </x:c>
      <x:c r="D82" s="38" t="n">
        <x:v>0</x:v>
      </x:c>
      <x:c r="E82" s="38" t="n">
        <x:v>7008</x:v>
      </x:c>
      <x:c r="F82" s="38" t="n">
        <x:v>-7008</x:v>
      </x:c>
      <x:c r="G82" s="15" t="n">
        <x:v>1</x:v>
      </x:c>
      <x:c r="H82" s="34" t="n">
        <x:v>46037.481944444444</x:v>
      </x:c>
      <x:c r="I82" s="34" t="n">
        <x:v>46037.481944444444</x:v>
      </x:c>
    </x:row>
    <x:row r="83">
      <x:c r="A83" s="15" t="str">
        <x:v>Salary Nason Dec</x:v>
      </x:c>
      <x:c r="B83" s="15" t="str">
        <x:v>Outflow</x:v>
      </x:c>
      <x:c r="C83" s="15" t="str">
        <x:v>Salary / wages</x:v>
      </x:c>
      <x:c r="D83" s="38" t="n">
        <x:v>0</x:v>
      </x:c>
      <x:c r="E83" s="38" t="n">
        <x:v>7000</x:v>
      </x:c>
      <x:c r="F83" s="38" t="n">
        <x:v>-7000</x:v>
      </x:c>
      <x:c r="G83" s="15" t="n">
        <x:v>1</x:v>
      </x:c>
      <x:c r="H83" s="34" t="n">
        <x:v>46030.740277777775</x:v>
      </x:c>
      <x:c r="I83" s="34" t="n">
        <x:v>46030.740277777775</x:v>
      </x:c>
    </x:row>
    <x:row r="84">
      <x:c r="A84" s="15" t="str">
        <x:v>Kruger Saf 1699 50%</x:v>
      </x:c>
      <x:c r="B84" s="15" t="str">
        <x:v>Outflow</x:v>
      </x:c>
      <x:c r="C84" s="15" t="str">
        <x:v>Supplier payments</x:v>
      </x:c>
      <x:c r="D84" s="38" t="n">
        <x:v>0</x:v>
      </x:c>
      <x:c r="E84" s="38" t="n">
        <x:v>6909</x:v>
      </x:c>
      <x:c r="F84" s="38" t="n">
        <x:v>-6909</x:v>
      </x:c>
      <x:c r="G84" s="15" t="n">
        <x:v>1</x:v>
      </x:c>
      <x:c r="H84" s="34" t="n">
        <x:v>46170.65347222222</x:v>
      </x:c>
      <x:c r="I84" s="34" t="n">
        <x:v>46170.65347222222</x:v>
      </x:c>
    </x:row>
    <x:row r="85">
      <x:c r="A85" s="15" t="str">
        <x:v>R026vlwjc0 Booking.c</x:v>
      </x:c>
      <x:c r="B85" s="15" t="str">
        <x:v>Inflow</x:v>
      </x:c>
      <x:c r="C85" s="15" t="str">
        <x:v>Sales / customer receipts</x:v>
      </x:c>
      <x:c r="D85" s="38" t="n">
        <x:v>6823.74</x:v>
      </x:c>
      <x:c r="E85" s="38" t="n">
        <x:v>0</x:v>
      </x:c>
      <x:c r="F85" s="38" t="n">
        <x:v>6823.74</x:v>
      </x:c>
      <x:c r="G85" s="15" t="n">
        <x:v>1</x:v>
      </x:c>
      <x:c r="H85" s="34" t="n">
        <x:v>46100.34722222222</x:v>
      </x:c>
      <x:c r="I85" s="34" t="n">
        <x:v>46100.34722222222</x:v>
      </x:c>
    </x:row>
    <x:row r="86">
      <x:c r="A86" s="15" t="str">
        <x:v>Wage</x:v>
      </x:c>
      <x:c r="B86" s="15" t="str">
        <x:v>Outflow</x:v>
      </x:c>
      <x:c r="C86" s="15" t="str">
        <x:v>Salary / wages</x:v>
      </x:c>
      <x:c r="D86" s="38" t="n">
        <x:v>0</x:v>
      </x:c>
      <x:c r="E86" s="38" t="n">
        <x:v>6500</x:v>
      </x:c>
      <x:c r="F86" s="38" t="n">
        <x:v>-6500</x:v>
      </x:c>
      <x:c r="G86" s="15" t="n">
        <x:v>1</x:v>
      </x:c>
      <x:c r="H86" s="34" t="n">
        <x:v>46038.64236111111</x:v>
      </x:c>
      <x:c r="I86" s="34" t="n">
        <x:v>46038.64236111111</x:v>
      </x:c>
    </x:row>
    <x:row r="87">
      <x:c r="A87" s="15" t="str">
        <x:v>Royal Bush 3597</x:v>
      </x:c>
      <x:c r="B87" s="15" t="str">
        <x:v>Outflow</x:v>
      </x:c>
      <x:c r="C87" s="15" t="str">
        <x:v>Supplier payments</x:v>
      </x:c>
      <x:c r="D87" s="38" t="n">
        <x:v>0</x:v>
      </x:c>
      <x:c r="E87" s="38" t="n">
        <x:v>6472</x:v>
      </x:c>
      <x:c r="F87" s="38" t="n">
        <x:v>-6472</x:v>
      </x:c>
      <x:c r="G87" s="15" t="n">
        <x:v>1</x:v>
      </x:c>
      <x:c r="H87" s="34" t="n">
        <x:v>46055.63333333333</x:v>
      </x:c>
      <x:c r="I87" s="34" t="n">
        <x:v>46055.63333333333</x:v>
      </x:c>
    </x:row>
    <x:row r="88">
      <x:c r="A88" s="15" t="str">
        <x:v>Southern Kru 0135</x:v>
      </x:c>
      <x:c r="B88" s="15" t="str">
        <x:v>Outflow</x:v>
      </x:c>
      <x:c r="C88" s="15" t="str">
        <x:v>Supplier payments</x:v>
      </x:c>
      <x:c r="D88" s="38" t="n">
        <x:v>0</x:v>
      </x:c>
      <x:c r="E88" s="38" t="n">
        <x:v>6450</x:v>
      </x:c>
      <x:c r="F88" s="38" t="n">
        <x:v>-6450</x:v>
      </x:c>
      <x:c r="G88" s="15" t="n">
        <x:v>1</x:v>
      </x:c>
      <x:c r="H88" s="34" t="n">
        <x:v>46080.459027777775</x:v>
      </x:c>
      <x:c r="I88" s="34" t="n">
        <x:v>46080.459027777775</x:v>
      </x:c>
    </x:row>
    <x:row r="89">
      <x:c r="A89" s="15" t="str">
        <x:v>R026qc6v20 Booking.c</x:v>
      </x:c>
      <x:c r="B89" s="15" t="str">
        <x:v>Inflow</x:v>
      </x:c>
      <x:c r="C89" s="15" t="str">
        <x:v>Sales / customer receipts</x:v>
      </x:c>
      <x:c r="D89" s="38" t="n">
        <x:v>6363.32</x:v>
      </x:c>
      <x:c r="E89" s="38" t="n">
        <x:v>0</x:v>
      </x:c>
      <x:c r="F89" s="38" t="n">
        <x:v>6363.32</x:v>
      </x:c>
      <x:c r="G89" s="15" t="n">
        <x:v>1</x:v>
      </x:c>
      <x:c r="H89" s="34" t="n">
        <x:v>46191.38958333333</x:v>
      </x:c>
      <x:c r="I89" s="34" t="n">
        <x:v>46191.38958333333</x:v>
      </x:c>
    </x:row>
    <x:row r="90">
      <x:c r="A90" s="15" t="str">
        <x:v>Kruger Safari 1680</x:v>
      </x:c>
      <x:c r="B90" s="15" t="str">
        <x:v>Outflow</x:v>
      </x:c>
      <x:c r="C90" s="15" t="str">
        <x:v>Supplier payments</x:v>
      </x:c>
      <x:c r="D90" s="38" t="n">
        <x:v>0</x:v>
      </x:c>
      <x:c r="E90" s="38" t="n">
        <x:v>6008</x:v>
      </x:c>
      <x:c r="F90" s="38" t="n">
        <x:v>-6008</x:v>
      </x:c>
      <x:c r="G90" s="15" t="n">
        <x:v>1</x:v>
      </x:c>
      <x:c r="H90" s="34" t="n">
        <x:v>46052.54722222222</x:v>
      </x:c>
      <x:c r="I90" s="34" t="n">
        <x:v>46052.54722222222</x:v>
      </x:c>
    </x:row>
    <x:row r="91">
      <x:c r="A91" s="15" t="str">
        <x:v>Kruger Safari 1681</x:v>
      </x:c>
      <x:c r="B91" s="15" t="str">
        <x:v>Outflow</x:v>
      </x:c>
      <x:c r="C91" s="15" t="str">
        <x:v>Supplier payments</x:v>
      </x:c>
      <x:c r="D91" s="38" t="n">
        <x:v>0</x:v>
      </x:c>
      <x:c r="E91" s="38" t="n">
        <x:v>6008</x:v>
      </x:c>
      <x:c r="F91" s="38" t="n">
        <x:v>-6008</x:v>
      </x:c>
      <x:c r="G91" s="15" t="n">
        <x:v>1</x:v>
      </x:c>
      <x:c r="H91" s="34" t="n">
        <x:v>46057.51527777778</x:v>
      </x:c>
      <x:c r="I91" s="34" t="n">
        <x:v>46057.51527777778</x:v>
      </x:c>
    </x:row>
    <x:row r="92">
      <x:c r="A92" s="15" t="str">
        <x:v>Kruger Safari 1684</x:v>
      </x:c>
      <x:c r="B92" s="15" t="str">
        <x:v>Outflow</x:v>
      </x:c>
      <x:c r="C92" s="15" t="str">
        <x:v>Supplier payments</x:v>
      </x:c>
      <x:c r="D92" s="38" t="n">
        <x:v>0</x:v>
      </x:c>
      <x:c r="E92" s="38" t="n">
        <x:v>6008</x:v>
      </x:c>
      <x:c r="F92" s="38" t="n">
        <x:v>-6008</x:v>
      </x:c>
      <x:c r="G92" s="15" t="n">
        <x:v>1</x:v>
      </x:c>
      <x:c r="H92" s="34" t="n">
        <x:v>46073.58125</x:v>
      </x:c>
      <x:c r="I92" s="34" t="n">
        <x:v>46073.58125</x:v>
      </x:c>
    </x:row>
    <x:row r="93">
      <x:c r="A93" s="15" t="str">
        <x:v>Kruger Safari 1686</x:v>
      </x:c>
      <x:c r="B93" s="15" t="str">
        <x:v>Outflow</x:v>
      </x:c>
      <x:c r="C93" s="15" t="str">
        <x:v>Supplier payments</x:v>
      </x:c>
      <x:c r="D93" s="38" t="n">
        <x:v>0</x:v>
      </x:c>
      <x:c r="E93" s="38" t="n">
        <x:v>6008</x:v>
      </x:c>
      <x:c r="F93" s="38" t="n">
        <x:v>-6008</x:v>
      </x:c>
      <x:c r="G93" s="15" t="n">
        <x:v>1</x:v>
      </x:c>
      <x:c r="H93" s="34" t="n">
        <x:v>46092.57638888889</x:v>
      </x:c>
      <x:c r="I93" s="34" t="n">
        <x:v>46092.57638888889</x:v>
      </x:c>
    </x:row>
    <x:row r="94">
      <x:c r="A94" s="15" t="str">
        <x:v>Kruger Safari 1698</x:v>
      </x:c>
      <x:c r="B94" s="15" t="str">
        <x:v>Outflow</x:v>
      </x:c>
      <x:c r="C94" s="15" t="str">
        <x:v>Supplier payments</x:v>
      </x:c>
      <x:c r="D94" s="38" t="n">
        <x:v>0</x:v>
      </x:c>
      <x:c r="E94" s="38" t="n">
        <x:v>6008</x:v>
      </x:c>
      <x:c r="F94" s="38" t="n">
        <x:v>-6008</x:v>
      </x:c>
      <x:c r="G94" s="15" t="n">
        <x:v>1</x:v>
      </x:c>
      <x:c r="H94" s="34" t="n">
        <x:v>46167.73055555556</x:v>
      </x:c>
      <x:c r="I94" s="34" t="n">
        <x:v>46167.73055555556</x:v>
      </x:c>
    </x:row>
    <x:row r="95">
      <x:c r="A95" s="15" t="str">
        <x:v>Buco Komatipoort 116</x:v>
      </x:c>
      <x:c r="B95" s="15" t="str">
        <x:v>Outflow</x:v>
      </x:c>
      <x:c r="C95" s="15" t="str">
        <x:v>Supplier payments</x:v>
      </x:c>
      <x:c r="D95" s="38" t="n">
        <x:v>0</x:v>
      </x:c>
      <x:c r="E95" s="38" t="n">
        <x:v>5918.22</x:v>
      </x:c>
      <x:c r="F95" s="38" t="n">
        <x:v>-5918.22</x:v>
      </x:c>
      <x:c r="G95" s="15" t="n">
        <x:v>9</x:v>
      </x:c>
      <x:c r="H95" s="34" t="n">
        <x:v>45971.552777777775</x:v>
      </x:c>
      <x:c r="I95" s="34" t="n">
        <x:v>46130.47638888889</x:v>
      </x:c>
    </x:row>
    <x:row r="96">
      <x:c r="A96" s="15" t="str">
        <x:v>Kruger Safari 1682</x:v>
      </x:c>
      <x:c r="B96" s="15" t="str">
        <x:v>Outflow</x:v>
      </x:c>
      <x:c r="C96" s="15" t="str">
        <x:v>Supplier payments</x:v>
      </x:c>
      <x:c r="D96" s="38" t="n">
        <x:v>0</x:v>
      </x:c>
      <x:c r="E96" s="38" t="n">
        <x:v>5708</x:v>
      </x:c>
      <x:c r="F96" s="38" t="n">
        <x:v>-5708</x:v>
      </x:c>
      <x:c r="G96" s="15" t="n">
        <x:v>1</x:v>
      </x:c>
      <x:c r="H96" s="34" t="n">
        <x:v>46065.43541666667</x:v>
      </x:c>
      <x:c r="I96" s="34" t="n">
        <x:v>46065.43541666667</x:v>
      </x:c>
    </x:row>
    <x:row r="97">
      <x:c r="A97" s="15" t="str">
        <x:v>Kruger Safari 1667</x:v>
      </x:c>
      <x:c r="B97" s="15" t="str">
        <x:v>Outflow</x:v>
      </x:c>
      <x:c r="C97" s="15" t="str">
        <x:v>Supplier payments</x:v>
      </x:c>
      <x:c r="D97" s="38" t="n">
        <x:v>0</x:v>
      </x:c>
      <x:c r="E97" s="38" t="n">
        <x:v>5704</x:v>
      </x:c>
      <x:c r="F97" s="38" t="n">
        <x:v>-5704</x:v>
      </x:c>
      <x:c r="G97" s="15" t="n">
        <x:v>1</x:v>
      </x:c>
      <x:c r="H97" s="34" t="n">
        <x:v>45982.63680555556</x:v>
      </x:c>
      <x:c r="I97" s="34" t="n">
        <x:v>45982.63680555556</x:v>
      </x:c>
    </x:row>
    <x:row r="98">
      <x:c r="A98" s="15" t="str">
        <x:v>Kruger Safari 1676</x:v>
      </x:c>
      <x:c r="B98" s="15" t="str">
        <x:v>Outflow</x:v>
      </x:c>
      <x:c r="C98" s="15" t="str">
        <x:v>Supplier payments</x:v>
      </x:c>
      <x:c r="D98" s="38" t="n">
        <x:v>0</x:v>
      </x:c>
      <x:c r="E98" s="38" t="n">
        <x:v>5408</x:v>
      </x:c>
      <x:c r="F98" s="38" t="n">
        <x:v>-5408</x:v>
      </x:c>
      <x:c r="G98" s="15" t="n">
        <x:v>1</x:v>
      </x:c>
      <x:c r="H98" s="34" t="n">
        <x:v>46032.529861111114</x:v>
      </x:c>
      <x:c r="I98" s="34" t="n">
        <x:v>46032.529861111114</x:v>
      </x:c>
    </x:row>
    <x:row r="99">
      <x:c r="A99" s="15" t="str">
        <x:v>Ac De Jager Vleis</x:v>
      </x:c>
      <x:c r="B99" s="15" t="str">
        <x:v>Outflow</x:v>
      </x:c>
      <x:c r="C99" s="15" t="str">
        <x:v>Supplier payments</x:v>
      </x:c>
      <x:c r="D99" s="38" t="n">
        <x:v>0</x:v>
      </x:c>
      <x:c r="E99" s="38" t="n">
        <x:v>5355.76</x:v>
      </x:c>
      <x:c r="F99" s="38" t="n">
        <x:v>-5355.76</x:v>
      </x:c>
      <x:c r="G99" s="15" t="n">
        <x:v>3</x:v>
      </x:c>
      <x:c r="H99" s="34" t="n">
        <x:v>45981.74722222222</x:v>
      </x:c>
      <x:c r="I99" s="34" t="n">
        <x:v>46144.67222222222</x:v>
      </x:c>
    </x:row>
    <x:row r="100">
      <x:c r="A100" s="15" t="str">
        <x:v>Woolworths</x:v>
      </x:c>
      <x:c r="B100" s="15" t="str">
        <x:v>Outflow</x:v>
      </x:c>
      <x:c r="C100" s="15" t="str">
        <x:v>Supplier payments</x:v>
      </x:c>
      <x:c r="D100" s="38" t="n">
        <x:v>0</x:v>
      </x:c>
      <x:c r="E100" s="38" t="n">
        <x:v>5341.45</x:v>
      </x:c>
      <x:c r="F100" s="38" t="n">
        <x:v>-5341.45</x:v>
      </x:c>
      <x:c r="G100" s="15" t="n">
        <x:v>8</x:v>
      </x:c>
      <x:c r="H100" s="34" t="n">
        <x:v>45975.58472222222</x:v>
      </x:c>
      <x:c r="I100" s="34" t="n">
        <x:v>46162.518055555556</x:v>
      </x:c>
    </x:row>
    <x:row r="101">
      <x:c r="A101" s="15" t="str">
        <x:v>Staff Tips Jan</x:v>
      </x:c>
      <x:c r="B101" s="15" t="str">
        <x:v>Outflow</x:v>
      </x:c>
      <x:c r="C101" s="15" t="str">
        <x:v>Salary / wages</x:v>
      </x:c>
      <x:c r="D101" s="38" t="n">
        <x:v>0</x:v>
      </x:c>
      <x:c r="E101" s="38" t="n">
        <x:v>5250</x:v>
      </x:c>
      <x:c r="F101" s="38" t="n">
        <x:v>-5250</x:v>
      </x:c>
      <x:c r="G101" s="15" t="n">
        <x:v>1</x:v>
      </x:c>
      <x:c r="H101" s="34" t="n">
        <x:v>46047.01736111111</x:v>
      </x:c>
      <x:c r="I101" s="34" t="n">
        <x:v>46047.01736111111</x:v>
      </x:c>
    </x:row>
    <x:row r="102">
      <x:c r="A102" s="15" t="str">
        <x:v>Cf Moto Saf - Inv 3</x:v>
      </x:c>
      <x:c r="B102" s="15" t="str">
        <x:v>Outflow</x:v>
      </x:c>
      <x:c r="C102" s="15" t="str">
        <x:v>Supplier payments</x:v>
      </x:c>
      <x:c r="D102" s="38" t="n">
        <x:v>0</x:v>
      </x:c>
      <x:c r="E102" s="38" t="n">
        <x:v>5166</x:v>
      </x:c>
      <x:c r="F102" s="38" t="n">
        <x:v>-5166</x:v>
      </x:c>
      <x:c r="G102" s="15" t="n">
        <x:v>2</x:v>
      </x:c>
      <x:c r="H102" s="34" t="n">
        <x:v>46123.58541666667</x:v>
      </x:c>
      <x:c r="I102" s="34" t="n">
        <x:v>46175.39722222222</x:v>
      </x:c>
    </x:row>
    <x:row r="103">
      <x:c r="A103" s="15" t="str">
        <x:v>Kruger Safari 1665</x:v>
      </x:c>
      <x:c r="B103" s="15" t="str">
        <x:v>Outflow</x:v>
      </x:c>
      <x:c r="C103" s="15" t="str">
        <x:v>Supplier payments</x:v>
      </x:c>
      <x:c r="D103" s="38" t="n">
        <x:v>0</x:v>
      </x:c>
      <x:c r="E103" s="38" t="n">
        <x:v>5074</x:v>
      </x:c>
      <x:c r="F103" s="38" t="n">
        <x:v>-5074</x:v>
      </x:c>
      <x:c r="G103" s="15" t="n">
        <x:v>1</x:v>
      </x:c>
      <x:c r="H103" s="34" t="n">
        <x:v>45975.459027777775</x:v>
      </x:c>
      <x:c r="I103" s="34" t="n">
        <x:v>45975.459027777775</x:v>
      </x:c>
    </x:row>
    <x:row r="104">
      <x:c r="A104" s="15" t="str">
        <x:v>Capitec I Strydom</x:v>
      </x:c>
      <x:c r="B104" s="15" t="str">
        <x:v>Inflow</x:v>
      </x:c>
      <x:c r="C104" s="15" t="str">
        <x:v>Sales / customer receipts</x:v>
      </x:c>
      <x:c r="D104" s="38" t="n">
        <x:v>5071.5</x:v>
      </x:c>
      <x:c r="E104" s="38" t="n">
        <x:v>0</x:v>
      </x:c>
      <x:c r="F104" s="38" t="n">
        <x:v>5071.5</x:v>
      </x:c>
      <x:c r="G104" s="15" t="n">
        <x:v>1</x:v>
      </x:c>
      <x:c r="H104" s="34" t="n">
        <x:v>46049</x:v>
      </x:c>
      <x:c r="I104" s="34" t="n">
        <x:v>46049</x:v>
      </x:c>
    </x:row>
    <x:row r="105">
      <x:c r="A105" s="15" t="str">
        <x:v>African Sky</x:v>
      </x:c>
      <x:c r="B105" s="15" t="str">
        <x:v>Outflow</x:v>
      </x:c>
      <x:c r="C105" s="15" t="str">
        <x:v>Supplier payments</x:v>
      </x:c>
      <x:c r="D105" s="38" t="n">
        <x:v>0</x:v>
      </x:c>
      <x:c r="E105" s="38" t="n">
        <x:v>5000</x:v>
      </x:c>
      <x:c r="F105" s="38" t="n">
        <x:v>-5000</x:v>
      </x:c>
      <x:c r="G105" s="15" t="n">
        <x:v>1</x:v>
      </x:c>
      <x:c r="H105" s="34" t="n">
        <x:v>46121.05347222222</x:v>
      </x:c>
      <x:c r="I105" s="34" t="n">
        <x:v>46121.05347222222</x:v>
      </x:c>
    </x:row>
    <x:row r="106">
      <x:c r="A106" s="15" t="str">
        <x:v>Am Hoffman Wages</x:v>
      </x:c>
      <x:c r="B106" s="15" t="str">
        <x:v>Outflow</x:v>
      </x:c>
      <x:c r="C106" s="15" t="str">
        <x:v>Salary / wages</x:v>
      </x:c>
      <x:c r="D106" s="38" t="n">
        <x:v>0</x:v>
      </x:c>
      <x:c r="E106" s="38" t="n">
        <x:v>5000</x:v>
      </x:c>
      <x:c r="F106" s="38" t="n">
        <x:v>-5000</x:v>
      </x:c>
      <x:c r="G106" s="15" t="n">
        <x:v>1</x:v>
      </x:c>
      <x:c r="H106" s="34" t="n">
        <x:v>46026.41458333333</x:v>
      </x:c>
      <x:c r="I106" s="34" t="n">
        <x:v>46026.41458333333</x:v>
      </x:c>
    </x:row>
    <x:row r="107">
      <x:c r="A107" s="15" t="str">
        <x:v>Car Deposit</x:v>
      </x:c>
      <x:c r="B107" s="15" t="str">
        <x:v>Outflow</x:v>
      </x:c>
      <x:c r="C107" s="15" t="str">
        <x:v>Supplier payments</x:v>
      </x:c>
      <x:c r="D107" s="38" t="n">
        <x:v>0</x:v>
      </x:c>
      <x:c r="E107" s="38" t="n">
        <x:v>5000</x:v>
      </x:c>
      <x:c r="F107" s="38" t="n">
        <x:v>-5000</x:v>
      </x:c>
      <x:c r="G107" s="15" t="n">
        <x:v>1</x:v>
      </x:c>
      <x:c r="H107" s="34" t="n">
        <x:v>46135.51597222222</x:v>
      </x:c>
      <x:c r="I107" s="34" t="n">
        <x:v>46135.51597222222</x:v>
      </x:c>
    </x:row>
    <x:row r="108">
      <x:c r="A108" s="15" t="str">
        <x:v>Dreyer</x:v>
      </x:c>
      <x:c r="B108" s="15" t="str">
        <x:v>Inflow</x:v>
      </x:c>
      <x:c r="C108" s="15" t="str">
        <x:v>Sales / customer receipts</x:v>
      </x:c>
      <x:c r="D108" s="38" t="n">
        <x:v>5000</x:v>
      </x:c>
      <x:c r="E108" s="38" t="n">
        <x:v>0</x:v>
      </x:c>
      <x:c r="F108" s="38" t="n">
        <x:v>5000</x:v>
      </x:c>
      <x:c r="G108" s="15" t="n">
        <x:v>1</x:v>
      </x:c>
      <x:c r="H108" s="34" t="n">
        <x:v>45985.44930555556</x:v>
      </x:c>
      <x:c r="I108" s="34" t="n">
        <x:v>45985.44930555556</x:v>
      </x:c>
    </x:row>
    <x:row r="109">
      <x:c r="A109" s="15" t="str">
        <x:v>FNB card a/c..279000</x:v>
      </x:c>
      <x:c r="B109" s="15" t="str">
        <x:v>Internal Transfer</x:v>
      </x:c>
      <x:c r="C109" s="15" t="str">
        <x:v>Inter-account transfer</x:v>
      </x:c>
      <x:c r="D109" s="38" t="n">
        <x:v>0</x:v>
      </x:c>
      <x:c r="E109" s="38" t="n">
        <x:v>0</x:v>
      </x:c>
      <x:c r="F109" s="38" t="n">
        <x:v>0</x:v>
      </x:c>
      <x:c r="G109" s="15" t="n">
        <x:v>1</x:v>
      </x:c>
      <x:c r="H109" s="34" t="n">
        <x:v>46171.37430555555</x:v>
      </x:c>
      <x:c r="I109" s="34" t="n">
        <x:v>46171.37430555555</x:v>
      </x:c>
    </x:row>
    <x:row r="110">
      <x:c r="A110" s="15" t="str">
        <x:v>Gd Hoffman Wages</x:v>
      </x:c>
      <x:c r="B110" s="15" t="str">
        <x:v>Outflow</x:v>
      </x:c>
      <x:c r="C110" s="15" t="str">
        <x:v>Salary / wages</x:v>
      </x:c>
      <x:c r="D110" s="38" t="n">
        <x:v>0</x:v>
      </x:c>
      <x:c r="E110" s="38" t="n">
        <x:v>5000</x:v>
      </x:c>
      <x:c r="F110" s="38" t="n">
        <x:v>-5000</x:v>
      </x:c>
      <x:c r="G110" s="15" t="n">
        <x:v>1</x:v>
      </x:c>
      <x:c r="H110" s="34" t="n">
        <x:v>46018.82986111111</x:v>
      </x:c>
      <x:c r="I110" s="34" t="n">
        <x:v>46018.82986111111</x:v>
      </x:c>
    </x:row>
    <x:row r="111">
      <x:c r="A111" s="15" t="str">
        <x:v>Repayment</x:v>
      </x:c>
      <x:c r="B111" s="15" t="str">
        <x:v>Outflow</x:v>
      </x:c>
      <x:c r="C111" s="15" t="str">
        <x:v>Supplier payments</x:v>
      </x:c>
      <x:c r="D111" s="38" t="n">
        <x:v>0</x:v>
      </x:c>
      <x:c r="E111" s="38" t="n">
        <x:v>5000</x:v>
      </x:c>
      <x:c r="F111" s="38" t="n">
        <x:v>-5000</x:v>
      </x:c>
      <x:c r="G111" s="15" t="n">
        <x:v>1</x:v>
      </x:c>
      <x:c r="H111" s="34" t="n">
        <x:v>45990.575694444444</x:v>
      </x:c>
      <x:c r="I111" s="34" t="n">
        <x:v>45990.575694444444</x:v>
      </x:c>
    </x:row>
    <x:row r="112">
      <x:c r="A112" s="15" t="str">
        <x:v>Sakkie Wages Jan</x:v>
      </x:c>
      <x:c r="B112" s="15" t="str">
        <x:v>Outflow</x:v>
      </x:c>
      <x:c r="C112" s="15" t="str">
        <x:v>Salary / wages</x:v>
      </x:c>
      <x:c r="D112" s="38" t="n">
        <x:v>0</x:v>
      </x:c>
      <x:c r="E112" s="38" t="n">
        <x:v>5000</x:v>
      </x:c>
      <x:c r="F112" s="38" t="n">
        <x:v>-5000</x:v>
      </x:c>
      <x:c r="G112" s="15" t="n">
        <x:v>2</x:v>
      </x:c>
      <x:c r="H112" s="34" t="n">
        <x:v>46038.59444444445</x:v>
      </x:c>
      <x:c r="I112" s="34" t="n">
        <x:v>46052.54791666667</x:v>
      </x:c>
    </x:row>
    <x:row r="113">
      <x:c r="A113" s="15" t="str">
        <x:v>Salary- Feb</x:v>
      </x:c>
      <x:c r="B113" s="15" t="str">
        <x:v>Outflow</x:v>
      </x:c>
      <x:c r="C113" s="15" t="str">
        <x:v>Salary / wages</x:v>
      </x:c>
      <x:c r="D113" s="38" t="n">
        <x:v>0</x:v>
      </x:c>
      <x:c r="E113" s="38" t="n">
        <x:v>5000</x:v>
      </x:c>
      <x:c r="F113" s="38" t="n">
        <x:v>-5000</x:v>
      </x:c>
      <x:c r="G113" s="15" t="n">
        <x:v>1</x:v>
      </x:c>
      <x:c r="H113" s="34" t="n">
        <x:v>46094.16180555556</x:v>
      </x:c>
      <x:c r="I113" s="34" t="n">
        <x:v>46094.16180555556</x:v>
      </x:c>
    </x:row>
    <x:row r="114">
      <x:c r="A114" s="15" t="str">
        <x:v>Staff Nason</x:v>
      </x:c>
      <x:c r="B114" s="15" t="str">
        <x:v>Outflow</x:v>
      </x:c>
      <x:c r="C114" s="15" t="str">
        <x:v>Salary / wages</x:v>
      </x:c>
      <x:c r="D114" s="38" t="n">
        <x:v>0</x:v>
      </x:c>
      <x:c r="E114" s="38" t="n">
        <x:v>5000</x:v>
      </x:c>
      <x:c r="F114" s="38" t="n">
        <x:v>-5000</x:v>
      </x:c>
      <x:c r="G114" s="15" t="n">
        <x:v>1</x:v>
      </x:c>
      <x:c r="H114" s="34" t="n">
        <x:v>46025.74097222222</x:v>
      </x:c>
      <x:c r="I114" s="34" t="n">
        <x:v>46025.74097222222</x:v>
      </x:c>
    </x:row>
    <x:row r="115">
      <x:c r="A115" s="15" t="str">
        <x:v>Staff Tips For Sept</x:v>
      </x:c>
      <x:c r="B115" s="15" t="str">
        <x:v>Outflow</x:v>
      </x:c>
      <x:c r="C115" s="15" t="str">
        <x:v>Salary / wages</x:v>
      </x:c>
      <x:c r="D115" s="38" t="n">
        <x:v>0</x:v>
      </x:c>
      <x:c r="E115" s="38" t="n">
        <x:v>5000</x:v>
      </x:c>
      <x:c r="F115" s="38" t="n">
        <x:v>-5000</x:v>
      </x:c>
      <x:c r="G115" s="15" t="n">
        <x:v>1</x:v>
      </x:c>
      <x:c r="H115" s="34" t="n">
        <x:v>45991.00833333333</x:v>
      </x:c>
      <x:c r="I115" s="34" t="n">
        <x:v>45991.00833333333</x:v>
      </x:c>
    </x:row>
    <x:row r="116">
      <x:c r="A116" s="15" t="str">
        <x:v>Southern Kruger - Sw</x:v>
      </x:c>
      <x:c r="B116" s="15" t="str">
        <x:v>Outflow</x:v>
      </x:c>
      <x:c r="C116" s="15" t="str">
        <x:v>Supplier payments</x:v>
      </x:c>
      <x:c r="D116" s="38" t="n">
        <x:v>0</x:v>
      </x:c>
      <x:c r="E116" s="38" t="n">
        <x:v>4900</x:v>
      </x:c>
      <x:c r="F116" s="38" t="n">
        <x:v>-4900</x:v>
      </x:c>
      <x:c r="G116" s="15" t="n">
        <x:v>1</x:v>
      </x:c>
      <x:c r="H116" s="34" t="n">
        <x:v>46055.42638888889</x:v>
      </x:c>
      <x:c r="I116" s="34" t="n">
        <x:v>46055.42638888889</x:v>
      </x:c>
    </x:row>
    <x:row r="117">
      <x:c r="A117" s="15" t="str">
        <x:v>Electricity 14503572</x:v>
      </x:c>
      <x:c r="B117" s="15" t="str">
        <x:v>Outflow</x:v>
      </x:c>
      <x:c r="C117" s="15" t="str">
        <x:v>Telecom / utilities</x:v>
      </x:c>
      <x:c r="D117" s="38" t="n">
        <x:v>0</x:v>
      </x:c>
      <x:c r="E117" s="38" t="n">
        <x:v>4850</x:v>
      </x:c>
      <x:c r="F117" s="38" t="n">
        <x:v>-4850</x:v>
      </x:c>
      <x:c r="G117" s="15" t="n">
        <x:v>32</x:v>
      </x:c>
      <x:c r="H117" s="34" t="n">
        <x:v>46089.80902777778</x:v>
      </x:c>
      <x:c r="I117" s="34" t="n">
        <x:v>46190.282638888886</x:v>
      </x:c>
    </x:row>
    <x:row r="118">
      <x:c r="A118" s="15" t="str">
        <x:v>City Of Capetown</x:v>
      </x:c>
      <x:c r="B118" s="15" t="str">
        <x:v>Outflow</x:v>
      </x:c>
      <x:c r="C118" s="15" t="str">
        <x:v>Supplier payments</x:v>
      </x:c>
      <x:c r="D118" s="38" t="n">
        <x:v>0</x:v>
      </x:c>
      <x:c r="E118" s="38" t="n">
        <x:v>4835.36</x:v>
      </x:c>
      <x:c r="F118" s="38" t="n">
        <x:v>-4835.36</x:v>
      </x:c>
      <x:c r="G118" s="15" t="n">
        <x:v>1</x:v>
      </x:c>
      <x:c r="H118" s="34" t="n">
        <x:v>46097.71666666667</x:v>
      </x:c>
      <x:c r="I118" s="34" t="n">
        <x:v>46097.71666666667</x:v>
      </x:c>
    </x:row>
    <x:row r="119">
      <x:c r="A119" s="15" t="str">
        <x:v>R026tc0tx0 Booking.c</x:v>
      </x:c>
      <x:c r="B119" s="15" t="str">
        <x:v>Inflow</x:v>
      </x:c>
      <x:c r="C119" s="15" t="str">
        <x:v>Sales / customer receipts</x:v>
      </x:c>
      <x:c r="D119" s="38" t="n">
        <x:v>4822.71</x:v>
      </x:c>
      <x:c r="E119" s="38" t="n">
        <x:v>0</x:v>
      </x:c>
      <x:c r="F119" s="38" t="n">
        <x:v>4822.71</x:v>
      </x:c>
      <x:c r="G119" s="15" t="n">
        <x:v>1</x:v>
      </x:c>
      <x:c r="H119" s="34" t="n">
        <x:v>46128.35486111111</x:v>
      </x:c>
      <x:c r="I119" s="34" t="n">
        <x:v>46128.35486111111</x:v>
      </x:c>
    </x:row>
    <x:row r="120">
      <x:c r="A120" s="15" t="str">
        <x:v>Royal Bush 3617</x:v>
      </x:c>
      <x:c r="B120" s="15" t="str">
        <x:v>Outflow</x:v>
      </x:c>
      <x:c r="C120" s="15" t="str">
        <x:v>Supplier payments</x:v>
      </x:c>
      <x:c r="D120" s="38" t="n">
        <x:v>0</x:v>
      </x:c>
      <x:c r="E120" s="38" t="n">
        <x:v>4740</x:v>
      </x:c>
      <x:c r="F120" s="38" t="n">
        <x:v>-4740</x:v>
      </x:c>
      <x:c r="G120" s="15" t="n">
        <x:v>1</x:v>
      </x:c>
      <x:c r="H120" s="34" t="n">
        <x:v>46031.697222222225</x:v>
      </x:c>
      <x:c r="I120" s="34" t="n">
        <x:v>46031.697222222225</x:v>
      </x:c>
    </x:row>
    <x:row r="121">
      <x:c r="A121" s="15" t="str">
        <x:v>Kruger Safari 1683</x:v>
      </x:c>
      <x:c r="B121" s="15" t="str">
        <x:v>Outflow</x:v>
      </x:c>
      <x:c r="C121" s="15" t="str">
        <x:v>Supplier payments</x:v>
      </x:c>
      <x:c r="D121" s="38" t="n">
        <x:v>0</x:v>
      </x:c>
      <x:c r="E121" s="38" t="n">
        <x:v>4506</x:v>
      </x:c>
      <x:c r="F121" s="38" t="n">
        <x:v>-4506</x:v>
      </x:c>
      <x:c r="G121" s="15" t="n">
        <x:v>1</x:v>
      </x:c>
      <x:c r="H121" s="34" t="n">
        <x:v>46070.461805555555</x:v>
      </x:c>
      <x:c r="I121" s="34" t="n">
        <x:v>46070.461805555555</x:v>
      </x:c>
    </x:row>
    <x:row r="122">
      <x:c r="A122" s="15" t="str">
        <x:v>Kruger Safari 1687</x:v>
      </x:c>
      <x:c r="B122" s="15" t="str">
        <x:v>Outflow</x:v>
      </x:c>
      <x:c r="C122" s="15" t="str">
        <x:v>Supplier payments</x:v>
      </x:c>
      <x:c r="D122" s="38" t="n">
        <x:v>0</x:v>
      </x:c>
      <x:c r="E122" s="38" t="n">
        <x:v>4506</x:v>
      </x:c>
      <x:c r="F122" s="38" t="n">
        <x:v>-4506</x:v>
      </x:c>
      <x:c r="G122" s="15" t="n">
        <x:v>1</x:v>
      </x:c>
      <x:c r="H122" s="34" t="n">
        <x:v>46093.67222222222</x:v>
      </x:c>
      <x:c r="I122" s="34" t="n">
        <x:v>46093.67222222222</x:v>
      </x:c>
    </x:row>
    <x:row r="123">
      <x:c r="A123" s="15" t="str">
        <x:v>Phindi Salary Nov</x:v>
      </x:c>
      <x:c r="B123" s="15" t="str">
        <x:v>Outflow</x:v>
      </x:c>
      <x:c r="C123" s="15" t="str">
        <x:v>Salary / wages</x:v>
      </x:c>
      <x:c r="D123" s="38" t="n">
        <x:v>0</x:v>
      </x:c>
      <x:c r="E123" s="38" t="n">
        <x:v>4500</x:v>
      </x:c>
      <x:c r="F123" s="38" t="n">
        <x:v>-4500</x:v>
      </x:c>
      <x:c r="G123" s="15" t="n">
        <x:v>1</x:v>
      </x:c>
      <x:c r="H123" s="34" t="n">
        <x:v>45991.42361111111</x:v>
      </x:c>
      <x:c r="I123" s="34" t="n">
        <x:v>45991.42361111111</x:v>
      </x:c>
    </x:row>
    <x:row r="124">
      <x:c r="A124" s="15" t="str">
        <x:v>Nb N992820</x:v>
      </x:c>
      <x:c r="B124" s="15" t="str">
        <x:v>Outflow</x:v>
      </x:c>
      <x:c r="C124" s="15" t="str">
        <x:v>Supplier payments</x:v>
      </x:c>
      <x:c r="D124" s="38" t="n">
        <x:v>0</x:v>
      </x:c>
      <x:c r="E124" s="38" t="n">
        <x:v>4450.5</x:v>
      </x:c>
      <x:c r="F124" s="38" t="n">
        <x:v>-4450.5</x:v>
      </x:c>
      <x:c r="G124" s="15" t="n">
        <x:v>6</x:v>
      </x:c>
      <x:c r="H124" s="34" t="n">
        <x:v>46038.64513888889</x:v>
      </x:c>
      <x:c r="I124" s="34" t="n">
        <x:v>46172.44027777778</x:v>
      </x:c>
    </x:row>
    <x:row r="125">
      <x:c r="A125" s="15" t="str">
        <x:v>Asbe - 002 Comm Jan</x:v>
      </x:c>
      <x:c r="B125" s="15" t="str">
        <x:v>Outflow</x:v>
      </x:c>
      <x:c r="C125" s="15" t="str">
        <x:v>Supplier payments</x:v>
      </x:c>
      <x:c r="D125" s="38" t="n">
        <x:v>0</x:v>
      </x:c>
      <x:c r="E125" s="38" t="n">
        <x:v>4372.34</x:v>
      </x:c>
      <x:c r="F125" s="38" t="n">
        <x:v>-4372.34</x:v>
      </x:c>
      <x:c r="G125" s="15" t="n">
        <x:v>1</x:v>
      </x:c>
      <x:c r="H125" s="34" t="n">
        <x:v>46031.833333333336</x:v>
      </x:c>
      <x:c r="I125" s="34" t="n">
        <x:v>46031.833333333336</x:v>
      </x:c>
    </x:row>
    <x:row r="126">
      <x:c r="A126" s="15" t="str">
        <x:v>Phindi Salary Dec</x:v>
      </x:c>
      <x:c r="B126" s="15" t="str">
        <x:v>Outflow</x:v>
      </x:c>
      <x:c r="C126" s="15" t="str">
        <x:v>Salary / wages</x:v>
      </x:c>
      <x:c r="D126" s="38" t="n">
        <x:v>0</x:v>
      </x:c>
      <x:c r="E126" s="38" t="n">
        <x:v>4250</x:v>
      </x:c>
      <x:c r="F126" s="38" t="n">
        <x:v>-4250</x:v>
      </x:c>
      <x:c r="G126" s="15" t="n">
        <x:v>1</x:v>
      </x:c>
      <x:c r="H126" s="34" t="n">
        <x:v>46022.48611111111</x:v>
      </x:c>
      <x:c r="I126" s="34" t="n">
        <x:v>46022.48611111111</x:v>
      </x:c>
    </x:row>
    <x:row r="127">
      <x:c r="A127" s="15" t="str">
        <x:v>Royal Bush 3764</x:v>
      </x:c>
      <x:c r="B127" s="15" t="str">
        <x:v>Outflow</x:v>
      </x:c>
      <x:c r="C127" s="15" t="str">
        <x:v>Supplier payments</x:v>
      </x:c>
      <x:c r="D127" s="38" t="n">
        <x:v>0</x:v>
      </x:c>
      <x:c r="E127" s="38" t="n">
        <x:v>4240</x:v>
      </x:c>
      <x:c r="F127" s="38" t="n">
        <x:v>-4240</x:v>
      </x:c>
      <x:c r="G127" s="15" t="n">
        <x:v>1</x:v>
      </x:c>
      <x:c r="H127" s="34" t="n">
        <x:v>46087.646527777775</x:v>
      </x:c>
      <x:c r="I127" s="34" t="n">
        <x:v>46087.646527777775</x:v>
      </x:c>
    </x:row>
    <x:row r="128">
      <x:c r="A128" s="15" t="str">
        <x:v>Royal Bush 3783</x:v>
      </x:c>
      <x:c r="B128" s="15" t="str">
        <x:v>Outflow</x:v>
      </x:c>
      <x:c r="C128" s="15" t="str">
        <x:v>Supplier payments</x:v>
      </x:c>
      <x:c r="D128" s="38" t="n">
        <x:v>0</x:v>
      </x:c>
      <x:c r="E128" s="38" t="n">
        <x:v>4240</x:v>
      </x:c>
      <x:c r="F128" s="38" t="n">
        <x:v>-4240</x:v>
      </x:c>
      <x:c r="G128" s="15" t="n">
        <x:v>1</x:v>
      </x:c>
      <x:c r="H128" s="34" t="n">
        <x:v>46119.68819444445</x:v>
      </x:c>
      <x:c r="I128" s="34" t="n">
        <x:v>46119.68819444445</x:v>
      </x:c>
    </x:row>
    <x:row r="129">
      <x:c r="A129" s="15" t="str">
        <x:v>Royal Bush 3798</x:v>
      </x:c>
      <x:c r="B129" s="15" t="str">
        <x:v>Outflow</x:v>
      </x:c>
      <x:c r="C129" s="15" t="str">
        <x:v>Supplier payments</x:v>
      </x:c>
      <x:c r="D129" s="38" t="n">
        <x:v>0</x:v>
      </x:c>
      <x:c r="E129" s="38" t="n">
        <x:v>4240</x:v>
      </x:c>
      <x:c r="F129" s="38" t="n">
        <x:v>-4240</x:v>
      </x:c>
      <x:c r="G129" s="15" t="n">
        <x:v>1</x:v>
      </x:c>
      <x:c r="H129" s="34" t="n">
        <x:v>46093.67083333333</x:v>
      </x:c>
      <x:c r="I129" s="34" t="n">
        <x:v>46093.67083333333</x:v>
      </x:c>
    </x:row>
    <x:row r="130">
      <x:c r="A130" s="15" t="str">
        <x:v>Royal Bush 3979</x:v>
      </x:c>
      <x:c r="B130" s="15" t="str">
        <x:v>Outflow</x:v>
      </x:c>
      <x:c r="C130" s="15" t="str">
        <x:v>Supplier payments</x:v>
      </x:c>
      <x:c r="D130" s="38" t="n">
        <x:v>0</x:v>
      </x:c>
      <x:c r="E130" s="38" t="n">
        <x:v>4240</x:v>
      </x:c>
      <x:c r="F130" s="38" t="n">
        <x:v>-4240</x:v>
      </x:c>
      <x:c r="G130" s="15" t="n">
        <x:v>1</x:v>
      </x:c>
      <x:c r="H130" s="34" t="n">
        <x:v>46167.49166666667</x:v>
      </x:c>
      <x:c r="I130" s="34" t="n">
        <x:v>46167.49166666667</x:v>
      </x:c>
    </x:row>
    <x:row r="131">
      <x:c r="A131" s="15" t="str">
        <x:v>Kruger Safari 1700</x:v>
      </x:c>
      <x:c r="B131" s="15" t="str">
        <x:v>Outflow</x:v>
      </x:c>
      <x:c r="C131" s="15" t="str">
        <x:v>Supplier payments</x:v>
      </x:c>
      <x:c r="D131" s="38" t="n">
        <x:v>0</x:v>
      </x:c>
      <x:c r="E131" s="38" t="n">
        <x:v>4189</x:v>
      </x:c>
      <x:c r="F131" s="38" t="n">
        <x:v>-4189</x:v>
      </x:c>
      <x:c r="G131" s="15" t="n">
        <x:v>1</x:v>
      </x:c>
      <x:c r="H131" s="34" t="n">
        <x:v>46178.532638888886</x:v>
      </x:c>
      <x:c r="I131" s="34" t="n">
        <x:v>46178.532638888886</x:v>
      </x:c>
    </x:row>
    <x:row r="132">
      <x:c r="A132" s="15" t="str">
        <x:v>Gd</x:v>
      </x:c>
      <x:c r="B132" s="15" t="str">
        <x:v>Inflow</x:v>
      </x:c>
      <x:c r="C132" s="15" t="str">
        <x:v>Sales / customer receipts</x:v>
      </x:c>
      <x:c r="D132" s="38" t="n">
        <x:v>4100</x:v>
      </x:c>
      <x:c r="E132" s="38" t="n">
        <x:v>0</x:v>
      </x:c>
      <x:c r="F132" s="38" t="n">
        <x:v>4100</x:v>
      </x:c>
      <x:c r="G132" s="15" t="n">
        <x:v>1</x:v>
      </x:c>
      <x:c r="H132" s="34" t="n">
        <x:v>46181.498611111114</x:v>
      </x:c>
      <x:c r="I132" s="34" t="n">
        <x:v>46181.498611111114</x:v>
      </x:c>
    </x:row>
    <x:row r="133">
      <x:c r="A133" s="15" t="str">
        <x:v>Staff Tips</x:v>
      </x:c>
      <x:c r="B133" s="15" t="str">
        <x:v>Outflow</x:v>
      </x:c>
      <x:c r="C133" s="15" t="str">
        <x:v>Salary / wages</x:v>
      </x:c>
      <x:c r="D133" s="38" t="n">
        <x:v>0</x:v>
      </x:c>
      <x:c r="E133" s="38" t="n">
        <x:v>4000</x:v>
      </x:c>
      <x:c r="F133" s="38" t="n">
        <x:v>-4000</x:v>
      </x:c>
      <x:c r="G133" s="15" t="n">
        <x:v>1</x:v>
      </x:c>
      <x:c r="H133" s="34" t="n">
        <x:v>46047.03680555556</x:v>
      </x:c>
      <x:c r="I133" s="34" t="n">
        <x:v>46047.03680555556</x:v>
      </x:c>
    </x:row>
    <x:row r="134">
      <x:c r="A134" s="15" t="str">
        <x:v>Staff Tips For Dec</x:v>
      </x:c>
      <x:c r="B134" s="15" t="str">
        <x:v>Outflow</x:v>
      </x:c>
      <x:c r="C134" s="15" t="str">
        <x:v>Salary / wages</x:v>
      </x:c>
      <x:c r="D134" s="38" t="n">
        <x:v>0</x:v>
      </x:c>
      <x:c r="E134" s="38" t="n">
        <x:v>4000</x:v>
      </x:c>
      <x:c r="F134" s="38" t="n">
        <x:v>-4000</x:v>
      </x:c>
      <x:c r="G134" s="15" t="n">
        <x:v>1</x:v>
      </x:c>
      <x:c r="H134" s="34" t="n">
        <x:v>46046.92638888889</x:v>
      </x:c>
      <x:c r="I134" s="34" t="n">
        <x:v>46046.92638888889</x:v>
      </x:c>
    </x:row>
    <x:row r="135">
      <x:c r="A135" s="15" t="str">
        <x:v>Staff Tips For Oct</x:v>
      </x:c>
      <x:c r="B135" s="15" t="str">
        <x:v>Outflow</x:v>
      </x:c>
      <x:c r="C135" s="15" t="str">
        <x:v>Salary / wages</x:v>
      </x:c>
      <x:c r="D135" s="38" t="n">
        <x:v>0</x:v>
      </x:c>
      <x:c r="E135" s="38" t="n">
        <x:v>4000</x:v>
      </x:c>
      <x:c r="F135" s="38" t="n">
        <x:v>-4000</x:v>
      </x:c>
      <x:c r="G135" s="15" t="n">
        <x:v>1</x:v>
      </x:c>
      <x:c r="H135" s="34" t="n">
        <x:v>45991.08819444444</x:v>
      </x:c>
      <x:c r="I135" s="34" t="n">
        <x:v>45991.08819444444</x:v>
      </x:c>
    </x:row>
    <x:row r="136">
      <x:c r="A136" s="15" t="str">
        <x:v>Kruger Safari 1695</x:v>
      </x:c>
      <x:c r="B136" s="15" t="str">
        <x:v>Outflow</x:v>
      </x:c>
      <x:c r="C136" s="15" t="str">
        <x:v>Supplier payments</x:v>
      </x:c>
      <x:c r="D136" s="38" t="n">
        <x:v>0</x:v>
      </x:c>
      <x:c r="E136" s="38" t="n">
        <x:v>3966.6</x:v>
      </x:c>
      <x:c r="F136" s="38" t="n">
        <x:v>-3966.6</x:v>
      </x:c>
      <x:c r="G136" s="15" t="n">
        <x:v>1</x:v>
      </x:c>
      <x:c r="H136" s="34" t="n">
        <x:v>46134.388194444444</x:v>
      </x:c>
      <x:c r="I136" s="34" t="n">
        <x:v>46134.388194444444</x:v>
      </x:c>
    </x:row>
    <x:row r="137">
      <x:c r="A137" s="15" t="str">
        <x:v>Claude.ai Subscription+14</x:v>
      </x:c>
      <x:c r="B137" s="15" t="str">
        <x:v>Outflow</x:v>
      </x:c>
      <x:c r="C137" s="15" t="str">
        <x:v>Software / subscriptions</x:v>
      </x:c>
      <x:c r="D137" s="38" t="n">
        <x:v>0</x:v>
      </x:c>
      <x:c r="E137" s="38" t="n">
        <x:v>3958.01</x:v>
      </x:c>
      <x:c r="F137" s="38" t="n">
        <x:v>-3958.01</x:v>
      </x:c>
      <x:c r="G137" s="15" t="n">
        <x:v>2</x:v>
      </x:c>
      <x:c r="H137" s="34" t="n">
        <x:v>46162.45694444444</x:v>
      </x:c>
      <x:c r="I137" s="34" t="n">
        <x:v>46162.54305555556</x:v>
      </x:c>
    </x:row>
    <x:row r="138">
      <x:c r="A138" s="15" t="str">
        <x:v>The Tin Shack</x:v>
      </x:c>
      <x:c r="B138" s="15" t="str">
        <x:v>Outflow</x:v>
      </x:c>
      <x:c r="C138" s="15" t="str">
        <x:v>Meals / restaurants / entertainment</x:v>
      </x:c>
      <x:c r="D138" s="38" t="n">
        <x:v>0</x:v>
      </x:c>
      <x:c r="E138" s="38" t="n">
        <x:v>3767</x:v>
      </x:c>
      <x:c r="F138" s="38" t="n">
        <x:v>-3767</x:v>
      </x:c>
      <x:c r="G138" s="15" t="n">
        <x:v>12</x:v>
      </x:c>
      <x:c r="H138" s="34" t="n">
        <x:v>45969.790972222225</x:v>
      </x:c>
      <x:c r="I138" s="34" t="n">
        <x:v>46189.72361111111</x:v>
      </x:c>
    </x:row>
    <x:row r="139">
      <x:c r="A139" s="15" t="str">
        <x:v>Sqsp* Websit</x:v>
      </x:c>
      <x:c r="B139" s="15" t="str">
        <x:v>Outflow</x:v>
      </x:c>
      <x:c r="C139" s="15" t="str">
        <x:v>Software / subscriptions</x:v>
      </x:c>
      <x:c r="D139" s="38" t="n">
        <x:v>0</x:v>
      </x:c>
      <x:c r="E139" s="38" t="n">
        <x:v>3716.49</x:v>
      </x:c>
      <x:c r="F139" s="38" t="n">
        <x:v>-3716.49</x:v>
      </x:c>
      <x:c r="G139" s="15" t="n">
        <x:v>7</x:v>
      </x:c>
      <x:c r="H139" s="34" t="n">
        <x:v>46036.49166666667</x:v>
      </x:c>
      <x:c r="I139" s="34" t="n">
        <x:v>46187.525</x:v>
      </x:c>
    </x:row>
    <x:row r="140">
      <x:c r="A140" s="15" t="str">
        <x:v>Savemor Marloth Liqu</x:v>
      </x:c>
      <x:c r="B140" s="15" t="str">
        <x:v>Outflow</x:v>
      </x:c>
      <x:c r="C140" s="15" t="str">
        <x:v>Meals / restaurants / entertainment</x:v>
      </x:c>
      <x:c r="D140" s="38" t="n">
        <x:v>0</x:v>
      </x:c>
      <x:c r="E140" s="38" t="n">
        <x:v>3562.05</x:v>
      </x:c>
      <x:c r="F140" s="38" t="n">
        <x:v>-3562.05</x:v>
      </x:c>
      <x:c r="G140" s="15" t="n">
        <x:v>16</x:v>
      </x:c>
      <x:c r="H140" s="34" t="n">
        <x:v>45987.62222222222</x:v>
      </x:c>
      <x:c r="I140" s="34" t="n">
        <x:v>46166.54861111111</x:v>
      </x:c>
    </x:row>
    <x:row r="141">
      <x:c r="A141" s="15" t="str">
        <x:v>Big Bay Maintenance</x:v>
      </x:c>
      <x:c r="B141" s="15" t="str">
        <x:v>Outflow</x:v>
      </x:c>
      <x:c r="C141" s="15" t="str">
        <x:v>Rent / property</x:v>
      </x:c>
      <x:c r="D141" s="38" t="n">
        <x:v>0</x:v>
      </x:c>
      <x:c r="E141" s="38" t="n">
        <x:v>3550</x:v>
      </x:c>
      <x:c r="F141" s="38" t="n">
        <x:v>-3550</x:v>
      </x:c>
      <x:c r="G141" s="15" t="n">
        <x:v>1</x:v>
      </x:c>
      <x:c r="H141" s="34" t="n">
        <x:v>46038.65833333333</x:v>
      </x:c>
      <x:c r="I141" s="34" t="n">
        <x:v>46038.65833333333</x:v>
      </x:c>
    </x:row>
    <x:row r="142">
      <x:c r="A142" s="15" t="str">
        <x:v>Screens X 5</x:v>
      </x:c>
      <x:c r="B142" s="15" t="str">
        <x:v>Outflow</x:v>
      </x:c>
      <x:c r="C142" s="15" t="str">
        <x:v>Supplier payments</x:v>
      </x:c>
      <x:c r="D142" s="38" t="n">
        <x:v>0</x:v>
      </x:c>
      <x:c r="E142" s="38" t="n">
        <x:v>3525</x:v>
      </x:c>
      <x:c r="F142" s="38" t="n">
        <x:v>-3525</x:v>
      </x:c>
      <x:c r="G142" s="15" t="n">
        <x:v>1</x:v>
      </x:c>
      <x:c r="H142" s="34" t="n">
        <x:v>46072.47430555556</x:v>
      </x:c>
      <x:c r="I142" s="34" t="n">
        <x:v>46072.47430555556</x:v>
      </x:c>
    </x:row>
    <x:row r="143">
      <x:c r="A143" s="15" t="str">
        <x:v>Kruger Safari 1696</x:v>
      </x:c>
      <x:c r="B143" s="15" t="str">
        <x:v>Outflow</x:v>
      </x:c>
      <x:c r="C143" s="15" t="str">
        <x:v>Supplier payments</x:v>
      </x:c>
      <x:c r="D143" s="38" t="n">
        <x:v>0</x:v>
      </x:c>
      <x:c r="E143" s="38" t="n">
        <x:v>3454.6</x:v>
      </x:c>
      <x:c r="F143" s="38" t="n">
        <x:v>-3454.6</x:v>
      </x:c>
      <x:c r="G143" s="15" t="n">
        <x:v>1</x:v>
      </x:c>
      <x:c r="H143" s="34" t="n">
        <x:v>46141.67291666667</x:v>
      </x:c>
      <x:c r="I143" s="34" t="n">
        <x:v>46141.67291666667</x:v>
      </x:c>
    </x:row>
    <x:row r="144">
      <x:c r="A144" s="15" t="str">
        <x:v>Kruger Sa 1698 50%</x:v>
      </x:c>
      <x:c r="B144" s="15" t="str">
        <x:v>Outflow</x:v>
      </x:c>
      <x:c r="C144" s="15" t="str">
        <x:v>Supplier payments</x:v>
      </x:c>
      <x:c r="D144" s="38" t="n">
        <x:v>0</x:v>
      </x:c>
      <x:c r="E144" s="38" t="n">
        <x:v>3454.5</x:v>
      </x:c>
      <x:c r="F144" s="38" t="n">
        <x:v>-3454.5</x:v>
      </x:c>
      <x:c r="G144" s="15" t="n">
        <x:v>1</x:v>
      </x:c>
      <x:c r="H144" s="34" t="n">
        <x:v>46167.489583333336</x:v>
      </x:c>
      <x:c r="I144" s="34" t="n">
        <x:v>46167.489583333336</x:v>
      </x:c>
    </x:row>
    <x:row r="145">
      <x:c r="A145" s="15" t="str">
        <x:v>Kruger Sa 1698 50%</x:v>
      </x:c>
      <x:c r="B145" s="15" t="str">
        <x:v>Inflow</x:v>
      </x:c>
      <x:c r="C145" s="15" t="str">
        <x:v>Refunds / reversals</x:v>
      </x:c>
      <x:c r="D145" s="38" t="n">
        <x:v>3454.5</x:v>
      </x:c>
      <x:c r="E145" s="38" t="n">
        <x:v>0</x:v>
      </x:c>
      <x:c r="F145" s="38" t="n">
        <x:v>3454.5</x:v>
      </x:c>
      <x:c r="G145" s="15" t="n">
        <x:v>1</x:v>
      </x:c>
      <x:c r="H145" s="34" t="n">
        <x:v>46167.490277777775</x:v>
      </x:c>
      <x:c r="I145" s="34" t="n">
        <x:v>46167.490277777775</x:v>
      </x:c>
    </x:row>
    <x:row r="146">
      <x:c r="A146" s="15" t="str">
        <x:v>Lebombo Washing Mach</x:v>
      </x:c>
      <x:c r="B146" s="15" t="str">
        <x:v>Outflow</x:v>
      </x:c>
      <x:c r="C146" s="15" t="str">
        <x:v>Supplier payments</x:v>
      </x:c>
      <x:c r="D146" s="38" t="n">
        <x:v>0</x:v>
      </x:c>
      <x:c r="E146" s="38" t="n">
        <x:v>3425</x:v>
      </x:c>
      <x:c r="F146" s="38" t="n">
        <x:v>-3425</x:v>
      </x:c>
      <x:c r="G146" s="15" t="n">
        <x:v>3</x:v>
      </x:c>
      <x:c r="H146" s="34" t="n">
        <x:v>46048.45694444444</x:v>
      </x:c>
      <x:c r="I146" s="34" t="n">
        <x:v>46133.67222222222</x:v>
      </x:c>
    </x:row>
    <x:row r="147">
      <x:c r="A147" s="15" t="str">
        <x:v>Kruger Safari 1694</x:v>
      </x:c>
      <x:c r="B147" s="15" t="str">
        <x:v>Outflow</x:v>
      </x:c>
      <x:c r="C147" s="15" t="str">
        <x:v>Supplier payments</x:v>
      </x:c>
      <x:c r="D147" s="38" t="n">
        <x:v>0</x:v>
      </x:c>
      <x:c r="E147" s="38" t="n">
        <x:v>3274</x:v>
      </x:c>
      <x:c r="F147" s="38" t="n">
        <x:v>-3274</x:v>
      </x:c>
      <x:c r="G147" s="15" t="n">
        <x:v>1</x:v>
      </x:c>
      <x:c r="H147" s="34" t="n">
        <x:v>46125.56736111111</x:v>
      </x:c>
      <x:c r="I147" s="34" t="n">
        <x:v>46125.56736111111</x:v>
      </x:c>
    </x:row>
    <x:row r="148">
      <x:c r="A148" s="15" t="str">
        <x:v>Toppies Hardware 66</x:v>
      </x:c>
      <x:c r="B148" s="15" t="str">
        <x:v>Outflow</x:v>
      </x:c>
      <x:c r="C148" s="15" t="str">
        <x:v>Supplier payments</x:v>
      </x:c>
      <x:c r="D148" s="38" t="n">
        <x:v>0</x:v>
      </x:c>
      <x:c r="E148" s="38" t="n">
        <x:v>3090.9</x:v>
      </x:c>
      <x:c r="F148" s="38" t="n">
        <x:v>-3090.9</x:v>
      </x:c>
      <x:c r="G148" s="15" t="n">
        <x:v>5</x:v>
      </x:c>
      <x:c r="H148" s="34" t="n">
        <x:v>46081.38055555556</x:v>
      </x:c>
      <x:c r="I148" s="34" t="n">
        <x:v>46141.540972222225</x:v>
      </x:c>
    </x:row>
    <x:row r="149">
      <x:c r="A149" s="15" t="str">
        <x:v>Royal Bush 3610</x:v>
      </x:c>
      <x:c r="B149" s="15" t="str">
        <x:v>Outflow</x:v>
      </x:c>
      <x:c r="C149" s="15" t="str">
        <x:v>Supplier payments</x:v>
      </x:c>
      <x:c r="D149" s="38" t="n">
        <x:v>0</x:v>
      </x:c>
      <x:c r="E149" s="38" t="n">
        <x:v>3036</x:v>
      </x:c>
      <x:c r="F149" s="38" t="n">
        <x:v>-3036</x:v>
      </x:c>
      <x:c r="G149" s="15" t="n">
        <x:v>1</x:v>
      </x:c>
      <x:c r="H149" s="34" t="n">
        <x:v>46062.59097222222</x:v>
      </x:c>
      <x:c r="I149" s="34" t="n">
        <x:v>46062.59097222222</x:v>
      </x:c>
    </x:row>
    <x:row r="150">
      <x:c r="A150" s="15" t="str">
        <x:v>Kruger Safari 1679</x:v>
      </x:c>
      <x:c r="B150" s="15" t="str">
        <x:v>Outflow</x:v>
      </x:c>
      <x:c r="C150" s="15" t="str">
        <x:v>Supplier payments</x:v>
      </x:c>
      <x:c r="D150" s="38" t="n">
        <x:v>0</x:v>
      </x:c>
      <x:c r="E150" s="38" t="n">
        <x:v>3004</x:v>
      </x:c>
      <x:c r="F150" s="38" t="n">
        <x:v>-3004</x:v>
      </x:c>
      <x:c r="G150" s="15" t="n">
        <x:v>1</x:v>
      </x:c>
      <x:c r="H150" s="34" t="n">
        <x:v>46049.39236111111</x:v>
      </x:c>
      <x:c r="I150" s="34" t="n">
        <x:v>46049.39236111111</x:v>
      </x:c>
    </x:row>
    <x:row r="151">
      <x:c r="A151" s="15" t="str">
        <x:v>Kruger Safari 1685</x:v>
      </x:c>
      <x:c r="B151" s="15" t="str">
        <x:v>Outflow</x:v>
      </x:c>
      <x:c r="C151" s="15" t="str">
        <x:v>Supplier payments</x:v>
      </x:c>
      <x:c r="D151" s="38" t="n">
        <x:v>0</x:v>
      </x:c>
      <x:c r="E151" s="38" t="n">
        <x:v>3004</x:v>
      </x:c>
      <x:c r="F151" s="38" t="n">
        <x:v>-3004</x:v>
      </x:c>
      <x:c r="G151" s="15" t="n">
        <x:v>1</x:v>
      </x:c>
      <x:c r="H151" s="34" t="n">
        <x:v>46080.66458333333</x:v>
      </x:c>
      <x:c r="I151" s="34" t="n">
        <x:v>46080.66458333333</x:v>
      </x:c>
    </x:row>
    <x:row r="152">
      <x:c r="A152" s="15" t="str">
        <x:v>Dreyer</x:v>
      </x:c>
      <x:c r="B152" s="15" t="str">
        <x:v>Outflow</x:v>
      </x:c>
      <x:c r="C152" s="15" t="str">
        <x:v>Supplier payments</x:v>
      </x:c>
      <x:c r="D152" s="38" t="n">
        <x:v>0</x:v>
      </x:c>
      <x:c r="E152" s="38" t="n">
        <x:v>3000</x:v>
      </x:c>
      <x:c r="F152" s="38" t="n">
        <x:v>-3000</x:v>
      </x:c>
      <x:c r="G152" s="15" t="n">
        <x:v>1</x:v>
      </x:c>
      <x:c r="H152" s="34" t="n">
        <x:v>46067.00833333333</x:v>
      </x:c>
      <x:c r="I152" s="34" t="n">
        <x:v>46067.00833333333</x:v>
      </x:c>
    </x:row>
    <x:row r="153">
      <x:c r="A153" s="15" t="str">
        <x:v>Dreyer Ticket Jhb</x:v>
      </x:c>
      <x:c r="B153" s="15" t="str">
        <x:v>Outflow</x:v>
      </x:c>
      <x:c r="C153" s="15" t="str">
        <x:v>Supplier payments</x:v>
      </x:c>
      <x:c r="D153" s="38" t="n">
        <x:v>0</x:v>
      </x:c>
      <x:c r="E153" s="38" t="n">
        <x:v>3000</x:v>
      </x:c>
      <x:c r="F153" s="38" t="n">
        <x:v>-3000</x:v>
      </x:c>
      <x:c r="G153" s="15" t="n">
        <x:v>1</x:v>
      </x:c>
      <x:c r="H153" s="34" t="n">
        <x:v>46030.60972222222</x:v>
      </x:c>
      <x:c r="I153" s="34" t="n">
        <x:v>46030.60972222222</x:v>
      </x:c>
    </x:row>
    <x:row r="154">
      <x:c r="A154" s="15" t="str">
        <x:v>Electricity 04279376</x:v>
      </x:c>
      <x:c r="B154" s="15" t="str">
        <x:v>Outflow</x:v>
      </x:c>
      <x:c r="C154" s="15" t="str">
        <x:v>Telecom / utilities</x:v>
      </x:c>
      <x:c r="D154" s="38" t="n">
        <x:v>0</x:v>
      </x:c>
      <x:c r="E154" s="38" t="n">
        <x:v>3000</x:v>
      </x:c>
      <x:c r="F154" s="38" t="n">
        <x:v>-3000</x:v>
      </x:c>
      <x:c r="G154" s="15" t="n">
        <x:v>3</x:v>
      </x:c>
      <x:c r="H154" s="34" t="n">
        <x:v>46045.697222222225</x:v>
      </x:c>
      <x:c r="I154" s="34" t="n">
        <x:v>46164.254166666666</x:v>
      </x:c>
    </x:row>
    <x:row r="155">
      <x:c r="A155" s="15" t="str">
        <x:v>Salary Feb</x:v>
      </x:c>
      <x:c r="B155" s="15" t="str">
        <x:v>Outflow</x:v>
      </x:c>
      <x:c r="C155" s="15" t="str">
        <x:v>Salary / wages</x:v>
      </x:c>
      <x:c r="D155" s="38" t="n">
        <x:v>0</x:v>
      </x:c>
      <x:c r="E155" s="38" t="n">
        <x:v>3000</x:v>
      </x:c>
      <x:c r="F155" s="38" t="n">
        <x:v>-3000</x:v>
      </x:c>
      <x:c r="G155" s="15" t="n">
        <x:v>1</x:v>
      </x:c>
      <x:c r="H155" s="34" t="n">
        <x:v>46066.861805555556</x:v>
      </x:c>
      <x:c r="I155" s="34" t="n">
        <x:v>46066.861805555556</x:v>
      </x:c>
    </x:row>
    <x:row r="156">
      <x:c r="A156" s="15" t="str">
        <x:v>Send Donald Bus</x:v>
      </x:c>
      <x:c r="B156" s="15" t="str">
        <x:v>Outflow</x:v>
      </x:c>
      <x:c r="C156" s="15" t="str">
        <x:v>Supplier payments</x:v>
      </x:c>
      <x:c r="D156" s="38" t="n">
        <x:v>0</x:v>
      </x:c>
      <x:c r="E156" s="38" t="n">
        <x:v>3000</x:v>
      </x:c>
      <x:c r="F156" s="38" t="n">
        <x:v>-3000</x:v>
      </x:c>
      <x:c r="G156" s="15" t="n">
        <x:v>2</x:v>
      </x:c>
      <x:c r="H156" s="34" t="n">
        <x:v>46153.615277777775</x:v>
      </x:c>
      <x:c r="I156" s="34" t="n">
        <x:v>46153.65902777778</x:v>
      </x:c>
    </x:row>
    <x:row r="157">
      <x:c r="A157" s="15" t="str">
        <x:v>Vacation</x:v>
      </x:c>
      <x:c r="B157" s="15" t="str">
        <x:v>Outflow</x:v>
      </x:c>
      <x:c r="C157" s="15" t="str">
        <x:v>Supplier payments</x:v>
      </x:c>
      <x:c r="D157" s="38" t="n">
        <x:v>0</x:v>
      </x:c>
      <x:c r="E157" s="38" t="n">
        <x:v>3000</x:v>
      </x:c>
      <x:c r="F157" s="38" t="n">
        <x:v>-3000</x:v>
      </x:c>
      <x:c r="G157" s="15" t="n">
        <x:v>1</x:v>
      </x:c>
      <x:c r="H157" s="34" t="n">
        <x:v>46017.728472222225</x:v>
      </x:c>
      <x:c r="I157" s="34" t="n">
        <x:v>46017.728472222225</x:v>
      </x:c>
    </x:row>
    <x:row r="158">
      <x:c r="A158" s="15" t="str">
        <x:v>Royal Bush 3846</x:v>
      </x:c>
      <x:c r="B158" s="15" t="str">
        <x:v>Outflow</x:v>
      </x:c>
      <x:c r="C158" s="15" t="str">
        <x:v>Supplier payments</x:v>
      </x:c>
      <x:c r="D158" s="38" t="n">
        <x:v>0</x:v>
      </x:c>
      <x:c r="E158" s="38" t="n">
        <x:v>2990</x:v>
      </x:c>
      <x:c r="F158" s="38" t="n">
        <x:v>-2990</x:v>
      </x:c>
      <x:c r="G158" s="15" t="n">
        <x:v>1</x:v>
      </x:c>
      <x:c r="H158" s="34" t="n">
        <x:v>46192.50069444445</x:v>
      </x:c>
      <x:c r="I158" s="34" t="n">
        <x:v>46192.50069444445</x:v>
      </x:c>
    </x:row>
    <x:row r="159">
      <x:c r="A159" s="15" t="str">
        <x:v>Bushwise Inv 0122</x:v>
      </x:c>
      <x:c r="B159" s="15" t="str">
        <x:v>Outflow</x:v>
      </x:c>
      <x:c r="C159" s="15" t="str">
        <x:v>Supplier payments</x:v>
      </x:c>
      <x:c r="D159" s="38" t="n">
        <x:v>0</x:v>
      </x:c>
      <x:c r="E159" s="38" t="n">
        <x:v>2975</x:v>
      </x:c>
      <x:c r="F159" s="38" t="n">
        <x:v>-2975</x:v>
      </x:c>
      <x:c r="G159" s="15" t="n">
        <x:v>1</x:v>
      </x:c>
      <x:c r="H159" s="34" t="n">
        <x:v>46192.67013888889</x:v>
      </x:c>
      <x:c r="I159" s="34" t="n">
        <x:v>46192.67013888889</x:v>
      </x:c>
    </x:row>
    <x:row r="160">
      <x:c r="A160" s="15" t="str">
        <x:v>Kruger Safari 1688</x:v>
      </x:c>
      <x:c r="B160" s="15" t="str">
        <x:v>Outflow</x:v>
      </x:c>
      <x:c r="C160" s="15" t="str">
        <x:v>Supplier payments</x:v>
      </x:c>
      <x:c r="D160" s="38" t="n">
        <x:v>0</x:v>
      </x:c>
      <x:c r="E160" s="38" t="n">
        <x:v>2929</x:v>
      </x:c>
      <x:c r="F160" s="38" t="n">
        <x:v>-2929</x:v>
      </x:c>
      <x:c r="G160" s="15" t="n">
        <x:v>1</x:v>
      </x:c>
      <x:c r="H160" s="34" t="n">
        <x:v>46102.65416666667</x:v>
      </x:c>
      <x:c r="I160" s="34" t="n">
        <x:v>46102.65416666667</x:v>
      </x:c>
    </x:row>
    <x:row r="161">
      <x:c r="A161" s="15" t="str">
        <x:v>Kruger Safari 1689</x:v>
      </x:c>
      <x:c r="B161" s="15" t="str">
        <x:v>Outflow</x:v>
      </x:c>
      <x:c r="C161" s="15" t="str">
        <x:v>Supplier payments</x:v>
      </x:c>
      <x:c r="D161" s="38" t="n">
        <x:v>0</x:v>
      </x:c>
      <x:c r="E161" s="38" t="n">
        <x:v>2929</x:v>
      </x:c>
      <x:c r="F161" s="38" t="n">
        <x:v>-2929</x:v>
      </x:c>
      <x:c r="G161" s="15" t="n">
        <x:v>1</x:v>
      </x:c>
      <x:c r="H161" s="34" t="n">
        <x:v>46112.38125</x:v>
      </x:c>
      <x:c r="I161" s="34" t="n">
        <x:v>46112.38125</x:v>
      </x:c>
    </x:row>
    <x:row r="162">
      <x:c r="A162" s="15" t="str">
        <x:v>Kruger Safari 1693</x:v>
      </x:c>
      <x:c r="B162" s="15" t="str">
        <x:v>Outflow</x:v>
      </x:c>
      <x:c r="C162" s="15" t="str">
        <x:v>Supplier payments</x:v>
      </x:c>
      <x:c r="D162" s="38" t="n">
        <x:v>0</x:v>
      </x:c>
      <x:c r="E162" s="38" t="n">
        <x:v>2929</x:v>
      </x:c>
      <x:c r="F162" s="38" t="n">
        <x:v>-2929</x:v>
      </x:c>
      <x:c r="G162" s="15" t="n">
        <x:v>1</x:v>
      </x:c>
      <x:c r="H162" s="34" t="n">
        <x:v>46122.4875</x:v>
      </x:c>
      <x:c r="I162" s="34" t="n">
        <x:v>46122.4875</x:v>
      </x:c>
    </x:row>
    <x:row r="163">
      <x:c r="A163" s="15" t="str">
        <x:v>Kruger Safari 1669</x:v>
      </x:c>
      <x:c r="B163" s="15" t="str">
        <x:v>Outflow</x:v>
      </x:c>
      <x:c r="C163" s="15" t="str">
        <x:v>Supplier payments</x:v>
      </x:c>
      <x:c r="D163" s="38" t="n">
        <x:v>0</x:v>
      </x:c>
      <x:c r="E163" s="38" t="n">
        <x:v>2910</x:v>
      </x:c>
      <x:c r="F163" s="38" t="n">
        <x:v>-2910</x:v>
      </x:c>
      <x:c r="G163" s="15" t="n">
        <x:v>1</x:v>
      </x:c>
      <x:c r="H163" s="34" t="n">
        <x:v>45988.11736111111</x:v>
      </x:c>
      <x:c r="I163" s="34" t="n">
        <x:v>45988.11736111111</x:v>
      </x:c>
    </x:row>
    <x:row r="164">
      <x:c r="A164" s="15" t="str">
        <x:v>Kruger Safari 1674</x:v>
      </x:c>
      <x:c r="B164" s="15" t="str">
        <x:v>Outflow</x:v>
      </x:c>
      <x:c r="C164" s="15" t="str">
        <x:v>Supplier payments</x:v>
      </x:c>
      <x:c r="D164" s="38" t="n">
        <x:v>0</x:v>
      </x:c>
      <x:c r="E164" s="38" t="n">
        <x:v>2904</x:v>
      </x:c>
      <x:c r="F164" s="38" t="n">
        <x:v>-2904</x:v>
      </x:c>
      <x:c r="G164" s="15" t="n">
        <x:v>1</x:v>
      </x:c>
      <x:c r="H164" s="34" t="n">
        <x:v>46030.626388888886</x:v>
      </x:c>
      <x:c r="I164" s="34" t="n">
        <x:v>46030.626388888886</x:v>
      </x:c>
    </x:row>
    <x:row r="165">
      <x:c r="A165" s="15" t="str">
        <x:v>Kruger Safari 1675</x:v>
      </x:c>
      <x:c r="B165" s="15" t="str">
        <x:v>Outflow</x:v>
      </x:c>
      <x:c r="C165" s="15" t="str">
        <x:v>Supplier payments</x:v>
      </x:c>
      <x:c r="D165" s="38" t="n">
        <x:v>0</x:v>
      </x:c>
      <x:c r="E165" s="38" t="n">
        <x:v>2904</x:v>
      </x:c>
      <x:c r="F165" s="38" t="n">
        <x:v>-2904</x:v>
      </x:c>
      <x:c r="G165" s="15" t="n">
        <x:v>1</x:v>
      </x:c>
      <x:c r="H165" s="34" t="n">
        <x:v>46030.625</x:v>
      </x:c>
      <x:c r="I165" s="34" t="n">
        <x:v>46030.625</x:v>
      </x:c>
    </x:row>
    <x:row r="166">
      <x:c r="A166" s="15" t="str">
        <x:v>Kruger Safari 1657</x:v>
      </x:c>
      <x:c r="B166" s="15" t="str">
        <x:v>Outflow</x:v>
      </x:c>
      <x:c r="C166" s="15" t="str">
        <x:v>Supplier payments</x:v>
      </x:c>
      <x:c r="D166" s="38" t="n">
        <x:v>0</x:v>
      </x:c>
      <x:c r="E166" s="38" t="n">
        <x:v>2845</x:v>
      </x:c>
      <x:c r="F166" s="38" t="n">
        <x:v>-2845</x:v>
      </x:c>
      <x:c r="G166" s="15" t="n">
        <x:v>1</x:v>
      </x:c>
      <x:c r="H166" s="34" t="n">
        <x:v>45933.459027777775</x:v>
      </x:c>
      <x:c r="I166" s="34" t="n">
        <x:v>45933.459027777775</x:v>
      </x:c>
    </x:row>
    <x:row r="167">
      <x:c r="A167" s="15" t="str">
        <x:v>7f040 Airbnb Payment</x:v>
      </x:c>
      <x:c r="B167" s="15" t="str">
        <x:v>Inflow</x:v>
      </x:c>
      <x:c r="C167" s="15" t="str">
        <x:v>Sales / customer receipts</x:v>
      </x:c>
      <x:c r="D167" s="38" t="n">
        <x:v>2830.85</x:v>
      </x:c>
      <x:c r="E167" s="38" t="n">
        <x:v>0</x:v>
      </x:c>
      <x:c r="F167" s="38" t="n">
        <x:v>2830.85</x:v>
      </x:c>
      <x:c r="G167" s="15" t="n">
        <x:v>1</x:v>
      </x:c>
      <x:c r="H167" s="34" t="n">
        <x:v>46089.57083333333</x:v>
      </x:c>
      <x:c r="I167" s="34" t="n">
        <x:v>46089.57083333333</x:v>
      </x:c>
    </x:row>
    <x:row r="168">
      <x:c r="A168" s="15" t="str">
        <x:v>Kruger Safari 1658</x:v>
      </x:c>
      <x:c r="B168" s="15" t="str">
        <x:v>Outflow</x:v>
      </x:c>
      <x:c r="C168" s="15" t="str">
        <x:v>Supplier payments</x:v>
      </x:c>
      <x:c r="D168" s="38" t="n">
        <x:v>0</x:v>
      </x:c>
      <x:c r="E168" s="38" t="n">
        <x:v>2776</x:v>
      </x:c>
      <x:c r="F168" s="38" t="n">
        <x:v>-2776</x:v>
      </x:c>
      <x:c r="G168" s="15" t="n">
        <x:v>1</x:v>
      </x:c>
      <x:c r="H168" s="34" t="n">
        <x:v>45938.57013888889</x:v>
      </x:c>
      <x:c r="I168" s="34" t="n">
        <x:v>45938.57013888889</x:v>
      </x:c>
    </x:row>
    <x:row r="169">
      <x:c r="A169" s="15" t="str">
        <x:v>Ntonwasi Saf Inv476</x:v>
      </x:c>
      <x:c r="B169" s="15" t="str">
        <x:v>Outflow</x:v>
      </x:c>
      <x:c r="C169" s="15" t="str">
        <x:v>Supplier payments</x:v>
      </x:c>
      <x:c r="D169" s="38" t="n">
        <x:v>0</x:v>
      </x:c>
      <x:c r="E169" s="38" t="n">
        <x:v>2770</x:v>
      </x:c>
      <x:c r="F169" s="38" t="n">
        <x:v>-2770</x:v>
      </x:c>
      <x:c r="G169" s="15" t="n">
        <x:v>1</x:v>
      </x:c>
      <x:c r="H169" s="34" t="n">
        <x:v>45978.85277777778</x:v>
      </x:c>
      <x:c r="I169" s="34" t="n">
        <x:v>45978.85277777778</x:v>
      </x:c>
    </x:row>
    <x:row r="170">
      <x:c r="A170" s="15" t="str">
        <x:v>Tops Komatipoort</x:v>
      </x:c>
      <x:c r="B170" s="15" t="str">
        <x:v>Outflow</x:v>
      </x:c>
      <x:c r="C170" s="15" t="str">
        <x:v>Meals / restaurants / entertainment</x:v>
      </x:c>
      <x:c r="D170" s="38" t="n">
        <x:v>0</x:v>
      </x:c>
      <x:c r="E170" s="38" t="n">
        <x:v>2709.16</x:v>
      </x:c>
      <x:c r="F170" s="38" t="n">
        <x:v>-2709.16</x:v>
      </x:c>
      <x:c r="G170" s="15" t="n">
        <x:v>10</x:v>
      </x:c>
      <x:c r="H170" s="34" t="n">
        <x:v>45931.48611111111</x:v>
      </x:c>
      <x:c r="I170" s="34" t="n">
        <x:v>46170.583333333336</x:v>
      </x:c>
    </x:row>
    <x:row r="171">
      <x:c r="A171" s="15" t="str">
        <x:v>Oasis Water Komatipo</x:v>
      </x:c>
      <x:c r="B171" s="15" t="str">
        <x:v>Outflow</x:v>
      </x:c>
      <x:c r="C171" s="15" t="str">
        <x:v>Supplier payments</x:v>
      </x:c>
      <x:c r="D171" s="38" t="n">
        <x:v>0</x:v>
      </x:c>
      <x:c r="E171" s="38" t="n">
        <x:v>2654.7</x:v>
      </x:c>
      <x:c r="F171" s="38" t="n">
        <x:v>-2654.7</x:v>
      </x:c>
      <x:c r="G171" s="15" t="n">
        <x:v>13</x:v>
      </x:c>
      <x:c r="H171" s="34" t="n">
        <x:v>45939.55069444444</x:v>
      </x:c>
      <x:c r="I171" s="34" t="n">
        <x:v>46192.51527777778</x:v>
      </x:c>
    </x:row>
    <x:row r="172">
      <x:c r="A172" s="15" t="str">
        <x:v>Atmh11960000001</x:v>
      </x:c>
      <x:c r="B172" s="15" t="str">
        <x:v>Outflow</x:v>
      </x:c>
      <x:c r="C172" s="15" t="str">
        <x:v>Cash withdrawal</x:v>
      </x:c>
      <x:c r="D172" s="38" t="n">
        <x:v>0</x:v>
      </x:c>
      <x:c r="E172" s="38" t="n">
        <x:v>2650</x:v>
      </x:c>
      <x:c r="F172" s="38" t="n">
        <x:v>-2650</x:v>
      </x:c>
      <x:c r="G172" s="15" t="n">
        <x:v>7</x:v>
      </x:c>
      <x:c r="H172" s="34" t="n">
        <x:v>45924.458333333336</x:v>
      </x:c>
      <x:c r="I172" s="34" t="n">
        <x:v>46124.54027777778</x:v>
      </x:c>
    </x:row>
    <x:row r="173">
      <x:c r="A173" s="15" t="str">
        <x:v>Shoprite Malelane</x:v>
      </x:c>
      <x:c r="B173" s="15" t="str">
        <x:v>Outflow</x:v>
      </x:c>
      <x:c r="C173" s="15" t="str">
        <x:v>Supplier payments</x:v>
      </x:c>
      <x:c r="D173" s="38" t="n">
        <x:v>0</x:v>
      </x:c>
      <x:c r="E173" s="38" t="n">
        <x:v>2620.92</x:v>
      </x:c>
      <x:c r="F173" s="38" t="n">
        <x:v>-2620.92</x:v>
      </x:c>
      <x:c r="G173" s="15" t="n">
        <x:v>4</x:v>
      </x:c>
      <x:c r="H173" s="34" t="n">
        <x:v>45975.55694444444</x:v>
      </x:c>
      <x:c r="I173" s="34" t="n">
        <x:v>46162.5</x:v>
      </x:c>
    </x:row>
    <x:row r="174">
      <x:c r="A174" s="15" t="str">
        <x:v>Dinner Box 99970</x:v>
      </x:c>
      <x:c r="B174" s="15" t="str">
        <x:v>Outflow</x:v>
      </x:c>
      <x:c r="C174" s="15" t="str">
        <x:v>Meals / restaurants / entertainment</x:v>
      </x:c>
      <x:c r="D174" s="38" t="n">
        <x:v>0</x:v>
      </x:c>
      <x:c r="E174" s="38" t="n">
        <x:v>2543.95</x:v>
      </x:c>
      <x:c r="F174" s="38" t="n">
        <x:v>-2543.95</x:v>
      </x:c>
      <x:c r="G174" s="15" t="n">
        <x:v>1</x:v>
      </x:c>
      <x:c r="H174" s="34" t="n">
        <x:v>45932.4125</x:v>
      </x:c>
      <x:c r="I174" s="34" t="n">
        <x:v>45932.4125</x:v>
      </x:c>
    </x:row>
    <x:row r="175">
      <x:c r="A175" s="15" t="str">
        <x:v>Dreyer Salary</x:v>
      </x:c>
      <x:c r="B175" s="15" t="str">
        <x:v>Outflow</x:v>
      </x:c>
      <x:c r="C175" s="15" t="str">
        <x:v>Salary / wages</x:v>
      </x:c>
      <x:c r="D175" s="38" t="n">
        <x:v>0</x:v>
      </x:c>
      <x:c r="E175" s="38" t="n">
        <x:v>2500</x:v>
      </x:c>
      <x:c r="F175" s="38" t="n">
        <x:v>-2500</x:v>
      </x:c>
      <x:c r="G175" s="15" t="n">
        <x:v>1</x:v>
      </x:c>
      <x:c r="H175" s="34" t="n">
        <x:v>46028.77916666667</x:v>
      </x:c>
      <x:c r="I175" s="34" t="n">
        <x:v>46028.77916666667</x:v>
      </x:c>
    </x:row>
    <x:row r="176">
      <x:c r="A176" s="15" t="str">
        <x:v>Obaro Komatipoort Fc</x:v>
      </x:c>
      <x:c r="B176" s="15" t="str">
        <x:v>Outflow</x:v>
      </x:c>
      <x:c r="C176" s="15" t="str">
        <x:v>Supplier payments</x:v>
      </x:c>
      <x:c r="D176" s="38" t="n">
        <x:v>0</x:v>
      </x:c>
      <x:c r="E176" s="38" t="n">
        <x:v>2500</x:v>
      </x:c>
      <x:c r="F176" s="38" t="n">
        <x:v>-2500</x:v>
      </x:c>
      <x:c r="G176" s="15" t="n">
        <x:v>5</x:v>
      </x:c>
      <x:c r="H176" s="34" t="n">
        <x:v>46031.67986111111</x:v>
      </x:c>
      <x:c r="I176" s="34" t="n">
        <x:v>46066.60277777778</x:v>
      </x:c>
    </x:row>
    <x:row r="177">
      <x:c r="A177" s="15" t="str">
        <x:v>Pep Home 5771 Komati</x:v>
      </x:c>
      <x:c r="B177" s="15" t="str">
        <x:v>Outflow</x:v>
      </x:c>
      <x:c r="C177" s="15" t="str">
        <x:v>Supplier payments</x:v>
      </x:c>
      <x:c r="D177" s="38" t="n">
        <x:v>0</x:v>
      </x:c>
      <x:c r="E177" s="38" t="n">
        <x:v>2458.21</x:v>
      </x:c>
      <x:c r="F177" s="38" t="n">
        <x:v>-2458.21</x:v>
      </x:c>
      <x:c r="G177" s="15" t="n">
        <x:v>8</x:v>
      </x:c>
      <x:c r="H177" s="34" t="n">
        <x:v>45971.57013888889</x:v>
      </x:c>
      <x:c r="I177" s="34" t="n">
        <x:v>46149.57986111111</x:v>
      </x:c>
    </x:row>
    <x:row r="178">
      <x:c r="A178" s="15" t="str">
        <x:v>Autozone Malelane</x:v>
      </x:c>
      <x:c r="B178" s="15" t="str">
        <x:v>Outflow</x:v>
      </x:c>
      <x:c r="C178" s="15" t="str">
        <x:v>Card spend</x:v>
      </x:c>
      <x:c r="D178" s="38" t="n">
        <x:v>0</x:v>
      </x:c>
      <x:c r="E178" s="38" t="n">
        <x:v>2440</x:v>
      </x:c>
      <x:c r="F178" s="38" t="n">
        <x:v>-2440</x:v>
      </x:c>
      <x:c r="G178" s="15" t="n">
        <x:v>2</x:v>
      </x:c>
      <x:c r="H178" s="34" t="n">
        <x:v>46018.48541666667</x:v>
      </x:c>
      <x:c r="I178" s="34" t="n">
        <x:v>46021.52638888889</x:v>
      </x:c>
    </x:row>
    <x:row r="179">
      <x:c r="A179" s="15" t="str">
        <x:v>Kruger Safari 1668</x:v>
      </x:c>
      <x:c r="B179" s="15" t="str">
        <x:v>Outflow</x:v>
      </x:c>
      <x:c r="C179" s="15" t="str">
        <x:v>Supplier payments</x:v>
      </x:c>
      <x:c r="D179" s="38" t="n">
        <x:v>0</x:v>
      </x:c>
      <x:c r="E179" s="38" t="n">
        <x:v>2440</x:v>
      </x:c>
      <x:c r="F179" s="38" t="n">
        <x:v>-2440</x:v>
      </x:c>
      <x:c r="G179" s="15" t="n">
        <x:v>1</x:v>
      </x:c>
      <x:c r="H179" s="34" t="n">
        <x:v>45987.65</x:v>
      </x:c>
      <x:c r="I179" s="34" t="n">
        <x:v>45987.65</x:v>
      </x:c>
    </x:row>
    <x:row r="180">
      <x:c r="A180" s="15" t="str">
        <x:v>Giraffe Pub And Gril</x:v>
      </x:c>
      <x:c r="B180" s="15" t="str">
        <x:v>Outflow</x:v>
      </x:c>
      <x:c r="C180" s="15" t="str">
        <x:v>Meals / restaurants / entertainment</x:v>
      </x:c>
      <x:c r="D180" s="38" t="n">
        <x:v>0</x:v>
      </x:c>
      <x:c r="E180" s="38" t="n">
        <x:v>2300</x:v>
      </x:c>
      <x:c r="F180" s="38" t="n">
        <x:v>-2300</x:v>
      </x:c>
      <x:c r="G180" s="15" t="n">
        <x:v>4</x:v>
      </x:c>
      <x:c r="H180" s="34" t="n">
        <x:v>45935.45625</x:v>
      </x:c>
      <x:c r="I180" s="34" t="n">
        <x:v>46180.58888888889</x:v>
      </x:c>
    </x:row>
    <x:row r="181">
      <x:c r="A181" s="15" t="str">
        <x:v>Nyala Safari 146</x:v>
      </x:c>
      <x:c r="B181" s="15" t="str">
        <x:v>Outflow</x:v>
      </x:c>
      <x:c r="C181" s="15" t="str">
        <x:v>Supplier payments</x:v>
      </x:c>
      <x:c r="D181" s="38" t="n">
        <x:v>0</x:v>
      </x:c>
      <x:c r="E181" s="38" t="n">
        <x:v>2244</x:v>
      </x:c>
      <x:c r="F181" s="38" t="n">
        <x:v>-2244</x:v>
      </x:c>
      <x:c r="G181" s="15" t="n">
        <x:v>1</x:v>
      </x:c>
      <x:c r="H181" s="34" t="n">
        <x:v>45940.56180555555</x:v>
      </x:c>
      <x:c r="I181" s="34" t="n">
        <x:v>45940.56180555555</x:v>
      </x:c>
    </x:row>
    <x:row r="182">
      <x:c r="A182" s="15" t="str">
        <x:v>Openai *chatgpt Subscr+14</x:v>
      </x:c>
      <x:c r="B182" s="15" t="str">
        <x:v>Outflow</x:v>
      </x:c>
      <x:c r="C182" s="15" t="str">
        <x:v>Software / subscriptions</x:v>
      </x:c>
      <x:c r="D182" s="38" t="n">
        <x:v>0</x:v>
      </x:c>
      <x:c r="E182" s="38" t="n">
        <x:v>2208.34</x:v>
      </x:c>
      <x:c r="F182" s="38" t="n">
        <x:v>-2208.34</x:v>
      </x:c>
      <x:c r="G182" s="15" t="n">
        <x:v>4</x:v>
      </x:c>
      <x:c r="H182" s="34" t="n">
        <x:v>46124.6125</x:v>
      </x:c>
      <x:c r="I182" s="34" t="n">
        <x:v>46190.97638888889</x:v>
      </x:c>
    </x:row>
    <x:row r="183">
      <x:c r="A183" s="15" t="str">
        <x:v>Sk Transfer 0194</x:v>
      </x:c>
      <x:c r="B183" s="15" t="str">
        <x:v>Outflow</x:v>
      </x:c>
      <x:c r="C183" s="15" t="str">
        <x:v>Supplier payments</x:v>
      </x:c>
      <x:c r="D183" s="38" t="n">
        <x:v>0</x:v>
      </x:c>
      <x:c r="E183" s="38" t="n">
        <x:v>2200</x:v>
      </x:c>
      <x:c r="F183" s="38" t="n">
        <x:v>-2200</x:v>
      </x:c>
      <x:c r="G183" s="15" t="n">
        <x:v>1</x:v>
      </x:c>
      <x:c r="H183" s="34" t="n">
        <x:v>46149.49375</x:v>
      </x:c>
      <x:c r="I183" s="34" t="n">
        <x:v>46149.49375</x:v>
      </x:c>
    </x:row>
    <x:row r="184">
      <x:c r="A184" s="15" t="str">
        <x:v>Sk Transfer 0202</x:v>
      </x:c>
      <x:c r="B184" s="15" t="str">
        <x:v>Outflow</x:v>
      </x:c>
      <x:c r="C184" s="15" t="str">
        <x:v>Supplier payments</x:v>
      </x:c>
      <x:c r="D184" s="38" t="n">
        <x:v>0</x:v>
      </x:c>
      <x:c r="E184" s="38" t="n">
        <x:v>2200</x:v>
      </x:c>
      <x:c r="F184" s="38" t="n">
        <x:v>-2200</x:v>
      </x:c>
      <x:c r="G184" s="15" t="n">
        <x:v>1</x:v>
      </x:c>
      <x:c r="H184" s="34" t="n">
        <x:v>46155.39097222222</x:v>
      </x:c>
      <x:c r="I184" s="34" t="n">
        <x:v>46155.39097222222</x:v>
      </x:c>
    </x:row>
    <x:row r="185">
      <x:c r="A185" s="15" t="str">
        <x:v>Frontier Fuels</x:v>
      </x:c>
      <x:c r="B185" s="15" t="str">
        <x:v>Outflow</x:v>
      </x:c>
      <x:c r="C185" s="15" t="str">
        <x:v>Fuel / transport</x:v>
      </x:c>
      <x:c r="D185" s="38" t="n">
        <x:v>0</x:v>
      </x:c>
      <x:c r="E185" s="38" t="n">
        <x:v>2080</x:v>
      </x:c>
      <x:c r="F185" s="38" t="n">
        <x:v>-2080</x:v>
      </x:c>
      <x:c r="G185" s="15" t="n">
        <x:v>2</x:v>
      </x:c>
      <x:c r="H185" s="34" t="n">
        <x:v>45972.59652777778</x:v>
      </x:c>
      <x:c r="I185" s="34" t="n">
        <x:v>46082.330555555556</x:v>
      </x:c>
    </x:row>
    <x:row r="186">
      <x:c r="A186" s="15" t="str">
        <x:v>Cf Moto Saf - Inv 1</x:v>
      </x:c>
      <x:c r="B186" s="15" t="str">
        <x:v>Outflow</x:v>
      </x:c>
      <x:c r="C186" s="15" t="str">
        <x:v>Supplier payments</x:v>
      </x:c>
      <x:c r="D186" s="38" t="n">
        <x:v>0</x:v>
      </x:c>
      <x:c r="E186" s="38" t="n">
        <x:v>2049</x:v>
      </x:c>
      <x:c r="F186" s="38" t="n">
        <x:v>-2049</x:v>
      </x:c>
      <x:c r="G186" s="15" t="n">
        <x:v>1</x:v>
      </x:c>
      <x:c r="H186" s="34" t="n">
        <x:v>46064.521527777775</x:v>
      </x:c>
      <x:c r="I186" s="34" t="n">
        <x:v>46064.521527777775</x:v>
      </x:c>
    </x:row>
    <x:row r="187">
      <x:c r="A187" s="15" t="str">
        <x:v>Kruger Safari 1690</x:v>
      </x:c>
      <x:c r="B187" s="15" t="str">
        <x:v>Outflow</x:v>
      </x:c>
      <x:c r="C187" s="15" t="str">
        <x:v>Supplier payments</x:v>
      </x:c>
      <x:c r="D187" s="38" t="n">
        <x:v>0</x:v>
      </x:c>
      <x:c r="E187" s="38" t="n">
        <x:v>2037</x:v>
      </x:c>
      <x:c r="F187" s="38" t="n">
        <x:v>-2037</x:v>
      </x:c>
      <x:c r="G187" s="15" t="n">
        <x:v>1</x:v>
      </x:c>
      <x:c r="H187" s="34" t="n">
        <x:v>46113.39513888889</x:v>
      </x:c>
      <x:c r="I187" s="34" t="n">
        <x:v>46113.39513888889</x:v>
      </x:c>
    </x:row>
    <x:row r="188">
      <x:c r="A188" s="15" t="str">
        <x:v>Cellphone</x:v>
      </x:c>
      <x:c r="B188" s="15" t="str">
        <x:v>Outflow</x:v>
      </x:c>
      <x:c r="C188" s="15" t="str">
        <x:v>Supplier payments</x:v>
      </x:c>
      <x:c r="D188" s="38" t="n">
        <x:v>0</x:v>
      </x:c>
      <x:c r="E188" s="38" t="n">
        <x:v>2000</x:v>
      </x:c>
      <x:c r="F188" s="38" t="n">
        <x:v>-2000</x:v>
      </x:c>
      <x:c r="G188" s="15" t="n">
        <x:v>1</x:v>
      </x:c>
      <x:c r="H188" s="34" t="n">
        <x:v>46037.53333333333</x:v>
      </x:c>
      <x:c r="I188" s="34" t="n">
        <x:v>46037.53333333333</x:v>
      </x:c>
    </x:row>
    <x:row r="189">
      <x:c r="A189" s="15" t="str">
        <x:v>Gas</x:v>
      </x:c>
      <x:c r="B189" s="15" t="str">
        <x:v>Outflow</x:v>
      </x:c>
      <x:c r="C189" s="15" t="str">
        <x:v>Supplier payments</x:v>
      </x:c>
      <x:c r="D189" s="38" t="n">
        <x:v>0</x:v>
      </x:c>
      <x:c r="E189" s="38" t="n">
        <x:v>2000</x:v>
      </x:c>
      <x:c r="F189" s="38" t="n">
        <x:v>-2000</x:v>
      </x:c>
      <x:c r="G189" s="15" t="n">
        <x:v>1</x:v>
      </x:c>
      <x:c r="H189" s="34" t="n">
        <x:v>46073.80416666667</x:v>
      </x:c>
      <x:c r="I189" s="34" t="n">
        <x:v>46073.80416666667</x:v>
      </x:c>
    </x:row>
    <x:row r="190">
      <x:c r="A190" s="15" t="str">
        <x:v>Repay</x:v>
      </x:c>
      <x:c r="B190" s="15" t="str">
        <x:v>Outflow</x:v>
      </x:c>
      <x:c r="C190" s="15" t="str">
        <x:v>Supplier payments</x:v>
      </x:c>
      <x:c r="D190" s="38" t="n">
        <x:v>0</x:v>
      </x:c>
      <x:c r="E190" s="38" t="n">
        <x:v>2000</x:v>
      </x:c>
      <x:c r="F190" s="38" t="n">
        <x:v>-2000</x:v>
      </x:c>
      <x:c r="G190" s="15" t="n">
        <x:v>1</x:v>
      </x:c>
      <x:c r="H190" s="34" t="n">
        <x:v>46189.384722222225</x:v>
      </x:c>
      <x:c r="I190" s="34" t="n">
        <x:v>46189.384722222225</x:v>
      </x:c>
    </x:row>
    <x:row r="191">
      <x:c r="A191" s="15" t="str">
        <x:v>Send Tyron Bos</x:v>
      </x:c>
      <x:c r="B191" s="15" t="str">
        <x:v>Outflow</x:v>
      </x:c>
      <x:c r="C191" s="15" t="str">
        <x:v>Supplier payments</x:v>
      </x:c>
      <x:c r="D191" s="38" t="n">
        <x:v>0</x:v>
      </x:c>
      <x:c r="E191" s="38" t="n">
        <x:v>2000</x:v>
      </x:c>
      <x:c r="F191" s="38" t="n">
        <x:v>-2000</x:v>
      </x:c>
      <x:c r="G191" s="15" t="n">
        <x:v>2</x:v>
      </x:c>
      <x:c r="H191" s="34" t="n">
        <x:v>46155.404861111114</x:v>
      </x:c>
      <x:c r="I191" s="34" t="n">
        <x:v>46158.61111111111</x:v>
      </x:c>
    </x:row>
    <x:row r="192">
      <x:c r="A192" s="15" t="str">
        <x:v>Showpls Roofing</x:v>
      </x:c>
      <x:c r="B192" s="15" t="str">
        <x:v>Outflow</x:v>
      </x:c>
      <x:c r="C192" s="15" t="str">
        <x:v>Supplier payments</x:v>
      </x:c>
      <x:c r="D192" s="38" t="n">
        <x:v>0</x:v>
      </x:c>
      <x:c r="E192" s="38" t="n">
        <x:v>2000</x:v>
      </x:c>
      <x:c r="F192" s="38" t="n">
        <x:v>-2000</x:v>
      </x:c>
      <x:c r="G192" s="15" t="n">
        <x:v>1</x:v>
      </x:c>
      <x:c r="H192" s="34" t="n">
        <x:v>46070.43680555555</x:v>
      </x:c>
      <x:c r="I192" s="34" t="n">
        <x:v>46070.43680555555</x:v>
      </x:c>
    </x:row>
    <x:row r="193">
      <x:c r="A193" s="15" t="str">
        <x:v>R + A Projects</x:v>
      </x:c>
      <x:c r="B193" s="15" t="str">
        <x:v>Outflow</x:v>
      </x:c>
      <x:c r="C193" s="15" t="str">
        <x:v>Supplier payments</x:v>
      </x:c>
      <x:c r="D193" s="38" t="n">
        <x:v>0</x:v>
      </x:c>
      <x:c r="E193" s="38" t="n">
        <x:v>1950</x:v>
      </x:c>
      <x:c r="F193" s="38" t="n">
        <x:v>-1950</x:v>
      </x:c>
      <x:c r="G193" s="15" t="n">
        <x:v>1</x:v>
      </x:c>
      <x:c r="H193" s="34" t="n">
        <x:v>45940.561111111114</x:v>
      </x:c>
      <x:c r="I193" s="34" t="n">
        <x:v>45940.561111111114</x:v>
      </x:c>
    </x:row>
    <x:row r="194">
      <x:c r="A194" s="15" t="str">
        <x:v>6111002148</x:v>
      </x:c>
      <x:c r="B194" s="15" t="str">
        <x:v>Inflow</x:v>
      </x:c>
      <x:c r="C194" s="15" t="str">
        <x:v>Sales / customer receipts</x:v>
      </x:c>
      <x:c r="D194" s="38" t="n">
        <x:v>1915.42</x:v>
      </x:c>
      <x:c r="E194" s="38" t="n">
        <x:v>0</x:v>
      </x:c>
      <x:c r="F194" s="38" t="n">
        <x:v>1915.42</x:v>
      </x:c>
      <x:c r="G194" s="15" t="n">
        <x:v>1</x:v>
      </x:c>
      <x:c r="H194" s="34" t="n">
        <x:v>45990.46944444445</x:v>
      </x:c>
      <x:c r="I194" s="34" t="n">
        <x:v>45990.46944444445</x:v>
      </x:c>
    </x:row>
    <x:row r="195">
      <x:c r="A195" s="15" t="str">
        <x:v>Dinner Box 100542</x:v>
      </x:c>
      <x:c r="B195" s="15" t="str">
        <x:v>Outflow</x:v>
      </x:c>
      <x:c r="C195" s="15" t="str">
        <x:v>Meals / restaurants / entertainment</x:v>
      </x:c>
      <x:c r="D195" s="38" t="n">
        <x:v>0</x:v>
      </x:c>
      <x:c r="E195" s="38" t="n">
        <x:v>1870.75</x:v>
      </x:c>
      <x:c r="F195" s="38" t="n">
        <x:v>-1870.75</x:v>
      </x:c>
      <x:c r="G195" s="15" t="n">
        <x:v>1</x:v>
      </x:c>
      <x:c r="H195" s="34" t="n">
        <x:v>45944.41875</x:v>
      </x:c>
      <x:c r="I195" s="34" t="n">
        <x:v>45944.41875</x:v>
      </x:c>
    </x:row>
    <x:row r="196">
      <x:c r="A196" s="15" t="str">
        <x:v>Superspar The Grove</x:v>
      </x:c>
      <x:c r="B196" s="15" t="str">
        <x:v>Outflow</x:v>
      </x:c>
      <x:c r="C196" s="15" t="str">
        <x:v>Supplier payments</x:v>
      </x:c>
      <x:c r="D196" s="38" t="n">
        <x:v>0</x:v>
      </x:c>
      <x:c r="E196" s="38" t="n">
        <x:v>1857.93</x:v>
      </x:c>
      <x:c r="F196" s="38" t="n">
        <x:v>-1857.93</x:v>
      </x:c>
      <x:c r="G196" s="15" t="n">
        <x:v>3</x:v>
      </x:c>
      <x:c r="H196" s="34" t="n">
        <x:v>45981.50277777778</x:v>
      </x:c>
      <x:c r="I196" s="34" t="n">
        <x:v>46056.50347222222</x:v>
      </x:c>
    </x:row>
    <x:row r="197">
      <x:c r="A197" s="15" t="str">
        <x:v>Dinner Box 108599</x:v>
      </x:c>
      <x:c r="B197" s="15" t="str">
        <x:v>Outflow</x:v>
      </x:c>
      <x:c r="C197" s="15" t="str">
        <x:v>Meals / restaurants / entertainment</x:v>
      </x:c>
      <x:c r="D197" s="38" t="n">
        <x:v>0</x:v>
      </x:c>
      <x:c r="E197" s="38" t="n">
        <x:v>1801</x:v>
      </x:c>
      <x:c r="F197" s="38" t="n">
        <x:v>-1801</x:v>
      </x:c>
      <x:c r="G197" s="15" t="n">
        <x:v>1</x:v>
      </x:c>
      <x:c r="H197" s="34" t="n">
        <x:v>46098.589583333334</x:v>
      </x:c>
      <x:c r="I197" s="34" t="n">
        <x:v>46098.589583333334</x:v>
      </x:c>
    </x:row>
    <x:row r="198">
      <x:c r="A198" s="15" t="str">
        <x:v>Printing Signboard</x:v>
      </x:c>
      <x:c r="B198" s="15" t="str">
        <x:v>Outflow</x:v>
      </x:c>
      <x:c r="C198" s="15" t="str">
        <x:v>Supplier payments</x:v>
      </x:c>
      <x:c r="D198" s="38" t="n">
        <x:v>0</x:v>
      </x:c>
      <x:c r="E198" s="38" t="n">
        <x:v>1800</x:v>
      </x:c>
      <x:c r="F198" s="38" t="n">
        <x:v>-1800</x:v>
      </x:c>
      <x:c r="G198" s="15" t="n">
        <x:v>2</x:v>
      </x:c>
      <x:c r="H198" s="34" t="n">
        <x:v>46127.42222222222</x:v>
      </x:c>
      <x:c r="I198" s="34" t="n">
        <x:v>46127.427083333336</x:v>
      </x:c>
    </x:row>
    <x:row r="199">
      <x:c r="A199" s="15" t="str">
        <x:v>Dinner Box 105910</x:v>
      </x:c>
      <x:c r="B199" s="15" t="str">
        <x:v>Outflow</x:v>
      </x:c>
      <x:c r="C199" s="15" t="str">
        <x:v>Meals / restaurants / entertainment</x:v>
      </x:c>
      <x:c r="D199" s="38" t="n">
        <x:v>0</x:v>
      </x:c>
      <x:c r="E199" s="38" t="n">
        <x:v>1768.2</x:v>
      </x:c>
      <x:c r="F199" s="38" t="n">
        <x:v>-1768.2</x:v>
      </x:c>
      <x:c r="G199" s="15" t="n">
        <x:v>1</x:v>
      </x:c>
      <x:c r="H199" s="34" t="n">
        <x:v>46049.393055555556</x:v>
      </x:c>
      <x:c r="I199" s="34" t="n">
        <x:v>46049.393055555556</x:v>
      </x:c>
    </x:row>
    <x:row r="200">
      <x:c r="A200" s="15" t="str">
        <x:v>Dinner Box 106824</x:v>
      </x:c>
      <x:c r="B200" s="15" t="str">
        <x:v>Outflow</x:v>
      </x:c>
      <x:c r="C200" s="15" t="str">
        <x:v>Meals / restaurants / entertainment</x:v>
      </x:c>
      <x:c r="D200" s="38" t="n">
        <x:v>0</x:v>
      </x:c>
      <x:c r="E200" s="38" t="n">
        <x:v>1760</x:v>
      </x:c>
      <x:c r="F200" s="38" t="n">
        <x:v>-1760</x:v>
      </x:c>
      <x:c r="G200" s="15" t="n">
        <x:v>1</x:v>
      </x:c>
      <x:c r="H200" s="34" t="n">
        <x:v>46064.52291666667</x:v>
      </x:c>
      <x:c r="I200" s="34" t="n">
        <x:v>46064.52291666667</x:v>
      </x:c>
    </x:row>
    <x:row r="201">
      <x:c r="A201" s="15" t="str">
        <x:v>Dinner Box 107370</x:v>
      </x:c>
      <x:c r="B201" s="15" t="str">
        <x:v>Outflow</x:v>
      </x:c>
      <x:c r="C201" s="15" t="str">
        <x:v>Meals / restaurants / entertainment</x:v>
      </x:c>
      <x:c r="D201" s="38" t="n">
        <x:v>0</x:v>
      </x:c>
      <x:c r="E201" s="38" t="n">
        <x:v>1707</x:v>
      </x:c>
      <x:c r="F201" s="38" t="n">
        <x:v>-1707</x:v>
      </x:c>
      <x:c r="G201" s="15" t="n">
        <x:v>1</x:v>
      </x:c>
      <x:c r="H201" s="34" t="n">
        <x:v>46076.54861111111</x:v>
      </x:c>
      <x:c r="I201" s="34" t="n">
        <x:v>46076.54861111111</x:v>
      </x:c>
    </x:row>
    <x:row r="202">
      <x:c r="A202" s="15" t="str">
        <x:v>Printing</x:v>
      </x:c>
      <x:c r="B202" s="15" t="str">
        <x:v>Outflow</x:v>
      </x:c>
      <x:c r="C202" s="15" t="str">
        <x:v>Supplier payments</x:v>
      </x:c>
      <x:c r="D202" s="38" t="n">
        <x:v>0</x:v>
      </x:c>
      <x:c r="E202" s="38" t="n">
        <x:v>1630</x:v>
      </x:c>
      <x:c r="F202" s="38" t="n">
        <x:v>-1630</x:v>
      </x:c>
      <x:c r="G202" s="15" t="n">
        <x:v>2</x:v>
      </x:c>
      <x:c r="H202" s="34" t="n">
        <x:v>46065.43402777778</x:v>
      </x:c>
      <x:c r="I202" s="34" t="n">
        <x:v>46083.592361111114</x:v>
      </x:c>
    </x:row>
    <x:row r="203">
      <x:c r="A203" s="15" t="str">
        <x:v>Paystack *zoho Co</x:v>
      </x:c>
      <x:c r="B203" s="15" t="str">
        <x:v>Outflow</x:v>
      </x:c>
      <x:c r="C203" s="15" t="str">
        <x:v>Software / subscriptions</x:v>
      </x:c>
      <x:c r="D203" s="38" t="n">
        <x:v>0</x:v>
      </x:c>
      <x:c r="E203" s="38" t="n">
        <x:v>1601.95</x:v>
      </x:c>
      <x:c r="F203" s="38" t="n">
        <x:v>-1601.95</x:v>
      </x:c>
      <x:c r="G203" s="15" t="n">
        <x:v>7</x:v>
      </x:c>
      <x:c r="H203" s="34" t="n">
        <x:v>45978.49722222222</x:v>
      </x:c>
      <x:c r="I203" s="34" t="n">
        <x:v>46190.44097222222</x:v>
      </x:c>
    </x:row>
    <x:row r="204">
      <x:c r="A204" s="15" t="str">
        <x:v>Waterkloof Gas 11080</x:v>
      </x:c>
      <x:c r="B204" s="15" t="str">
        <x:v>Outflow</x:v>
      </x:c>
      <x:c r="C204" s="15" t="str">
        <x:v>Supplier payments</x:v>
      </x:c>
      <x:c r="D204" s="38" t="n">
        <x:v>0</x:v>
      </x:c>
      <x:c r="E204" s="38" t="n">
        <x:v>1565</x:v>
      </x:c>
      <x:c r="F204" s="38" t="n">
        <x:v>-1565</x:v>
      </x:c>
      <x:c r="G204" s="15" t="n">
        <x:v>1</x:v>
      </x:c>
      <x:c r="H204" s="34" t="n">
        <x:v>46106.475</x:v>
      </x:c>
      <x:c r="I204" s="34" t="n">
        <x:v>46106.475</x:v>
      </x:c>
    </x:row>
    <x:row r="205">
      <x:c r="A205" s="15" t="str">
        <x:v>S2s*sa Liquors Komat</x:v>
      </x:c>
      <x:c r="B205" s="15" t="str">
        <x:v>Outflow</x:v>
      </x:c>
      <x:c r="C205" s="15" t="str">
        <x:v>Meals / restaurants / entertainment</x:v>
      </x:c>
      <x:c r="D205" s="38" t="n">
        <x:v>0</x:v>
      </x:c>
      <x:c r="E205" s="38" t="n">
        <x:v>1550.5</x:v>
      </x:c>
      <x:c r="F205" s="38" t="n">
        <x:v>-1550.5</x:v>
      </x:c>
      <x:c r="G205" s="15" t="n">
        <x:v>2</x:v>
      </x:c>
      <x:c r="H205" s="34" t="n">
        <x:v>45939.49930555555</x:v>
      </x:c>
      <x:c r="I205" s="34" t="n">
        <x:v>45980.55763888889</x:v>
      </x:c>
    </x:row>
    <x:row r="206">
      <x:c r="A206" s="15" t="str">
        <x:v>Dinner Box 102430</x:v>
      </x:c>
      <x:c r="B206" s="15" t="str">
        <x:v>Outflow</x:v>
      </x:c>
      <x:c r="C206" s="15" t="str">
        <x:v>Meals / restaurants / entertainment</x:v>
      </x:c>
      <x:c r="D206" s="38" t="n">
        <x:v>0</x:v>
      </x:c>
      <x:c r="E206" s="38" t="n">
        <x:v>1543</x:v>
      </x:c>
      <x:c r="F206" s="38" t="n">
        <x:v>-1543</x:v>
      </x:c>
      <x:c r="G206" s="15" t="n">
        <x:v>1</x:v>
      </x:c>
      <x:c r="H206" s="34" t="n">
        <x:v>45980.49652777778</x:v>
      </x:c>
      <x:c r="I206" s="34" t="n">
        <x:v>45980.49652777778</x:v>
      </x:c>
    </x:row>
    <x:row r="207">
      <x:c r="A207" s="15" t="str">
        <x:v>Dinner Box 110658</x:v>
      </x:c>
      <x:c r="B207" s="15" t="str">
        <x:v>Outflow</x:v>
      </x:c>
      <x:c r="C207" s="15" t="str">
        <x:v>Meals / restaurants / entertainment</x:v>
      </x:c>
      <x:c r="D207" s="38" t="n">
        <x:v>0</x:v>
      </x:c>
      <x:c r="E207" s="38" t="n">
        <x:v>1541</x:v>
      </x:c>
      <x:c r="F207" s="38" t="n">
        <x:v>-1541</x:v>
      </x:c>
      <x:c r="G207" s="15" t="n">
        <x:v>1</x:v>
      </x:c>
      <x:c r="H207" s="34" t="n">
        <x:v>46142.49930555555</x:v>
      </x:c>
      <x:c r="I207" s="34" t="n">
        <x:v>46142.49930555555</x:v>
      </x:c>
    </x:row>
    <x:row r="208">
      <x:c r="A208" s="15" t="str">
        <x:v>Dinner Box 111862</x:v>
      </x:c>
      <x:c r="B208" s="15" t="str">
        <x:v>Outflow</x:v>
      </x:c>
      <x:c r="C208" s="15" t="str">
        <x:v>Meals / restaurants / entertainment</x:v>
      </x:c>
      <x:c r="D208" s="38" t="n">
        <x:v>0</x:v>
      </x:c>
      <x:c r="E208" s="38" t="n">
        <x:v>1541</x:v>
      </x:c>
      <x:c r="F208" s="38" t="n">
        <x:v>-1541</x:v>
      </x:c>
      <x:c r="G208" s="15" t="n">
        <x:v>1</x:v>
      </x:c>
      <x:c r="H208" s="34" t="n">
        <x:v>46169.49791666667</x:v>
      </x:c>
      <x:c r="I208" s="34" t="n">
        <x:v>46169.49791666667</x:v>
      </x:c>
    </x:row>
    <x:row r="209">
      <x:c r="A209" s="15" t="str">
        <x:v>Tops Malelane</x:v>
      </x:c>
      <x:c r="B209" s="15" t="str">
        <x:v>Outflow</x:v>
      </x:c>
      <x:c r="C209" s="15" t="str">
        <x:v>Meals / restaurants / entertainment</x:v>
      </x:c>
      <x:c r="D209" s="38" t="n">
        <x:v>0</x:v>
      </x:c>
      <x:c r="E209" s="38" t="n">
        <x:v>1506.94</x:v>
      </x:c>
      <x:c r="F209" s="38" t="n">
        <x:v>-1506.94</x:v>
      </x:c>
      <x:c r="G209" s="15" t="n">
        <x:v>4</x:v>
      </x:c>
      <x:c r="H209" s="34" t="n">
        <x:v>45973.51736111111</x:v>
      </x:c>
      <x:c r="I209" s="34" t="n">
        <x:v>46142.618055555555</x:v>
      </x:c>
    </x:row>
    <x:row r="210">
      <x:c r="A210" s="15" t="str">
        <x:v>Cm Coetzee Wage</x:v>
      </x:c>
      <x:c r="B210" s="15" t="str">
        <x:v>Outflow</x:v>
      </x:c>
      <x:c r="C210" s="15" t="str">
        <x:v>Salary / wages</x:v>
      </x:c>
      <x:c r="D210" s="38" t="n">
        <x:v>0</x:v>
      </x:c>
      <x:c r="E210" s="38" t="n">
        <x:v>1500</x:v>
      </x:c>
      <x:c r="F210" s="38" t="n">
        <x:v>-1500</x:v>
      </x:c>
      <x:c r="G210" s="15" t="n">
        <x:v>1</x:v>
      </x:c>
      <x:c r="H210" s="34" t="n">
        <x:v>46156.677777777775</x:v>
      </x:c>
      <x:c r="I210" s="34" t="n">
        <x:v>46156.677777777775</x:v>
      </x:c>
    </x:row>
    <x:row r="211">
      <x:c r="A211" s="15" t="str">
        <x:v>Honeysucker</x:v>
      </x:c>
      <x:c r="B211" s="15" t="str">
        <x:v>Outflow</x:v>
      </x:c>
      <x:c r="C211" s="15" t="str">
        <x:v>Supplier payments</x:v>
      </x:c>
      <x:c r="D211" s="38" t="n">
        <x:v>0</x:v>
      </x:c>
      <x:c r="E211" s="38" t="n">
        <x:v>1500</x:v>
      </x:c>
      <x:c r="F211" s="38" t="n">
        <x:v>-1500</x:v>
      </x:c>
      <x:c r="G211" s="15" t="n">
        <x:v>1</x:v>
      </x:c>
      <x:c r="H211" s="34" t="n">
        <x:v>46054.46597222222</x:v>
      </x:c>
      <x:c r="I211" s="34" t="n">
        <x:v>46054.46597222222</x:v>
      </x:c>
    </x:row>
    <x:row r="212">
      <x:c r="A212" s="15" t="str">
        <x:v>Kpci - C1736</x:v>
      </x:c>
      <x:c r="B212" s="15" t="str">
        <x:v>Outflow</x:v>
      </x:c>
      <x:c r="C212" s="15" t="str">
        <x:v>Supplier payments</x:v>
      </x:c>
      <x:c r="D212" s="38" t="n">
        <x:v>0</x:v>
      </x:c>
      <x:c r="E212" s="38" t="n">
        <x:v>1500</x:v>
      </x:c>
      <x:c r="F212" s="38" t="n">
        <x:v>-1500</x:v>
      </x:c>
      <x:c r="G212" s="15" t="n">
        <x:v>3</x:v>
      </x:c>
      <x:c r="H212" s="34" t="n">
        <x:v>46028.77638888889</x:v>
      </x:c>
      <x:c r="I212" s="34" t="n">
        <x:v>46169.43472222222</x:v>
      </x:c>
    </x:row>
    <x:row r="213">
      <x:c r="A213" s="15" t="str">
        <x:v>Lebombo Wash 03/30</x:v>
      </x:c>
      <x:c r="B213" s="15" t="str">
        <x:v>Outflow</x:v>
      </x:c>
      <x:c r="C213" s="15" t="str">
        <x:v>Supplier payments</x:v>
      </x:c>
      <x:c r="D213" s="38" t="n">
        <x:v>0</x:v>
      </x:c>
      <x:c r="E213" s="38" t="n">
        <x:v>1500</x:v>
      </x:c>
      <x:c r="F213" s="38" t="n">
        <x:v>-1500</x:v>
      </x:c>
      <x:c r="G213" s="15" t="n">
        <x:v>1</x:v>
      </x:c>
      <x:c r="H213" s="34" t="n">
        <x:v>46111.38888888889</x:v>
      </x:c>
      <x:c r="I213" s="34" t="n">
        <x:v>46111.38888888889</x:v>
      </x:c>
    </x:row>
    <x:row r="214">
      <x:c r="A214" s="15" t="str">
        <x:v>Muncipality Bigbay</x:v>
      </x:c>
      <x:c r="B214" s="15" t="str">
        <x:v>Outflow</x:v>
      </x:c>
      <x:c r="C214" s="15" t="str">
        <x:v>Supplier payments</x:v>
      </x:c>
      <x:c r="D214" s="38" t="n">
        <x:v>0</x:v>
      </x:c>
      <x:c r="E214" s="38" t="n">
        <x:v>1500</x:v>
      </x:c>
      <x:c r="F214" s="38" t="n">
        <x:v>-1500</x:v>
      </x:c>
      <x:c r="G214" s="15" t="n">
        <x:v>1</x:v>
      </x:c>
      <x:c r="H214" s="34" t="n">
        <x:v>46122.49097222222</x:v>
      </x:c>
      <x:c r="I214" s="34" t="n">
        <x:v>46122.49097222222</x:v>
      </x:c>
    </x:row>
    <x:row r="215">
      <x:c r="A215" s="15" t="str">
        <x:v>Reeva</x:v>
      </x:c>
      <x:c r="B215" s="15" t="str">
        <x:v>Inflow</x:v>
      </x:c>
      <x:c r="C215" s="15" t="str">
        <x:v>Sales / customer receipts</x:v>
      </x:c>
      <x:c r="D215" s="38" t="n">
        <x:v>1500</x:v>
      </x:c>
      <x:c r="E215" s="38" t="n">
        <x:v>0</x:v>
      </x:c>
      <x:c r="F215" s="38" t="n">
        <x:v>1500</x:v>
      </x:c>
      <x:c r="G215" s="15" t="n">
        <x:v>1</x:v>
      </x:c>
      <x:c r="H215" s="34" t="n">
        <x:v>46093.572222222225</x:v>
      </x:c>
      <x:c r="I215" s="34" t="n">
        <x:v>46093.572222222225</x:v>
      </x:c>
    </x:row>
    <x:row r="216">
      <x:c r="A216" s="15" t="str">
        <x:v>Send Rev</x:v>
      </x:c>
      <x:c r="B216" s="15" t="str">
        <x:v>Inflow</x:v>
      </x:c>
      <x:c r="C216" s="15" t="str">
        <x:v>Sales / customer receipts</x:v>
      </x:c>
      <x:c r="D216" s="38" t="n">
        <x:v>1500</x:v>
      </x:c>
      <x:c r="E216" s="38" t="n">
        <x:v>0</x:v>
      </x:c>
      <x:c r="F216" s="38" t="n">
        <x:v>1500</x:v>
      </x:c>
      <x:c r="G216" s="15" t="n">
        <x:v>1</x:v>
      </x:c>
      <x:c r="H216" s="34" t="n">
        <x:v>46153.65625</x:v>
      </x:c>
      <x:c r="I216" s="34" t="n">
        <x:v>46153.65625</x:v>
      </x:c>
    </x:row>
    <x:row r="217">
      <x:c r="A217" s="15" t="str">
        <x:v>Dinner Box 102794</x:v>
      </x:c>
      <x:c r="B217" s="15" t="str">
        <x:v>Outflow</x:v>
      </x:c>
      <x:c r="C217" s="15" t="str">
        <x:v>Meals / restaurants / entertainment</x:v>
      </x:c>
      <x:c r="D217" s="38" t="n">
        <x:v>0</x:v>
      </x:c>
      <x:c r="E217" s="38" t="n">
        <x:v>1484</x:v>
      </x:c>
      <x:c r="F217" s="38" t="n">
        <x:v>-1484</x:v>
      </x:c>
      <x:c r="G217" s="15" t="n">
        <x:v>1</x:v>
      </x:c>
      <x:c r="H217" s="34" t="n">
        <x:v>45987.544444444444</x:v>
      </x:c>
      <x:c r="I217" s="34" t="n">
        <x:v>45987.544444444444</x:v>
      </x:c>
    </x:row>
    <x:row r="218">
      <x:c r="A218" s="15" t="str">
        <x:v>Dinner Box 109255</x:v>
      </x:c>
      <x:c r="B218" s="15" t="str">
        <x:v>Outflow</x:v>
      </x:c>
      <x:c r="C218" s="15" t="str">
        <x:v>Meals / restaurants / entertainment</x:v>
      </x:c>
      <x:c r="D218" s="38" t="n">
        <x:v>0</x:v>
      </x:c>
      <x:c r="E218" s="38" t="n">
        <x:v>1482</x:v>
      </x:c>
      <x:c r="F218" s="38" t="n">
        <x:v>-1482</x:v>
      </x:c>
      <x:c r="G218" s="15" t="n">
        <x:v>1</x:v>
      </x:c>
      <x:c r="H218" s="34" t="n">
        <x:v>46113.42013888889</x:v>
      </x:c>
      <x:c r="I218" s="34" t="n">
        <x:v>46113.42013888889</x:v>
      </x:c>
    </x:row>
    <x:row r="219">
      <x:c r="A219" s="15" t="str">
        <x:v>Nb N992820 + 983772</x:v>
      </x:c>
      <x:c r="B219" s="15" t="str">
        <x:v>Outflow</x:v>
      </x:c>
      <x:c r="C219" s="15" t="str">
        <x:v>Supplier payments</x:v>
      </x:c>
      <x:c r="D219" s="38" t="n">
        <x:v>0</x:v>
      </x:c>
      <x:c r="E219" s="38" t="n">
        <x:v>1414.5</x:v>
      </x:c>
      <x:c r="F219" s="38" t="n">
        <x:v>-1414.5</x:v>
      </x:c>
      <x:c r="G219" s="15" t="n">
        <x:v>1</x:v>
      </x:c>
      <x:c r="H219" s="34" t="n">
        <x:v>45933.518055555556</x:v>
      </x:c>
      <x:c r="I219" s="34" t="n">
        <x:v>45933.518055555556</x:v>
      </x:c>
    </x:row>
    <x:row r="220">
      <x:c r="A220" s="15" t="str">
        <x:v>Horse Af2hr2011</x:v>
      </x:c>
      <x:c r="B220" s="15" t="str">
        <x:v>Outflow</x:v>
      </x:c>
      <x:c r="C220" s="15" t="str">
        <x:v>Supplier payments</x:v>
      </x:c>
      <x:c r="D220" s="38" t="n">
        <x:v>0</x:v>
      </x:c>
      <x:c r="E220" s="38" t="n">
        <x:v>1400</x:v>
      </x:c>
      <x:c r="F220" s="38" t="n">
        <x:v>-1400</x:v>
      </x:c>
      <x:c r="G220" s="15" t="n">
        <x:v>1</x:v>
      </x:c>
      <x:c r="H220" s="34" t="n">
        <x:v>45975.37847222222</x:v>
      </x:c>
      <x:c r="I220" s="34" t="n">
        <x:v>45975.37847222222</x:v>
      </x:c>
    </x:row>
    <x:row r="221">
      <x:c r="A221" s="15" t="str">
        <x:v>Lebombo Butchery</x:v>
      </x:c>
      <x:c r="B221" s="15" t="str">
        <x:v>Outflow</x:v>
      </x:c>
      <x:c r="C221" s="15" t="str">
        <x:v>Supplier payments</x:v>
      </x:c>
      <x:c r="D221" s="38" t="n">
        <x:v>0</x:v>
      </x:c>
      <x:c r="E221" s="38" t="n">
        <x:v>1348.23</x:v>
      </x:c>
      <x:c r="F221" s="38" t="n">
        <x:v>-1348.23</x:v>
      </x:c>
      <x:c r="G221" s="15" t="n">
        <x:v>6</x:v>
      </x:c>
      <x:c r="H221" s="34" t="n">
        <x:v>46035.415972222225</x:v>
      </x:c>
      <x:c r="I221" s="34" t="n">
        <x:v>46182.59097222222</x:v>
      </x:c>
    </x:row>
    <x:row r="222">
      <x:c r="A222" s="15" t="str">
        <x:v>Asbe - Comm Jan</x:v>
      </x:c>
      <x:c r="B222" s="15" t="str">
        <x:v>Outflow</x:v>
      </x:c>
      <x:c r="C222" s="15" t="str">
        <x:v>Supplier payments</x:v>
      </x:c>
      <x:c r="D222" s="38" t="n">
        <x:v>0</x:v>
      </x:c>
      <x:c r="E222" s="38" t="n">
        <x:v>1344.45</x:v>
      </x:c>
      <x:c r="F222" s="38" t="n">
        <x:v>-1344.45</x:v>
      </x:c>
      <x:c r="G222" s="15" t="n">
        <x:v>1</x:v>
      </x:c>
      <x:c r="H222" s="34" t="n">
        <x:v>46041.419444444444</x:v>
      </x:c>
      <x:c r="I222" s="34" t="n">
        <x:v>46041.419444444444</x:v>
      </x:c>
    </x:row>
    <x:row r="223">
      <x:c r="A223" s="15" t="str">
        <x:v>Dinner Box 105110</x:v>
      </x:c>
      <x:c r="B223" s="15" t="str">
        <x:v>Outflow</x:v>
      </x:c>
      <x:c r="C223" s="15" t="str">
        <x:v>Meals / restaurants / entertainment</x:v>
      </x:c>
      <x:c r="D223" s="38" t="n">
        <x:v>0</x:v>
      </x:c>
      <x:c r="E223" s="38" t="n">
        <x:v>1326</x:v>
      </x:c>
      <x:c r="F223" s="38" t="n">
        <x:v>-1326</x:v>
      </x:c>
      <x:c r="G223" s="15" t="n">
        <x:v>1</x:v>
      </x:c>
      <x:c r="H223" s="34" t="n">
        <x:v>46036.4625</x:v>
      </x:c>
      <x:c r="I223" s="34" t="n">
        <x:v>46036.4625</x:v>
      </x:c>
    </x:row>
    <x:row r="224">
      <x:c r="A224" s="15" t="str">
        <x:v>Cindy Wages</x:v>
      </x:c>
      <x:c r="B224" s="15" t="str">
        <x:v>Outflow</x:v>
      </x:c>
      <x:c r="C224" s="15" t="str">
        <x:v>Salary / wages</x:v>
      </x:c>
      <x:c r="D224" s="38" t="n">
        <x:v>0</x:v>
      </x:c>
      <x:c r="E224" s="38" t="n">
        <x:v>1300</x:v>
      </x:c>
      <x:c r="F224" s="38" t="n">
        <x:v>-1300</x:v>
      </x:c>
      <x:c r="G224" s="15" t="n">
        <x:v>3</x:v>
      </x:c>
      <x:c r="H224" s="34" t="n">
        <x:v>45939.458333333336</x:v>
      </x:c>
      <x:c r="I224" s="34" t="n">
        <x:v>46075.50902777778</x:v>
      </x:c>
    </x:row>
    <x:row r="225">
      <x:c r="A225" s="15" t="str">
        <x:v>Hpy*vodafone Cellula</x:v>
      </x:c>
      <x:c r="B225" s="15" t="str">
        <x:v>Outflow</x:v>
      </x:c>
      <x:c r="C225" s="15" t="str">
        <x:v>Card spend</x:v>
      </x:c>
      <x:c r="D225" s="38" t="n">
        <x:v>0</x:v>
      </x:c>
      <x:c r="E225" s="38" t="n">
        <x:v>1300</x:v>
      </x:c>
      <x:c r="F225" s="38" t="n">
        <x:v>-1300</x:v>
      </x:c>
      <x:c r="G225" s="15" t="n">
        <x:v>2</x:v>
      </x:c>
      <x:c r="H225" s="34" t="n">
        <x:v>46044.43541666667</x:v>
      </x:c>
      <x:c r="I225" s="34" t="n">
        <x:v>46065.506944444445</x:v>
      </x:c>
    </x:row>
    <x:row r="226">
      <x:c r="A226" s="15" t="str">
        <x:v>Cf Moto Saf - Inv 2</x:v>
      </x:c>
      <x:c r="B226" s="15" t="str">
        <x:v>Outflow</x:v>
      </x:c>
      <x:c r="C226" s="15" t="str">
        <x:v>Supplier payments</x:v>
      </x:c>
      <x:c r="D226" s="38" t="n">
        <x:v>0</x:v>
      </x:c>
      <x:c r="E226" s="38" t="n">
        <x:v>1292</x:v>
      </x:c>
      <x:c r="F226" s="38" t="n">
        <x:v>-1292</x:v>
      </x:c>
      <x:c r="G226" s="15" t="n">
        <x:v>1</x:v>
      </x:c>
      <x:c r="H226" s="34" t="n">
        <x:v>46099.79236111111</x:v>
      </x:c>
      <x:c r="I226" s="34" t="n">
        <x:v>46099.79236111111</x:v>
      </x:c>
    </x:row>
    <x:row r="227">
      <x:c r="A227" s="15" t="str">
        <x:v>Waterkloof Gas 10266</x:v>
      </x:c>
      <x:c r="B227" s="15" t="str">
        <x:v>Outflow</x:v>
      </x:c>
      <x:c r="C227" s="15" t="str">
        <x:v>Supplier payments</x:v>
      </x:c>
      <x:c r="D227" s="38" t="n">
        <x:v>0</x:v>
      </x:c>
      <x:c r="E227" s="38" t="n">
        <x:v>1273</x:v>
      </x:c>
      <x:c r="F227" s="38" t="n">
        <x:v>-1273</x:v>
      </x:c>
      <x:c r="G227" s="15" t="n">
        <x:v>1</x:v>
      </x:c>
      <x:c r="H227" s="34" t="n">
        <x:v>46018.64791666667</x:v>
      </x:c>
      <x:c r="I227" s="34" t="n">
        <x:v>46018.64791666667</x:v>
      </x:c>
    </x:row>
    <x:row r="228">
      <x:c r="A228" s="15" t="str">
        <x:v>Waterkloof Gas 9632</x:v>
      </x:c>
      <x:c r="B228" s="15" t="str">
        <x:v>Outflow</x:v>
      </x:c>
      <x:c r="C228" s="15" t="str">
        <x:v>Supplier payments</x:v>
      </x:c>
      <x:c r="D228" s="38" t="n">
        <x:v>0</x:v>
      </x:c>
      <x:c r="E228" s="38" t="n">
        <x:v>1258</x:v>
      </x:c>
      <x:c r="F228" s="38" t="n">
        <x:v>-1258</x:v>
      </x:c>
      <x:c r="G228" s="15" t="n">
        <x:v>1</x:v>
      </x:c>
      <x:c r="H228" s="34" t="n">
        <x:v>45972.4625</x:v>
      </x:c>
      <x:c r="I228" s="34" t="n">
        <x:v>45972.4625</x:v>
      </x:c>
    </x:row>
    <x:row r="229">
      <x:c r="A229" s="15" t="str">
        <x:v>Agrico Pty Ltd</x:v>
      </x:c>
      <x:c r="B229" s="15" t="str">
        <x:v>Outflow</x:v>
      </x:c>
      <x:c r="C229" s="15" t="str">
        <x:v>Supplier payments</x:v>
      </x:c>
      <x:c r="D229" s="38" t="n">
        <x:v>0</x:v>
      </x:c>
      <x:c r="E229" s="38" t="n">
        <x:v>1217.08</x:v>
      </x:c>
      <x:c r="F229" s="38" t="n">
        <x:v>-1217.08</x:v>
      </x:c>
      <x:c r="G229" s="15" t="n">
        <x:v>2</x:v>
      </x:c>
      <x:c r="H229" s="34" t="n">
        <x:v>45939.48055555556</x:v>
      </x:c>
      <x:c r="I229" s="34" t="n">
        <x:v>46135.527083333334</x:v>
      </x:c>
    </x:row>
    <x:row r="230">
      <x:c r="A230" s="15" t="str">
        <x:v>Dinner Box 102116</x:v>
      </x:c>
      <x:c r="B230" s="15" t="str">
        <x:v>Outflow</x:v>
      </x:c>
      <x:c r="C230" s="15" t="str">
        <x:v>Meals / restaurants / entertainment</x:v>
      </x:c>
      <x:c r="D230" s="38" t="n">
        <x:v>0</x:v>
      </x:c>
      <x:c r="E230" s="38" t="n">
        <x:v>1202</x:v>
      </x:c>
      <x:c r="F230" s="38" t="n">
        <x:v>-1202</x:v>
      </x:c>
      <x:c r="G230" s="15" t="n">
        <x:v>1</x:v>
      </x:c>
      <x:c r="H230" s="34" t="n">
        <x:v>45972.4875</x:v>
      </x:c>
      <x:c r="I230" s="34" t="n">
        <x:v>45972.4875</x:v>
      </x:c>
    </x:row>
    <x:row r="231">
      <x:c r="A231" s="15" t="str">
        <x:v>Impala Electrical Wh</x:v>
      </x:c>
      <x:c r="B231" s="15" t="str">
        <x:v>Outflow</x:v>
      </x:c>
      <x:c r="C231" s="15" t="str">
        <x:v>Telecom / utilities</x:v>
      </x:c>
      <x:c r="D231" s="38" t="n">
        <x:v>0</x:v>
      </x:c>
      <x:c r="E231" s="38" t="n">
        <x:v>1099.79</x:v>
      </x:c>
      <x:c r="F231" s="38" t="n">
        <x:v>-1099.79</x:v>
      </x:c>
      <x:c r="G231" s="15" t="n">
        <x:v>1</x:v>
      </x:c>
      <x:c r="H231" s="34" t="n">
        <x:v>45973.510416666664</x:v>
      </x:c>
      <x:c r="I231" s="34" t="n">
        <x:v>45973.510416666664</x:v>
      </x:c>
    </x:row>
    <x:row r="232">
      <x:c r="A232" s="15" t="str">
        <x:v>Yoco *k2025744041</x:v>
      </x:c>
      <x:c r="B232" s="15" t="str">
        <x:v>Outflow</x:v>
      </x:c>
      <x:c r="C232" s="15" t="str">
        <x:v>Card spend</x:v>
      </x:c>
      <x:c r="D232" s="38" t="n">
        <x:v>0</x:v>
      </x:c>
      <x:c r="E232" s="38" t="n">
        <x:v>1055</x:v>
      </x:c>
      <x:c r="F232" s="38" t="n">
        <x:v>-1055</x:v>
      </x:c>
      <x:c r="G232" s="15" t="n">
        <x:v>3</x:v>
      </x:c>
      <x:c r="H232" s="34" t="n">
        <x:v>46038.8</x:v>
      </x:c>
      <x:c r="I232" s="34" t="n">
        <x:v>46144.77847222222</x:v>
      </x:c>
    </x:row>
    <x:row r="233">
      <x:c r="A233" s="15" t="str">
        <x:v>Dam Staff</x:v>
      </x:c>
      <x:c r="B233" s="15" t="str">
        <x:v>Outflow</x:v>
      </x:c>
      <x:c r="C233" s="15" t="str">
        <x:v>Salary / wages</x:v>
      </x:c>
      <x:c r="D233" s="38" t="n">
        <x:v>0</x:v>
      </x:c>
      <x:c r="E233" s="38" t="n">
        <x:v>1000</x:v>
      </x:c>
      <x:c r="F233" s="38" t="n">
        <x:v>-1000</x:v>
      </x:c>
      <x:c r="G233" s="15" t="n">
        <x:v>1</x:v>
      </x:c>
      <x:c r="H233" s="34" t="n">
        <x:v>46105.49722222222</x:v>
      </x:c>
      <x:c r="I233" s="34" t="n">
        <x:v>46105.49722222222</x:v>
      </x:c>
    </x:row>
    <x:row r="234">
      <x:c r="A234" s="15" t="str">
        <x:v>Dreyer Salary Portio</x:v>
      </x:c>
      <x:c r="B234" s="15" t="str">
        <x:v>Outflow</x:v>
      </x:c>
      <x:c r="C234" s="15" t="str">
        <x:v>Salary / wages</x:v>
      </x:c>
      <x:c r="D234" s="38" t="n">
        <x:v>0</x:v>
      </x:c>
      <x:c r="E234" s="38" t="n">
        <x:v>1000</x:v>
      </x:c>
      <x:c r="F234" s="38" t="n">
        <x:v>-1000</x:v>
      </x:c>
      <x:c r="G234" s="15" t="n">
        <x:v>1</x:v>
      </x:c>
      <x:c r="H234" s="34" t="n">
        <x:v>46033.56597222222</x:v>
      </x:c>
      <x:c r="I234" s="34" t="n">
        <x:v>46033.56597222222</x:v>
      </x:c>
    </x:row>
    <x:row r="235">
      <x:c r="A235" s="15" t="str">
        <x:v>Fuel</x:v>
      </x:c>
      <x:c r="B235" s="15" t="str">
        <x:v>Outflow</x:v>
      </x:c>
      <x:c r="C235" s="15" t="str">
        <x:v>Fuel / transport</x:v>
      </x:c>
      <x:c r="D235" s="38" t="n">
        <x:v>0</x:v>
      </x:c>
      <x:c r="E235" s="38" t="n">
        <x:v>1000</x:v>
      </x:c>
      <x:c r="F235" s="38" t="n">
        <x:v>-1000</x:v>
      </x:c>
      <x:c r="G235" s="15" t="n">
        <x:v>1</x:v>
      </x:c>
      <x:c r="H235" s="34" t="n">
        <x:v>46164.595138888886</x:v>
      </x:c>
      <x:c r="I235" s="34" t="n">
        <x:v>46164.595138888886</x:v>
      </x:c>
    </x:row>
    <x:row r="236">
      <x:c r="A236" s="15" t="str">
        <x:v>Seaside Village Elec</x:v>
      </x:c>
      <x:c r="B236" s="15" t="str">
        <x:v>Outflow</x:v>
      </x:c>
      <x:c r="C236" s="15" t="str">
        <x:v>Accommodation / hotels</x:v>
      </x:c>
      <x:c r="D236" s="38" t="n">
        <x:v>0</x:v>
      </x:c>
      <x:c r="E236" s="38" t="n">
        <x:v>1000</x:v>
      </x:c>
      <x:c r="F236" s="38" t="n">
        <x:v>-1000</x:v>
      </x:c>
      <x:c r="G236" s="15" t="n">
        <x:v>1</x:v>
      </x:c>
      <x:c r="H236" s="34" t="n">
        <x:v>46066.68263888889</x:v>
      </x:c>
      <x:c r="I236" s="34" t="n">
        <x:v>46066.68263888889</x:v>
      </x:c>
    </x:row>
    <x:row r="237">
      <x:c r="A237" s="15" t="str">
        <x:v>Staff Loan</x:v>
      </x:c>
      <x:c r="B237" s="15" t="str">
        <x:v>Outflow</x:v>
      </x:c>
      <x:c r="C237" s="15" t="str">
        <x:v>Salary / wages</x:v>
      </x:c>
      <x:c r="D237" s="38" t="n">
        <x:v>0</x:v>
      </x:c>
      <x:c r="E237" s="38" t="n">
        <x:v>1000</x:v>
      </x:c>
      <x:c r="F237" s="38" t="n">
        <x:v>-1000</x:v>
      </x:c>
      <x:c r="G237" s="15" t="n">
        <x:v>1</x:v>
      </x:c>
      <x:c r="H237" s="34" t="n">
        <x:v>46162.68194444444</x:v>
      </x:c>
      <x:c r="I237" s="34" t="n">
        <x:v>46162.68194444444</x:v>
      </x:c>
    </x:row>
    <x:row r="238">
      <x:c r="A238" s="15" t="str">
        <x:v>Komati Liquor</x:v>
      </x:c>
      <x:c r="B238" s="15" t="str">
        <x:v>Outflow</x:v>
      </x:c>
      <x:c r="C238" s="15" t="str">
        <x:v>Meals / restaurants / entertainment</x:v>
      </x:c>
      <x:c r="D238" s="38" t="n">
        <x:v>0</x:v>
      </x:c>
      <x:c r="E238" s="38" t="n">
        <x:v>954.8</x:v>
      </x:c>
      <x:c r="F238" s="38" t="n">
        <x:v>-954.8</x:v>
      </x:c>
      <x:c r="G238" s="15" t="n">
        <x:v>3</x:v>
      </x:c>
      <x:c r="H238" s="34" t="n">
        <x:v>46050.61388888889</x:v>
      </x:c>
      <x:c r="I238" s="34" t="n">
        <x:v>46181.597916666666</x:v>
      </x:c>
    </x:row>
    <x:row r="239">
      <x:c r="A239" s="15" t="str">
        <x:v>Eastern Border Fuels</x:v>
      </x:c>
      <x:c r="B239" s="15" t="str">
        <x:v>Outflow</x:v>
      </x:c>
      <x:c r="C239" s="15" t="str">
        <x:v>Fuel / transport</x:v>
      </x:c>
      <x:c r="D239" s="38" t="n">
        <x:v>0</x:v>
      </x:c>
      <x:c r="E239" s="38" t="n">
        <x:v>950</x:v>
      </x:c>
      <x:c r="F239" s="38" t="n">
        <x:v>-950</x:v>
      </x:c>
      <x:c r="G239" s="15" t="n">
        <x:v>2</x:v>
      </x:c>
      <x:c r="H239" s="34" t="n">
        <x:v>45989.518055555556</x:v>
      </x:c>
      <x:c r="I239" s="34" t="n">
        <x:v>46074.461805555555</x:v>
      </x:c>
    </x:row>
    <x:row r="240">
      <x:c r="A240" s="15" t="str">
        <x:v>Goldwagen Komatipoor</x:v>
      </x:c>
      <x:c r="B240" s="15" t="str">
        <x:v>Outflow</x:v>
      </x:c>
      <x:c r="C240" s="15" t="str">
        <x:v>Card spend</x:v>
      </x:c>
      <x:c r="D240" s="38" t="n">
        <x:v>0</x:v>
      </x:c>
      <x:c r="E240" s="38" t="n">
        <x:v>930</x:v>
      </x:c>
      <x:c r="F240" s="38" t="n">
        <x:v>-930</x:v>
      </x:c>
      <x:c r="G240" s="15" t="n">
        <x:v>2</x:v>
      </x:c>
      <x:c r="H240" s="34" t="n">
        <x:v>46065.558333333334</x:v>
      </x:c>
      <x:c r="I240" s="34" t="n">
        <x:v>46066.504166666666</x:v>
      </x:c>
    </x:row>
    <x:row r="241">
      <x:c r="A241" s="15" t="str">
        <x:v>Ingwe Supermarket146</x:v>
      </x:c>
      <x:c r="B241" s="15" t="str">
        <x:v>Outflow</x:v>
      </x:c>
      <x:c r="C241" s="15" t="str">
        <x:v>Card spend</x:v>
      </x:c>
      <x:c r="D241" s="38" t="n">
        <x:v>0</x:v>
      </x:c>
      <x:c r="E241" s="38" t="n">
        <x:v>921.38</x:v>
      </x:c>
      <x:c r="F241" s="38" t="n">
        <x:v>-921.38</x:v>
      </x:c>
      <x:c r="G241" s="15" t="n">
        <x:v>3</x:v>
      </x:c>
      <x:c r="H241" s="34" t="n">
        <x:v>46084.677777777775</x:v>
      </x:c>
      <x:c r="I241" s="34" t="n">
        <x:v>46147.55625</x:v>
      </x:c>
    </x:row>
    <x:row r="242">
      <x:c r="A242" s="15" t="str">
        <x:v>Bon Express 1/07/26</x:v>
      </x:c>
      <x:c r="B242" s="15" t="str">
        <x:v>Outflow</x:v>
      </x:c>
      <x:c r="C242" s="15" t="str">
        <x:v>Supplier payments</x:v>
      </x:c>
      <x:c r="D242" s="38" t="n">
        <x:v>0</x:v>
      </x:c>
      <x:c r="E242" s="38" t="n">
        <x:v>912.35</x:v>
      </x:c>
      <x:c r="F242" s="38" t="n">
        <x:v>-912.35</x:v>
      </x:c>
      <x:c r="G242" s="15" t="n">
        <x:v>1</x:v>
      </x:c>
      <x:c r="H242" s="34" t="n">
        <x:v>46029.65</x:v>
      </x:c>
      <x:c r="I242" s="34" t="n">
        <x:v>46029.65</x:v>
      </x:c>
    </x:row>
    <x:row r="243">
      <x:c r="A243" s="15" t="str">
        <x:v>Pep 5668 Malelane</x:v>
      </x:c>
      <x:c r="B243" s="15" t="str">
        <x:v>Outflow</x:v>
      </x:c>
      <x:c r="C243" s="15" t="str">
        <x:v>Supplier payments</x:v>
      </x:c>
      <x:c r="D243" s="38" t="n">
        <x:v>0</x:v>
      </x:c>
      <x:c r="E243" s="38" t="n">
        <x:v>907.94</x:v>
      </x:c>
      <x:c r="F243" s="38" t="n">
        <x:v>-907.94</x:v>
      </x:c>
      <x:c r="G243" s="15" t="n">
        <x:v>3</x:v>
      </x:c>
      <x:c r="H243" s="34" t="n">
        <x:v>46076.475</x:v>
      </x:c>
      <x:c r="I243" s="34" t="n">
        <x:v>46162.48055555556</x:v>
      </x:c>
    </x:row>
    <x:row r="244">
      <x:c r="A244" s="15" t="str">
        <x:v>Kruger Safa 1698 Vat</x:v>
      </x:c>
      <x:c r="B244" s="15" t="str">
        <x:v>Outflow</x:v>
      </x:c>
      <x:c r="C244" s="15" t="str">
        <x:v>Taxes / statutory payments</x:v>
      </x:c>
      <x:c r="D244" s="38" t="n">
        <x:v>0</x:v>
      </x:c>
      <x:c r="E244" s="38" t="n">
        <x:v>901.2</x:v>
      </x:c>
      <x:c r="F244" s="38" t="n">
        <x:v>-901.2</x:v>
      </x:c>
      <x:c r="G244" s="15" t="n">
        <x:v>1</x:v>
      </x:c>
      <x:c r="H244" s="34" t="n">
        <x:v>46172.43958333333</x:v>
      </x:c>
      <x:c r="I244" s="34" t="n">
        <x:v>46172.43958333333</x:v>
      </x:c>
    </x:row>
    <x:row r="245">
      <x:c r="A245" s="15" t="str">
        <x:v>Ae Komatipoort</x:v>
      </x:c>
      <x:c r="B245" s="15" t="str">
        <x:v>Outflow</x:v>
      </x:c>
      <x:c r="C245" s="15" t="str">
        <x:v>Card spend</x:v>
      </x:c>
      <x:c r="D245" s="38" t="n">
        <x:v>0</x:v>
      </x:c>
      <x:c r="E245" s="38" t="n">
        <x:v>900</x:v>
      </x:c>
      <x:c r="F245" s="38" t="n">
        <x:v>-900</x:v>
      </x:c>
      <x:c r="G245" s="15" t="n">
        <x:v>3</x:v>
      </x:c>
      <x:c r="H245" s="34" t="n">
        <x:v>46085.61736111111</x:v>
      </x:c>
      <x:c r="I245" s="34" t="n">
        <x:v>46175.64722222222</x:v>
      </x:c>
    </x:row>
    <x:row r="246">
      <x:c r="A246" s="15" t="str">
        <x:v>Komati Pharmacy</x:v>
      </x:c>
      <x:c r="B246" s="15" t="str">
        <x:v>Outflow</x:v>
      </x:c>
      <x:c r="C246" s="15" t="str">
        <x:v>Supplier payments</x:v>
      </x:c>
      <x:c r="D246" s="38" t="n">
        <x:v>0</x:v>
      </x:c>
      <x:c r="E246" s="38" t="n">
        <x:v>897.05</x:v>
      </x:c>
      <x:c r="F246" s="38" t="n">
        <x:v>-897.05</x:v>
      </x:c>
      <x:c r="G246" s="15" t="n">
        <x:v>4</x:v>
      </x:c>
      <x:c r="H246" s="34" t="n">
        <x:v>46085.55694444444</x:v>
      </x:c>
      <x:c r="I246" s="34" t="n">
        <x:v>46144.51944444444</x:v>
      </x:c>
    </x:row>
    <x:row r="247">
      <x:c r="A247" s="15" t="str">
        <x:v>K2025744041 Sou 262</x:v>
      </x:c>
      <x:c r="B247" s="15" t="str">
        <x:v>Outflow</x:v>
      </x:c>
      <x:c r="C247" s="15" t="str">
        <x:v>Card spend</x:v>
      </x:c>
      <x:c r="D247" s="38" t="n">
        <x:v>0</x:v>
      </x:c>
      <x:c r="E247" s="38" t="n">
        <x:v>875</x:v>
      </x:c>
      <x:c r="F247" s="38" t="n">
        <x:v>-875</x:v>
      </x:c>
      <x:c r="G247" s="15" t="n">
        <x:v>2</x:v>
      </x:c>
      <x:c r="H247" s="34" t="n">
        <x:v>46033.5875</x:v>
      </x:c>
      <x:c r="I247" s="34" t="n">
        <x:v>46071.853472222225</x:v>
      </x:c>
    </x:row>
    <x:row r="248">
      <x:c r="A248" s="15" t="str">
        <x:v>Asbe - Comm</x:v>
      </x:c>
      <x:c r="B248" s="15" t="str">
        <x:v>Outflow</x:v>
      </x:c>
      <x:c r="C248" s="15" t="str">
        <x:v>Supplier payments</x:v>
      </x:c>
      <x:c r="D248" s="38" t="n">
        <x:v>0</x:v>
      </x:c>
      <x:c r="E248" s="38" t="n">
        <x:v>857.18</x:v>
      </x:c>
      <x:c r="F248" s="38" t="n">
        <x:v>-857.18</x:v>
      </x:c>
      <x:c r="G248" s="15" t="n">
        <x:v>1</x:v>
      </x:c>
      <x:c r="H248" s="34" t="n">
        <x:v>46019.52291666667</x:v>
      </x:c>
      <x:c r="I248" s="34" t="n">
        <x:v>46019.52291666667</x:v>
      </x:c>
    </x:row>
    <x:row r="249">
      <x:c r="A249" s="15" t="str">
        <x:v>Deon"s Diy 19/04</x:v>
      </x:c>
      <x:c r="B249" s="15" t="str">
        <x:v>Outflow</x:v>
      </x:c>
      <x:c r="C249" s="15" t="str">
        <x:v>Supplier payments</x:v>
      </x:c>
      <x:c r="D249" s="38" t="n">
        <x:v>0</x:v>
      </x:c>
      <x:c r="E249" s="38" t="n">
        <x:v>850</x:v>
      </x:c>
      <x:c r="F249" s="38" t="n">
        <x:v>-850</x:v>
      </x:c>
      <x:c r="G249" s="15" t="n">
        <x:v>1</x:v>
      </x:c>
      <x:c r="H249" s="34" t="n">
        <x:v>46134.38680555556</x:v>
      </x:c>
      <x:c r="I249" s="34" t="n">
        <x:v>46134.38680555556</x:v>
      </x:c>
    </x:row>
    <x:row r="250">
      <x:c r="A250" s="15" t="str">
        <x:v>Komatipoort</x:v>
      </x:c>
      <x:c r="B250" s="15" t="str">
        <x:v>Outflow</x:v>
      </x:c>
      <x:c r="C250" s="15" t="str">
        <x:v>Supplier payments</x:v>
      </x:c>
      <x:c r="D250" s="38" t="n">
        <x:v>0</x:v>
      </x:c>
      <x:c r="E250" s="38" t="n">
        <x:v>845</x:v>
      </x:c>
      <x:c r="F250" s="38" t="n">
        <x:v>-845</x:v>
      </x:c>
      <x:c r="G250" s="15" t="n">
        <x:v>1</x:v>
      </x:c>
      <x:c r="H250" s="34" t="n">
        <x:v>46073.39097222222</x:v>
      </x:c>
      <x:c r="I250" s="34" t="n">
        <x:v>46073.39097222222</x:v>
      </x:c>
    </x:row>
    <x:row r="251">
      <x:c r="A251" s="15" t="str">
        <x:v>Sasol Emkhatsini</x:v>
      </x:c>
      <x:c r="B251" s="15" t="str">
        <x:v>Outflow</x:v>
      </x:c>
      <x:c r="C251" s="15" t="str">
        <x:v>Fuel / transport</x:v>
      </x:c>
      <x:c r="D251" s="38" t="n">
        <x:v>0</x:v>
      </x:c>
      <x:c r="E251" s="38" t="n">
        <x:v>800</x:v>
      </x:c>
      <x:c r="F251" s="38" t="n">
        <x:v>-800</x:v>
      </x:c>
      <x:c r="G251" s="15" t="n">
        <x:v>2</x:v>
      </x:c>
      <x:c r="H251" s="34" t="n">
        <x:v>46029.615277777775</x:v>
      </x:c>
      <x:c r="I251" s="34" t="n">
        <x:v>46060.42083333333</x:v>
      </x:c>
    </x:row>
    <x:row r="252">
      <x:c r="A252" s="15" t="str">
        <x:v>Send Peter Carpentor</x:v>
      </x:c>
      <x:c r="B252" s="15" t="str">
        <x:v>Outflow</x:v>
      </x:c>
      <x:c r="C252" s="15" t="str">
        <x:v>Supplier payments</x:v>
      </x:c>
      <x:c r="D252" s="38" t="n">
        <x:v>0</x:v>
      </x:c>
      <x:c r="E252" s="38" t="n">
        <x:v>800</x:v>
      </x:c>
      <x:c r="F252" s="38" t="n">
        <x:v>-800</x:v>
      </x:c>
      <x:c r="G252" s="15" t="n">
        <x:v>1</x:v>
      </x:c>
      <x:c r="H252" s="34" t="n">
        <x:v>46150.50625</x:v>
      </x:c>
      <x:c r="I252" s="34" t="n">
        <x:v>46150.50625</x:v>
      </x:c>
    </x:row>
    <x:row r="253">
      <x:c r="A253" s="15" t="str">
        <x:v>Pnp Fam Bronkhorstsp</x:v>
      </x:c>
      <x:c r="B253" s="15" t="str">
        <x:v>Outflow</x:v>
      </x:c>
      <x:c r="C253" s="15" t="str">
        <x:v>Card spend</x:v>
      </x:c>
      <x:c r="D253" s="38" t="n">
        <x:v>0</x:v>
      </x:c>
      <x:c r="E253" s="38" t="n">
        <x:v>793.26</x:v>
      </x:c>
      <x:c r="F253" s="38" t="n">
        <x:v>-793.26</x:v>
      </x:c>
      <x:c r="G253" s="15" t="n">
        <x:v>1</x:v>
      </x:c>
      <x:c r="H253" s="34" t="n">
        <x:v>46187.589583333334</x:v>
      </x:c>
      <x:c r="I253" s="34" t="n">
        <x:v>46187.589583333334</x:v>
      </x:c>
    </x:row>
    <x:row r="254">
      <x:c r="A254" s="15" t="str">
        <x:v>Card purchase reversal</x:v>
      </x:c>
      <x:c r="B254" s="15" t="str">
        <x:v>Inflow</x:v>
      </x:c>
      <x:c r="C254" s="15" t="str">
        <x:v>Refunds / reversals</x:v>
      </x:c>
      <x:c r="D254" s="38" t="n">
        <x:v>778.98</x:v>
      </x:c>
      <x:c r="E254" s="38" t="n">
        <x:v>0</x:v>
      </x:c>
      <x:c r="F254" s="38" t="n">
        <x:v>778.98</x:v>
      </x:c>
      <x:c r="G254" s="15" t="n">
        <x:v>1</x:v>
      </x:c>
      <x:c r="H254" s="34" t="n">
        <x:v>45981.50277777778</x:v>
      </x:c>
      <x:c r="I254" s="34" t="n">
        <x:v>45981.50277777778</x:v>
      </x:c>
    </x:row>
    <x:row r="255">
      <x:c r="A255" s="15" t="str">
        <x:v>Nb 26696</x:v>
      </x:c>
      <x:c r="B255" s="15" t="str">
        <x:v>Outflow</x:v>
      </x:c>
      <x:c r="C255" s="15" t="str">
        <x:v>Supplier payments</x:v>
      </x:c>
      <x:c r="D255" s="38" t="n">
        <x:v>0</x:v>
      </x:c>
      <x:c r="E255" s="38" t="n">
        <x:v>759</x:v>
      </x:c>
      <x:c r="F255" s="38" t="n">
        <x:v>-759</x:v>
      </x:c>
      <x:c r="G255" s="15" t="n">
        <x:v>1</x:v>
      </x:c>
      <x:c r="H255" s="34" t="n">
        <x:v>46062.59027777778</x:v>
      </x:c>
      <x:c r="I255" s="34" t="n">
        <x:v>46062.59027777778</x:v>
      </x:c>
    </x:row>
    <x:row r="256">
      <x:c r="A256" s="15" t="str">
        <x:v>Phindi Wages</x:v>
      </x:c>
      <x:c r="B256" s="15" t="str">
        <x:v>Outflow</x:v>
      </x:c>
      <x:c r="C256" s="15" t="str">
        <x:v>Salary / wages</x:v>
      </x:c>
      <x:c r="D256" s="38" t="n">
        <x:v>0</x:v>
      </x:c>
      <x:c r="E256" s="38" t="n">
        <x:v>750</x:v>
      </x:c>
      <x:c r="F256" s="38" t="n">
        <x:v>-750</x:v>
      </x:c>
      <x:c r="G256" s="15" t="n">
        <x:v>1</x:v>
      </x:c>
      <x:c r="H256" s="34" t="n">
        <x:v>46019.38888888889</x:v>
      </x:c>
      <x:c r="I256" s="34" t="n">
        <x:v>46019.38888888889</x:v>
      </x:c>
    </x:row>
    <x:row r="257">
      <x:c r="A257" s="15" t="str">
        <x:v>Bon Express 8470</x:v>
      </x:c>
      <x:c r="B257" s="15" t="str">
        <x:v>Outflow</x:v>
      </x:c>
      <x:c r="C257" s="15" t="str">
        <x:v>Supplier payments</x:v>
      </x:c>
      <x:c r="D257" s="38" t="n">
        <x:v>0</x:v>
      </x:c>
      <x:c r="E257" s="38" t="n">
        <x:v>725.77</x:v>
      </x:c>
      <x:c r="F257" s="38" t="n">
        <x:v>-725.77</x:v>
      </x:c>
      <x:c r="G257" s="15" t="n">
        <x:v>1</x:v>
      </x:c>
      <x:c r="H257" s="34" t="n">
        <x:v>46171.45972222222</x:v>
      </x:c>
      <x:c r="I257" s="34" t="n">
        <x:v>46171.45972222222</x:v>
      </x:c>
    </x:row>
    <x:row r="258">
      <x:c r="A258" s="15" t="str">
        <x:v>Temu</x:v>
      </x:c>
      <x:c r="B258" s="15" t="str">
        <x:v>Outflow</x:v>
      </x:c>
      <x:c r="C258" s="15" t="str">
        <x:v>Card spend</x:v>
      </x:c>
      <x:c r="D258" s="38" t="n">
        <x:v>0</x:v>
      </x:c>
      <x:c r="E258" s="38" t="n">
        <x:v>706</x:v>
      </x:c>
      <x:c r="F258" s="38" t="n">
        <x:v>-706</x:v>
      </x:c>
      <x:c r="G258" s="15" t="n">
        <x:v>4</x:v>
      </x:c>
      <x:c r="H258" s="34" t="n">
        <x:v>45938.59652777778</x:v>
      </x:c>
      <x:c r="I258" s="34" t="n">
        <x:v>45938.620833333334</x:v>
      </x:c>
    </x:row>
    <x:row r="259">
      <x:c r="A259" s="15" t="str">
        <x:v>Amazing Kruger</x:v>
      </x:c>
      <x:c r="B259" s="15" t="str">
        <x:v>Outflow</x:v>
      </x:c>
      <x:c r="C259" s="15" t="str">
        <x:v>Card spend</x:v>
      </x:c>
      <x:c r="D259" s="38" t="n">
        <x:v>0</x:v>
      </x:c>
      <x:c r="E259" s="38" t="n">
        <x:v>700</x:v>
      </x:c>
      <x:c r="F259" s="38" t="n">
        <x:v>-700</x:v>
      </x:c>
      <x:c r="G259" s="15" t="n">
        <x:v>2</x:v>
      </x:c>
      <x:c r="H259" s="34" t="n">
        <x:v>46080.83194444444</x:v>
      </x:c>
      <x:c r="I259" s="34" t="n">
        <x:v>46109.77916666667</x:v>
      </x:c>
    </x:row>
    <x:row r="260">
      <x:c r="A260" s="15" t="str">
        <x:v>Afr Dream In27814</x:v>
      </x:c>
      <x:c r="B260" s="15" t="str">
        <x:v>Outflow</x:v>
      </x:c>
      <x:c r="C260" s="15" t="str">
        <x:v>Supplier payments</x:v>
      </x:c>
      <x:c r="D260" s="38" t="n">
        <x:v>0</x:v>
      </x:c>
      <x:c r="E260" s="38" t="n">
        <x:v>678.5</x:v>
      </x:c>
      <x:c r="F260" s="38" t="n">
        <x:v>-678.5</x:v>
      </x:c>
      <x:c r="G260" s="15" t="n">
        <x:v>1</x:v>
      </x:c>
      <x:c r="H260" s="34" t="n">
        <x:v>45982.63402777778</x:v>
      </x:c>
      <x:c r="I260" s="34" t="n">
        <x:v>45982.63402777778</x:v>
      </x:c>
    </x:row>
    <x:row r="261">
      <x:c r="A261" s="15" t="str">
        <x:v>Moment_*dstv Joh</x:v>
      </x:c>
      <x:c r="B261" s="15" t="str">
        <x:v>Outflow</x:v>
      </x:c>
      <x:c r="C261" s="15" t="str">
        <x:v>Card spend</x:v>
      </x:c>
      <x:c r="D261" s="38" t="n">
        <x:v>0</x:v>
      </x:c>
      <x:c r="E261" s="38" t="n">
        <x:v>676.45</x:v>
      </x:c>
      <x:c r="F261" s="38" t="n">
        <x:v>-676.45</x:v>
      </x:c>
      <x:c r="G261" s="15" t="n">
        <x:v>1</x:v>
      </x:c>
      <x:c r="H261" s="34" t="n">
        <x:v>46155.88958333333</x:v>
      </x:c>
      <x:c r="I261" s="34" t="n">
        <x:v>46155.88958333333</x:v>
      </x:c>
    </x:row>
    <x:row r="262">
      <x:c r="A262" s="15" t="str">
        <x:v>Printing Signboard</x:v>
      </x:c>
      <x:c r="B262" s="15" t="str">
        <x:v>Inflow</x:v>
      </x:c>
      <x:c r="C262" s="15" t="str">
        <x:v>Sales / customer receipts</x:v>
      </x:c>
      <x:c r="D262" s="38" t="n">
        <x:v>600</x:v>
      </x:c>
      <x:c r="E262" s="38" t="n">
        <x:v>0</x:v>
      </x:c>
      <x:c r="F262" s="38" t="n">
        <x:v>600</x:v>
      </x:c>
      <x:c r="G262" s="15" t="n">
        <x:v>1</x:v>
      </x:c>
      <x:c r="H262" s="34" t="n">
        <x:v>46127.42222222222</x:v>
      </x:c>
      <x:c r="I262" s="34" t="n">
        <x:v>46127.42222222222</x:v>
      </x:c>
    </x:row>
    <x:row r="263">
      <x:c r="A263" s="15" t="str">
        <x:v>Smartapp</x:v>
      </x:c>
      <x:c r="B263" s="15" t="str">
        <x:v>Outflow</x:v>
      </x:c>
      <x:c r="C263" s="15" t="str">
        <x:v>Supplier payments</x:v>
      </x:c>
      <x:c r="D263" s="38" t="n">
        <x:v>0</x:v>
      </x:c>
      <x:c r="E263" s="38" t="n">
        <x:v>600</x:v>
      </x:c>
      <x:c r="F263" s="38" t="n">
        <x:v>-600</x:v>
      </x:c>
      <x:c r="G263" s="15" t="n">
        <x:v>3</x:v>
      </x:c>
      <x:c r="H263" s="34" t="n">
        <x:v>46087.69236111111</x:v>
      </x:c>
      <x:c r="I263" s="34" t="n">
        <x:v>46154.52638888889</x:v>
      </x:c>
    </x:row>
    <x:row r="264">
      <x:c r="A264" s="15" t="str">
        <x:v>Checkers Bronkhorsts</x:v>
      </x:c>
      <x:c r="B264" s="15" t="str">
        <x:v>Outflow</x:v>
      </x:c>
      <x:c r="C264" s="15" t="str">
        <x:v>Supplier payments</x:v>
      </x:c>
      <x:c r="D264" s="38" t="n">
        <x:v>0</x:v>
      </x:c>
      <x:c r="E264" s="38" t="n">
        <x:v>593.35</x:v>
      </x:c>
      <x:c r="F264" s="38" t="n">
        <x:v>-593.35</x:v>
      </x:c>
      <x:c r="G264" s="15" t="n">
        <x:v>1</x:v>
      </x:c>
      <x:c r="H264" s="34" t="n">
        <x:v>46183.62986111111</x:v>
      </x:c>
      <x:c r="I264" s="34" t="n">
        <x:v>46183.62986111111</x:v>
      </x:c>
    </x:row>
    <x:row r="265">
      <x:c r="A265" s="15" t="str">
        <x:v>Mr Plumber- Inv 5053</x:v>
      </x:c>
      <x:c r="B265" s="15" t="str">
        <x:v>Outflow</x:v>
      </x:c>
      <x:c r="C265" s="15" t="str">
        <x:v>Supplier payments</x:v>
      </x:c>
      <x:c r="D265" s="38" t="n">
        <x:v>0</x:v>
      </x:c>
      <x:c r="E265" s="38" t="n">
        <x:v>590</x:v>
      </x:c>
      <x:c r="F265" s="38" t="n">
        <x:v>-590</x:v>
      </x:c>
      <x:c r="G265" s="15" t="n">
        <x:v>1</x:v>
      </x:c>
      <x:c r="H265" s="34" t="n">
        <x:v>45974.35138888889</x:v>
      </x:c>
      <x:c r="I265" s="34" t="n">
        <x:v>45974.35138888889</x:v>
      </x:c>
    </x:row>
    <x:row r="266">
      <x:c r="A266" s="15" t="str">
        <x:v>Engen Siyaya Numbi</x:v>
      </x:c>
      <x:c r="B266" s="15" t="str">
        <x:v>Outflow</x:v>
      </x:c>
      <x:c r="C266" s="15" t="str">
        <x:v>Fuel / transport</x:v>
      </x:c>
      <x:c r="D266" s="38" t="n">
        <x:v>0</x:v>
      </x:c>
      <x:c r="E266" s="38" t="n">
        <x:v>573.5</x:v>
      </x:c>
      <x:c r="F266" s="38" t="n">
        <x:v>-573.5</x:v>
      </x:c>
      <x:c r="G266" s="15" t="n">
        <x:v>1</x:v>
      </x:c>
      <x:c r="H266" s="34" t="n">
        <x:v>46059.48819444444</x:v>
      </x:c>
      <x:c r="I266" s="34" t="n">
        <x:v>46059.48819444444</x:v>
      </x:c>
    </x:row>
    <x:row r="267">
      <x:c r="A267" s="15" t="str">
        <x:v>Bon Express 007058</x:v>
      </x:c>
      <x:c r="B267" s="15" t="str">
        <x:v>Outflow</x:v>
      </x:c>
      <x:c r="C267" s="15" t="str">
        <x:v>Supplier payments</x:v>
      </x:c>
      <x:c r="D267" s="38" t="n">
        <x:v>0</x:v>
      </x:c>
      <x:c r="E267" s="38" t="n">
        <x:v>546.25</x:v>
      </x:c>
      <x:c r="F267" s="38" t="n">
        <x:v>-546.25</x:v>
      </x:c>
      <x:c r="G267" s="15" t="n">
        <x:v>1</x:v>
      </x:c>
      <x:c r="H267" s="34" t="n">
        <x:v>45982.40902777778</x:v>
      </x:c>
      <x:c r="I267" s="34" t="n">
        <x:v>45982.40902777778</x:v>
      </x:c>
    </x:row>
    <x:row r="268">
      <x:c r="A268" s="15" t="str">
        <x:v>Inv 20260138</x:v>
      </x:c>
      <x:c r="B268" s="15" t="str">
        <x:v>Outflow</x:v>
      </x:c>
      <x:c r="C268" s="15" t="str">
        <x:v>Supplier payments</x:v>
      </x:c>
      <x:c r="D268" s="38" t="n">
        <x:v>0</x:v>
      </x:c>
      <x:c r="E268" s="38" t="n">
        <x:v>545</x:v>
      </x:c>
      <x:c r="F268" s="38" t="n">
        <x:v>-545</x:v>
      </x:c>
      <x:c r="G268" s="15" t="n">
        <x:v>1</x:v>
      </x:c>
      <x:c r="H268" s="34" t="n">
        <x:v>46072.79861111111</x:v>
      </x:c>
      <x:c r="I268" s="34" t="n">
        <x:v>46072.79861111111</x:v>
      </x:c>
    </x:row>
    <x:row r="269">
      <x:c r="A269" s="15" t="str">
        <x:v>Clicks Malelane Ingw</x:v>
      </x:c>
      <x:c r="B269" s="15" t="str">
        <x:v>Outflow</x:v>
      </x:c>
      <x:c r="C269" s="15" t="str">
        <x:v>Supplier payments</x:v>
      </x:c>
      <x:c r="D269" s="38" t="n">
        <x:v>0</x:v>
      </x:c>
      <x:c r="E269" s="38" t="n">
        <x:v>539.9</x:v>
      </x:c>
      <x:c r="F269" s="38" t="n">
        <x:v>-539.9</x:v>
      </x:c>
      <x:c r="G269" s="15" t="n">
        <x:v>1</x:v>
      </x:c>
      <x:c r="H269" s="34" t="n">
        <x:v>46076.49236111111</x:v>
      </x:c>
      <x:c r="I269" s="34" t="n">
        <x:v>46076.49236111111</x:v>
      </x:c>
    </x:row>
    <x:row r="270">
      <x:c r="A270" s="15" t="str">
        <x:v>Cr Vc Temu</x:v>
      </x:c>
      <x:c r="B270" s="15" t="str">
        <x:v>Inflow</x:v>
      </x:c>
      <x:c r="C270" s="15" t="str">
        <x:v>Refunds / reversals</x:v>
      </x:c>
      <x:c r="D270" s="38" t="n">
        <x:v>536</x:v>
      </x:c>
      <x:c r="E270" s="38" t="n">
        <x:v>0</x:v>
      </x:c>
      <x:c r="F270" s="38" t="n">
        <x:v>536</x:v>
      </x:c>
      <x:c r="G270" s="15" t="n">
        <x:v>3</x:v>
      </x:c>
      <x:c r="H270" s="34" t="n">
        <x:v>45942</x:v>
      </x:c>
      <x:c r="I270" s="34" t="n">
        <x:v>45942</x:v>
      </x:c>
    </x:row>
    <x:row r="271">
      <x:c r="A271" s="15" t="str">
        <x:v>Inv# - 000170</x:v>
      </x:c>
      <x:c r="B271" s="15" t="str">
        <x:v>Inflow</x:v>
      </x:c>
      <x:c r="C271" s="15" t="str">
        <x:v>Sales / customer receipts</x:v>
      </x:c>
      <x:c r="D271" s="38" t="n">
        <x:v>521.64</x:v>
      </x:c>
      <x:c r="E271" s="38" t="n">
        <x:v>0</x:v>
      </x:c>
      <x:c r="F271" s="38" t="n">
        <x:v>521.64</x:v>
      </x:c>
      <x:c r="G271" s="15" t="n">
        <x:v>1</x:v>
      </x:c>
      <x:c r="H271" s="34" t="n">
        <x:v>46079.342361111114</x:v>
      </x:c>
      <x:c r="I271" s="34" t="n">
        <x:v>46079.342361111114</x:v>
      </x:c>
    </x:row>
    <x:row r="272">
      <x:c r="A272" s="15" t="str">
        <x:v>Oasis Water Malelane</x:v>
      </x:c>
      <x:c r="B272" s="15" t="str">
        <x:v>Outflow</x:v>
      </x:c>
      <x:c r="C272" s="15" t="str">
        <x:v>Supplier payments</x:v>
      </x:c>
      <x:c r="D272" s="38" t="n">
        <x:v>0</x:v>
      </x:c>
      <x:c r="E272" s="38" t="n">
        <x:v>513.4</x:v>
      </x:c>
      <x:c r="F272" s="38" t="n">
        <x:v>-513.4</x:v>
      </x:c>
      <x:c r="G272" s="15" t="n">
        <x:v>2</x:v>
      </x:c>
      <x:c r="H272" s="34" t="n">
        <x:v>46114.57361111111</x:v>
      </x:c>
      <x:c r="I272" s="34" t="n">
        <x:v>46155.58125</x:v>
      </x:c>
    </x:row>
    <x:row r="273">
      <x:c r="A273" s="15" t="str">
        <x:v>#inv-000167</x:v>
      </x:c>
      <x:c r="B273" s="15" t="str">
        <x:v>Inflow</x:v>
      </x:c>
      <x:c r="C273" s="15" t="str">
        <x:v>Sales / customer receipts</x:v>
      </x:c>
      <x:c r="D273" s="38" t="n">
        <x:v>512.33</x:v>
      </x:c>
      <x:c r="E273" s="38" t="n">
        <x:v>0</x:v>
      </x:c>
      <x:c r="F273" s="38" t="n">
        <x:v>512.33</x:v>
      </x:c>
      <x:c r="G273" s="15" t="n">
        <x:v>1</x:v>
      </x:c>
      <x:c r="H273" s="34" t="n">
        <x:v>46075.39097222222</x:v>
      </x:c>
      <x:c r="I273" s="34" t="n">
        <x:v>46075.39097222222</x:v>
      </x:c>
    </x:row>
    <x:row r="274">
      <x:c r="A274" s="15" t="str">
        <x:v>Buco Komatipoort</x:v>
      </x:c>
      <x:c r="B274" s="15" t="str">
        <x:v>Outflow</x:v>
      </x:c>
      <x:c r="C274" s="15" t="str">
        <x:v>Supplier payments</x:v>
      </x:c>
      <x:c r="D274" s="38" t="n">
        <x:v>0</x:v>
      </x:c>
      <x:c r="E274" s="38" t="n">
        <x:v>505.65</x:v>
      </x:c>
      <x:c r="F274" s="38" t="n">
        <x:v>-505.65</x:v>
      </x:c>
      <x:c r="G274" s="15" t="n">
        <x:v>2</x:v>
      </x:c>
      <x:c r="H274" s="34" t="n">
        <x:v>46050.59583333333</x:v>
      </x:c>
      <x:c r="I274" s="34" t="n">
        <x:v>46082.33819444444</x:v>
      </x:c>
    </x:row>
    <x:row r="275">
      <x:c r="A275" s="15" t="str">
        <x:v>Shell Rinsa Pty Ltd</x:v>
      </x:c>
      <x:c r="B275" s="15" t="str">
        <x:v>Outflow</x:v>
      </x:c>
      <x:c r="C275" s="15" t="str">
        <x:v>Fuel / transport</x:v>
      </x:c>
      <x:c r="D275" s="38" t="n">
        <x:v>0</x:v>
      </x:c>
      <x:c r="E275" s="38" t="n">
        <x:v>500.15</x:v>
      </x:c>
      <x:c r="F275" s="38" t="n">
        <x:v>-500.15</x:v>
      </x:c>
      <x:c r="G275" s="15" t="n">
        <x:v>1</x:v>
      </x:c>
      <x:c r="H275" s="34" t="n">
        <x:v>45919.38888888889</x:v>
      </x:c>
      <x:c r="I275" s="34" t="n">
        <x:v>45919.38888888889</x:v>
      </x:c>
    </x:row>
    <x:row r="276">
      <x:c r="A276" s="15" t="str">
        <x:v>108964,04294887007</x:v>
      </x:c>
      <x:c r="B276" s="15" t="str">
        <x:v>Inflow</x:v>
      </x:c>
      <x:c r="C276" s="15" t="str">
        <x:v>Sales / customer receipts</x:v>
      </x:c>
      <x:c r="D276" s="38" t="n">
        <x:v>500</x:v>
      </x:c>
      <x:c r="E276" s="38" t="n">
        <x:v>0</x:v>
      </x:c>
      <x:c r="F276" s="38" t="n">
        <x:v>500</x:v>
      </x:c>
      <x:c r="G276" s="15" t="n">
        <x:v>1</x:v>
      </x:c>
      <x:c r="H276" s="34" t="n">
        <x:v>46134.729166666664</x:v>
      </x:c>
      <x:c r="I276" s="34" t="n">
        <x:v>46134.729166666664</x:v>
      </x:c>
    </x:row>
    <x:row r="277">
      <x:c r="A277" s="15" t="str">
        <x:v>274689,04294887007</x:v>
      </x:c>
      <x:c r="B277" s="15" t="str">
        <x:v>Inflow</x:v>
      </x:c>
      <x:c r="C277" s="15" t="str">
        <x:v>Sales / customer receipts</x:v>
      </x:c>
      <x:c r="D277" s="38" t="n">
        <x:v>500</x:v>
      </x:c>
      <x:c r="E277" s="38" t="n">
        <x:v>0</x:v>
      </x:c>
      <x:c r="F277" s="38" t="n">
        <x:v>500</x:v>
      </x:c>
      <x:c r="G277" s="15" t="n">
        <x:v>1</x:v>
      </x:c>
      <x:c r="H277" s="34" t="n">
        <x:v>46078.489583333336</x:v>
      </x:c>
      <x:c r="I277" s="34" t="n">
        <x:v>46078.489583333336</x:v>
      </x:c>
    </x:row>
    <x:row r="278">
      <x:c r="A278" s="15" t="str">
        <x:v>274942,04294887007</x:v>
      </x:c>
      <x:c r="B278" s="15" t="str">
        <x:v>Inflow</x:v>
      </x:c>
      <x:c r="C278" s="15" t="str">
        <x:v>Sales / customer receipts</x:v>
      </x:c>
      <x:c r="D278" s="38" t="n">
        <x:v>500</x:v>
      </x:c>
      <x:c r="E278" s="38" t="n">
        <x:v>0</x:v>
      </x:c>
      <x:c r="F278" s="38" t="n">
        <x:v>500</x:v>
      </x:c>
      <x:c r="G278" s="15" t="n">
        <x:v>1</x:v>
      </x:c>
      <x:c r="H278" s="34" t="n">
        <x:v>46078.49097222222</x:v>
      </x:c>
      <x:c r="I278" s="34" t="n">
        <x:v>46078.49097222222</x:v>
      </x:c>
    </x:row>
    <x:row r="279">
      <x:c r="A279" s="15" t="str">
        <x:v>281057,04294887007</x:v>
      </x:c>
      <x:c r="B279" s="15" t="str">
        <x:v>Inflow</x:v>
      </x:c>
      <x:c r="C279" s="15" t="str">
        <x:v>Sales / customer receipts</x:v>
      </x:c>
      <x:c r="D279" s="38" t="n">
        <x:v>500</x:v>
      </x:c>
      <x:c r="E279" s="38" t="n">
        <x:v>0</x:v>
      </x:c>
      <x:c r="F279" s="38" t="n">
        <x:v>500</x:v>
      </x:c>
      <x:c r="G279" s="15" t="n">
        <x:v>1</x:v>
      </x:c>
      <x:c r="H279" s="34" t="n">
        <x:v>46078.52222222222</x:v>
      </x:c>
      <x:c r="I279" s="34" t="n">
        <x:v>46078.52222222222</x:v>
      </x:c>
    </x:row>
    <x:row r="280">
      <x:c r="A280" s="15" t="str">
        <x:v>286562,04294887007</x:v>
      </x:c>
      <x:c r="B280" s="15" t="str">
        <x:v>Inflow</x:v>
      </x:c>
      <x:c r="C280" s="15" t="str">
        <x:v>Sales / customer receipts</x:v>
      </x:c>
      <x:c r="D280" s="38" t="n">
        <x:v>500</x:v>
      </x:c>
      <x:c r="E280" s="38" t="n">
        <x:v>0</x:v>
      </x:c>
      <x:c r="F280" s="38" t="n">
        <x:v>500</x:v>
      </x:c>
      <x:c r="G280" s="15" t="n">
        <x:v>1</x:v>
      </x:c>
      <x:c r="H280" s="34" t="n">
        <x:v>46078.552083333336</x:v>
      </x:c>
      <x:c r="I280" s="34" t="n">
        <x:v>46078.552083333336</x:v>
      </x:c>
    </x:row>
    <x:row r="281">
      <x:c r="A281" s="15" t="str">
        <x:v>338139,04294887007</x:v>
      </x:c>
      <x:c r="B281" s="15" t="str">
        <x:v>Inflow</x:v>
      </x:c>
      <x:c r="C281" s="15" t="str">
        <x:v>Sales / customer receipts</x:v>
      </x:c>
      <x:c r="D281" s="38" t="n">
        <x:v>500</x:v>
      </x:c>
      <x:c r="E281" s="38" t="n">
        <x:v>0</x:v>
      </x:c>
      <x:c r="F281" s="38" t="n">
        <x:v>500</x:v>
      </x:c>
      <x:c r="G281" s="15" t="n">
        <x:v>1</x:v>
      </x:c>
      <x:c r="H281" s="34" t="n">
        <x:v>46078.75625</x:v>
      </x:c>
      <x:c r="I281" s="34" t="n">
        <x:v>46078.75625</x:v>
      </x:c>
    </x:row>
    <x:row r="282">
      <x:c r="A282" s="15" t="str">
        <x:v>Electricity</x:v>
      </x:c>
      <x:c r="B282" s="15" t="str">
        <x:v>Outflow</x:v>
      </x:c>
      <x:c r="C282" s="15" t="str">
        <x:v>Telecom / utilities</x:v>
      </x:c>
      <x:c r="D282" s="38" t="n">
        <x:v>0</x:v>
      </x:c>
      <x:c r="E282" s="38" t="n">
        <x:v>500</x:v>
      </x:c>
      <x:c r="F282" s="38" t="n">
        <x:v>-500</x:v>
      </x:c>
      <x:c r="G282" s="15" t="n">
        <x:v>1</x:v>
      </x:c>
      <x:c r="H282" s="34" t="n">
        <x:v>46078.75763888889</x:v>
      </x:c>
      <x:c r="I282" s="34" t="n">
        <x:v>46078.75763888889</x:v>
      </x:c>
    </x:row>
    <x:row r="283">
      <x:c r="A283" s="15" t="str">
        <x:v>Engen Hectorspruit</x:v>
      </x:c>
      <x:c r="B283" s="15" t="str">
        <x:v>Outflow</x:v>
      </x:c>
      <x:c r="C283" s="15" t="str">
        <x:v>Fuel / transport</x:v>
      </x:c>
      <x:c r="D283" s="38" t="n">
        <x:v>0</x:v>
      </x:c>
      <x:c r="E283" s="38" t="n">
        <x:v>500</x:v>
      </x:c>
      <x:c r="F283" s="38" t="n">
        <x:v>-500</x:v>
      </x:c>
      <x:c r="G283" s="15" t="n">
        <x:v>2</x:v>
      </x:c>
      <x:c r="H283" s="34" t="n">
        <x:v>46034.510416666664</x:v>
      </x:c>
      <x:c r="I283" s="34" t="n">
        <x:v>46142.64861111111</x:v>
      </x:c>
    </x:row>
    <x:row r="284">
      <x:c r="A284" s="15" t="str">
        <x:v>Engen Prime Corner C</x:v>
      </x:c>
      <x:c r="B284" s="15" t="str">
        <x:v>Outflow</x:v>
      </x:c>
      <x:c r="C284" s="15" t="str">
        <x:v>Fuel / transport</x:v>
      </x:c>
      <x:c r="D284" s="38" t="n">
        <x:v>0</x:v>
      </x:c>
      <x:c r="E284" s="38" t="n">
        <x:v>500</x:v>
      </x:c>
      <x:c r="F284" s="38" t="n">
        <x:v>-500</x:v>
      </x:c>
      <x:c r="G284" s="15" t="n">
        <x:v>1</x:v>
      </x:c>
      <x:c r="H284" s="34" t="n">
        <x:v>46056.54375</x:v>
      </x:c>
      <x:c r="I284" s="34" t="n">
        <x:v>46056.54375</x:v>
      </x:c>
    </x:row>
    <x:row r="285">
      <x:c r="A285" s="15" t="str">
        <x:v>Kpci - C1736 April</x:v>
      </x:c>
      <x:c r="B285" s="15" t="str">
        <x:v>Outflow</x:v>
      </x:c>
      <x:c r="C285" s="15" t="str">
        <x:v>Supplier payments</x:v>
      </x:c>
      <x:c r="D285" s="38" t="n">
        <x:v>0</x:v>
      </x:c>
      <x:c r="E285" s="38" t="n">
        <x:v>500</x:v>
      </x:c>
      <x:c r="F285" s="38" t="n">
        <x:v>-500</x:v>
      </x:c>
      <x:c r="G285" s="15" t="n">
        <x:v>1</x:v>
      </x:c>
      <x:c r="H285" s="34" t="n">
        <x:v>46112.37569444445</x:v>
      </x:c>
      <x:c r="I285" s="34" t="n">
        <x:v>46112.37569444445</x:v>
      </x:c>
    </x:row>
    <x:row r="286">
      <x:c r="A286" s="15" t="str">
        <x:v>Kpci - C1736 Feb</x:v>
      </x:c>
      <x:c r="B286" s="15" t="str">
        <x:v>Outflow</x:v>
      </x:c>
      <x:c r="C286" s="15" t="str">
        <x:v>Supplier payments</x:v>
      </x:c>
      <x:c r="D286" s="38" t="n">
        <x:v>0</x:v>
      </x:c>
      <x:c r="E286" s="38" t="n">
        <x:v>500</x:v>
      </x:c>
      <x:c r="F286" s="38" t="n">
        <x:v>-500</x:v>
      </x:c>
      <x:c r="G286" s="15" t="n">
        <x:v>1</x:v>
      </x:c>
      <x:c r="H286" s="34" t="n">
        <x:v>46055.41527777778</x:v>
      </x:c>
      <x:c r="I286" s="34" t="n">
        <x:v>46055.41527777778</x:v>
      </x:c>
    </x:row>
    <x:row r="287">
      <x:c r="A287" s="15" t="str">
        <x:v>Kpci - C1736 March</x:v>
      </x:c>
      <x:c r="B287" s="15" t="str">
        <x:v>Outflow</x:v>
      </x:c>
      <x:c r="C287" s="15" t="str">
        <x:v>Supplier payments</x:v>
      </x:c>
      <x:c r="D287" s="38" t="n">
        <x:v>0</x:v>
      </x:c>
      <x:c r="E287" s="38" t="n">
        <x:v>500</x:v>
      </x:c>
      <x:c r="F287" s="38" t="n">
        <x:v>-500</x:v>
      </x:c>
      <x:c r="G287" s="15" t="n">
        <x:v>1</x:v>
      </x:c>
      <x:c r="H287" s="34" t="n">
        <x:v>46083.61111111111</x:v>
      </x:c>
      <x:c r="I287" s="34" t="n">
        <x:v>46083.61111111111</x:v>
      </x:c>
    </x:row>
    <x:row r="288">
      <x:c r="A288" s="15" t="str">
        <x:v>Spur Fern Valley</x:v>
      </x:c>
      <x:c r="B288" s="15" t="str">
        <x:v>Outflow</x:v>
      </x:c>
      <x:c r="C288" s="15" t="str">
        <x:v>Card spend</x:v>
      </x:c>
      <x:c r="D288" s="38" t="n">
        <x:v>0</x:v>
      </x:c>
      <x:c r="E288" s="38" t="n">
        <x:v>490</x:v>
      </x:c>
      <x:c r="F288" s="38" t="n">
        <x:v>-490</x:v>
      </x:c>
      <x:c r="G288" s="15" t="n">
        <x:v>1</x:v>
      </x:c>
      <x:c r="H288" s="34" t="n">
        <x:v>46042.856944444444</x:v>
      </x:c>
      <x:c r="I288" s="34" t="n">
        <x:v>46042.856944444444</x:v>
      </x:c>
    </x:row>
    <x:row r="289">
      <x:c r="A289" s="15" t="str">
        <x:v>Lebombo 24/01/2026</x:v>
      </x:c>
      <x:c r="B289" s="15" t="str">
        <x:v>Outflow</x:v>
      </x:c>
      <x:c r="C289" s="15" t="str">
        <x:v>Supplier payments</x:v>
      </x:c>
      <x:c r="D289" s="38" t="n">
        <x:v>0</x:v>
      </x:c>
      <x:c r="E289" s="38" t="n">
        <x:v>450</x:v>
      </x:c>
      <x:c r="F289" s="38" t="n">
        <x:v>-450</x:v>
      </x:c>
      <x:c r="G289" s="15" t="n">
        <x:v>1</x:v>
      </x:c>
      <x:c r="H289" s="34" t="n">
        <x:v>46078.55138888889</x:v>
      </x:c>
      <x:c r="I289" s="34" t="n">
        <x:v>46078.55138888889</x:v>
      </x:c>
    </x:row>
    <x:row r="290">
      <x:c r="A290" s="15" t="str">
        <x:v>Laundry Bigbay</x:v>
      </x:c>
      <x:c r="B290" s="15" t="str">
        <x:v>Outflow</x:v>
      </x:c>
      <x:c r="C290" s="15" t="str">
        <x:v>Supplier payments</x:v>
      </x:c>
      <x:c r="D290" s="38" t="n">
        <x:v>0</x:v>
      </x:c>
      <x:c r="E290" s="38" t="n">
        <x:v>442.25</x:v>
      </x:c>
      <x:c r="F290" s="38" t="n">
        <x:v>-442.25</x:v>
      </x:c>
      <x:c r="G290" s="15" t="n">
        <x:v>1</x:v>
      </x:c>
      <x:c r="H290" s="34" t="n">
        <x:v>46058.38333333333</x:v>
      </x:c>
      <x:c r="I290" s="34" t="n">
        <x:v>46058.38333333333</x:v>
      </x:c>
    </x:row>
    <x:row r="291">
      <x:c r="A291" s="15" t="str">
        <x:v>The Water Well Bu136</x:v>
      </x:c>
      <x:c r="B291" s="15" t="str">
        <x:v>Outflow</x:v>
      </x:c>
      <x:c r="C291" s="15" t="str">
        <x:v>Card spend</x:v>
      </x:c>
      <x:c r="D291" s="38" t="n">
        <x:v>0</x:v>
      </x:c>
      <x:c r="E291" s="38" t="n">
        <x:v>435</x:v>
      </x:c>
      <x:c r="F291" s="38" t="n">
        <x:v>-435</x:v>
      </x:c>
      <x:c r="G291" s="15" t="n">
        <x:v>1</x:v>
      </x:c>
      <x:c r="H291" s="34" t="n">
        <x:v>46041.62291666667</x:v>
      </x:c>
      <x:c r="I291" s="34" t="n">
        <x:v>46041.62291666667</x:v>
      </x:c>
    </x:row>
    <x:row r="292">
      <x:c r="A292" s="15" t="str">
        <x:v>The Crazy Store Koma</x:v>
      </x:c>
      <x:c r="B292" s="15" t="str">
        <x:v>Outflow</x:v>
      </x:c>
      <x:c r="C292" s="15" t="str">
        <x:v>Card spend</x:v>
      </x:c>
      <x:c r="D292" s="38" t="n">
        <x:v>0</x:v>
      </x:c>
      <x:c r="E292" s="38" t="n">
        <x:v>432.75</x:v>
      </x:c>
      <x:c r="F292" s="38" t="n">
        <x:v>-432.75</x:v>
      </x:c>
      <x:c r="G292" s="15" t="n">
        <x:v>2</x:v>
      </x:c>
      <x:c r="H292" s="34" t="n">
        <x:v>46119.600694444445</x:v>
      </x:c>
      <x:c r="I292" s="34" t="n">
        <x:v>46137.52777777778</x:v>
      </x:c>
    </x:row>
    <x:row r="293">
      <x:c r="A293" s="15" t="str">
        <x:v>Border Butchery 265</x:v>
      </x:c>
      <x:c r="B293" s="15" t="str">
        <x:v>Outflow</x:v>
      </x:c>
      <x:c r="C293" s="15" t="str">
        <x:v>Supplier payments</x:v>
      </x:c>
      <x:c r="D293" s="38" t="n">
        <x:v>0</x:v>
      </x:c>
      <x:c r="E293" s="38" t="n">
        <x:v>421.35</x:v>
      </x:c>
      <x:c r="F293" s="38" t="n">
        <x:v>-421.35</x:v>
      </x:c>
      <x:c r="G293" s="15" t="n">
        <x:v>2</x:v>
      </x:c>
      <x:c r="H293" s="34" t="n">
        <x:v>45979.506944444445</x:v>
      </x:c>
      <x:c r="I293" s="34" t="n">
        <x:v>45982.575</x:v>
      </x:c>
    </x:row>
    <x:row r="294">
      <x:c r="A294" s="15" t="str">
        <x:v>Ik *park Horizons Pt</x:v>
      </x:c>
      <x:c r="B294" s="15" t="str">
        <x:v>Outflow</x:v>
      </x:c>
      <x:c r="C294" s="15" t="str">
        <x:v>Card spend</x:v>
      </x:c>
      <x:c r="D294" s="38" t="n">
        <x:v>0</x:v>
      </x:c>
      <x:c r="E294" s="38" t="n">
        <x:v>420</x:v>
      </x:c>
      <x:c r="F294" s="38" t="n">
        <x:v>-420</x:v>
      </x:c>
      <x:c r="G294" s="15" t="n">
        <x:v>1</x:v>
      </x:c>
      <x:c r="H294" s="34" t="n">
        <x:v>46178.82083333333</x:v>
      </x:c>
      <x:c r="I294" s="34" t="n">
        <x:v>46178.82083333333</x:v>
      </x:c>
    </x:row>
    <x:row r="295">
      <x:c r="A295" s="15" t="str">
        <x:v>Sqsp* Domain</x:v>
      </x:c>
      <x:c r="B295" s="15" t="str">
        <x:v>Outflow</x:v>
      </x:c>
      <x:c r="C295" s="15" t="str">
        <x:v>Software / subscriptions</x:v>
      </x:c>
      <x:c r="D295" s="38" t="n">
        <x:v>0</x:v>
      </x:c>
      <x:c r="E295" s="38" t="n">
        <x:v>419.34</x:v>
      </x:c>
      <x:c r="F295" s="38" t="n">
        <x:v>-419.34</x:v>
      </x:c>
      <x:c r="G295" s="15" t="n">
        <x:v>1</x:v>
      </x:c>
      <x:c r="H295" s="34" t="n">
        <x:v>46054.819444444445</x:v>
      </x:c>
      <x:c r="I295" s="34" t="n">
        <x:v>46054.819444444445</x:v>
      </x:c>
    </x:row>
    <x:row r="296">
      <x:c r="A296" s="15" t="str">
        <x:v>Engen Komatipoort</x:v>
      </x:c>
      <x:c r="B296" s="15" t="str">
        <x:v>Outflow</x:v>
      </x:c>
      <x:c r="C296" s="15" t="str">
        <x:v>Fuel / transport</x:v>
      </x:c>
      <x:c r="D296" s="38" t="n">
        <x:v>0</x:v>
      </x:c>
      <x:c r="E296" s="38" t="n">
        <x:v>400</x:v>
      </x:c>
      <x:c r="F296" s="38" t="n">
        <x:v>-400</x:v>
      </x:c>
      <x:c r="G296" s="15" t="n">
        <x:v>1</x:v>
      </x:c>
      <x:c r="H296" s="34" t="n">
        <x:v>45931.08541666667</x:v>
      </x:c>
      <x:c r="I296" s="34" t="n">
        <x:v>45931.08541666667</x:v>
      </x:c>
    </x:row>
    <x:row r="297">
      <x:c r="A297" s="15" t="str">
        <x:v>Hokaai Fuels</x:v>
      </x:c>
      <x:c r="B297" s="15" t="str">
        <x:v>Outflow</x:v>
      </x:c>
      <x:c r="C297" s="15" t="str">
        <x:v>Fuel / transport</x:v>
      </x:c>
      <x:c r="D297" s="38" t="n">
        <x:v>0</x:v>
      </x:c>
      <x:c r="E297" s="38" t="n">
        <x:v>400</x:v>
      </x:c>
      <x:c r="F297" s="38" t="n">
        <x:v>-400</x:v>
      </x:c>
      <x:c r="G297" s="15" t="n">
        <x:v>1</x:v>
      </x:c>
      <x:c r="H297" s="34" t="n">
        <x:v>46187.600694444445</x:v>
      </x:c>
      <x:c r="I297" s="34" t="n">
        <x:v>46187.600694444445</x:v>
      </x:c>
    </x:row>
    <x:row r="298">
      <x:c r="A298" s="15" t="str">
        <x:v>Ingwe Supermarket</x:v>
      </x:c>
      <x:c r="B298" s="15" t="str">
        <x:v>Outflow</x:v>
      </x:c>
      <x:c r="C298" s="15" t="str">
        <x:v>Card spend</x:v>
      </x:c>
      <x:c r="D298" s="38" t="n">
        <x:v>0</x:v>
      </x:c>
      <x:c r="E298" s="38" t="n">
        <x:v>392.33</x:v>
      </x:c>
      <x:c r="F298" s="38" t="n">
        <x:v>-392.33</x:v>
      </x:c>
      <x:c r="G298" s="15" t="n">
        <x:v>2</x:v>
      </x:c>
      <x:c r="H298" s="34" t="n">
        <x:v>46090.62708333333</x:v>
      </x:c>
      <x:c r="I298" s="34" t="n">
        <x:v>46095.58263888889</x:v>
      </x:c>
    </x:row>
    <x:row r="299">
      <x:c r="A299" s="15" t="str">
        <x:v>Bon Express 007623</x:v>
      </x:c>
      <x:c r="B299" s="15" t="str">
        <x:v>Outflow</x:v>
      </x:c>
      <x:c r="C299" s="15" t="str">
        <x:v>Supplier payments</x:v>
      </x:c>
      <x:c r="D299" s="38" t="n">
        <x:v>0</x:v>
      </x:c>
      <x:c r="E299" s="38" t="n">
        <x:v>380.65</x:v>
      </x:c>
      <x:c r="F299" s="38" t="n">
        <x:v>-380.65</x:v>
      </x:c>
      <x:c r="G299" s="15" t="n">
        <x:v>1</x:v>
      </x:c>
      <x:c r="H299" s="34" t="n">
        <x:v>46065.43194444444</x:v>
      </x:c>
      <x:c r="I299" s="34" t="n">
        <x:v>46065.43194444444</x:v>
      </x:c>
    </x:row>
    <x:row r="300">
      <x:c r="A300" s="15" t="str">
        <x:v>Machado Tap N Go</x:v>
      </x:c>
      <x:c r="B300" s="15" t="str">
        <x:v>Outflow</x:v>
      </x:c>
      <x:c r="C300" s="15" t="str">
        <x:v>Card spend</x:v>
      </x:c>
      <x:c r="D300" s="38" t="n">
        <x:v>0</x:v>
      </x:c>
      <x:c r="E300" s="38" t="n">
        <x:v>374</x:v>
      </x:c>
      <x:c r="F300" s="38" t="n">
        <x:v>-374</x:v>
      </x:c>
      <x:c r="G300" s="15" t="n">
        <x:v>3</x:v>
      </x:c>
      <x:c r="H300" s="34" t="n">
        <x:v>45919.433333333334</x:v>
      </x:c>
      <x:c r="I300" s="34" t="n">
        <x:v>46188.43541666667</x:v>
      </x:c>
    </x:row>
    <x:row r="301">
      <x:c r="A301" s="15" t="str">
        <x:v>Riviera Cash N Carry</x:v>
      </x:c>
      <x:c r="B301" s="15" t="str">
        <x:v>Outflow</x:v>
      </x:c>
      <x:c r="C301" s="15" t="str">
        <x:v>Cash withdrawal</x:v>
      </x:c>
      <x:c r="D301" s="38" t="n">
        <x:v>0</x:v>
      </x:c>
      <x:c r="E301" s="38" t="n">
        <x:v>369.94</x:v>
      </x:c>
      <x:c r="F301" s="38" t="n">
        <x:v>-369.94</x:v>
      </x:c>
      <x:c r="G301" s="15" t="n">
        <x:v>1</x:v>
      </x:c>
      <x:c r="H301" s="34" t="n">
        <x:v>45975.50833333333</x:v>
      </x:c>
      <x:c r="I301" s="34" t="n">
        <x:v>45975.50833333333</x:v>
      </x:c>
    </x:row>
    <x:row r="302">
      <x:c r="A302" s="15" t="str">
        <x:v>Bon Express 008340</x:v>
      </x:c>
      <x:c r="B302" s="15" t="str">
        <x:v>Outflow</x:v>
      </x:c>
      <x:c r="C302" s="15" t="str">
        <x:v>Supplier payments</x:v>
      </x:c>
      <x:c r="D302" s="38" t="n">
        <x:v>0</x:v>
      </x:c>
      <x:c r="E302" s="38" t="n">
        <x:v>345.4</x:v>
      </x:c>
      <x:c r="F302" s="38" t="n">
        <x:v>-345.4</x:v>
      </x:c>
      <x:c r="G302" s="15" t="n">
        <x:v>1</x:v>
      </x:c>
      <x:c r="H302" s="34" t="n">
        <x:v>46153.40347222222</x:v>
      </x:c>
      <x:c r="I302" s="34" t="n">
        <x:v>46153.40347222222</x:v>
      </x:c>
    </x:row>
    <x:row r="303">
      <x:c r="A303" s="15" t="str">
        <x:v>Bon Express 007661</x:v>
      </x:c>
      <x:c r="B303" s="15" t="str">
        <x:v>Outflow</x:v>
      </x:c>
      <x:c r="C303" s="15" t="str">
        <x:v>Supplier payments</x:v>
      </x:c>
      <x:c r="D303" s="38" t="n">
        <x:v>0</x:v>
      </x:c>
      <x:c r="E303" s="38" t="n">
        <x:v>345</x:v>
      </x:c>
      <x:c r="F303" s="38" t="n">
        <x:v>-345</x:v>
      </x:c>
      <x:c r="G303" s="15" t="n">
        <x:v>1</x:v>
      </x:c>
      <x:c r="H303" s="34" t="n">
        <x:v>46065.43194444444</x:v>
      </x:c>
      <x:c r="I303" s="34" t="n">
        <x:v>46065.43194444444</x:v>
      </x:c>
    </x:row>
    <x:row r="304">
      <x:c r="A304" s="15" t="str">
        <x:v>Sparkling Auto Nelsp</x:v>
      </x:c>
      <x:c r="B304" s="15" t="str">
        <x:v>Outflow</x:v>
      </x:c>
      <x:c r="C304" s="15" t="str">
        <x:v>Supplier payments</x:v>
      </x:c>
      <x:c r="D304" s="38" t="n">
        <x:v>0</x:v>
      </x:c>
      <x:c r="E304" s="38" t="n">
        <x:v>340</x:v>
      </x:c>
      <x:c r="F304" s="38" t="n">
        <x:v>-340</x:v>
      </x:c>
      <x:c r="G304" s="15" t="n">
        <x:v>2</x:v>
      </x:c>
      <x:c r="H304" s="34" t="n">
        <x:v>45981.42916666667</x:v>
      </x:c>
      <x:c r="I304" s="34" t="n">
        <x:v>46056.48263888889</x:v>
      </x:c>
    </x:row>
    <x:row r="305">
      <x:c r="A305" s="15" t="str">
        <x:v>Waterkloof Gas 10355</x:v>
      </x:c>
      <x:c r="B305" s="15" t="str">
        <x:v>Outflow</x:v>
      </x:c>
      <x:c r="C305" s="15" t="str">
        <x:v>Supplier payments</x:v>
      </x:c>
      <x:c r="D305" s="38" t="n">
        <x:v>0</x:v>
      </x:c>
      <x:c r="E305" s="38" t="n">
        <x:v>325</x:v>
      </x:c>
      <x:c r="F305" s="38" t="n">
        <x:v>-325</x:v>
      </x:c>
      <x:c r="G305" s="15" t="n">
        <x:v>1</x:v>
      </x:c>
      <x:c r="H305" s="34" t="n">
        <x:v>46027.388194444444</x:v>
      </x:c>
      <x:c r="I305" s="34" t="n">
        <x:v>46027.388194444444</x:v>
      </x:c>
    </x:row>
    <x:row r="306">
      <x:c r="A306" s="15" t="str">
        <x:v>Waterkloofgas 236</x:v>
      </x:c>
      <x:c r="B306" s="15" t="str">
        <x:v>Outflow</x:v>
      </x:c>
      <x:c r="C306" s="15" t="str">
        <x:v>Card spend</x:v>
      </x:c>
      <x:c r="D306" s="38" t="n">
        <x:v>0</x:v>
      </x:c>
      <x:c r="E306" s="38" t="n">
        <x:v>321</x:v>
      </x:c>
      <x:c r="F306" s="38" t="n">
        <x:v>-321</x:v>
      </x:c>
      <x:c r="G306" s="15" t="n">
        <x:v>1</x:v>
      </x:c>
      <x:c r="H306" s="34" t="n">
        <x:v>45987.50902777778</x:v>
      </x:c>
      <x:c r="I306" s="34" t="n">
        <x:v>45987.50902777778</x:v>
      </x:c>
    </x:row>
    <x:row r="307">
      <x:c r="A307" s="15" t="str">
        <x:v>Ae Millys</x:v>
      </x:c>
      <x:c r="B307" s="15" t="str">
        <x:v>Outflow</x:v>
      </x:c>
      <x:c r="C307" s="15" t="str">
        <x:v>Card spend</x:v>
      </x:c>
      <x:c r="D307" s="38" t="n">
        <x:v>0</x:v>
      </x:c>
      <x:c r="E307" s="38" t="n">
        <x:v>300</x:v>
      </x:c>
      <x:c r="F307" s="38" t="n">
        <x:v>-300</x:v>
      </x:c>
      <x:c r="G307" s="15" t="n">
        <x:v>1</x:v>
      </x:c>
      <x:c r="H307" s="34" t="n">
        <x:v>46183.52569444444</x:v>
      </x:c>
      <x:c r="I307" s="34" t="n">
        <x:v>46183.52569444444</x:v>
      </x:c>
    </x:row>
    <x:row r="308">
      <x:c r="A308" s="15" t="str">
        <x:v>Deon"s Diy</x:v>
      </x:c>
      <x:c r="B308" s="15" t="str">
        <x:v>Outflow</x:v>
      </x:c>
      <x:c r="C308" s="15" t="str">
        <x:v>Supplier payments</x:v>
      </x:c>
      <x:c r="D308" s="38" t="n">
        <x:v>0</x:v>
      </x:c>
      <x:c r="E308" s="38" t="n">
        <x:v>300</x:v>
      </x:c>
      <x:c r="F308" s="38" t="n">
        <x:v>-300</x:v>
      </x:c>
      <x:c r="G308" s="15" t="n">
        <x:v>1</x:v>
      </x:c>
      <x:c r="H308" s="34" t="n">
        <x:v>46055.416666666664</x:v>
      </x:c>
      <x:c r="I308" s="34" t="n">
        <x:v>46055.416666666664</x:v>
      </x:c>
    </x:row>
    <x:row r="309">
      <x:c r="A309" s="15" t="str">
        <x:v>Deon"s Diy 4193</x:v>
      </x:c>
      <x:c r="B309" s="15" t="str">
        <x:v>Outflow</x:v>
      </x:c>
      <x:c r="C309" s="15" t="str">
        <x:v>Supplier payments</x:v>
      </x:c>
      <x:c r="D309" s="38" t="n">
        <x:v>0</x:v>
      </x:c>
      <x:c r="E309" s="38" t="n">
        <x:v>300</x:v>
      </x:c>
      <x:c r="F309" s="38" t="n">
        <x:v>-300</x:v>
      </x:c>
      <x:c r="G309" s="15" t="n">
        <x:v>1</x:v>
      </x:c>
      <x:c r="H309" s="34" t="n">
        <x:v>45932.48402777778</x:v>
      </x:c>
      <x:c r="I309" s="34" t="n">
        <x:v>45932.48402777778</x:v>
      </x:c>
    </x:row>
    <x:row r="310">
      <x:c r="A310" s="15" t="str">
        <x:v>Deon"s Diy 4377</x:v>
      </x:c>
      <x:c r="B310" s="15" t="str">
        <x:v>Outflow</x:v>
      </x:c>
      <x:c r="C310" s="15" t="str">
        <x:v>Supplier payments</x:v>
      </x:c>
      <x:c r="D310" s="38" t="n">
        <x:v>0</x:v>
      </x:c>
      <x:c r="E310" s="38" t="n">
        <x:v>300</x:v>
      </x:c>
      <x:c r="F310" s="38" t="n">
        <x:v>-300</x:v>
      </x:c>
      <x:c r="G310" s="15" t="n">
        <x:v>1</x:v>
      </x:c>
      <x:c r="H310" s="34" t="n">
        <x:v>46028.77777777778</x:v>
      </x:c>
      <x:c r="I310" s="34" t="n">
        <x:v>46028.77777777778</x:v>
      </x:c>
    </x:row>
    <x:row r="311">
      <x:c r="A311" s="15" t="str">
        <x:v>Bon Express 008072</x:v>
      </x:c>
      <x:c r="B311" s="15" t="str">
        <x:v>Outflow</x:v>
      </x:c>
      <x:c r="C311" s="15" t="str">
        <x:v>Supplier payments</x:v>
      </x:c>
      <x:c r="D311" s="38" t="n">
        <x:v>0</x:v>
      </x:c>
      <x:c r="E311" s="38" t="n">
        <x:v>284.17</x:v>
      </x:c>
      <x:c r="F311" s="38" t="n">
        <x:v>-284.17</x:v>
      </x:c>
      <x:c r="G311" s="15" t="n">
        <x:v>1</x:v>
      </x:c>
      <x:c r="H311" s="34" t="n">
        <x:v>46113.427083333336</x:v>
      </x:c>
      <x:c r="I311" s="34" t="n">
        <x:v>46113.427083333336</x:v>
      </x:c>
    </x:row>
    <x:row r="312">
      <x:c r="A312" s="15" t="str">
        <x:v>Warner</x:v>
      </x:c>
      <x:c r="B312" s="15" t="str">
        <x:v>Inflow</x:v>
      </x:c>
      <x:c r="C312" s="15" t="str">
        <x:v>Sales / customer receipts</x:v>
      </x:c>
      <x:c r="D312" s="38" t="n">
        <x:v>257.18</x:v>
      </x:c>
      <x:c r="E312" s="38" t="n">
        <x:v>0</x:v>
      </x:c>
      <x:c r="F312" s="38" t="n">
        <x:v>257.18</x:v>
      </x:c>
      <x:c r="G312" s="15" t="n">
        <x:v>1</x:v>
      </x:c>
      <x:c r="H312" s="34" t="n">
        <x:v>46055.626388888886</x:v>
      </x:c>
      <x:c r="I312" s="34" t="n">
        <x:v>46055.626388888886</x:v>
      </x:c>
    </x:row>
    <x:row r="313">
      <x:c r="A313" s="15" t="str">
        <x:v>Bon Express 006772</x:v>
      </x:c>
      <x:c r="B313" s="15" t="str">
        <x:v>Outflow</x:v>
      </x:c>
      <x:c r="C313" s="15" t="str">
        <x:v>Supplier payments</x:v>
      </x:c>
      <x:c r="D313" s="38" t="n">
        <x:v>0</x:v>
      </x:c>
      <x:c r="E313" s="38" t="n">
        <x:v>255.76</x:v>
      </x:c>
      <x:c r="F313" s="38" t="n">
        <x:v>-255.76</x:v>
      </x:c>
      <x:c r="G313" s="15" t="n">
        <x:v>1</x:v>
      </x:c>
      <x:c r="H313" s="34" t="n">
        <x:v>45944.42013888889</x:v>
      </x:c>
      <x:c r="I313" s="34" t="n">
        <x:v>45944.42013888889</x:v>
      </x:c>
    </x:row>
    <x:row r="314">
      <x:c r="A314" s="15" t="str">
        <x:v>Bon Express 006962</x:v>
      </x:c>
      <x:c r="B314" s="15" t="str">
        <x:v>Outflow</x:v>
      </x:c>
      <x:c r="C314" s="15" t="str">
        <x:v>Supplier payments</x:v>
      </x:c>
      <x:c r="D314" s="38" t="n">
        <x:v>0</x:v>
      </x:c>
      <x:c r="E314" s="38" t="n">
        <x:v>255.76</x:v>
      </x:c>
      <x:c r="F314" s="38" t="n">
        <x:v>-255.76</x:v>
      </x:c>
      <x:c r="G314" s="15" t="n">
        <x:v>1</x:v>
      </x:c>
      <x:c r="H314" s="34" t="n">
        <x:v>45971.57083333333</x:v>
      </x:c>
      <x:c r="I314" s="34" t="n">
        <x:v>45971.57083333333</x:v>
      </x:c>
    </x:row>
    <x:row r="315">
      <x:c r="A315" s="15" t="str">
        <x:v>At Wild Butchery 133</x:v>
      </x:c>
      <x:c r="B315" s="15" t="str">
        <x:v>Outflow</x:v>
      </x:c>
      <x:c r="C315" s="15" t="str">
        <x:v>Supplier payments</x:v>
      </x:c>
      <x:c r="D315" s="38" t="n">
        <x:v>0</x:v>
      </x:c>
      <x:c r="E315" s="38" t="n">
        <x:v>251.4</x:v>
      </x:c>
      <x:c r="F315" s="38" t="n">
        <x:v>-251.4</x:v>
      </x:c>
      <x:c r="G315" s="15" t="n">
        <x:v>2</x:v>
      </x:c>
      <x:c r="H315" s="34" t="n">
        <x:v>46044.64861111111</x:v>
      </x:c>
      <x:c r="I315" s="34" t="n">
        <x:v>46098.55138888889</x:v>
      </x:c>
    </x:row>
    <x:row r="316">
      <x:c r="A316" s="15" t="str">
        <x:v>Absa Bush Centr</x:v>
      </x:c>
      <x:c r="B316" s="15" t="str">
        <x:v>Outflow</x:v>
      </x:c>
      <x:c r="C316" s="15" t="str">
        <x:v>Cash withdrawal</x:v>
      </x:c>
      <x:c r="D316" s="38" t="n">
        <x:v>0</x:v>
      </x:c>
      <x:c r="E316" s="38" t="n">
        <x:v>250</x:v>
      </x:c>
      <x:c r="F316" s="38" t="n">
        <x:v>-250</x:v>
      </x:c>
      <x:c r="G316" s="15" t="n">
        <x:v>1</x:v>
      </x:c>
      <x:c r="H316" s="34" t="n">
        <x:v>46174.63333333333</x:v>
      </x:c>
      <x:c r="I316" s="34" t="n">
        <x:v>46174.63333333333</x:v>
      </x:c>
    </x:row>
    <x:row r="317">
      <x:c r="A317" s="15" t="str">
        <x:v>Oasis Water 8830</x:v>
      </x:c>
      <x:c r="B317" s="15" t="str">
        <x:v>Outflow</x:v>
      </x:c>
      <x:c r="C317" s="15" t="str">
        <x:v>Supplier payments</x:v>
      </x:c>
      <x:c r="D317" s="38" t="n">
        <x:v>0</x:v>
      </x:c>
      <x:c r="E317" s="38" t="n">
        <x:v>240.2</x:v>
      </x:c>
      <x:c r="F317" s="38" t="n">
        <x:v>-240.2</x:v>
      </x:c>
      <x:c r="G317" s="15" t="n">
        <x:v>1</x:v>
      </x:c>
      <x:c r="H317" s="34" t="n">
        <x:v>46031.36736111111</x:v>
      </x:c>
      <x:c r="I317" s="34" t="n">
        <x:v>46031.36736111111</x:v>
      </x:c>
    </x:row>
    <x:row r="318">
      <x:c r="A318" s="15" t="str">
        <x:v>Liquorshop Komatipoo</x:v>
      </x:c>
      <x:c r="B318" s="15" t="str">
        <x:v>Outflow</x:v>
      </x:c>
      <x:c r="C318" s="15" t="str">
        <x:v>Meals / restaurants / entertainment</x:v>
      </x:c>
      <x:c r="D318" s="38" t="n">
        <x:v>0</x:v>
      </x:c>
      <x:c r="E318" s="38" t="n">
        <x:v>239.99</x:v>
      </x:c>
      <x:c r="F318" s="38" t="n">
        <x:v>-239.99</x:v>
      </x:c>
      <x:c r="G318" s="15" t="n">
        <x:v>1</x:v>
      </x:c>
      <x:c r="H318" s="34" t="n">
        <x:v>46164.597916666666</x:v>
      </x:c>
      <x:c r="I318" s="34" t="n">
        <x:v>46164.597916666666</x:v>
      </x:c>
    </x:row>
    <x:row r="319">
      <x:c r="A319" s="15" t="str">
        <x:v>Obaro Komatipoort</x:v>
      </x:c>
      <x:c r="B319" s="15" t="str">
        <x:v>Outflow</x:v>
      </x:c>
      <x:c r="C319" s="15" t="str">
        <x:v>Supplier payments</x:v>
      </x:c>
      <x:c r="D319" s="38" t="n">
        <x:v>0</x:v>
      </x:c>
      <x:c r="E319" s="38" t="n">
        <x:v>233</x:v>
      </x:c>
      <x:c r="F319" s="38" t="n">
        <x:v>-233</x:v>
      </x:c>
      <x:c r="G319" s="15" t="n">
        <x:v>1</x:v>
      </x:c>
      <x:c r="H319" s="34" t="n">
        <x:v>46064.549305555556</x:v>
      </x:c>
      <x:c r="I319" s="34" t="n">
        <x:v>46064.549305555556</x:v>
      </x:c>
    </x:row>
    <x:row r="320">
      <x:c r="A320" s="15" t="str">
        <x:v>Dream Lucky</x:v>
      </x:c>
      <x:c r="B320" s="15" t="str">
        <x:v>Outflow</x:v>
      </x:c>
      <x:c r="C320" s="15" t="str">
        <x:v>Card spend</x:v>
      </x:c>
      <x:c r="D320" s="38" t="n">
        <x:v>0</x:v>
      </x:c>
      <x:c r="E320" s="38" t="n">
        <x:v>223</x:v>
      </x:c>
      <x:c r="F320" s="38" t="n">
        <x:v>-223</x:v>
      </x:c>
      <x:c r="G320" s="15" t="n">
        <x:v>1</x:v>
      </x:c>
      <x:c r="H320" s="34" t="n">
        <x:v>45975.49166666667</x:v>
      </x:c>
      <x:c r="I320" s="34" t="n">
        <x:v>45975.49166666667</x:v>
      </x:c>
    </x:row>
    <x:row r="321">
      <x:c r="A321" s="15" t="str">
        <x:v>Smart Home</x:v>
      </x:c>
      <x:c r="B321" s="15" t="str">
        <x:v>Outflow</x:v>
      </x:c>
      <x:c r="C321" s="15" t="str">
        <x:v>Card spend</x:v>
      </x:c>
      <x:c r="D321" s="38" t="n">
        <x:v>0</x:v>
      </x:c>
      <x:c r="E321" s="38" t="n">
        <x:v>220</x:v>
      </x:c>
      <x:c r="F321" s="38" t="n">
        <x:v>-220</x:v>
      </x:c>
      <x:c r="G321" s="15" t="n">
        <x:v>1</x:v>
      </x:c>
      <x:c r="H321" s="34" t="n">
        <x:v>45975.47777777778</x:v>
      </x:c>
      <x:c r="I321" s="34" t="n">
        <x:v>45975.47777777778</x:v>
      </x:c>
    </x:row>
    <x:row r="322">
      <x:c r="A322" s="15" t="str">
        <x:v>Daisys Den 77</x:v>
      </x:c>
      <x:c r="B322" s="15" t="str">
        <x:v>Outflow</x:v>
      </x:c>
      <x:c r="C322" s="15" t="str">
        <x:v>Card spend</x:v>
      </x:c>
      <x:c r="D322" s="38" t="n">
        <x:v>0</x:v>
      </x:c>
      <x:c r="E322" s="38" t="n">
        <x:v>210</x:v>
      </x:c>
      <x:c r="F322" s="38" t="n">
        <x:v>-210</x:v>
      </x:c>
      <x:c r="G322" s="15" t="n">
        <x:v>1</x:v>
      </x:c>
      <x:c r="H322" s="34" t="n">
        <x:v>46030.64791666667</x:v>
      </x:c>
      <x:c r="I322" s="34" t="n">
        <x:v>46030.64791666667</x:v>
      </x:c>
    </x:row>
    <x:row r="323">
      <x:c r="A323" s="15" t="str">
        <x:v>Engen Malelane</x:v>
      </x:c>
      <x:c r="B323" s="15" t="str">
        <x:v>Outflow</x:v>
      </x:c>
      <x:c r="C323" s="15" t="str">
        <x:v>Fuel / transport</x:v>
      </x:c>
      <x:c r="D323" s="38" t="n">
        <x:v>0</x:v>
      </x:c>
      <x:c r="E323" s="38" t="n">
        <x:v>200.15</x:v>
      </x:c>
      <x:c r="F323" s="38" t="n">
        <x:v>-200.15</x:v>
      </x:c>
      <x:c r="G323" s="15" t="n">
        <x:v>1</x:v>
      </x:c>
      <x:c r="H323" s="34" t="n">
        <x:v>46188.549305555556</x:v>
      </x:c>
      <x:c r="I323" s="34" t="n">
        <x:v>46188.549305555556</x:v>
      </x:c>
    </x:row>
    <x:row r="324">
      <x:c r="A324" s="15" t="str">
        <x:v>Cash Ag18 3884 Olif</x:v>
      </x:c>
      <x:c r="B324" s="15" t="str">
        <x:v>Outflow</x:v>
      </x:c>
      <x:c r="C324" s="15" t="str">
        <x:v>Cash withdrawal</x:v>
      </x:c>
      <x:c r="D324" s="38" t="n">
        <x:v>0</x:v>
      </x:c>
      <x:c r="E324" s="38" t="n">
        <x:v>200</x:v>
      </x:c>
      <x:c r="F324" s="38" t="n">
        <x:v>-200</x:v>
      </x:c>
      <x:c r="G324" s="15" t="n">
        <x:v>1</x:v>
      </x:c>
      <x:c r="H324" s="34" t="n">
        <x:v>46064</x:v>
      </x:c>
      <x:c r="I324" s="34" t="n">
        <x:v>46064</x:v>
      </x:c>
    </x:row>
    <x:row r="325">
      <x:c r="A325" s="15" t="str">
        <x:v>Cash withdrawal reversal</x:v>
      </x:c>
      <x:c r="B325" s="15" t="str">
        <x:v>Inflow</x:v>
      </x:c>
      <x:c r="C325" s="15" t="str">
        <x:v>Refunds / reversals</x:v>
      </x:c>
      <x:c r="D325" s="38" t="n">
        <x:v>200</x:v>
      </x:c>
      <x:c r="E325" s="38" t="n">
        <x:v>0</x:v>
      </x:c>
      <x:c r="F325" s="38" t="n">
        <x:v>200</x:v>
      </x:c>
      <x:c r="G325" s="15" t="n">
        <x:v>1</x:v>
      </x:c>
      <x:c r="H325" s="34" t="n">
        <x:v>46060.53472222222</x:v>
      </x:c>
      <x:c r="I325" s="34" t="n">
        <x:v>46060.53472222222</x:v>
      </x:c>
    </x:row>
    <x:row r="326">
      <x:c r="A326" s="15" t="str">
        <x:v>Mascor Komatipoort F</x:v>
      </x:c>
      <x:c r="B326" s="15" t="str">
        <x:v>Outflow</x:v>
      </x:c>
      <x:c r="C326" s="15" t="str">
        <x:v>Card spend</x:v>
      </x:c>
      <x:c r="D326" s="38" t="n">
        <x:v>0</x:v>
      </x:c>
      <x:c r="E326" s="38" t="n">
        <x:v>200</x:v>
      </x:c>
      <x:c r="F326" s="38" t="n">
        <x:v>-200</x:v>
      </x:c>
      <x:c r="G326" s="15" t="n">
        <x:v>1</x:v>
      </x:c>
      <x:c r="H326" s="34" t="n">
        <x:v>46106.566666666666</x:v>
      </x:c>
      <x:c r="I326" s="34" t="n">
        <x:v>46106.566666666666</x:v>
      </x:c>
    </x:row>
    <x:row r="327">
      <x:c r="A327" s="15" t="str">
        <x:v>Rev Ag18 3884 Olif</x:v>
      </x:c>
      <x:c r="B327" s="15" t="str">
        <x:v>Inflow</x:v>
      </x:c>
      <x:c r="C327" s="15" t="str">
        <x:v>Sales / customer receipts</x:v>
      </x:c>
      <x:c r="D327" s="38" t="n">
        <x:v>200</x:v>
      </x:c>
      <x:c r="E327" s="38" t="n">
        <x:v>0</x:v>
      </x:c>
      <x:c r="F327" s="38" t="n">
        <x:v>200</x:v>
      </x:c>
      <x:c r="G327" s="15" t="n">
        <x:v>1</x:v>
      </x:c>
      <x:c r="H327" s="34" t="n">
        <x:v>46064</x:v>
      </x:c>
      <x:c r="I327" s="34" t="n">
        <x:v>46064</x:v>
      </x:c>
    </x:row>
    <x:row r="328">
      <x:c r="A328" s="15" t="str">
        <x:v>Pnp Fam Malelane</x:v>
      </x:c>
      <x:c r="B328" s="15" t="str">
        <x:v>Outflow</x:v>
      </x:c>
      <x:c r="C328" s="15" t="str">
        <x:v>Card spend</x:v>
      </x:c>
      <x:c r="D328" s="38" t="n">
        <x:v>0</x:v>
      </x:c>
      <x:c r="E328" s="38" t="n">
        <x:v>184.4</x:v>
      </x:c>
      <x:c r="F328" s="38" t="n">
        <x:v>-184.4</x:v>
      </x:c>
      <x:c r="G328" s="15" t="n">
        <x:v>1</x:v>
      </x:c>
      <x:c r="H328" s="34" t="n">
        <x:v>46018.49930555555</x:v>
      </x:c>
      <x:c r="I328" s="34" t="n">
        <x:v>46018.49930555555</x:v>
      </x:c>
    </x:row>
    <x:row r="329">
      <x:c r="A329" s="15" t="str">
        <x:v>Hpy*twin City Fabric</x:v>
      </x:c>
      <x:c r="B329" s="15" t="str">
        <x:v>Outflow</x:v>
      </x:c>
      <x:c r="C329" s="15" t="str">
        <x:v>Card spend</x:v>
      </x:c>
      <x:c r="D329" s="38" t="n">
        <x:v>0</x:v>
      </x:c>
      <x:c r="E329" s="38" t="n">
        <x:v>166.5</x:v>
      </x:c>
      <x:c r="F329" s="38" t="n">
        <x:v>-166.5</x:v>
      </x:c>
      <x:c r="G329" s="15" t="n">
        <x:v>1</x:v>
      </x:c>
      <x:c r="H329" s="34" t="n">
        <x:v>46087.48819444444</x:v>
      </x:c>
      <x:c r="I329" s="34" t="n">
        <x:v>46087.48819444444</x:v>
      </x:c>
    </x:row>
    <x:row r="330">
      <x:c r="A330" s="15" t="str">
        <x:v>524405,04294887007</x:v>
      </x:c>
      <x:c r="B330" s="15" t="str">
        <x:v>Inflow</x:v>
      </x:c>
      <x:c r="C330" s="15" t="str">
        <x:v>Sales / customer receipts</x:v>
      </x:c>
      <x:c r="D330" s="38" t="n">
        <x:v>150</x:v>
      </x:c>
      <x:c r="E330" s="38" t="n">
        <x:v>0</x:v>
      </x:c>
      <x:c r="F330" s="38" t="n">
        <x:v>150</x:v>
      </x:c>
      <x:c r="G330" s="15" t="n">
        <x:v>1</x:v>
      </x:c>
      <x:c r="H330" s="34" t="n">
        <x:v>46182.81736111111</x:v>
      </x:c>
      <x:c r="I330" s="34" t="n">
        <x:v>46182.81736111111</x:v>
      </x:c>
    </x:row>
    <x:row r="331">
      <x:c r="A331" s="15" t="str">
        <x:v>524745,04294887007</x:v>
      </x:c>
      <x:c r="B331" s="15" t="str">
        <x:v>Inflow</x:v>
      </x:c>
      <x:c r="C331" s="15" t="str">
        <x:v>Sales / customer receipts</x:v>
      </x:c>
      <x:c r="D331" s="38" t="n">
        <x:v>150</x:v>
      </x:c>
      <x:c r="E331" s="38" t="n">
        <x:v>0</x:v>
      </x:c>
      <x:c r="F331" s="38" t="n">
        <x:v>150</x:v>
      </x:c>
      <x:c r="G331" s="15" t="n">
        <x:v>1</x:v>
      </x:c>
      <x:c r="H331" s="34" t="n">
        <x:v>46182.81805555556</x:v>
      </x:c>
      <x:c r="I331" s="34" t="n">
        <x:v>46182.81805555556</x:v>
      </x:c>
    </x:row>
    <x:row r="332">
      <x:c r="A332" s="15" t="str">
        <x:v>Jabula Lodge 73</x:v>
      </x:c>
      <x:c r="B332" s="15" t="str">
        <x:v>Outflow</x:v>
      </x:c>
      <x:c r="C332" s="15" t="str">
        <x:v>Accommodation / hotels</x:v>
      </x:c>
      <x:c r="D332" s="38" t="n">
        <x:v>0</x:v>
      </x:c>
      <x:c r="E332" s="38" t="n">
        <x:v>150</x:v>
      </x:c>
      <x:c r="F332" s="38" t="n">
        <x:v>-150</x:v>
      </x:c>
      <x:c r="G332" s="15" t="n">
        <x:v>1</x:v>
      </x:c>
      <x:c r="H332" s="34" t="n">
        <x:v>46107.59097222222</x:v>
      </x:c>
      <x:c r="I332" s="34" t="n">
        <x:v>46107.59097222222</x:v>
      </x:c>
    </x:row>
    <x:row r="333">
      <x:c r="A333" s="15" t="str">
        <x:v>Bon Express 008267</x:v>
      </x:c>
      <x:c r="B333" s="15" t="str">
        <x:v>Outflow</x:v>
      </x:c>
      <x:c r="C333" s="15" t="str">
        <x:v>Supplier payments</x:v>
      </x:c>
      <x:c r="D333" s="38" t="n">
        <x:v>0</x:v>
      </x:c>
      <x:c r="E333" s="38" t="n">
        <x:v>142.08</x:v>
      </x:c>
      <x:c r="F333" s="38" t="n">
        <x:v>-142.08</x:v>
      </x:c>
      <x:c r="G333" s="15" t="n">
        <x:v>1</x:v>
      </x:c>
      <x:c r="H333" s="34" t="n">
        <x:v>46141.419444444444</x:v>
      </x:c>
      <x:c r="I333" s="34" t="n">
        <x:v>46141.419444444444</x:v>
      </x:c>
    </x:row>
    <x:row r="334">
      <x:c r="A334" s="15" t="str">
        <x:v>Bon Express 8018</x:v>
      </x:c>
      <x:c r="B334" s="15" t="str">
        <x:v>Outflow</x:v>
      </x:c>
      <x:c r="C334" s="15" t="str">
        <x:v>Supplier payments</x:v>
      </x:c>
      <x:c r="D334" s="38" t="n">
        <x:v>0</x:v>
      </x:c>
      <x:c r="E334" s="38" t="n">
        <x:v>142.08</x:v>
      </x:c>
      <x:c r="F334" s="38" t="n">
        <x:v>-142.08</x:v>
      </x:c>
      <x:c r="G334" s="15" t="n">
        <x:v>1</x:v>
      </x:c>
      <x:c r="H334" s="34" t="n">
        <x:v>46111.49513888889</x:v>
      </x:c>
      <x:c r="I334" s="34" t="n">
        <x:v>46111.49513888889</x:v>
      </x:c>
    </x:row>
    <x:row r="335">
      <x:c r="A335" s="15" t="str">
        <x:v>Ingwe Liquors 146</x:v>
      </x:c>
      <x:c r="B335" s="15" t="str">
        <x:v>Outflow</x:v>
      </x:c>
      <x:c r="C335" s="15" t="str">
        <x:v>Meals / restaurants / entertainment</x:v>
      </x:c>
      <x:c r="D335" s="38" t="n">
        <x:v>0</x:v>
      </x:c>
      <x:c r="E335" s="38" t="n">
        <x:v>142</x:v>
      </x:c>
      <x:c r="F335" s="38" t="n">
        <x:v>-142</x:v>
      </x:c>
      <x:c r="G335" s="15" t="n">
        <x:v>1</x:v>
      </x:c>
      <x:c r="H335" s="34" t="n">
        <x:v>45943.57708333333</x:v>
      </x:c>
      <x:c r="I335" s="34" t="n">
        <x:v>45943.57708333333</x:v>
      </x:c>
    </x:row>
    <x:row r="336">
      <x:c r="A336" s="15" t="str">
        <x:v>Boskombuis 116</x:v>
      </x:c>
      <x:c r="B336" s="15" t="str">
        <x:v>Outflow</x:v>
      </x:c>
      <x:c r="C336" s="15" t="str">
        <x:v>Card spend</x:v>
      </x:c>
      <x:c r="D336" s="38" t="n">
        <x:v>0</x:v>
      </x:c>
      <x:c r="E336" s="38" t="n">
        <x:v>134</x:v>
      </x:c>
      <x:c r="F336" s="38" t="n">
        <x:v>-134</x:v>
      </x:c>
      <x:c r="G336" s="15" t="n">
        <x:v>1</x:v>
      </x:c>
      <x:c r="H336" s="34" t="n">
        <x:v>46048.64097222222</x:v>
      </x:c>
      <x:c r="I336" s="34" t="n">
        <x:v>46048.64097222222</x:v>
      </x:c>
    </x:row>
    <x:row r="337">
      <x:c r="A337" s="15" t="str">
        <x:v>Bon Express 007757</x:v>
      </x:c>
      <x:c r="B337" s="15" t="str">
        <x:v>Outflow</x:v>
      </x:c>
      <x:c r="C337" s="15" t="str">
        <x:v>Supplier payments</x:v>
      </x:c>
      <x:c r="D337" s="38" t="n">
        <x:v>0</x:v>
      </x:c>
      <x:c r="E337" s="38" t="n">
        <x:v>132.25</x:v>
      </x:c>
      <x:c r="F337" s="38" t="n">
        <x:v>-132.25</x:v>
      </x:c>
      <x:c r="G337" s="15" t="n">
        <x:v>1</x:v>
      </x:c>
      <x:c r="H337" s="34" t="n">
        <x:v>46072.63055555556</x:v>
      </x:c>
      <x:c r="I337" s="34" t="n">
        <x:v>46072.63055555556</x:v>
      </x:c>
    </x:row>
    <x:row r="338">
      <x:c r="A338" s="15" t="str">
        <x:v>Bon Express 006708</x:v>
      </x:c>
      <x:c r="B338" s="15" t="str">
        <x:v>Outflow</x:v>
      </x:c>
      <x:c r="C338" s="15" t="str">
        <x:v>Supplier payments</x:v>
      </x:c>
      <x:c r="D338" s="38" t="n">
        <x:v>0</x:v>
      </x:c>
      <x:c r="E338" s="38" t="n">
        <x:v>127.88</x:v>
      </x:c>
      <x:c r="F338" s="38" t="n">
        <x:v>-127.88</x:v>
      </x:c>
      <x:c r="G338" s="15" t="n">
        <x:v>1</x:v>
      </x:c>
      <x:c r="H338" s="34" t="n">
        <x:v>45938.569444444445</x:v>
      </x:c>
      <x:c r="I338" s="34" t="n">
        <x:v>45938.569444444445</x:v>
      </x:c>
    </x:row>
    <x:row r="339">
      <x:c r="A339" s="15" t="str">
        <x:v>Bossa Nelspruit</x:v>
      </x:c>
      <x:c r="B339" s="15" t="str">
        <x:v>Outflow</x:v>
      </x:c>
      <x:c r="C339" s="15" t="str">
        <x:v>Card spend</x:v>
      </x:c>
      <x:c r="D339" s="38" t="n">
        <x:v>0</x:v>
      </x:c>
      <x:c r="E339" s="38" t="n">
        <x:v>125</x:v>
      </x:c>
      <x:c r="F339" s="38" t="n">
        <x:v>-125</x:v>
      </x:c>
      <x:c r="G339" s="15" t="n">
        <x:v>1</x:v>
      </x:c>
      <x:c r="H339" s="34" t="n">
        <x:v>45981.47361111111</x:v>
      </x:c>
      <x:c r="I339" s="34" t="n">
        <x:v>45981.47361111111</x:v>
      </x:c>
    </x:row>
    <x:row r="340">
      <x:c r="A340" s="15" t="str">
        <x:v>Yoco *locksmart Pt</x:v>
      </x:c>
      <x:c r="B340" s="15" t="str">
        <x:v>Outflow</x:v>
      </x:c>
      <x:c r="C340" s="15" t="str">
        <x:v>Card spend</x:v>
      </x:c>
      <x:c r="D340" s="38" t="n">
        <x:v>0</x:v>
      </x:c>
      <x:c r="E340" s="38" t="n">
        <x:v>125</x:v>
      </x:c>
      <x:c r="F340" s="38" t="n">
        <x:v>-125</x:v>
      </x:c>
      <x:c r="G340" s="15" t="n">
        <x:v>1</x:v>
      </x:c>
      <x:c r="H340" s="34" t="n">
        <x:v>46140.603472222225</x:v>
      </x:c>
      <x:c r="I340" s="34" t="n">
        <x:v>46140.603472222225</x:v>
      </x:c>
    </x:row>
    <x:row r="341">
      <x:c r="A341" s="15" t="str">
        <x:v>Gfc Whisky Packhouse</x:v>
      </x:c>
      <x:c r="B341" s="15" t="str">
        <x:v>Outflow</x:v>
      </x:c>
      <x:c r="C341" s="15" t="str">
        <x:v>Card spend</x:v>
      </x:c>
      <x:c r="D341" s="38" t="n">
        <x:v>0</x:v>
      </x:c>
      <x:c r="E341" s="38" t="n">
        <x:v>115</x:v>
      </x:c>
      <x:c r="F341" s="38" t="n">
        <x:v>-115</x:v>
      </x:c>
      <x:c r="G341" s="15" t="n">
        <x:v>1</x:v>
      </x:c>
      <x:c r="H341" s="34" t="n">
        <x:v>45939.566666666666</x:v>
      </x:c>
      <x:c r="I341" s="34" t="n">
        <x:v>45939.566666666666</x:v>
      </x:c>
    </x:row>
    <x:row r="342">
      <x:c r="A342" s="15" t="str">
        <x:v>Oasis Water 7745</x:v>
      </x:c>
      <x:c r="B342" s="15" t="str">
        <x:v>Outflow</x:v>
      </x:c>
      <x:c r="C342" s="15" t="str">
        <x:v>Supplier payments</x:v>
      </x:c>
      <x:c r="D342" s="38" t="n">
        <x:v>0</x:v>
      </x:c>
      <x:c r="E342" s="38" t="n">
        <x:v>108</x:v>
      </x:c>
      <x:c r="F342" s="38" t="n">
        <x:v>-108</x:v>
      </x:c>
      <x:c r="G342" s="15" t="n">
        <x:v>1</x:v>
      </x:c>
      <x:c r="H342" s="34" t="n">
        <x:v>45945.60138888889</x:v>
      </x:c>
      <x:c r="I342" s="34" t="n">
        <x:v>45945.60138888889</x:v>
      </x:c>
    </x:row>
    <x:row r="343">
      <x:c r="A343" s="15" t="str">
        <x:v>Ac De Jager Vleis..269640</x:v>
      </x:c>
      <x:c r="B343" s="15" t="str">
        <x:v>Neutral/Information Only</x:v>
      </x:c>
      <x:c r="C343" s="15" t="str">
        <x:v>Other</x:v>
      </x:c>
      <x:c r="D343" s="38" t="n">
        <x:v>0</x:v>
      </x:c>
      <x:c r="E343" s="38" t="n">
        <x:v>0</x:v>
      </x:c>
      <x:c r="F343" s="38" t="n">
        <x:v>0</x:v>
      </x:c>
      <x:c r="G343" s="15" t="n">
        <x:v>1</x:v>
      </x:c>
      <x:c r="H343" s="34" t="n">
        <x:v>45981.74652777778</x:v>
      </x:c>
      <x:c r="I343" s="34" t="n">
        <x:v>45981.74652777778</x:v>
      </x:c>
    </x:row>
    <x:row r="344">
      <x:c r="A344" s="15" t="str">
        <x:v>African Dream Amenit..032135</x:v>
      </x:c>
      <x:c r="B344" s="15" t="str">
        <x:v>Neutral/Information Only</x:v>
      </x:c>
      <x:c r="C344" s="15" t="str">
        <x:v>Other</x:v>
      </x:c>
      <x:c r="D344" s="38" t="n">
        <x:v>0</x:v>
      </x:c>
      <x:c r="E344" s="38" t="n">
        <x:v>0</x:v>
      </x:c>
      <x:c r="F344" s="38" t="n">
        <x:v>0</x:v>
      </x:c>
      <x:c r="G344" s="15" t="n">
        <x:v>1</x:v>
      </x:c>
      <x:c r="H344" s="34" t="n">
        <x:v>45982.63333333333</x:v>
      </x:c>
      <x:c r="I344" s="34" t="n">
        <x:v>45982.63333333333</x:v>
      </x:c>
    </x:row>
    <x:row r="345">
      <x:c r="A345" s="15" t="str">
        <x:v>Annemarie Hoffman..346294</x:v>
      </x:c>
      <x:c r="B345" s="15" t="str">
        <x:v>Neutral/Information Only</x:v>
      </x:c>
      <x:c r="C345" s="15" t="str">
        <x:v>Other</x:v>
      </x:c>
      <x:c r="D345" s="38" t="n">
        <x:v>0</x:v>
      </x:c>
      <x:c r="E345" s="38" t="n">
        <x:v>0</x:v>
      </x:c>
      <x:c r="F345" s="38" t="n">
        <x:v>0</x:v>
      </x:c>
      <x:c r="G345" s="15" t="n">
        <x:v>1</x:v>
      </x:c>
      <x:c r="H345" s="34" t="n">
        <x:v>45934.495833333334</x:v>
      </x:c>
      <x:c r="I345" s="34" t="n">
        <x:v>45934.495833333334</x:v>
      </x:c>
    </x:row>
    <x:row r="346">
      <x:c r="A346" s="15" t="str">
        <x:v>Annemarie Hoffman..829416</x:v>
      </x:c>
      <x:c r="B346" s="15" t="str">
        <x:v>Neutral/Information Only</x:v>
      </x:c>
      <x:c r="C346" s="15" t="str">
        <x:v>Other</x:v>
      </x:c>
      <x:c r="D346" s="38" t="n">
        <x:v>0</x:v>
      </x:c>
      <x:c r="E346" s="38" t="n">
        <x:v>0</x:v>
      </x:c>
      <x:c r="F346" s="38" t="n">
        <x:v>0</x:v>
      </x:c>
      <x:c r="G346" s="15" t="n">
        <x:v>1</x:v>
      </x:c>
      <x:c r="H346" s="34" t="n">
        <x:v>46025.73541666667</x:v>
      </x:c>
      <x:c r="I346" s="34" t="n">
        <x:v>46025.73541666667</x:v>
      </x:c>
    </x:row>
    <x:row r="347">
      <x:c r="A347" s="15" t="str">
        <x:v>Bon Express - Bacon..109612</x:v>
      </x:c>
      <x:c r="B347" s="15" t="str">
        <x:v>Neutral/Information Only</x:v>
      </x:c>
      <x:c r="C347" s="15" t="str">
        <x:v>Other</x:v>
      </x:c>
      <x:c r="D347" s="38" t="n">
        <x:v>0</x:v>
      </x:c>
      <x:c r="E347" s="38" t="n">
        <x:v>0</x:v>
      </x:c>
      <x:c r="F347" s="38" t="n">
        <x:v>0</x:v>
      </x:c>
      <x:c r="G347" s="15" t="n">
        <x:v>1</x:v>
      </x:c>
      <x:c r="H347" s="34" t="n">
        <x:v>45938.569444444445</x:v>
      </x:c>
      <x:c r="I347" s="34" t="n">
        <x:v>45938.569444444445</x:v>
      </x:c>
    </x:row>
    <x:row r="348">
      <x:c r="A348" s="15" t="str">
        <x:v>Bushwise Safaris..817835</x:v>
      </x:c>
      <x:c r="B348" s="15" t="str">
        <x:v>Neutral/Information Only</x:v>
      </x:c>
      <x:c r="C348" s="15" t="str">
        <x:v>Other</x:v>
      </x:c>
      <x:c r="D348" s="38" t="n">
        <x:v>0</x:v>
      </x:c>
      <x:c r="E348" s="38" t="n">
        <x:v>0</x:v>
      </x:c>
      <x:c r="F348" s="38" t="n">
        <x:v>0</x:v>
      </x:c>
      <x:c r="G348" s="15" t="n">
        <x:v>1</x:v>
      </x:c>
      <x:c r="H348" s="34" t="n">
        <x:v>46192.669444444444</x:v>
      </x:c>
      <x:c r="I348" s="34" t="n">
        <x:v>46192.669444444444</x:v>
      </x:c>
    </x:row>
    <x:row r="349">
      <x:c r="A349" s="15" t="str">
        <x:v>Captured Views Photo..937400</x:v>
      </x:c>
      <x:c r="B349" s="15" t="str">
        <x:v>Neutral/Information Only</x:v>
      </x:c>
      <x:c r="C349" s="15" t="str">
        <x:v>Other</x:v>
      </x:c>
      <x:c r="D349" s="38" t="n">
        <x:v>0</x:v>
      </x:c>
      <x:c r="E349" s="38" t="n">
        <x:v>0</x:v>
      </x:c>
      <x:c r="F349" s="38" t="n">
        <x:v>0</x:v>
      </x:c>
      <x:c r="G349" s="15" t="n">
        <x:v>1</x:v>
      </x:c>
      <x:c r="H349" s="34" t="n">
        <x:v>46072.79861111111</x:v>
      </x:c>
      <x:c r="I349" s="34" t="n">
        <x:v>46072.79861111111</x:v>
      </x:c>
    </x:row>
    <x:row r="350">
      <x:c r="A350" s="15" t="str">
        <x:v>Deon"s Diy Tool + Pl..574704</x:v>
      </x:c>
      <x:c r="B350" s="15" t="str">
        <x:v>Neutral/Information Only</x:v>
      </x:c>
      <x:c r="C350" s="15" t="str">
        <x:v>Other</x:v>
      </x:c>
      <x:c r="D350" s="38" t="n">
        <x:v>0</x:v>
      </x:c>
      <x:c r="E350" s="38" t="n">
        <x:v>0</x:v>
      </x:c>
      <x:c r="F350" s="38" t="n">
        <x:v>0</x:v>
      </x:c>
      <x:c r="G350" s="15" t="n">
        <x:v>1</x:v>
      </x:c>
      <x:c r="H350" s="34" t="n">
        <x:v>45932.48333333333</x:v>
      </x:c>
      <x:c r="I350" s="34" t="n">
        <x:v>45932.48333333333</x:v>
      </x:c>
    </x:row>
    <x:row r="351">
      <x:c r="A351" s="15" t="str">
        <x:v>Dinner Box..946412</x:v>
      </x:c>
      <x:c r="B351" s="15" t="str">
        <x:v>Neutral/Information Only</x:v>
      </x:c>
      <x:c r="C351" s="15" t="str">
        <x:v>Other</x:v>
      </x:c>
      <x:c r="D351" s="38" t="n">
        <x:v>0</x:v>
      </x:c>
      <x:c r="E351" s="38" t="n">
        <x:v>0</x:v>
      </x:c>
      <x:c r="F351" s="38" t="n">
        <x:v>0</x:v>
      </x:c>
      <x:c r="G351" s="15" t="n">
        <x:v>1</x:v>
      </x:c>
      <x:c r="H351" s="34" t="n">
        <x:v>45922.433333333334</x:v>
      </x:c>
      <x:c r="I351" s="34" t="n">
        <x:v>45922.433333333334</x:v>
      </x:c>
    </x:row>
    <x:row r="352">
      <x:c r="A352" s="15" t="str">
        <x:v>Dj Ludik Honeysucker..496920</x:v>
      </x:c>
      <x:c r="B352" s="15" t="str">
        <x:v>Neutral/Information Only</x:v>
      </x:c>
      <x:c r="C352" s="15" t="str">
        <x:v>Other</x:v>
      </x:c>
      <x:c r="D352" s="38" t="n">
        <x:v>0</x:v>
      </x:c>
      <x:c r="E352" s="38" t="n">
        <x:v>0</x:v>
      </x:c>
      <x:c r="F352" s="38" t="n">
        <x:v>0</x:v>
      </x:c>
      <x:c r="G352" s="15" t="n">
        <x:v>1</x:v>
      </x:c>
      <x:c r="H352" s="34" t="n">
        <x:v>46054.46527777778</x:v>
      </x:c>
      <x:c r="I352" s="34" t="n">
        <x:v>46054.46527777778</x:v>
      </x:c>
    </x:row>
    <x:row r="353">
      <x:c r="A353" s="15" t="str">
        <x:v>Dreyer Hoffman..465222</x:v>
      </x:c>
      <x:c r="B353" s="15" t="str">
        <x:v>Neutral/Information Only</x:v>
      </x:c>
      <x:c r="C353" s="15" t="str">
        <x:v>Other</x:v>
      </x:c>
      <x:c r="D353" s="38" t="n">
        <x:v>0</x:v>
      </x:c>
      <x:c r="E353" s="38" t="n">
        <x:v>0</x:v>
      </x:c>
      <x:c r="F353" s="38" t="n">
        <x:v>0</x:v>
      </x:c>
      <x:c r="G353" s="15" t="n">
        <x:v>1</x:v>
      </x:c>
      <x:c r="H353" s="34" t="n">
        <x:v>45934.49652777778</x:v>
      </x:c>
      <x:c r="I353" s="34" t="n">
        <x:v>45934.49652777778</x:v>
      </x:c>
    </x:row>
    <x:row r="354">
      <x:c r="A354" s="15" t="str">
        <x:v>Fr Steyn..296546</x:v>
      </x:c>
      <x:c r="B354" s="15" t="str">
        <x:v>Neutral/Information Only</x:v>
      </x:c>
      <x:c r="C354" s="15" t="str">
        <x:v>Other</x:v>
      </x:c>
      <x:c r="D354" s="38" t="n">
        <x:v>0</x:v>
      </x:c>
      <x:c r="E354" s="38" t="n">
        <x:v>0</x:v>
      </x:c>
      <x:c r="F354" s="38" t="n">
        <x:v>0</x:v>
      </x:c>
      <x:c r="G354" s="15" t="n">
        <x:v>1</x:v>
      </x:c>
      <x:c r="H354" s="34" t="n">
        <x:v>46065.43402777778</x:v>
      </x:c>
      <x:c r="I354" s="34" t="n">
        <x:v>46065.43402777778</x:v>
      </x:c>
    </x:row>
    <x:row r="355">
      <x:c r="A355" s="15" t="str">
        <x:v>G Van Der Merwe..529150</x:v>
      </x:c>
      <x:c r="B355" s="15" t="str">
        <x:v>Neutral/Information Only</x:v>
      </x:c>
      <x:c r="C355" s="15" t="str">
        <x:v>Other</x:v>
      </x:c>
      <x:c r="D355" s="38" t="n">
        <x:v>0</x:v>
      </x:c>
      <x:c r="E355" s="38" t="n">
        <x:v>0</x:v>
      </x:c>
      <x:c r="F355" s="38" t="n">
        <x:v>0</x:v>
      </x:c>
      <x:c r="G355" s="15" t="n">
        <x:v>1</x:v>
      </x:c>
      <x:c r="H355" s="34" t="n">
        <x:v>46072.47430555556</x:v>
      </x:c>
      <x:c r="I355" s="34" t="n">
        <x:v>46072.47430555556</x:v>
      </x:c>
    </x:row>
    <x:row r="356">
      <x:c r="A356" s="15" t="str">
        <x:v>Gd Hoffman..999079</x:v>
      </x:c>
      <x:c r="B356" s="15" t="str">
        <x:v>Neutral/Information Only</x:v>
      </x:c>
      <x:c r="C356" s="15" t="str">
        <x:v>Other</x:v>
      </x:c>
      <x:c r="D356" s="38" t="n">
        <x:v>0</x:v>
      </x:c>
      <x:c r="E356" s="38" t="n">
        <x:v>0</x:v>
      </x:c>
      <x:c r="F356" s="38" t="n">
        <x:v>0</x:v>
      </x:c>
      <x:c r="G356" s="15" t="n">
        <x:v>1</x:v>
      </x:c>
      <x:c r="H356" s="34" t="n">
        <x:v>46135.51597222222</x:v>
      </x:c>
      <x:c r="I356" s="34" t="n">
        <x:v>46135.51597222222</x:v>
      </x:c>
    </x:row>
    <x:row r="357">
      <x:c r="A357" s="15" t="str">
        <x:v>Impala Asset Fin..067277</x:v>
      </x:c>
      <x:c r="B357" s="15" t="str">
        <x:v>Neutral/Information Only</x:v>
      </x:c>
      <x:c r="C357" s="15" t="str">
        <x:v>Other</x:v>
      </x:c>
      <x:c r="D357" s="38" t="n">
        <x:v>0</x:v>
      </x:c>
      <x:c r="E357" s="38" t="n">
        <x:v>0</x:v>
      </x:c>
      <x:c r="F357" s="38" t="n">
        <x:v>0</x:v>
      </x:c>
      <x:c r="G357" s="15" t="n">
        <x:v>1</x:v>
      </x:c>
      <x:c r="H357" s="34" t="n">
        <x:v>46129.51458333333</x:v>
      </x:c>
      <x:c r="I357" s="34" t="n">
        <x:v>46129.51458333333</x:v>
      </x:c>
    </x:row>
    <x:row r="358">
      <x:c r="A358" s="15" t="str">
        <x:v>Jj Spangenberg..735498</x:v>
      </x:c>
      <x:c r="B358" s="15" t="str">
        <x:v>Neutral/Information Only</x:v>
      </x:c>
      <x:c r="C358" s="15" t="str">
        <x:v>Other</x:v>
      </x:c>
      <x:c r="D358" s="38" t="n">
        <x:v>0</x:v>
      </x:c>
      <x:c r="E358" s="38" t="n">
        <x:v>0</x:v>
      </x:c>
      <x:c r="F358" s="38" t="n">
        <x:v>0</x:v>
      </x:c>
      <x:c r="G358" s="15" t="n">
        <x:v>1</x:v>
      </x:c>
      <x:c r="H358" s="34" t="n">
        <x:v>45933.459027777775</x:v>
      </x:c>
      <x:c r="I358" s="34" t="n">
        <x:v>45933.459027777775</x:v>
      </x:c>
    </x:row>
    <x:row r="359">
      <x:c r="A359" s="15" t="str">
        <x:v>Jnb Property Mainten..877149</x:v>
      </x:c>
      <x:c r="B359" s="15" t="str">
        <x:v>Neutral/Information Only</x:v>
      </x:c>
      <x:c r="C359" s="15" t="str">
        <x:v>Other</x:v>
      </x:c>
      <x:c r="D359" s="38" t="n">
        <x:v>0</x:v>
      </x:c>
      <x:c r="E359" s="38" t="n">
        <x:v>0</x:v>
      </x:c>
      <x:c r="F359" s="38" t="n">
        <x:v>0</x:v>
      </x:c>
      <x:c r="G359" s="15" t="n">
        <x:v>1</x:v>
      </x:c>
      <x:c r="H359" s="34" t="n">
        <x:v>46038.65833333333</x:v>
      </x:c>
      <x:c r="I359" s="34" t="n">
        <x:v>46038.65833333333</x:v>
      </x:c>
    </x:row>
    <x:row r="360">
      <x:c r="A360" s="15" t="str">
        <x:v>Komatipoort..134128</x:v>
      </x:c>
      <x:c r="B360" s="15" t="str">
        <x:v>Neutral/Information Only</x:v>
      </x:c>
      <x:c r="C360" s="15" t="str">
        <x:v>Other</x:v>
      </x:c>
      <x:c r="D360" s="38" t="n">
        <x:v>0</x:v>
      </x:c>
      <x:c r="E360" s="38" t="n">
        <x:v>0</x:v>
      </x:c>
      <x:c r="F360" s="38" t="n">
        <x:v>0</x:v>
      </x:c>
      <x:c r="G360" s="15" t="n">
        <x:v>1</x:v>
      </x:c>
      <x:c r="H360" s="34" t="n">
        <x:v>46073.39097222222</x:v>
      </x:c>
      <x:c r="I360" s="34" t="n">
        <x:v>46073.39097222222</x:v>
      </x:c>
    </x:row>
    <x:row r="361">
      <x:c r="A361" s="15" t="str">
        <x:v>L Meiring Laundry..679185</x:v>
      </x:c>
      <x:c r="B361" s="15" t="str">
        <x:v>Neutral/Information Only</x:v>
      </x:c>
      <x:c r="C361" s="15" t="str">
        <x:v>Other</x:v>
      </x:c>
      <x:c r="D361" s="38" t="n">
        <x:v>0</x:v>
      </x:c>
      <x:c r="E361" s="38" t="n">
        <x:v>0</x:v>
      </x:c>
      <x:c r="F361" s="38" t="n">
        <x:v>0</x:v>
      </x:c>
      <x:c r="G361" s="15" t="n">
        <x:v>1</x:v>
      </x:c>
      <x:c r="H361" s="34" t="n">
        <x:v>46058.38333333333</x:v>
      </x:c>
      <x:c r="I361" s="34" t="n">
        <x:v>46058.38333333333</x:v>
      </x:c>
    </x:row>
    <x:row r="362">
      <x:c r="A362" s="15" t="str">
        <x:v>Lebombo Verkoeling..990821</x:v>
      </x:c>
      <x:c r="B362" s="15" t="str">
        <x:v>Neutral/Information Only</x:v>
      </x:c>
      <x:c r="C362" s="15" t="str">
        <x:v>Other</x:v>
      </x:c>
      <x:c r="D362" s="38" t="n">
        <x:v>0</x:v>
      </x:c>
      <x:c r="E362" s="38" t="n">
        <x:v>0</x:v>
      </x:c>
      <x:c r="F362" s="38" t="n">
        <x:v>0</x:v>
      </x:c>
      <x:c r="G362" s="15" t="n">
        <x:v>1</x:v>
      </x:c>
      <x:c r="H362" s="34" t="n">
        <x:v>46048.45694444444</x:v>
      </x:c>
      <x:c r="I362" s="34" t="n">
        <x:v>46048.45694444444</x:v>
      </x:c>
    </x:row>
    <x:row r="363">
      <x:c r="A363" s="15" t="str">
        <x:v>Lynne Warner..201049</x:v>
      </x:c>
      <x:c r="B363" s="15" t="str">
        <x:v>Neutral/Information Only</x:v>
      </x:c>
      <x:c r="C363" s="15" t="str">
        <x:v>Other</x:v>
      </x:c>
      <x:c r="D363" s="38" t="n">
        <x:v>0</x:v>
      </x:c>
      <x:c r="E363" s="38" t="n">
        <x:v>0</x:v>
      </x:c>
      <x:c r="F363" s="38" t="n">
        <x:v>0</x:v>
      </x:c>
      <x:c r="G363" s="15" t="n">
        <x:v>1</x:v>
      </x:c>
      <x:c r="H363" s="34" t="n">
        <x:v>46019.52222222222</x:v>
      </x:c>
      <x:c r="I363" s="34" t="n">
        <x:v>46019.52222222222</x:v>
      </x:c>
    </x:row>
    <x:row r="364">
      <x:c r="A364" s="15" t="str">
        <x:v>Mj Taback..052173</x:v>
      </x:c>
      <x:c r="B364" s="15" t="str">
        <x:v>Neutral/Information Only</x:v>
      </x:c>
      <x:c r="C364" s="15" t="str">
        <x:v>Other</x:v>
      </x:c>
      <x:c r="D364" s="38" t="n">
        <x:v>0</x:v>
      </x:c>
      <x:c r="E364" s="38" t="n">
        <x:v>0</x:v>
      </x:c>
      <x:c r="F364" s="38" t="n">
        <x:v>0</x:v>
      </x:c>
      <x:c r="G364" s="15" t="n">
        <x:v>1</x:v>
      </x:c>
      <x:c r="H364" s="34" t="n">
        <x:v>46064.521527777775</x:v>
      </x:c>
      <x:c r="I364" s="34" t="n">
        <x:v>46064.521527777775</x:v>
      </x:c>
    </x:row>
    <x:row r="365">
      <x:c r="A365" s="15" t="str">
        <x:v>Ms Cp Nsingwane..561030</x:v>
      </x:c>
      <x:c r="B365" s="15" t="str">
        <x:v>Neutral/Information Only</x:v>
      </x:c>
      <x:c r="C365" s="15" t="str">
        <x:v>Other</x:v>
      </x:c>
      <x:c r="D365" s="38" t="n">
        <x:v>0</x:v>
      </x:c>
      <x:c r="E365" s="38" t="n">
        <x:v>0</x:v>
      </x:c>
      <x:c r="F365" s="38" t="n">
        <x:v>0</x:v>
      </x:c>
      <x:c r="G365" s="15" t="n">
        <x:v>1</x:v>
      </x:c>
      <x:c r="H365" s="34" t="n">
        <x:v>46073.80416666667</x:v>
      </x:c>
      <x:c r="I365" s="34" t="n">
        <x:v>46073.80416666667</x:v>
      </x:c>
    </x:row>
    <x:row r="366">
      <x:c r="A366" s="15" t="str">
        <x:v>Nason Staff..860933</x:v>
      </x:c>
      <x:c r="B366" s="15" t="str">
        <x:v>Neutral/Information Only</x:v>
      </x:c>
      <x:c r="C366" s="15" t="str">
        <x:v>Other</x:v>
      </x:c>
      <x:c r="D366" s="38" t="n">
        <x:v>0</x:v>
      </x:c>
      <x:c r="E366" s="38" t="n">
        <x:v>0</x:v>
      </x:c>
      <x:c r="F366" s="38" t="n">
        <x:v>0</x:v>
      </x:c>
      <x:c r="G366" s="15" t="n">
        <x:v>1</x:v>
      </x:c>
      <x:c r="H366" s="34" t="n">
        <x:v>45934.49444444444</x:v>
      </x:c>
      <x:c r="I366" s="34" t="n">
        <x:v>45934.49444444444</x:v>
      </x:c>
    </x:row>
    <x:row r="367">
      <x:c r="A367" s="15" t="str">
        <x:v>Nightsbridge..593701</x:v>
      </x:c>
      <x:c r="B367" s="15" t="str">
        <x:v>Neutral/Information Only</x:v>
      </x:c>
      <x:c r="C367" s="15" t="str">
        <x:v>Other</x:v>
      </x:c>
      <x:c r="D367" s="38" t="n">
        <x:v>0</x:v>
      </x:c>
      <x:c r="E367" s="38" t="n">
        <x:v>0</x:v>
      </x:c>
      <x:c r="F367" s="38" t="n">
        <x:v>0</x:v>
      </x:c>
      <x:c r="G367" s="15" t="n">
        <x:v>1</x:v>
      </x:c>
      <x:c r="H367" s="34" t="n">
        <x:v>45933.51666666667</x:v>
      </x:c>
      <x:c r="I367" s="34" t="n">
        <x:v>45933.51666666667</x:v>
      </x:c>
    </x:row>
    <x:row r="368">
      <x:c r="A368" s="15" t="str">
        <x:v>Ntonwasi (pty) Ltd..390477</x:v>
      </x:c>
      <x:c r="B368" s="15" t="str">
        <x:v>Neutral/Information Only</x:v>
      </x:c>
      <x:c r="C368" s="15" t="str">
        <x:v>Other</x:v>
      </x:c>
      <x:c r="D368" s="38" t="n">
        <x:v>0</x:v>
      </x:c>
      <x:c r="E368" s="38" t="n">
        <x:v>0</x:v>
      </x:c>
      <x:c r="F368" s="38" t="n">
        <x:v>0</x:v>
      </x:c>
      <x:c r="G368" s="15" t="n">
        <x:v>1</x:v>
      </x:c>
      <x:c r="H368" s="34" t="n">
        <x:v>45978.85208333333</x:v>
      </x:c>
      <x:c r="I368" s="34" t="n">
        <x:v>45978.85208333333</x:v>
      </x:c>
    </x:row>
    <x:row r="369">
      <x:c r="A369" s="15" t="str">
        <x:v>Nyala Luxury Safari..395895</x:v>
      </x:c>
      <x:c r="B369" s="15" t="str">
        <x:v>Neutral/Information Only</x:v>
      </x:c>
      <x:c r="C369" s="15" t="str">
        <x:v>Other</x:v>
      </x:c>
      <x:c r="D369" s="38" t="n">
        <x:v>0</x:v>
      </x:c>
      <x:c r="E369" s="38" t="n">
        <x:v>0</x:v>
      </x:c>
      <x:c r="F369" s="38" t="n">
        <x:v>0</x:v>
      </x:c>
      <x:c r="G369" s="15" t="n">
        <x:v>1</x:v>
      </x:c>
      <x:c r="H369" s="34" t="n">
        <x:v>45935.41458333333</x:v>
      </x:c>
      <x:c r="I369" s="34" t="n">
        <x:v>45935.41458333333</x:v>
      </x:c>
    </x:row>
    <x:row r="370">
      <x:c r="A370" s="15" t="str">
        <x:v>R + A Project..990460</x:v>
      </x:c>
      <x:c r="B370" s="15" t="str">
        <x:v>Neutral/Information Only</x:v>
      </x:c>
      <x:c r="C370" s="15" t="str">
        <x:v>Other</x:v>
      </x:c>
      <x:c r="D370" s="38" t="n">
        <x:v>0</x:v>
      </x:c>
      <x:c r="E370" s="38" t="n">
        <x:v>0</x:v>
      </x:c>
      <x:c r="F370" s="38" t="n">
        <x:v>0</x:v>
      </x:c>
      <x:c r="G370" s="15" t="n">
        <x:v>1</x:v>
      </x:c>
      <x:c r="H370" s="34" t="n">
        <x:v>45940.561111111114</x:v>
      </x:c>
      <x:c r="I370" s="34" t="n">
        <x:v>45940.561111111114</x:v>
      </x:c>
    </x:row>
    <x:row r="371">
      <x:c r="A371" s="15" t="str">
        <x:v>R Vedder Horse Back..369915</x:v>
      </x:c>
      <x:c r="B371" s="15" t="str">
        <x:v>Neutral/Information Only</x:v>
      </x:c>
      <x:c r="C371" s="15" t="str">
        <x:v>Other</x:v>
      </x:c>
      <x:c r="D371" s="38" t="n">
        <x:v>0</x:v>
      </x:c>
      <x:c r="E371" s="38" t="n">
        <x:v>0</x:v>
      </x:c>
      <x:c r="F371" s="38" t="n">
        <x:v>0</x:v>
      </x:c>
      <x:c r="G371" s="15" t="n">
        <x:v>1</x:v>
      </x:c>
      <x:c r="H371" s="34" t="n">
        <x:v>45975.37847222222</x:v>
      </x:c>
      <x:c r="I371" s="34" t="n">
        <x:v>45975.37847222222</x:v>
      </x:c>
    </x:row>
    <x:row r="372">
      <x:c r="A372" s="15" t="str">
        <x:v>Royal Safari Company..309283</x:v>
      </x:c>
      <x:c r="B372" s="15" t="str">
        <x:v>Neutral/Information Only</x:v>
      </x:c>
      <x:c r="C372" s="15" t="str">
        <x:v>Other</x:v>
      </x:c>
      <x:c r="D372" s="38" t="n">
        <x:v>0</x:v>
      </x:c>
      <x:c r="E372" s="38" t="n">
        <x:v>0</x:v>
      </x:c>
      <x:c r="F372" s="38" t="n">
        <x:v>0</x:v>
      </x:c>
      <x:c r="G372" s="15" t="n">
        <x:v>1</x:v>
      </x:c>
      <x:c r="H372" s="34" t="n">
        <x:v>45972.606944444444</x:v>
      </x:c>
      <x:c r="I372" s="34" t="n">
        <x:v>45972.606944444444</x:v>
      </x:c>
    </x:row>
    <x:row r="373">
      <x:c r="A373" s="15" t="str">
        <x:v>S Gamedze - Wage..334428</x:v>
      </x:c>
      <x:c r="B373" s="15" t="str">
        <x:v>Neutral/Information Only</x:v>
      </x:c>
      <x:c r="C373" s="15" t="str">
        <x:v>Other</x:v>
      </x:c>
      <x:c r="D373" s="38" t="n">
        <x:v>0</x:v>
      </x:c>
      <x:c r="E373" s="38" t="n">
        <x:v>0</x:v>
      </x:c>
      <x:c r="F373" s="38" t="n">
        <x:v>0</x:v>
      </x:c>
      <x:c r="G373" s="15" t="n">
        <x:v>1</x:v>
      </x:c>
      <x:c r="H373" s="34" t="n">
        <x:v>46038.59444444445</x:v>
      </x:c>
      <x:c r="I373" s="34" t="n">
        <x:v>46038.59444444445</x:v>
      </x:c>
    </x:row>
    <x:row r="374">
      <x:c r="A374" s="15" t="str">
        <x:v>Sf Mndlovu..646958</x:v>
      </x:c>
      <x:c r="B374" s="15" t="str">
        <x:v>Neutral/Information Only</x:v>
      </x:c>
      <x:c r="C374" s="15" t="str">
        <x:v>Other</x:v>
      </x:c>
      <x:c r="D374" s="38" t="n">
        <x:v>0</x:v>
      </x:c>
      <x:c r="E374" s="38" t="n">
        <x:v>0</x:v>
      </x:c>
      <x:c r="F374" s="38" t="n">
        <x:v>0</x:v>
      </x:c>
      <x:c r="G374" s="15" t="n">
        <x:v>1</x:v>
      </x:c>
      <x:c r="H374" s="34" t="n">
        <x:v>45939.458333333336</x:v>
      </x:c>
      <x:c r="I374" s="34" t="n">
        <x:v>45939.458333333336</x:v>
      </x:c>
    </x:row>
    <x:row r="375">
      <x:c r="A375" s="15" t="str">
        <x:v>Southern Kruger Saf..698317</x:v>
      </x:c>
      <x:c r="B375" s="15" t="str">
        <x:v>Neutral/Information Only</x:v>
      </x:c>
      <x:c r="C375" s="15" t="str">
        <x:v>Other</x:v>
      </x:c>
      <x:c r="D375" s="38" t="n">
        <x:v>0</x:v>
      </x:c>
      <x:c r="E375" s="38" t="n">
        <x:v>0</x:v>
      </x:c>
      <x:c r="F375" s="38" t="n">
        <x:v>0</x:v>
      </x:c>
      <x:c r="G375" s="15" t="n">
        <x:v>1</x:v>
      </x:c>
      <x:c r="H375" s="34" t="n">
        <x:v>46055.42638888889</x:v>
      </x:c>
      <x:c r="I375" s="34" t="n">
        <x:v>46055.42638888889</x:v>
      </x:c>
    </x:row>
    <x:row r="376">
      <x:c r="A376" s="15" t="str">
        <x:v>Southern Kruger Tran..698317</x:v>
      </x:c>
      <x:c r="B376" s="15" t="str">
        <x:v>Neutral/Information Only</x:v>
      </x:c>
      <x:c r="C376" s="15" t="str">
        <x:v>Other</x:v>
      </x:c>
      <x:c r="D376" s="38" t="n">
        <x:v>0</x:v>
      </x:c>
      <x:c r="E376" s="38" t="n">
        <x:v>0</x:v>
      </x:c>
      <x:c r="F376" s="38" t="n">
        <x:v>0</x:v>
      </x:c>
      <x:c r="G376" s="15" t="n">
        <x:v>1</x:v>
      </x:c>
      <x:c r="H376" s="34" t="n">
        <x:v>46149.49375</x:v>
      </x:c>
      <x:c r="I376" s="34" t="n">
        <x:v>46149.49375</x:v>
      </x:c>
    </x:row>
    <x:row r="377">
      <x:c r="A377" s="15" t="str">
        <x:v>Stratton Property Ma..072310</x:v>
      </x:c>
      <x:c r="B377" s="15" t="str">
        <x:v>Neutral/Information Only</x:v>
      </x:c>
      <x:c r="C377" s="15" t="str">
        <x:v>Other</x:v>
      </x:c>
      <x:c r="D377" s="38" t="n">
        <x:v>0</x:v>
      </x:c>
      <x:c r="E377" s="38" t="n">
        <x:v>0</x:v>
      </x:c>
      <x:c r="F377" s="38" t="n">
        <x:v>0</x:v>
      </x:c>
      <x:c r="G377" s="15" t="n">
        <x:v>1</x:v>
      </x:c>
      <x:c r="H377" s="34" t="n">
        <x:v>46045.6625</x:v>
      </x:c>
      <x:c r="I377" s="34" t="n">
        <x:v>46045.6625</x:v>
      </x:c>
    </x:row>
    <x:row r="378">
      <x:c r="A378" s="15" t="str">
        <x:v>T F Venter..191794</x:v>
      </x:c>
      <x:c r="B378" s="15" t="str">
        <x:v>Neutral/Information Only</x:v>
      </x:c>
      <x:c r="C378" s="15" t="str">
        <x:v>Other</x:v>
      </x:c>
      <x:c r="D378" s="38" t="n">
        <x:v>0</x:v>
      </x:c>
      <x:c r="E378" s="38" t="n">
        <x:v>0</x:v>
      </x:c>
      <x:c r="F378" s="38" t="n">
        <x:v>0</x:v>
      </x:c>
      <x:c r="G378" s="15" t="n">
        <x:v>1</x:v>
      </x:c>
      <x:c r="H378" s="34" t="n">
        <x:v>45919.54583333333</x:v>
      </x:c>
      <x:c r="I378" s="34" t="n">
        <x:v>45919.54583333333</x:v>
      </x:c>
    </x:row>
    <x:row r="379">
      <x:c r="A379" s="15" t="str">
        <x:v>Waterkloof Gas..850097</x:v>
      </x:c>
      <x:c r="B379" s="15" t="str">
        <x:v>Neutral/Information Only</x:v>
      </x:c>
      <x:c r="C379" s="15" t="str">
        <x:v>Other</x:v>
      </x:c>
      <x:c r="D379" s="38" t="n">
        <x:v>0</x:v>
      </x:c>
      <x:c r="E379" s="38" t="n">
        <x:v>0</x:v>
      </x:c>
      <x:c r="F379" s="38" t="n">
        <x:v>0</x:v>
      </x:c>
      <x:c r="G379" s="15" t="n">
        <x:v>1</x:v>
      </x:c>
      <x:c r="H379" s="34" t="n">
        <x:v>45972.461805555555</x:v>
      </x:c>
      <x:c r="I379" s="34" t="n">
        <x:v>45972.461805555555</x:v>
      </x:c>
    </x:row>
  </x:sheetData>
  <x:pageMargins left="0.7" right="0.7" top="0.75" bottom="0.75" header="0.3" footer="0.3"/>
  <x:tableParts count="1">
    <x:tablePart xmlns:r="http://schemas.openxmlformats.org/officeDocument/2006/relationships" r:id="R62467c95b944465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</x:cols>
  <x:sheetData>
    <x:row r="1">
      <x:c r="A1" s="29" t="str">
        <x:v>Month</x:v>
      </x:c>
      <x:c r="B1" s="29" t="str">
        <x:v>Income / receipts</x:v>
      </x:c>
      <x:c r="C1" s="29" t="str">
        <x:v>Refunds / reversals</x:v>
      </x:c>
      <x:c r="D1" s="29" t="str">
        <x:v>Operating payments / expenses</x:v>
      </x:c>
      <x:c r="E1" s="29" t="str">
        <x:v>Bank fees</x:v>
      </x:c>
      <x:c r="F1" s="29" t="str">
        <x:v>Cash withdrawals</x:v>
      </x:c>
      <x:c r="G1" s="29" t="str">
        <x:v>Other outflows</x:v>
      </x:c>
      <x:c r="H1" s="29" t="str">
        <x:v>Net cash result</x:v>
      </x:c>
      <x:c r="I1" s="29" t="str">
        <x:v>Notes</x:v>
      </x:c>
    </x:row>
    <x:row r="2">
      <x:c r="A2" s="15" t="str">
        <x:v>2025-09</x:v>
      </x:c>
      <x:c r="B2" s="38" t="n">
        <x:v>0</x:v>
      </x:c>
      <x:c r="C2" s="38" t="n">
        <x:v>0</x:v>
      </x:c>
      <x:c r="D2" s="38" t="n">
        <x:v>1128.58</x:v>
      </x:c>
      <x:c r="E2" s="38" t="n">
        <x:v>0</x:v>
      </x:c>
      <x:c r="F2" s="38" t="n">
        <x:v>600</x:v>
      </x:c>
      <x:c r="G2" s="38" t="n">
        <x:v>0</x:v>
      </x:c>
      <x:c r="H2" s="38" t="n">
        <x:v>-1728.58</x:v>
      </x:c>
      <x:c r="I2" s="15" t="str"/>
    </x:row>
    <x:row r="3">
      <x:c r="A3" s="15" t="str">
        <x:v>2025-10</x:v>
      </x:c>
      <x:c r="B3" s="38" t="n">
        <x:v>101558.13</x:v>
      </x:c>
      <x:c r="C3" s="38" t="n">
        <x:v>536</x:v>
      </x:c>
      <x:c r="D3" s="38" t="n">
        <x:v>45760.3</x:v>
      </x:c>
      <x:c r="E3" s="38" t="n">
        <x:v>0</x:v>
      </x:c>
      <x:c r="F3" s="38" t="n">
        <x:v>0</x:v>
      </x:c>
      <x:c r="G3" s="38" t="n">
        <x:v>0</x:v>
      </x:c>
      <x:c r="H3" s="38" t="n">
        <x:v>56333.83</x:v>
      </x:c>
      <x:c r="I3" s="15" t="str"/>
    </x:row>
    <x:row r="4">
      <x:c r="A4" s="15" t="str">
        <x:v>2025-11</x:v>
      </x:c>
      <x:c r="B4" s="38" t="n">
        <x:v>121078.94</x:v>
      </x:c>
      <x:c r="C4" s="38" t="n">
        <x:v>778.98</x:v>
      </x:c>
      <x:c r="D4" s="38" t="n">
        <x:v>182309.58</x:v>
      </x:c>
      <x:c r="E4" s="38" t="n">
        <x:v>0</x:v>
      </x:c>
      <x:c r="F4" s="38" t="n">
        <x:v>369.94</x:v>
      </x:c>
      <x:c r="G4" s="38" t="n">
        <x:v>0</x:v>
      </x:c>
      <x:c r="H4" s="38" t="n">
        <x:v>-60821.6</x:v>
      </x:c>
      <x:c r="I4" s="15" t="str"/>
    </x:row>
    <x:row r="5">
      <x:c r="A5" s="15" t="str">
        <x:v>2025-12</x:v>
      </x:c>
      <x:c r="B5" s="38" t="n">
        <x:v>24380.44</x:v>
      </x:c>
      <x:c r="C5" s="38" t="n">
        <x:v>0</x:v>
      </x:c>
      <x:c r="D5" s="38" t="n">
        <x:v>35539.03</x:v>
      </x:c>
      <x:c r="E5" s="38" t="n">
        <x:v>0</x:v>
      </x:c>
      <x:c r="F5" s="38" t="n">
        <x:v>0</x:v>
      </x:c>
      <x:c r="G5" s="38" t="n">
        <x:v>0</x:v>
      </x:c>
      <x:c r="H5" s="38" t="n">
        <x:v>-11158.59</x:v>
      </x:c>
      <x:c r="I5" s="15" t="str"/>
    </x:row>
    <x:row r="6">
      <x:c r="A6" s="15" t="str">
        <x:v>2026-01</x:v>
      </x:c>
      <x:c r="B6" s="38" t="n">
        <x:v>236318.66</x:v>
      </x:c>
      <x:c r="C6" s="38" t="n">
        <x:v>0</x:v>
      </x:c>
      <x:c r="D6" s="38" t="n">
        <x:v>226776.07</x:v>
      </x:c>
      <x:c r="E6" s="38" t="n">
        <x:v>0</x:v>
      </x:c>
      <x:c r="F6" s="38" t="n">
        <x:v>400</x:v>
      </x:c>
      <x:c r="G6" s="38" t="n">
        <x:v>0</x:v>
      </x:c>
      <x:c r="H6" s="38" t="n">
        <x:v>9142.59</x:v>
      </x:c>
      <x:c r="I6" s="15" t="str">
        <x:v>Highest income month. Highest expense month.</x:v>
      </x:c>
    </x:row>
    <x:row r="7">
      <x:c r="A7" s="15" t="str">
        <x:v>2026-02</x:v>
      </x:c>
      <x:c r="B7" s="38" t="n">
        <x:v>219265.58</x:v>
      </x:c>
      <x:c r="C7" s="38" t="n">
        <x:v>200</x:v>
      </x:c>
      <x:c r="D7" s="38" t="n">
        <x:v>180756.89</x:v>
      </x:c>
      <x:c r="E7" s="38" t="n">
        <x:v>0</x:v>
      </x:c>
      <x:c r="F7" s="38" t="n">
        <x:v>900</x:v>
      </x:c>
      <x:c r="G7" s="38" t="n">
        <x:v>0</x:v>
      </x:c>
      <x:c r="H7" s="38" t="n">
        <x:v>37808.69</x:v>
      </x:c>
      <x:c r="I7" s="15" t="str"/>
    </x:row>
    <x:row r="8">
      <x:c r="A8" s="15" t="str">
        <x:v>2026-03</x:v>
      </x:c>
      <x:c r="B8" s="38" t="n">
        <x:v>144153.61</x:v>
      </x:c>
      <x:c r="C8" s="38" t="n">
        <x:v>0</x:v>
      </x:c>
      <x:c r="D8" s="38" t="n">
        <x:v>89500.8</x:v>
      </x:c>
      <x:c r="E8" s="38" t="n">
        <x:v>0</x:v>
      </x:c>
      <x:c r="F8" s="38" t="n">
        <x:v>0</x:v>
      </x:c>
      <x:c r="G8" s="38" t="n">
        <x:v>0</x:v>
      </x:c>
      <x:c r="H8" s="38" t="n">
        <x:v>54652.81</x:v>
      </x:c>
      <x:c r="I8" s="15" t="str"/>
    </x:row>
    <x:row r="9">
      <x:c r="A9" s="15" t="str">
        <x:v>2026-04</x:v>
      </x:c>
      <x:c r="B9" s="38" t="n">
        <x:v>232559.94</x:v>
      </x:c>
      <x:c r="C9" s="38" t="n">
        <x:v>0</x:v>
      </x:c>
      <x:c r="D9" s="38" t="n">
        <x:v>148941.79</x:v>
      </x:c>
      <x:c r="E9" s="38" t="n">
        <x:v>0</x:v>
      </x:c>
      <x:c r="F9" s="38" t="n">
        <x:v>950</x:v>
      </x:c>
      <x:c r="G9" s="38" t="n">
        <x:v>0</x:v>
      </x:c>
      <x:c r="H9" s="38" t="n">
        <x:v>82668.15</x:v>
      </x:c>
      <x:c r="I9" s="15" t="str"/>
    </x:row>
    <x:row r="10">
      <x:c r="A10" s="15" t="str">
        <x:v>2026-05</x:v>
      </x:c>
      <x:c r="B10" s="38" t="n">
        <x:v>186295.9</x:v>
      </x:c>
      <x:c r="C10" s="38" t="n">
        <x:v>3454.5</x:v>
      </x:c>
      <x:c r="D10" s="38" t="n">
        <x:v>183341.35</x:v>
      </x:c>
      <x:c r="E10" s="38" t="n">
        <x:v>0</x:v>
      </x:c>
      <x:c r="F10" s="38" t="n">
        <x:v>0</x:v>
      </x:c>
      <x:c r="G10" s="38" t="n">
        <x:v>0</x:v>
      </x:c>
      <x:c r="H10" s="38" t="n">
        <x:v>6409.05</x:v>
      </x:c>
      <x:c r="I10" s="15" t="str"/>
    </x:row>
    <x:row r="11">
      <x:c r="A11" s="15" t="str">
        <x:v>2026-06</x:v>
      </x:c>
      <x:c r="B11" s="38" t="n">
        <x:v>68111.68</x:v>
      </x:c>
      <x:c r="C11" s="38" t="n">
        <x:v>0</x:v>
      </x:c>
      <x:c r="D11" s="38" t="n">
        <x:v>59323.95</x:v>
      </x:c>
      <x:c r="E11" s="38" t="n">
        <x:v>0</x:v>
      </x:c>
      <x:c r="F11" s="38" t="n">
        <x:v>250</x:v>
      </x:c>
      <x:c r="G11" s="38" t="n">
        <x:v>0</x:v>
      </x:c>
      <x:c r="H11" s="38" t="n">
        <x:v>8537.73</x:v>
      </x:c>
      <x:c r="I11" s="15" t="str"/>
    </x:row>
  </x:sheetData>
  <x:conditionalFormatting sqref="H2:H11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79f175d439461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1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29" t="str">
        <x:v>Original text pattern</x:v>
      </x:c>
      <x:c r="B1" s="29" t="str">
        <x:v>Assigned category</x:v>
      </x:c>
      <x:c r="C1" s="29" t="str">
        <x:v>Confidence</x:v>
      </x:c>
      <x:c r="D1" s="29" t="str">
        <x:v>Notes</x:v>
      </x:c>
      <x:c r="E1" s="29" t="str">
        <x:v>Transaction count</x:v>
      </x:c>
      <x:c r="F1" s="29" t="str">
        <x:v>Sample source</x:v>
      </x:c>
    </x:row>
    <x:row r="2">
      <x:c r="A2" s="15" t="str">
        <x:v>Savemor Marloth</x:v>
      </x:c>
      <x:c r="B2" s="15" t="str">
        <x:v>Supplier payments</x:v>
      </x:c>
      <x:c r="C2" s="15" t="str">
        <x:v>Medium</x:v>
      </x:c>
      <x:c r="D2" s="15" t="str">
        <x:v>Retail/supplier merchant keyword.</x:v>
      </x:c>
      <x:c r="E2" s="15" t="n">
        <x:v>78</x:v>
      </x:c>
      <x:c r="F2" s="15" t="str">
        <x:v>eml_ALL_currentac__512781 (2).zip &gt; eml12currentac__512781.zip / FNB _-) R161.98 reserved for purchase @ Savemor Marloth from Current a_c..512781 using card..2924.  2Oct 17_15.eml</x:v>
      </x:c>
    </x:row>
    <x:row r="3">
      <x:c r="A3" s="15" t="str">
        <x:v>Superspar Komatipoor</x:v>
      </x:c>
      <x:c r="B3" s="15" t="str">
        <x:v>Supplier payments</x:v>
      </x:c>
      <x:c r="C3" s="15" t="str">
        <x:v>Medium</x:v>
      </x:c>
      <x:c r="D3" s="15" t="str">
        <x:v>Retail/supplier merchant keyword.</x:v>
      </x:c>
      <x:c r="E3" s="15" t="n">
        <x:v>64</x:v>
      </x:c>
      <x:c r="F3" s="15" t="str">
        <x:v>eml_ALL_currentac__512781 (2).zip &gt; eml12currentac__512781.zip / FNB _-) R506.43 reserved for purchase @ Superspar Komatipoor from Current a_c..512781 using card..2924. 25Sep 16_24.eml</x:v>
      </x:c>
    </x:row>
    <x:row r="4">
      <x:c r="A4" s="15" t="str">
        <x:v>Ik Pay 487882</x:v>
      </x:c>
      <x:c r="B4" s="15" t="str">
        <x:v>Sales / customer receipts</x:v>
      </x:c>
      <x:c r="C4" s="15" t="str">
        <x:v>Medium</x:v>
      </x:c>
      <x:c r="D4" s="15" t="str">
        <x:v>Default for incoming EFT/PayShap/online receipt.</x:v>
      </x:c>
      <x:c r="E4" s="15" t="n">
        <x:v>57</x:v>
      </x:c>
      <x:c r="F4" s="15" t="str">
        <x:v>eml_ALL_currentac__512781 (2).zip &gt; eml10currentac__512781.zip / FNB _-) R12511.62 paid to Current a_c..512781 @ Payshap. Ref.Ik Pay 487882. 10Nov 13_43.eml</x:v>
      </x:c>
    </x:row>
    <x:row r="5">
      <x:c r="A5" s="15" t="str">
        <x:v>Electricity 04294887</x:v>
      </x:c>
      <x:c r="B5" s="15" t="str">
        <x:v>Telecom / utilities</x:v>
      </x:c>
      <x:c r="C5" s="15" t="str">
        <x:v>High</x:v>
      </x:c>
      <x:c r="D5" s="15" t="str">
        <x:v>Telecom/utility keyword.</x:v>
      </x:c>
      <x:c r="E5" s="15" t="n">
        <x:v>32</x:v>
      </x:c>
      <x:c r="F5" s="15" t="str">
        <x:v>eml_ALL_currentac__512781 (2).zip &gt; eml12currentac__512781.zip / FNB _-) R1000.00 paid from Current a_c..512781 @ Smartapp. Ref.Electricity 04294887. 11Oct 11_45.eml</x:v>
      </x:c>
    </x:row>
    <x:row r="6">
      <x:c r="A6" s="15" t="str">
        <x:v>Electricity 14503572</x:v>
      </x:c>
      <x:c r="B6" s="15" t="str">
        <x:v>Telecom / utilities</x:v>
      </x:c>
      <x:c r="C6" s="15" t="str">
        <x:v>High</x:v>
      </x:c>
      <x:c r="D6" s="15" t="str">
        <x:v>Telecom/utility keyword.</x:v>
      </x:c>
      <x:c r="E6" s="15" t="n">
        <x:v>32</x:v>
      </x:c>
      <x:c r="F6" s="15" t="str">
        <x:v>eml_ALL_currentac__512781 (2).zip &gt; eml5currentac__512781.zip / FNB _-) R200.00 paid from Current a_c..512781 @ Smartapp. Ref.Electricity 14503572.  8Mar 19_25.eml</x:v>
      </x:c>
    </x:row>
    <x:row r="7">
      <x:c r="A7" s="15" t="str">
        <x:v>Marlothi Petrol Stat</x:v>
      </x:c>
      <x:c r="B7" s="15" t="str">
        <x:v>Fuel / transport</x:v>
      </x:c>
      <x:c r="C7" s="15" t="str">
        <x:v>High</x:v>
      </x:c>
      <x:c r="D7" s="15" t="str">
        <x:v>Fuel/transport merchant keyword.</x:v>
      </x:c>
      <x:c r="E7" s="15" t="n">
        <x:v>30</x:v>
      </x:c>
      <x:c r="F7" s="15" t="str">
        <x:v>eml_ALL_currentac__512781 (2).zip &gt; eml12currentac__512781.zip / FNB _-) R400.00 reserved for purchase @ Marlothi Petrol Stat from Current a_c..512781 using card..2924. 15Oct 14_55.eml</x:v>
      </x:c>
    </x:row>
    <x:row r="8">
      <x:c r="A8" s="15" t="str">
        <x:v>Private Cheq Acc..566332</x:v>
      </x:c>
      <x:c r="B8" s="15" t="str">
        <x:v>Inter-account transfer</x:v>
      </x:c>
      <x:c r="C8" s="15" t="str">
        <x:v>High</x:v>
      </x:c>
      <x:c r="D8" s="15" t="str">
        <x:v>Transfer between identified account/card identifiers.</x:v>
      </x:c>
      <x:c r="E8" s="15" t="n">
        <x:v>23</x:v>
      </x:c>
      <x:c r="F8" s="15" t="str">
        <x:v>eml_ALL_currentac__512781 (2).zip &gt; eml10currentac__512781.zip / FNB _-) R5000.00 t_fer from Current a_c..512781 to Private Cheq Acc..566332 @ Smartapp. 21Nov 13_16.eml</x:v>
      </x:c>
    </x:row>
    <x:row r="9">
      <x:c r="A9" s="15" t="str">
        <x:v>Savemor Marloth Liqu</x:v>
      </x:c>
      <x:c r="B9" s="15" t="str">
        <x:v>Meals / restaurants / entertainment</x:v>
      </x:c>
      <x:c r="C9" s="15" t="str">
        <x:v>High</x:v>
      </x:c>
      <x:c r="D9" s="15" t="str">
        <x:v>Restaurant/entertainment/liquor keyword.</x:v>
      </x:c>
      <x:c r="E9" s="15" t="n">
        <x:v>16</x:v>
      </x:c>
      <x:c r="F9" s="15" t="str">
        <x:v>eml_ALL_currentac__512781 (2).zip &gt; eml10currentac__512781.zip / FNB _-) R379.96 reserved for purchase @ Savemor Marloth Liqu from Current a_c..512781 using card..2924. 26Nov 14_56.eml</x:v>
      </x:c>
    </x:row>
    <x:row r="10">
      <x:c r="A10" s="15" t="str">
        <x:v>Current a/c..261544</x:v>
      </x:c>
      <x:c r="B10" s="15" t="str">
        <x:v>Inter-account transfer</x:v>
      </x:c>
      <x:c r="C10" s="15" t="str">
        <x:v>High</x:v>
      </x:c>
      <x:c r="D10" s="15" t="str">
        <x:v>Transfer between identified account/card identifiers.</x:v>
      </x:c>
      <x:c r="E10" s="15" t="n">
        <x:v>14</x:v>
      </x:c>
      <x:c r="F10" s="15" t="str">
        <x:v>eml_ALL_currentac__512781 (2).zip &gt; eml12currentac__512781.zip / FNB _-) R5000.00 t_fer from Current a_c..261544 to Current a_c..512781 @ Smartapp. 30Sep 17_36.eml</x:v>
      </x:c>
    </x:row>
    <x:row r="11">
      <x:c r="A11" s="15" t="str">
        <x:v>Shoprite Komatipoort</x:v>
      </x:c>
      <x:c r="B11" s="15" t="str">
        <x:v>Supplier payments</x:v>
      </x:c>
      <x:c r="C11" s="15" t="str">
        <x:v>Medium</x:v>
      </x:c>
      <x:c r="D11" s="15" t="str">
        <x:v>Retail/supplier merchant keyword.</x:v>
      </x:c>
      <x:c r="E11" s="15" t="n">
        <x:v>14</x:v>
      </x:c>
      <x:c r="F11" s="15" t="str">
        <x:v>eml_ALL_currentac__512781 (2).zip &gt; eml12currentac__512781.zip / FNB _-) R184.98 reserved for purchase @ Shoprite Komatipoort from Current a_c..512781 using card..2924. 14Oct 14_54.eml</x:v>
      </x:c>
    </x:row>
    <x:row r="12">
      <x:c r="A12" s="15" t="str">
        <x:v>Superspar Malelane</x:v>
      </x:c>
      <x:c r="B12" s="15" t="str">
        <x:v>Supplier payments</x:v>
      </x:c>
      <x:c r="C12" s="15" t="str">
        <x:v>Medium</x:v>
      </x:c>
      <x:c r="D12" s="15" t="str">
        <x:v>Retail/supplier merchant keyword.</x:v>
      </x:c>
      <x:c r="E12" s="15" t="n">
        <x:v>14</x:v>
      </x:c>
      <x:c r="F12" s="15" t="str">
        <x:v>eml_ALL_currentac__512781 (2).zip &gt; eml10currentac__512781.zip / FNB _-) R1034.52 reserved for purchase @ Superspar Malelane from Current a_c..512781 using card..2924. 14Nov 15_19.eml</x:v>
      </x:c>
    </x:row>
    <x:row r="13">
      <x:c r="A13" s="15" t="str">
        <x:v>Oasis Water Komatipo</x:v>
      </x:c>
      <x:c r="B13" s="15" t="str">
        <x:v>Supplier payments</x:v>
      </x:c>
      <x:c r="C13" s="15" t="str">
        <x:v>Medium</x:v>
      </x:c>
      <x:c r="D13" s="15" t="str">
        <x:v>Retail/supplier merchant keyword.</x:v>
      </x:c>
      <x:c r="E13" s="15" t="n">
        <x:v>13</x:v>
      </x:c>
      <x:c r="F13" s="15" t="str">
        <x:v>eml_ALL_currentac__512781 (2).zip &gt; eml12currentac__512781.zip / FNB _-) R216.00 reserved for purchase @ Oasis Water Komatipo from Current a_c..512781 using card..2924.  9Oct 13_13.eml</x:v>
      </x:c>
    </x:row>
    <x:row r="14">
      <x:c r="A14" s="15" t="str">
        <x:v>Sakkie Wages</x:v>
      </x:c>
      <x:c r="B14" s="15" t="str">
        <x:v>Salary / wages</x:v>
      </x:c>
      <x:c r="C14" s="15" t="str">
        <x:v>High</x:v>
      </x:c>
      <x:c r="D14" s="15" t="str">
        <x:v>Staff/salary/wages keyword.</x:v>
      </x:c>
      <x:c r="E14" s="15" t="n">
        <x:v>13</x:v>
      </x:c>
      <x:c r="F14" s="15" t="str">
        <x:v>eml_ALL_currentac__512781 (2).zip &gt; eml6currentac__512781.zip / FNB _-) R600.00 paid from Current a_c..512781 @ Smartapp. Ref.Sakkie Wages.  6Feb 15_48.eml</x:v>
      </x:c>
    </x:row>
    <x:row r="15">
      <x:c r="A15" s="15" t="str">
        <x:v>The Tin Shack</x:v>
      </x:c>
      <x:c r="B15" s="15" t="str">
        <x:v>Meals / restaurants / entertainment</x:v>
      </x:c>
      <x:c r="C15" s="15" t="str">
        <x:v>High</x:v>
      </x:c>
      <x:c r="D15" s="15" t="str">
        <x:v>Restaurant/entertainment/liquor keyword.</x:v>
      </x:c>
      <x:c r="E15" s="15" t="n">
        <x:v>12</x:v>
      </x:c>
      <x:c r="F15" s="15" t="str">
        <x:v>eml_ALL_currentac__512781 (2).zip &gt; eml10currentac__512781.zip / FNB _-) R360.00 reserved for purchase @ The Tin Shack from Current a_c..512781 using card..2924.  8Nov 18_59.eml</x:v>
      </x:c>
    </x:row>
    <x:row r="16">
      <x:c r="A16" s="15" t="str">
        <x:v>Tops Komatipoort</x:v>
      </x:c>
      <x:c r="B16" s="15" t="str">
        <x:v>Meals / restaurants / entertainment</x:v>
      </x:c>
      <x:c r="C16" s="15" t="str">
        <x:v>High</x:v>
      </x:c>
      <x:c r="D16" s="15" t="str">
        <x:v>Restaurant/entertainment/liquor keyword.</x:v>
      </x:c>
      <x:c r="E16" s="15" t="n">
        <x:v>10</x:v>
      </x:c>
      <x:c r="F16" s="15" t="str">
        <x:v>eml_ALL_currentac__512781 (2).zip &gt; eml12currentac__512781.zip / FNB _-) R231.96 reserved for purchase @ Tops Komatipoort from Current a_c..512781 using card..2924.  1Oct 11_40.eml</x:v>
      </x:c>
    </x:row>
    <x:row r="17">
      <x:c r="A17" s="15" t="str">
        <x:v>Buco Komatipoort 116</x:v>
      </x:c>
      <x:c r="B17" s="15" t="str">
        <x:v>Supplier payments</x:v>
      </x:c>
      <x:c r="C17" s="15" t="str">
        <x:v>Medium</x:v>
      </x:c>
      <x:c r="D17" s="15" t="str">
        <x:v>Retail/supplier merchant keyword.</x:v>
      </x:c>
      <x:c r="E17" s="15" t="n">
        <x:v>9</x:v>
      </x:c>
      <x:c r="F17" s="15" t="str">
        <x:v>eml_ALL_currentac__512781 (2).zip &gt; eml10currentac__512781.zip / FNB _-) R248.85 reserved for purchase @ Buco Komatipoort 116 from Current a_c..512781 using card..2924. 10Nov 13_16.eml</x:v>
      </x:c>
    </x:row>
    <x:row r="18">
      <x:c r="A18" s="15" t="str">
        <x:v>Pep Home 5771 Komati</x:v>
      </x:c>
      <x:c r="B18" s="15" t="str">
        <x:v>Supplier payments</x:v>
      </x:c>
      <x:c r="C18" s="15" t="str">
        <x:v>Medium</x:v>
      </x:c>
      <x:c r="D18" s="15" t="str">
        <x:v>Retail/supplier merchant keyword.</x:v>
      </x:c>
      <x:c r="E18" s="15" t="n">
        <x:v>8</x:v>
      </x:c>
      <x:c r="F18" s="15" t="str">
        <x:v>eml_ALL_currentac__512781 (2).zip &gt; eml10currentac__512781.zip / FNB _-) R461.86 reserved for purchase @ Pep Home 5771 Komati from Current a_c..512781 using card..2924. 10Nov 13_41.eml</x:v>
      </x:c>
    </x:row>
    <x:row r="19">
      <x:c r="A19" s="15" t="str">
        <x:v>Staff</x:v>
      </x:c>
      <x:c r="B19" s="15" t="str">
        <x:v>Salary / wages</x:v>
      </x:c>
      <x:c r="C19" s="15" t="str">
        <x:v>High</x:v>
      </x:c>
      <x:c r="D19" s="15" t="str">
        <x:v>Staff/salary/wages keyword.</x:v>
      </x:c>
      <x:c r="E19" s="15" t="n">
        <x:v>8</x:v>
      </x:c>
      <x:c r="F19" s="15" t="str">
        <x:v>eml_ALL_currentac__512781 (2).zip &gt; eml4currentac__512781.zip / FNB _-) R2000.00 paid from Current a_c..512781 @ Smartapp. Ref.Staff.  2Apr 03_38.eml</x:v>
      </x:c>
    </x:row>
    <x:row r="20">
      <x:c r="A20" s="15" t="str">
        <x:v>Woolworths</x:v>
      </x:c>
      <x:c r="B20" s="15" t="str">
        <x:v>Supplier payments</x:v>
      </x:c>
      <x:c r="C20" s="15" t="str">
        <x:v>Medium</x:v>
      </x:c>
      <x:c r="D20" s="15" t="str">
        <x:v>Retail/supplier merchant keyword.</x:v>
      </x:c>
      <x:c r="E20" s="15" t="n">
        <x:v>8</x:v>
      </x:c>
      <x:c r="F20" s="15" t="str">
        <x:v>eml_ALL_currentac__512781 (2).zip &gt; eml10currentac__512781.zip / FNB _-) R563.89 reserved for purchase @ Woolworths from Current a_c..512781 using card..2924. 14Nov 14_02.eml</x:v>
      </x:c>
    </x:row>
    <x:row r="21">
      <x:c r="A21" s="15" t="str">
        <x:v>Atmh11960000001</x:v>
      </x:c>
      <x:c r="B21" s="15" t="str">
        <x:v>Cash withdrawal</x:v>
      </x:c>
      <x:c r="C21" s="15" t="str">
        <x:v>High</x:v>
      </x:c>
      <x:c r="D21" s="15" t="str">
        <x:v>ATM/cash withdrawal identified.</x:v>
      </x:c>
      <x:c r="E21" s="15" t="n">
        <x:v>7</x:v>
      </x:c>
      <x:c r="F21" s="15" t="str">
        <x:v>eml_ALL_currentac__512781 (2).zip &gt; eml12currentac__512781.zip / FNB _-) R600.00 withdrawn from Current a_c..512781 using card..2924 @ Atmh11960000001. 24Sep 11_00.eml</x:v>
      </x:c>
    </x:row>
    <x:row r="22">
      <x:c r="A22" s="15" t="str">
        <x:v>Paystack *zoho Co</x:v>
      </x:c>
      <x:c r="B22" s="15" t="str">
        <x:v>Software / subscriptions</x:v>
      </x:c>
      <x:c r="C22" s="15" t="str">
        <x:v>High</x:v>
      </x:c>
      <x:c r="D22" s="15" t="str">
        <x:v>Software/subscription keyword.</x:v>
      </x:c>
      <x:c r="E22" s="15" t="n">
        <x:v>7</x:v>
      </x:c>
      <x:c r="F22" s="15" t="str">
        <x:v>eml_ALL_currentac__512781 (2).zip &gt; eml10currentac__512781.zip / FNB _-) R228.85 reserved for purchase @ Paystack _zoho Co from Current a_c..512781 using card..2924. 17Nov 11_56.eml</x:v>
      </x:c>
    </x:row>
    <x:row r="23">
      <x:c r="A23" s="15" t="str">
        <x:v>Sqsp* Websit</x:v>
      </x:c>
      <x:c r="B23" s="15" t="str">
        <x:v>Software / subscriptions</x:v>
      </x:c>
      <x:c r="C23" s="15" t="str">
        <x:v>High</x:v>
      </x:c>
      <x:c r="D23" s="15" t="str">
        <x:v>Software/subscription keyword.</x:v>
      </x:c>
      <x:c r="E23" s="15" t="n">
        <x:v>7</x:v>
      </x:c>
      <x:c r="F23" s="15" t="str">
        <x:v>eml_ALL_currentac__512781 (2).zip &gt; eml8currentac__512781.zip / FNB _-) R419.31 reserved for purchase @ Sqsp_ Websit from Current a_c..512781 using card..2924. 14Jan 11_48.eml</x:v>
      </x:c>
    </x:row>
    <x:row r="24">
      <x:c r="A24" s="15" t="str">
        <x:v>Lebombo Butchery</x:v>
      </x:c>
      <x:c r="B24" s="15" t="str">
        <x:v>Supplier payments</x:v>
      </x:c>
      <x:c r="C24" s="15" t="str">
        <x:v>Medium</x:v>
      </x:c>
      <x:c r="D24" s="15" t="str">
        <x:v>Retail/supplier merchant keyword.</x:v>
      </x:c>
      <x:c r="E24" s="15" t="n">
        <x:v>6</x:v>
      </x:c>
      <x:c r="F24" s="15" t="str">
        <x:v>eml_ALL_currentac__512781 (2).zip &gt; eml8currentac__512781.zip / FNB _-) R203.20 reserved for purchase @ Lebombo Butchery from Current a_c..512781 using card..2924. 13Jan 09_59.eml</x:v>
      </x:c>
    </x:row>
    <x:row r="25">
      <x:c r="A25" s="15" t="str">
        <x:v>Nb N992820</x:v>
      </x:c>
      <x:c r="B25" s="15" t="str">
        <x:v>Supplier payments</x:v>
      </x:c>
      <x:c r="C25" s="15" t="str">
        <x:v>Low</x:v>
      </x:c>
      <x:c r="D25" s="15" t="str">
        <x:v>Default outflow category; review counterparty/reference.</x:v>
      </x:c>
      <x:c r="E25" s="15" t="n">
        <x:v>6</x:v>
      </x:c>
      <x:c r="F25" s="15" t="str">
        <x:v>eml_ALL_currentac__512781 (2).zip &gt; eml7currentac__512781.zip / FNB _-) R707.25 paid from Current a_c..512781 @ Smartapp. Ref.Nb N992820. 16Jan 15_29.eml</x:v>
      </x:c>
    </x:row>
    <x:row r="26">
      <x:c r="A26" s="15" t="str">
        <x:v>Salary</x:v>
      </x:c>
      <x:c r="B26" s="15" t="str">
        <x:v>Salary / wages</x:v>
      </x:c>
      <x:c r="C26" s="15" t="str">
        <x:v>High</x:v>
      </x:c>
      <x:c r="D26" s="15" t="str">
        <x:v>Staff/salary/wages keyword.</x:v>
      </x:c>
      <x:c r="E26" s="15" t="n">
        <x:v>6</x:v>
      </x:c>
      <x:c r="F26" s="15" t="str">
        <x:v>eml_ALL_currentac__512781 (2).zip &gt; eml5currentac__512781.zip / FNB _-) R2000.00 paid from Current a_c..512781 @ Smartapp. Ref.Salary.  8Mar 13_25.eml</x:v>
      </x:c>
    </x:row>
    <x:row r="27">
      <x:c r="A27" s="15" t="str">
        <x:v>Staff Salary</x:v>
      </x:c>
      <x:c r="B27" s="15" t="str">
        <x:v>Salary / wages</x:v>
      </x:c>
      <x:c r="C27" s="15" t="str">
        <x:v>High</x:v>
      </x:c>
      <x:c r="D27" s="15" t="str">
        <x:v>Staff/salary/wages keyword.</x:v>
      </x:c>
      <x:c r="E27" s="15" t="n">
        <x:v>6</x:v>
      </x:c>
      <x:c r="F27" s="15" t="str">
        <x:v>eml_ALL_currentac__512781 (2).zip &gt; eml5currentac__512781.zip / FNB _-) R12000.00 paid from Current a_c..512781 @ Smartapp. Ref.Staff Salary. 27Feb 11_02.eml</x:v>
      </x:c>
    </x:row>
    <x:row r="28">
      <x:c r="A28" s="15" t="str">
        <x:v>Ag1 Seaside Village</x:v>
      </x:c>
      <x:c r="B28" s="15" t="str">
        <x:v>Sales / customer receipts</x:v>
      </x:c>
      <x:c r="C28" s="15" t="str">
        <x:v>Medium</x:v>
      </x:c>
      <x:c r="D28" s="15" t="str">
        <x:v>Default for incoming EFT/PayShap/online receipt.</x:v>
      </x:c>
      <x:c r="E28" s="15" t="n">
        <x:v>5</x:v>
      </x:c>
      <x:c r="F28" s="15" t="str">
        <x:v>eml_ALL_currentac__512781 (2).zip &gt; eml5currentac__512781.zip / FNB _-) R765.00 paid to Current a_c..512781 @ Online Banking. Ref.Ag1 Seaside Village.  7Mar 09_44.eml</x:v>
      </x:c>
    </x:row>
    <x:row r="29">
      <x:c r="A29" s="15" t="str">
        <x:v>Obaro Komatipoort Fc</x:v>
      </x:c>
      <x:c r="B29" s="15" t="str">
        <x:v>Supplier payments</x:v>
      </x:c>
      <x:c r="C29" s="15" t="str">
        <x:v>Medium</x:v>
      </x:c>
      <x:c r="D29" s="15" t="str">
        <x:v>Retail/supplier merchant keyword.</x:v>
      </x:c>
      <x:c r="E29" s="15" t="n">
        <x:v>5</x:v>
      </x:c>
      <x:c r="F29" s="15" t="str">
        <x:v>eml_ALL_currentac__512781 (2).zip &gt; eml8currentac__512781.zip / FNB _-) R500.00 reserved for purchase @ Obaro Komatipoort Fc from Current a_c..512781 using card..2924.  9Jan 16_19.eml</x:v>
      </x:c>
    </x:row>
    <x:row r="30">
      <x:c r="A30" s="15" t="str">
        <x:v>Toppies Hardware 66</x:v>
      </x:c>
      <x:c r="B30" s="15" t="str">
        <x:v>Supplier payments</x:v>
      </x:c>
      <x:c r="C30" s="15" t="str">
        <x:v>Medium</x:v>
      </x:c>
      <x:c r="D30" s="15" t="str">
        <x:v>Retail/supplier merchant keyword.</x:v>
      </x:c>
      <x:c r="E30" s="15" t="n">
        <x:v>5</x:v>
      </x:c>
      <x:c r="F30" s="15" t="str">
        <x:v>eml_ALL_currentac__512781 (2).zip &gt; eml5currentac__512781.zip / FNB _-) R419.91 reserved for purchase @ Toppies Hardware 66 from Current a_c..512781 using card..2924. 28Feb 09_08.eml</x:v>
      </x:c>
    </x:row>
    <x:row r="31">
      <x:c r="A31" s="15" t="str">
        <x:v>Giraffe Pub And Gril</x:v>
      </x:c>
      <x:c r="B31" s="15" t="str">
        <x:v>Meals / restaurants / entertainment</x:v>
      </x:c>
      <x:c r="C31" s="15" t="str">
        <x:v>High</x:v>
      </x:c>
      <x:c r="D31" s="15" t="str">
        <x:v>Restaurant/entertainment/liquor keyword.</x:v>
      </x:c>
      <x:c r="E31" s="15" t="n">
        <x:v>4</x:v>
      </x:c>
      <x:c r="F31" s="15" t="str">
        <x:v>eml_ALL_currentac__512781 (2).zip &gt; eml12currentac__512781.zip / FNB _-) R400.00 reserved for purchase @ Giraffe Pub And Gril from Current a_c..512781 using card..2924.  5Oct 10_57.eml</x:v>
      </x:c>
    </x:row>
    <x:row r="32">
      <x:c r="A32" s="15" t="str">
        <x:v>Komati Pharmacy</x:v>
      </x:c>
      <x:c r="B32" s="15" t="str">
        <x:v>Supplier payments</x:v>
      </x:c>
      <x:c r="C32" s="15" t="str">
        <x:v>Medium</x:v>
      </x:c>
      <x:c r="D32" s="15" t="str">
        <x:v>Retail/supplier merchant keyword.</x:v>
      </x:c>
      <x:c r="E32" s="15" t="n">
        <x:v>4</x:v>
      </x:c>
      <x:c r="F32" s="15" t="str">
        <x:v>eml_ALL_currentac__512781 (2).zip &gt; eml5currentac__512781.zip / FNB _-) R382.97 reserved for purchase @ Komati Pharmacy from Current a_c..512781 using card..2924.  4Mar 13_22.eml</x:v>
      </x:c>
    </x:row>
    <x:row r="33">
      <x:c r="A33" s="15" t="str">
        <x:v>Openai *chatgpt Subscr+14</x:v>
      </x:c>
      <x:c r="B33" s="15" t="str">
        <x:v>Software / subscriptions</x:v>
      </x:c>
      <x:c r="C33" s="15" t="str">
        <x:v>High</x:v>
      </x:c>
      <x:c r="D33" s="15" t="str">
        <x:v>Software/subscription keyword.</x:v>
      </x:c>
      <x:c r="E33" s="15" t="n">
        <x:v>4</x:v>
      </x:c>
      <x:c r="F33" s="15" t="str">
        <x:v>eml_ALL_currentac__512781 (2).zip &gt; eml3currentac__512781.zip / FNB _-) R399.00 reserved for purchase @ Openai _chatgpt Subscr+14 from Current a_c..512781 using card..0104. 12Apr 14_42.eml</x:v>
      </x:c>
    </x:row>
    <x:row r="34">
      <x:c r="A34" s="15" t="str">
        <x:v>Shoprite Malelane</x:v>
      </x:c>
      <x:c r="B34" s="15" t="str">
        <x:v>Supplier payments</x:v>
      </x:c>
      <x:c r="C34" s="15" t="str">
        <x:v>Medium</x:v>
      </x:c>
      <x:c r="D34" s="15" t="str">
        <x:v>Retail/supplier merchant keyword.</x:v>
      </x:c>
      <x:c r="E34" s="15" t="n">
        <x:v>4</x:v>
      </x:c>
      <x:c r="F34" s="15" t="str">
        <x:v>eml_ALL_currentac__512781 (2).zip &gt; eml10currentac__512781.zip / FNB _-) R853.87 reserved for purchase @ Shoprite Malelane from Current a_c..512781 using card..2924. 14Nov 13_22.eml</x:v>
      </x:c>
    </x:row>
    <x:row r="35">
      <x:c r="A35" s="15" t="str">
        <x:v>Staff Tips For Aug</x:v>
      </x:c>
      <x:c r="B35" s="15" t="str">
        <x:v>Salary / wages</x:v>
      </x:c>
      <x:c r="C35" s="15" t="str">
        <x:v>High</x:v>
      </x:c>
      <x:c r="D35" s="15" t="str">
        <x:v>Staff/salary/wages keyword.</x:v>
      </x:c>
      <x:c r="E35" s="15" t="n">
        <x:v>4</x:v>
      </x:c>
      <x:c r="F35" s="15" t="str">
        <x:v>eml_ALL_currentac__512781 (2).zip &gt; eml12currentac__512781.zip / FNB _-) R1400.00 paid from Current a_c..512781 @ Smartapp. Ref.Staff Tips For Aug.  4Oct 11_54.eml</x:v>
      </x:c>
    </x:row>
    <x:row r="36">
      <x:c r="A36" s="15" t="str">
        <x:v>Temu</x:v>
      </x:c>
      <x:c r="B36" s="15" t="str">
        <x:v>Card spend</x:v>
      </x:c>
      <x:c r="C36" s="15" t="str">
        <x:v>Low</x:v>
      </x:c>
      <x:c r="D36" s="15" t="str">
        <x:v>Default card-spend category; merchant not confidently mapped.</x:v>
      </x:c>
      <x:c r="E36" s="15" t="n">
        <x:v>4</x:v>
      </x:c>
      <x:c r="F36" s="15" t="str">
        <x:v>eml_ALL_currentac__512781 (2).zip &gt; eml12currentac__512781.zip / FNB _-) R150.00 reserved for purchase @ Temu from Current a_c..512781 using card..2924.  8Oct 14_19.eml</x:v>
      </x:c>
    </x:row>
    <x:row r="37">
      <x:c r="A37" s="15" t="str">
        <x:v>Tops Malelane</x:v>
      </x:c>
      <x:c r="B37" s="15" t="str">
        <x:v>Meals / restaurants / entertainment</x:v>
      </x:c>
      <x:c r="C37" s="15" t="str">
        <x:v>High</x:v>
      </x:c>
      <x:c r="D37" s="15" t="str">
        <x:v>Restaurant/entertainment/liquor keyword.</x:v>
      </x:c>
      <x:c r="E37" s="15" t="n">
        <x:v>4</x:v>
      </x:c>
      <x:c r="F37" s="15" t="str">
        <x:v>eml_ALL_currentac__512781 (2).zip &gt; eml10currentac__512781.zip / FNB _-) R444.00 reserved for purchase @ Tops Malelane from Current a_c..512781 using card..2924. 12Nov 12_25.eml</x:v>
      </x:c>
    </x:row>
    <x:row r="38">
      <x:c r="A38" s="15" t="str">
        <x:v>Ac De Jager Vleis</x:v>
      </x:c>
      <x:c r="B38" s="15" t="str">
        <x:v>Supplier payments</x:v>
      </x:c>
      <x:c r="C38" s="15" t="str">
        <x:v>Low</x:v>
      </x:c>
      <x:c r="D38" s="15" t="str">
        <x:v>Default outflow category; review counterparty/reference.</x:v>
      </x:c>
      <x:c r="E38" s="15" t="n">
        <x:v>3</x:v>
      </x:c>
      <x:c r="F38" s="15" t="str">
        <x:v>eml_ALL_currentac__512781 (2).zip &gt; eml10currentac__512781.zip / FNB _-) R1842.04 paid from Current a_c..512781 @ Smartapp. Ref.Ac De Jager Vleis. 20Nov 17_56.eml</x:v>
      </x:c>
    </x:row>
    <x:row r="39">
      <x:c r="A39" s="15" t="str">
        <x:v>Ae Komatipoort</x:v>
      </x:c>
      <x:c r="B39" s="15" t="str">
        <x:v>Card spend</x:v>
      </x:c>
      <x:c r="C39" s="15" t="str">
        <x:v>Low</x:v>
      </x:c>
      <x:c r="D39" s="15" t="str">
        <x:v>Default card-spend category; merchant not confidently mapped.</x:v>
      </x:c>
      <x:c r="E39" s="15" t="n">
        <x:v>3</x:v>
      </x:c>
      <x:c r="F39" s="15" t="str">
        <x:v>eml_ALL_currentac__512781 (2).zip &gt; eml5currentac__512781.zip / FNB _-) R200.00 reserved for purchase @ Ae Komatipoort from Current a_c..512781 using card..2924.  4Mar 14_49.eml</x:v>
      </x:c>
    </x:row>
    <x:row r="40">
      <x:c r="A40" s="15" t="str">
        <x:v>Car</x:v>
      </x:c>
      <x:c r="B40" s="15" t="str">
        <x:v>Supplier payments</x:v>
      </x:c>
      <x:c r="C40" s="15" t="str">
        <x:v>Low</x:v>
      </x:c>
      <x:c r="D40" s="15" t="str">
        <x:v>Default outflow category; review counterparty/reference.</x:v>
      </x:c>
      <x:c r="E40" s="15" t="n">
        <x:v>3</x:v>
      </x:c>
      <x:c r="F40" s="15" t="str">
        <x:v>eml_ALL_currentac__512781 (2).zip &gt; eml3currentac__512781.zip / FNB _-) R5000.00 paid from Current a_c..512781 @ Smartapp. Ref.Car. 17Apr 12_21.eml</x:v>
      </x:c>
    </x:row>
    <x:row r="41">
      <x:c r="A41" s="15" t="str">
        <x:v>Cindy Wages</x:v>
      </x:c>
      <x:c r="B41" s="15" t="str">
        <x:v>Salary / wages</x:v>
      </x:c>
      <x:c r="C41" s="15" t="str">
        <x:v>High</x:v>
      </x:c>
      <x:c r="D41" s="15" t="str">
        <x:v>Staff/salary/wages keyword.</x:v>
      </x:c>
      <x:c r="E41" s="15" t="n">
        <x:v>3</x:v>
      </x:c>
      <x:c r="F41" s="15" t="str">
        <x:v>eml_ALL_currentac__512781 (2).zip &gt; eml12currentac__512781.zip / FNB _-) R450.00 paid from Current a_c..512781 @ Smartapp. Ref.Cindy Wages.  9Oct 11_00.eml</x:v>
      </x:c>
    </x:row>
    <x:row r="42">
      <x:c r="A42" s="15" t="str">
        <x:v>Cr Vc Temu</x:v>
      </x:c>
      <x:c r="B42" s="15" t="str">
        <x:v>Refunds / reversals</x:v>
      </x:c>
      <x:c r="C42" s="15" t="str">
        <x:v>High</x:v>
      </x:c>
      <x:c r="D42" s="15" t="str">
        <x:v>Refund/reversal transaction type.</x:v>
      </x:c>
      <x:c r="E42" s="15" t="n">
        <x:v>3</x:v>
      </x:c>
      <x:c r="F42" s="15" t="str">
        <x:v>eml_ALL_currentac__512781 (2).zip &gt; eml12currentac__512781.zip / FNB _-) REVERSAL of R150.00 for goods purchased from Current a_c..512781. Ref.Cr Vc Temu. 12Oct 00_00.eml</x:v>
      </x:c>
    </x:row>
    <x:row r="43">
      <x:c r="A43" s="15" t="str">
        <x:v>Electricity 04279376</x:v>
      </x:c>
      <x:c r="B43" s="15" t="str">
        <x:v>Telecom / utilities</x:v>
      </x:c>
      <x:c r="C43" s="15" t="str">
        <x:v>High</x:v>
      </x:c>
      <x:c r="D43" s="15" t="str">
        <x:v>Telecom/utility keyword.</x:v>
      </x:c>
      <x:c r="E43" s="15" t="n">
        <x:v>3</x:v>
      </x:c>
      <x:c r="F43" s="15" t="str">
        <x:v>eml_ALL_currentac__512781 (2).zip &gt; eml7currentac__512781.zip / FNB _-) R1000.00 paid from Current a_c..512781 @ Smartapp. Ref.Electricity 04279376. 23Jan 16_44.eml</x:v>
      </x:c>
    </x:row>
    <x:row r="44">
      <x:c r="A44" s="15" t="str">
        <x:v>Ingwe Supermarket146</x:v>
      </x:c>
      <x:c r="B44" s="15" t="str">
        <x:v>Card spend</x:v>
      </x:c>
      <x:c r="C44" s="15" t="str">
        <x:v>Low</x:v>
      </x:c>
      <x:c r="D44" s="15" t="str">
        <x:v>Default card-spend category; merchant not confidently mapped.</x:v>
      </x:c>
      <x:c r="E44" s="15" t="n">
        <x:v>3</x:v>
      </x:c>
      <x:c r="F44" s="15" t="str">
        <x:v>eml_ALL_currentac__512781 (2).zip &gt; eml5currentac__512781.zip / FNB _-) R574.40 reserved for purchase @ Ingwe Supermarket146 from Current a_c..512781 using card..2924.  3Mar 16_16.eml</x:v>
      </x:c>
    </x:row>
    <x:row r="45">
      <x:c r="A45" s="15" t="str">
        <x:v>Komati Liquor</x:v>
      </x:c>
      <x:c r="B45" s="15" t="str">
        <x:v>Meals / restaurants / entertainment</x:v>
      </x:c>
      <x:c r="C45" s="15" t="str">
        <x:v>High</x:v>
      </x:c>
      <x:c r="D45" s="15" t="str">
        <x:v>Restaurant/entertainment/liquor keyword.</x:v>
      </x:c>
      <x:c r="E45" s="15" t="n">
        <x:v>3</x:v>
      </x:c>
      <x:c r="F45" s="15" t="str">
        <x:v>eml_ALL_currentac__512781 (2).zip &gt; eml7currentac__512781.zip / FNB _-) R243.00 reserved for purchase @ Komati Liquor from Current a_c..512781 using card..2924. 28Jan 14_44.eml</x:v>
      </x:c>
    </x:row>
    <x:row r="46">
      <x:c r="A46" s="15" t="str">
        <x:v>Kpci - C1736</x:v>
      </x:c>
      <x:c r="B46" s="15" t="str">
        <x:v>Supplier payments</x:v>
      </x:c>
      <x:c r="C46" s="15" t="str">
        <x:v>Low</x:v>
      </x:c>
      <x:c r="D46" s="15" t="str">
        <x:v>Default outflow category; review counterparty/reference.</x:v>
      </x:c>
      <x:c r="E46" s="15" t="n">
        <x:v>3</x:v>
      </x:c>
      <x:c r="F46" s="15" t="str">
        <x:v>eml_ALL_currentac__512781 (2).zip &gt; eml8currentac__512781.zip / FNB _-) R500.00 paid from Current a_c..512781 @ Smartapp. Ref.Kpci - C1736.  6Jan 18_38.eml</x:v>
      </x:c>
    </x:row>
    <x:row r="47">
      <x:c r="A47" s="15" t="str">
        <x:v>Lebombo Washing Mach</x:v>
      </x:c>
      <x:c r="B47" s="15" t="str">
        <x:v>Supplier payments</x:v>
      </x:c>
      <x:c r="C47" s="15" t="str">
        <x:v>Low</x:v>
      </x:c>
      <x:c r="D47" s="15" t="str">
        <x:v>Default outflow category; review counterparty/reference.</x:v>
      </x:c>
      <x:c r="E47" s="15" t="n">
        <x:v>3</x:v>
      </x:c>
      <x:c r="F47" s="15" t="str">
        <x:v>eml_ALL_currentac__512781 (2).zip &gt; eml7currentac__512781.zip / FNB _-) R1625.00 paid from Current a_c..512781 @ Smartapp. Ref.Lebombo Washing Mach. 26Jan 10_58.eml</x:v>
      </x:c>
    </x:row>
    <x:row r="48">
      <x:c r="A48" s="15" t="str">
        <x:v>Machado Tap N Go</x:v>
      </x:c>
      <x:c r="B48" s="15" t="str">
        <x:v>Card spend</x:v>
      </x:c>
      <x:c r="C48" s="15" t="str">
        <x:v>Low</x:v>
      </x:c>
      <x:c r="D48" s="15" t="str">
        <x:v>Default card-spend category; merchant not confidently mapped.</x:v>
      </x:c>
      <x:c r="E48" s="15" t="n">
        <x:v>3</x:v>
      </x:c>
      <x:c r="F48" s="15" t="str">
        <x:v>eml_ALL_currentac__512781 (2).zip &gt; eml12currentac__512781.zip / FNB _-) R122.00 reserved for purchase @ Machado Tap N Go from Current a_c..512781 using card..2924. 19Sep 10_24.eml</x:v>
      </x:c>
    </x:row>
    <x:row r="49">
      <x:c r="A49" s="15" t="str">
        <x:v>Pep 5668 Malelane</x:v>
      </x:c>
      <x:c r="B49" s="15" t="str">
        <x:v>Supplier payments</x:v>
      </x:c>
      <x:c r="C49" s="15" t="str">
        <x:v>Medium</x:v>
      </x:c>
      <x:c r="D49" s="15" t="str">
        <x:v>Retail/supplier merchant keyword.</x:v>
      </x:c>
      <x:c r="E49" s="15" t="n">
        <x:v>3</x:v>
      </x:c>
      <x:c r="F49" s="15" t="str">
        <x:v>eml_ALL_currentac__512781 (2).zip &gt; eml5currentac__512781.zip / FNB _-) R306.00 reserved for purchase @ Pep 5668 Malelane from Current a_c..512781 using card..2924. 23Feb 11_24.eml</x:v>
      </x:c>
    </x:row>
    <x:row r="50">
      <x:c r="A50" s="15" t="str">
        <x:v>Salary Jan</x:v>
      </x:c>
      <x:c r="B50" s="15" t="str">
        <x:v>Salary / wages</x:v>
      </x:c>
      <x:c r="C50" s="15" t="str">
        <x:v>High</x:v>
      </x:c>
      <x:c r="D50" s="15" t="str">
        <x:v>Staff/salary/wages keyword.</x:v>
      </x:c>
      <x:c r="E50" s="15" t="n">
        <x:v>3</x:v>
      </x:c>
      <x:c r="F50" s="15" t="str">
        <x:v>eml_ALL_currentac__512781 (2).zip &gt; eml6currentac__512781.zip / FNB _-) R5000.00 paid from Current a_c..512781 @ Gen Ph. Ref.Salary Jan.  6Feb 01_46.eml</x:v>
      </x:c>
    </x:row>
    <x:row r="51">
      <x:c r="A51" s="15" t="str">
        <x:v>Smartapp</x:v>
      </x:c>
      <x:c r="B51" s="15" t="str">
        <x:v>Supplier payments</x:v>
      </x:c>
      <x:c r="C51" s="15" t="str">
        <x:v>Low</x:v>
      </x:c>
      <x:c r="D51" s="15" t="str">
        <x:v>Default outflow category; review counterparty/reference.</x:v>
      </x:c>
      <x:c r="E51" s="15" t="n">
        <x:v>3</x:v>
      </x:c>
      <x:c r="F51" s="15" t="str">
        <x:v>eml_ALL_currentac__512781 (2).zip &gt; eml5currentac__512781.zip / FNB _-) R200.00 paid from Current a_c..512781 @ Smartapp.  6Mar 16_37.eml</x:v>
      </x:c>
    </x:row>
    <x:row r="52">
      <x:c r="A52" s="15" t="str">
        <x:v>Superspar The Grove</x:v>
      </x:c>
      <x:c r="B52" s="15" t="str">
        <x:v>Supplier payments</x:v>
      </x:c>
      <x:c r="C52" s="15" t="str">
        <x:v>Medium</x:v>
      </x:c>
      <x:c r="D52" s="15" t="str">
        <x:v>Retail/supplier merchant keyword.</x:v>
      </x:c>
      <x:c r="E52" s="15" t="n">
        <x:v>3</x:v>
      </x:c>
      <x:c r="F52" s="15" t="str">
        <x:v>eml_ALL_currentac__512781 (2).zip &gt; eml10currentac__512781.zip / FNB _-) R778.98 reserved for purchase @ Superspar The Grove from Current a_c..512781 using card..2924. 20Nov 12_04.eml</x:v>
      </x:c>
    </x:row>
    <x:row r="53">
      <x:c r="A53" s="15" t="str">
        <x:v>Yoco *k2025744041</x:v>
      </x:c>
      <x:c r="B53" s="15" t="str">
        <x:v>Card spend</x:v>
      </x:c>
      <x:c r="C53" s="15" t="str">
        <x:v>Low</x:v>
      </x:c>
      <x:c r="D53" s="15" t="str">
        <x:v>Default card-spend category; merchant not confidently mapped.</x:v>
      </x:c>
      <x:c r="E53" s="15" t="n">
        <x:v>3</x:v>
      </x:c>
      <x:c r="F53" s="15" t="str">
        <x:v>eml_ALL_currentac__512781 (2).zip &gt; eml7currentac__512781.zip / FNB _-) R400.00 reserved for purchase @ Yoco _k2025744041 from Current a_c..512781 using card..2924. 16Jan 19_12.eml</x:v>
      </x:c>
    </x:row>
    <x:row r="54">
      <x:c r="A54" s="15" t="str">
        <x:v>Agrico Pty Ltd</x:v>
      </x:c>
      <x:c r="B54" s="15" t="str">
        <x:v>Supplier payments</x:v>
      </x:c>
      <x:c r="C54" s="15" t="str">
        <x:v>Medium</x:v>
      </x:c>
      <x:c r="D54" s="15" t="str">
        <x:v>Retail/supplier merchant keyword.</x:v>
      </x:c>
      <x:c r="E54" s="15" t="n">
        <x:v>2</x:v>
      </x:c>
      <x:c r="F54" s="15" t="str">
        <x:v>eml_ALL_currentac__512781 (2).zip &gt; eml12currentac__512781.zip / FNB _-) R912.79 reserved for purchase @ Agrico Pty Ltd from Current a_c..512781 using card..2924.  9Oct 11_32.eml</x:v>
      </x:c>
    </x:row>
    <x:row r="55">
      <x:c r="A55" s="15" t="str">
        <x:v>Amazing Kruger</x:v>
      </x:c>
      <x:c r="B55" s="15" t="str">
        <x:v>Card spend</x:v>
      </x:c>
      <x:c r="C55" s="15" t="str">
        <x:v>Low</x:v>
      </x:c>
      <x:c r="D55" s="15" t="str">
        <x:v>Default card-spend category; merchant not confidently mapped.</x:v>
      </x:c>
      <x:c r="E55" s="15" t="n">
        <x:v>2</x:v>
      </x:c>
      <x:c r="F55" s="15" t="str">
        <x:v>eml_ALL_currentac__512781 (2).zip &gt; eml5currentac__512781.zip / FNB _-) R460.00 reserved for purchase @ Amazing Kruger from Current a_c..512781 using card..2924. 27Feb 19_58.eml</x:v>
      </x:c>
    </x:row>
    <x:row r="56">
      <x:c r="A56" s="15" t="str">
        <x:v>At Wild Butchery 133</x:v>
      </x:c>
      <x:c r="B56" s="15" t="str">
        <x:v>Supplier payments</x:v>
      </x:c>
      <x:c r="C56" s="15" t="str">
        <x:v>Medium</x:v>
      </x:c>
      <x:c r="D56" s="15" t="str">
        <x:v>Retail/supplier merchant keyword.</x:v>
      </x:c>
      <x:c r="E56" s="15" t="n">
        <x:v>2</x:v>
      </x:c>
      <x:c r="F56" s="15" t="str">
        <x:v>eml_ALL_currentac__512781 (2).zip &gt; eml7currentac__512781.zip / FNB _-) R103.15 reserved for purchase @ At Wild Butchery 133 from Current a_c..512781 using card..2924. 22Jan 15_34.eml</x:v>
      </x:c>
    </x:row>
    <x:row r="57">
      <x:c r="A57" s="15" t="str">
        <x:v>Autozone Malelane</x:v>
      </x:c>
      <x:c r="B57" s="15" t="str">
        <x:v>Card spend</x:v>
      </x:c>
      <x:c r="C57" s="15" t="str">
        <x:v>Low</x:v>
      </x:c>
      <x:c r="D57" s="15" t="str">
        <x:v>Default card-spend category; merchant not confidently mapped.</x:v>
      </x:c>
      <x:c r="E57" s="15" t="n">
        <x:v>2</x:v>
      </x:c>
      <x:c r="F57" s="15" t="str">
        <x:v>eml_ALL_currentac__512781 (2).zip &gt; eml8currentac__512781.zip / FNB _-) R140.00 reserved for purchase @ Autozone Malelane from Current a_c..512781 using card..2924. 27Dec 11_39.eml</x:v>
      </x:c>
    </x:row>
    <x:row r="58">
      <x:c r="A58" s="15" t="str">
        <x:v>Border Butchery 265</x:v>
      </x:c>
      <x:c r="B58" s="15" t="str">
        <x:v>Supplier payments</x:v>
      </x:c>
      <x:c r="C58" s="15" t="str">
        <x:v>Medium</x:v>
      </x:c>
      <x:c r="D58" s="15" t="str">
        <x:v>Retail/supplier merchant keyword.</x:v>
      </x:c>
      <x:c r="E58" s="15" t="n">
        <x:v>2</x:v>
      </x:c>
      <x:c r="F58" s="15" t="str">
        <x:v>eml_ALL_currentac__512781 (2).zip &gt; eml10currentac__512781.zip / FNB _-) R237.35 reserved for purchase @ Border Butchery 265 from Current a_c..512781 using card..2924. 18Nov 12_10.eml</x:v>
      </x:c>
    </x:row>
    <x:row r="59">
      <x:c r="A59" s="15" t="str">
        <x:v>Buco Komatipoort</x:v>
      </x:c>
      <x:c r="B59" s="15" t="str">
        <x:v>Supplier payments</x:v>
      </x:c>
      <x:c r="C59" s="15" t="str">
        <x:v>Medium</x:v>
      </x:c>
      <x:c r="D59" s="15" t="str">
        <x:v>Retail/supplier merchant keyword.</x:v>
      </x:c>
      <x:c r="E59" s="15" t="n">
        <x:v>2</x:v>
      </x:c>
      <x:c r="F59" s="15" t="str">
        <x:v>eml_ALL_currentac__512781 (2).zip &gt; eml7currentac__512781.zip / FNB _-) R283.25 reserved for purchase @ Buco Komatipoort from Current a_c..512781 using card..2924. 28Jan 14_18.eml</x:v>
      </x:c>
    </x:row>
    <x:row r="60">
      <x:c r="A60" s="15" t="str">
        <x:v>Cf Moto Saf - Inv 3</x:v>
      </x:c>
      <x:c r="B60" s="15" t="str">
        <x:v>Supplier payments</x:v>
      </x:c>
      <x:c r="C60" s="15" t="str">
        <x:v>Low</x:v>
      </x:c>
      <x:c r="D60" s="15" t="str">
        <x:v>Default outflow category; review counterparty/reference.</x:v>
      </x:c>
      <x:c r="E60" s="15" t="n">
        <x:v>2</x:v>
      </x:c>
      <x:c r="F60" s="15" t="str">
        <x:v>eml_ALL_currentac__512781 (2).zip &gt; eml3currentac__512781.zip / FNB _-) R372.00 paid from Current a_c..512781 @ Smartapp. Ref.Cf Moto Saf - Inv 3. 11Apr 14_03.eml</x:v>
      </x:c>
    </x:row>
    <x:row r="61">
      <x:c r="A61" s="15" t="str">
        <x:v>Claude.ai Subscription+14</x:v>
      </x:c>
      <x:c r="B61" s="15" t="str">
        <x:v>Software / subscriptions</x:v>
      </x:c>
      <x:c r="C61" s="15" t="str">
        <x:v>High</x:v>
      </x:c>
      <x:c r="D61" s="15" t="str">
        <x:v>Software/subscription keyword.</x:v>
      </x:c>
      <x:c r="E61" s="15" t="n">
        <x:v>2</x:v>
      </x:c>
      <x:c r="F61" s="15" t="str">
        <x:v>eml_ALL_currentac__512781 (2).zip &gt; eml2currentac__512781.zip / FNB _-) R395.68 reserved for purchase @ Claude.ai Subscription+14 from Current a_c..512781 using card..0104. 20May 10_58.eml</x:v>
      </x:c>
    </x:row>
    <x:row r="62">
      <x:c r="A62" s="15" t="str">
        <x:v>Eastern Border Fuels</x:v>
      </x:c>
      <x:c r="B62" s="15" t="str">
        <x:v>Fuel / transport</x:v>
      </x:c>
      <x:c r="C62" s="15" t="str">
        <x:v>High</x:v>
      </x:c>
      <x:c r="D62" s="15" t="str">
        <x:v>Fuel/transport merchant keyword.</x:v>
      </x:c>
      <x:c r="E62" s="15" t="n">
        <x:v>2</x:v>
      </x:c>
      <x:c r="F62" s="15" t="str">
        <x:v>eml_ALL_currentac__512781 (2).zip &gt; eml10currentac__512781.zip / FNB _-) R250.00 reserved for purchase @ Eastern Border Fuels from Current a_c..512781 using card..2924. 28Nov 12_26.eml</x:v>
      </x:c>
    </x:row>
    <x:row r="63">
      <x:c r="A63" s="15" t="str">
        <x:v>Engen Hectorspruit</x:v>
      </x:c>
      <x:c r="B63" s="15" t="str">
        <x:v>Fuel / transport</x:v>
      </x:c>
      <x:c r="C63" s="15" t="str">
        <x:v>High</x:v>
      </x:c>
      <x:c r="D63" s="15" t="str">
        <x:v>Fuel/transport merchant keyword.</x:v>
      </x:c>
      <x:c r="E63" s="15" t="n">
        <x:v>2</x:v>
      </x:c>
      <x:c r="F63" s="15" t="str">
        <x:v>eml_ALL_currentac__512781 (2).zip &gt; eml8currentac__512781.zip / FNB _-) R300.00 reserved for purchase @ Engen Hectorspruit from Current a_c..512781 using card..2924. 12Jan 12_15.eml</x:v>
      </x:c>
    </x:row>
    <x:row r="64">
      <x:c r="A64" s="15" t="str">
        <x:v>Frontier Fuels</x:v>
      </x:c>
      <x:c r="B64" s="15" t="str">
        <x:v>Fuel / transport</x:v>
      </x:c>
      <x:c r="C64" s="15" t="str">
        <x:v>High</x:v>
      </x:c>
      <x:c r="D64" s="15" t="str">
        <x:v>Fuel/transport merchant keyword.</x:v>
      </x:c>
      <x:c r="E64" s="15" t="n">
        <x:v>2</x:v>
      </x:c>
      <x:c r="F64" s="15" t="str">
        <x:v>eml_ALL_currentac__512781 (2).zip &gt; eml10currentac__512781.zip / FNB _-) R800.00 reserved for purchase @ Frontier Fuels from Current a_c..512781 using card..2924. 11Nov 14_19.eml</x:v>
      </x:c>
    </x:row>
    <x:row r="65">
      <x:c r="A65" s="15" t="str">
        <x:v>Goldwagen Komatipoor</x:v>
      </x:c>
      <x:c r="B65" s="15" t="str">
        <x:v>Card spend</x:v>
      </x:c>
      <x:c r="C65" s="15" t="str">
        <x:v>Low</x:v>
      </x:c>
      <x:c r="D65" s="15" t="str">
        <x:v>Default card-spend category; merchant not confidently mapped.</x:v>
      </x:c>
      <x:c r="E65" s="15" t="n">
        <x:v>2</x:v>
      </x:c>
      <x:c r="F65" s="15" t="str">
        <x:v>eml_ALL_currentac__512781 (2).zip &gt; eml6currentac__512781.zip / FNB _-) R575.00 reserved for purchase @ Goldwagen Komatipoor from Current a_c..512781 using card..2924. 12Feb 13_24.eml</x:v>
      </x:c>
    </x:row>
    <x:row r="66">
      <x:c r="A66" s="15" t="str">
        <x:v>home loan a/c..057026</x:v>
      </x:c>
      <x:c r="B66" s="15" t="str">
        <x:v>Inter-account transfer</x:v>
      </x:c>
      <x:c r="C66" s="15" t="str">
        <x:v>High</x:v>
      </x:c>
      <x:c r="D66" s="15" t="str">
        <x:v>Transfer between identified account/card identifiers.</x:v>
      </x:c>
      <x:c r="E66" s="15" t="n">
        <x:v>2</x:v>
      </x:c>
      <x:c r="F66" s="15" t="str">
        <x:v>eml_ALL_currentac__512781 (2).zip &gt; eml3currentac__512781.zip / FNB _-) R26500.00 t_fer from Current a_c..512781 to home loan a_c..057026 @ Smartapp. 20Apr 15_19.eml</x:v>
      </x:c>
    </x:row>
    <x:row r="67">
      <x:c r="A67" s="15" t="str">
        <x:v>Hpy*vodafone Cellula</x:v>
      </x:c>
      <x:c r="B67" s="15" t="str">
        <x:v>Card spend</x:v>
      </x:c>
      <x:c r="C67" s="15" t="str">
        <x:v>Low</x:v>
      </x:c>
      <x:c r="D67" s="15" t="str">
        <x:v>Default card-spend category; merchant not confidently mapped.</x:v>
      </x:c>
      <x:c r="E67" s="15" t="n">
        <x:v>2</x:v>
      </x:c>
      <x:c r="F67" s="15" t="str">
        <x:v>eml_ALL_currentac__512781 (2).zip &gt; eml7currentac__512781.zip / FNB _-) R1150.00 reserved for purchase @ Hpy_vodafone Cellula from Current a_c..512781 using card..2924. 22Jan 10_27.eml</x:v>
      </x:c>
    </x:row>
    <x:row r="68">
      <x:c r="A68" s="15" t="str">
        <x:v>Ingwe Supermarket</x:v>
      </x:c>
      <x:c r="B68" s="15" t="str">
        <x:v>Card spend</x:v>
      </x:c>
      <x:c r="C68" s="15" t="str">
        <x:v>Low</x:v>
      </x:c>
      <x:c r="D68" s="15" t="str">
        <x:v>Default card-spend category; merchant not confidently mapped.</x:v>
      </x:c>
      <x:c r="E68" s="15" t="n">
        <x:v>2</x:v>
      </x:c>
      <x:c r="F68" s="15" t="str">
        <x:v>eml_ALL_currentac__512781 (2).zip &gt; eml5currentac__512781.zip / FNB _-) R128.01 reserved for purchase @ Ingwe Supermarket from Current a_c..512781 using card..2924.  9Mar 15_03.eml</x:v>
      </x:c>
    </x:row>
    <x:row r="69">
      <x:c r="A69" s="15" t="str">
        <x:v>K2025744041 Sou 262</x:v>
      </x:c>
      <x:c r="B69" s="15" t="str">
        <x:v>Card spend</x:v>
      </x:c>
      <x:c r="C69" s="15" t="str">
        <x:v>Low</x:v>
      </x:c>
      <x:c r="D69" s="15" t="str">
        <x:v>Default card-spend category; merchant not confidently mapped.</x:v>
      </x:c>
      <x:c r="E69" s="15" t="n">
        <x:v>2</x:v>
      </x:c>
      <x:c r="F69" s="15" t="str">
        <x:v>eml_ALL_currentac__512781 (2).zip &gt; eml8currentac__512781.zip / FNB _-) R405.00 reserved for purchase @ K2025744041 Sou 262 from Current a_c..512781 using card..2924. 11Jan 14_06.eml</x:v>
      </x:c>
    </x:row>
    <x:row r="70">
      <x:c r="A70" s="15" t="str">
        <x:v>Kruger Saf 1700 50%</x:v>
      </x:c>
      <x:c r="B70" s="15" t="str">
        <x:v>Supplier payments</x:v>
      </x:c>
      <x:c r="C70" s="15" t="str">
        <x:v>Low</x:v>
      </x:c>
      <x:c r="D70" s="15" t="str">
        <x:v>Default outflow category; review counterparty/reference.</x:v>
      </x:c>
      <x:c r="E70" s="15" t="n">
        <x:v>2</x:v>
      </x:c>
      <x:c r="F70" s="15" t="str">
        <x:v>eml_ALL_currentac__512781 (2).zip &gt; eml1currentac__512781.zip / FNB _-) R5056.40 paid from Current a_c..512781 @ Smartapp. Ref.Kruger Saf 1700 50%.  8Jun 13_08.eml</x:v>
      </x:c>
    </x:row>
    <x:row r="71">
      <x:c r="A71" s="15" t="str">
        <x:v>Nkomazi Local Munici</x:v>
      </x:c>
      <x:c r="B71" s="15" t="str">
        <x:v>Card spend</x:v>
      </x:c>
      <x:c r="C71" s="15" t="str">
        <x:v>Low</x:v>
      </x:c>
      <x:c r="D71" s="15" t="str">
        <x:v>Default card-spend category; merchant not confidently mapped.</x:v>
      </x:c>
      <x:c r="E71" s="15" t="n">
        <x:v>2</x:v>
      </x:c>
      <x:c r="F71" s="15" t="str">
        <x:v>eml_ALL_currentac__512781 (2).zip &gt; eml12currentac__512781.zip / FNB _-) R5670.36 reserved for purchase @ Nkomazi Local Munici from Current a_c..512781 using card..2924.  8Oct 10_32.eml</x:v>
      </x:c>
    </x:row>
    <x:row r="72">
      <x:c r="A72" s="15" t="str">
        <x:v>Oasis Water Malelane</x:v>
      </x:c>
      <x:c r="B72" s="15" t="str">
        <x:v>Supplier payments</x:v>
      </x:c>
      <x:c r="C72" s="15" t="str">
        <x:v>Medium</x:v>
      </x:c>
      <x:c r="D72" s="15" t="str">
        <x:v>Retail/supplier merchant keyword.</x:v>
      </x:c>
      <x:c r="E72" s="15" t="n">
        <x:v>2</x:v>
      </x:c>
      <x:c r="F72" s="15" t="str">
        <x:v>eml_ALL_currentac__512781 (2).zip &gt; eml4currentac__512781.zip / FNB _-) R254.20 reserved for purchase @ Oasis Water Malelane from Current a_c..512781 using card..2924.  2Apr 13_46.eml</x:v>
      </x:c>
    </x:row>
    <x:row r="73">
      <x:c r="A73" s="15" t="str">
        <x:v>Pj Els - Showp</x:v>
      </x:c>
      <x:c r="B73" s="15" t="str">
        <x:v>Supplier payments</x:v>
      </x:c>
      <x:c r="C73" s="15" t="str">
        <x:v>Low</x:v>
      </x:c>
      <x:c r="D73" s="15" t="str">
        <x:v>Default outflow category; review counterparty/reference.</x:v>
      </x:c>
      <x:c r="E73" s="15" t="n">
        <x:v>2</x:v>
      </x:c>
      <x:c r="F73" s="15" t="str">
        <x:v>eml_ALL_currentac__512781 (2).zip &gt; eml7currentac__512781.zip / FNB _-) R2000.00 paid from Current a_c..512781 @ Smartapp. Ref.Pj Els - Showp. 23Jan 08_14.eml</x:v>
      </x:c>
    </x:row>
    <x:row r="74">
      <x:c r="A74" s="15" t="str">
        <x:v>Printing</x:v>
      </x:c>
      <x:c r="B74" s="15" t="str">
        <x:v>Supplier payments</x:v>
      </x:c>
      <x:c r="C74" s="15" t="str">
        <x:v>Low</x:v>
      </x:c>
      <x:c r="D74" s="15" t="str">
        <x:v>Default outflow category; review counterparty/reference.</x:v>
      </x:c>
      <x:c r="E74" s="15" t="n">
        <x:v>2</x:v>
      </x:c>
      <x:c r="F74" s="15" t="str">
        <x:v>eml_ALL_currentac__512781 (2).zip &gt; eml6currentac__512781.zip / FNB _-) R815.00 paid from Current a_c..512781 @ Smartapp. Ref.Printing. 12Feb 10_25.eml</x:v>
      </x:c>
    </x:row>
    <x:row r="75">
      <x:c r="A75" s="15" t="str">
        <x:v>Printing Signboard</x:v>
      </x:c>
      <x:c r="B75" s="15" t="str">
        <x:v>Supplier payments</x:v>
      </x:c>
      <x:c r="C75" s="15" t="str">
        <x:v>Low</x:v>
      </x:c>
      <x:c r="D75" s="15" t="str">
        <x:v>Default outflow category; review counterparty/reference.</x:v>
      </x:c>
      <x:c r="E75" s="15" t="n">
        <x:v>2</x:v>
      </x:c>
      <x:c r="F75" s="15" t="str">
        <x:v>eml_ALL_currentac__512781 (2).zip &gt; eml3currentac__512781.zip / FNB _-) R600.00 paid from Current a_c..512781 @ Smartapp. Ref.Printing Signboard. 15Apr 10_08.eml</x:v>
      </x:c>
    </x:row>
    <x:row r="76">
      <x:c r="A76" s="15" t="str">
        <x:v>S2s*sa Liquors Komat</x:v>
      </x:c>
      <x:c r="B76" s="15" t="str">
        <x:v>Meals / restaurants / entertainment</x:v>
      </x:c>
      <x:c r="C76" s="15" t="str">
        <x:v>High</x:v>
      </x:c>
      <x:c r="D76" s="15" t="str">
        <x:v>Restaurant/entertainment/liquor keyword.</x:v>
      </x:c>
      <x:c r="E76" s="15" t="n">
        <x:v>2</x:v>
      </x:c>
      <x:c r="F76" s="15" t="str">
        <x:v>eml_ALL_currentac__512781 (2).zip &gt; eml12currentac__512781.zip / FNB _-) R981.50 reserved for purchase @ S2s_sa Liquors Komat from Current a_c..512781 using card..2924.  9Oct 11_59.eml</x:v>
      </x:c>
    </x:row>
    <x:row r="77">
      <x:c r="A77" s="15" t="str">
        <x:v>Sakkie Wages Jan</x:v>
      </x:c>
      <x:c r="B77" s="15" t="str">
        <x:v>Salary / wages</x:v>
      </x:c>
      <x:c r="C77" s="15" t="str">
        <x:v>High</x:v>
      </x:c>
      <x:c r="D77" s="15" t="str">
        <x:v>Staff/salary/wages keyword.</x:v>
      </x:c>
      <x:c r="E77" s="15" t="n">
        <x:v>2</x:v>
      </x:c>
      <x:c r="F77" s="15" t="str">
        <x:v>eml_ALL_currentac__512781 (2).zip &gt; eml8currentac__512781.zip / FNB _-) R2500.00 paid from Current a_c..512781 @ Smartapp. Ref.Sakkie Wages Jan. 16Jan 14_16.eml</x:v>
      </x:c>
    </x:row>
    <x:row r="78">
      <x:c r="A78" s="15" t="str">
        <x:v>Sasol Emkhatsini</x:v>
      </x:c>
      <x:c r="B78" s="15" t="str">
        <x:v>Fuel / transport</x:v>
      </x:c>
      <x:c r="C78" s="15" t="str">
        <x:v>High</x:v>
      </x:c>
      <x:c r="D78" s="15" t="str">
        <x:v>Fuel/transport merchant keyword.</x:v>
      </x:c>
      <x:c r="E78" s="15" t="n">
        <x:v>2</x:v>
      </x:c>
      <x:c r="F78" s="15" t="str">
        <x:v>eml_ALL_currentac__512781 (2).zip &gt; eml8currentac__512781.zip / FNB _-) R300.00 reserved for purchase @ Sasol Emkhatsini from Current a_c..512781 using card..2924.  7Jan 14_46.eml</x:v>
      </x:c>
    </x:row>
    <x:row r="79">
      <x:c r="A79" s="15" t="str">
        <x:v>Send Donald Bus</x:v>
      </x:c>
      <x:c r="B79" s="15" t="str">
        <x:v>Supplier payments</x:v>
      </x:c>
      <x:c r="C79" s="15" t="str">
        <x:v>Low</x:v>
      </x:c>
      <x:c r="D79" s="15" t="str">
        <x:v>Default outflow category; review counterparty/reference.</x:v>
      </x:c>
      <x:c r="E79" s="15" t="n">
        <x:v>2</x:v>
      </x:c>
      <x:c r="F79" s="15" t="str">
        <x:v>eml_ALL_currentac__512781 (2).zip &gt; eml2currentac__512781.zip / FNB _-) R1500.00 paid from Current a_c..512781 @ Smartapp. Ref.Send Donald Bus. 11May 14_46.eml</x:v>
      </x:c>
    </x:row>
    <x:row r="80">
      <x:c r="A80" s="15" t="str">
        <x:v>Send Tyron Bos</x:v>
      </x:c>
      <x:c r="B80" s="15" t="str">
        <x:v>Supplier payments</x:v>
      </x:c>
      <x:c r="C80" s="15" t="str">
        <x:v>Low</x:v>
      </x:c>
      <x:c r="D80" s="15" t="str">
        <x:v>Default outflow category; review counterparty/reference.</x:v>
      </x:c>
      <x:c r="E80" s="15" t="n">
        <x:v>2</x:v>
      </x:c>
      <x:c r="F80" s="15" t="str">
        <x:v>eml_ALL_currentac__512781 (2).zip &gt; eml2currentac__512781.zip / FNB _-) R1000.00 paid from Current a_c..512781 @ Smartapp. Ref.Send Tyron Bos. 13May 09_43.eml</x:v>
      </x:c>
    </x:row>
    <x:row r="81">
      <x:c r="A81" s="15" t="str">
        <x:v>Sparkling Auto Nelsp</x:v>
      </x:c>
      <x:c r="B81" s="15" t="str">
        <x:v>Supplier payments</x:v>
      </x:c>
      <x:c r="C81" s="15" t="str">
        <x:v>Medium</x:v>
      </x:c>
      <x:c r="D81" s="15" t="str">
        <x:v>Retail/supplier merchant keyword.</x:v>
      </x:c>
      <x:c r="E81" s="15" t="n">
        <x:v>2</x:v>
      </x:c>
      <x:c r="F81" s="15" t="str">
        <x:v>eml_ALL_currentac__512781 (2).zip &gt; eml10currentac__512781.zip / FNB _-) R170.00 reserved for purchase @ Sparkling Auto Nelsp from Current a_c..512781 using card..2924. 20Nov 10_18.eml</x:v>
      </x:c>
    </x:row>
    <x:row r="82">
      <x:c r="A82" s="15" t="str">
        <x:v>Stratton Prop Mng</x:v>
      </x:c>
      <x:c r="B82" s="15" t="str">
        <x:v>Supplier payments</x:v>
      </x:c>
      <x:c r="C82" s="15" t="str">
        <x:v>Low</x:v>
      </x:c>
      <x:c r="D82" s="15" t="str">
        <x:v>Default outflow category; review counterparty/reference.</x:v>
      </x:c>
      <x:c r="E82" s="15" t="n">
        <x:v>2</x:v>
      </x:c>
      <x:c r="F82" s="15" t="str">
        <x:v>eml_ALL_currentac__512781 (2).zip &gt; eml7currentac__512781.zip / FNB _-) R13271.53 paid from Current a_c..512781 @ Smartapp. Ref.Stratton Prop Mng. 23Jan 15_54.eml</x:v>
      </x:c>
    </x:row>
    <x:row r="83">
      <x:c r="A83" s="15" t="str">
        <x:v>The Crazy Store Koma</x:v>
      </x:c>
      <x:c r="B83" s="15" t="str">
        <x:v>Card spend</x:v>
      </x:c>
      <x:c r="C83" s="15" t="str">
        <x:v>Low</x:v>
      </x:c>
      <x:c r="D83" s="15" t="str">
        <x:v>Default card-spend category; merchant not confidently mapped.</x:v>
      </x:c>
      <x:c r="E83" s="15" t="n">
        <x:v>2</x:v>
      </x:c>
      <x:c r="F83" s="15" t="str">
        <x:v>eml_ALL_currentac__512781 (2).zip &gt; eml4currentac__512781.zip / FNB _-) R164.89 reserved for purchase @ The Crazy Store Koma from Current a_c..512781 using card..2924.  7Apr 14_25.eml</x:v>
      </x:c>
    </x:row>
    <x:row r="84">
      <x:c r="A84" s="15" t="str">
        <x:v>#inv-000167</x:v>
      </x:c>
      <x:c r="B84" s="15" t="str">
        <x:v>Sales / customer receipts</x:v>
      </x:c>
      <x:c r="C84" s="15" t="str">
        <x:v>Medium</x:v>
      </x:c>
      <x:c r="D84" s="15" t="str">
        <x:v>Default for incoming EFT/PayShap/online receipt.</x:v>
      </x:c>
      <x:c r="E84" s="15" t="n">
        <x:v>1</x:v>
      </x:c>
      <x:c r="F84" s="15" t="str">
        <x:v>eml_ALL_currentac__512781 (2).zip &gt; eml6currentac__512781.zip / FNB _-) R512.33 paid to Current a_c..512781 @ Payshap. Ref.#inv-000167. 22Feb 09_23.eml</x:v>
      </x:c>
    </x:row>
    <x:row r="85">
      <x:c r="A85" s="15" t="str">
        <x:v>108964,04294887007</x:v>
      </x:c>
      <x:c r="B85" s="15" t="str">
        <x:v>Sales / customer receipts</x:v>
      </x:c>
      <x:c r="C85" s="15" t="str">
        <x:v>Medium</x:v>
      </x:c>
      <x:c r="D85" s="15" t="str">
        <x:v>Default for incoming EFT/PayShap/online receipt.</x:v>
      </x:c>
      <x:c r="E85" s="15" t="n">
        <x:v>1</x:v>
      </x:c>
      <x:c r="F85" s="15" t="str">
        <x:v>eml_ALL_currentac__512781 (2).zip &gt; eml3currentac__512781.zip / FNB _-) R500.00 paid to Current a_c..512781 @ Smartapp. Ref.108964,04294887007. 22Apr 17_30.eml</x:v>
      </x:c>
    </x:row>
    <x:row r="86">
      <x:c r="A86" s="15" t="str">
        <x:v>274689,04294887007</x:v>
      </x:c>
      <x:c r="B86" s="15" t="str">
        <x:v>Sales / customer receipts</x:v>
      </x:c>
      <x:c r="C86" s="15" t="str">
        <x:v>Medium</x:v>
      </x:c>
      <x:c r="D86" s="15" t="str">
        <x:v>Default for incoming EFT/PayShap/online receipt.</x:v>
      </x:c>
      <x:c r="E86" s="15" t="n">
        <x:v>1</x:v>
      </x:c>
      <x:c r="F86" s="15" t="str">
        <x:v>eml_ALL_currentac__512781 (2).zip &gt; eml5currentac__512781.zip / FNB _-) R500.00 paid to Current a_c..512781 @ Smartapp. Ref.274689,04294887007. 25Feb 11_45.eml</x:v>
      </x:c>
    </x:row>
    <x:row r="87">
      <x:c r="A87" s="15" t="str">
        <x:v>274942,04294887007</x:v>
      </x:c>
      <x:c r="B87" s="15" t="str">
        <x:v>Sales / customer receipts</x:v>
      </x:c>
      <x:c r="C87" s="15" t="str">
        <x:v>Medium</x:v>
      </x:c>
      <x:c r="D87" s="15" t="str">
        <x:v>Default for incoming EFT/PayShap/online receipt.</x:v>
      </x:c>
      <x:c r="E87" s="15" t="n">
        <x:v>1</x:v>
      </x:c>
      <x:c r="F87" s="15" t="str">
        <x:v>eml_ALL_currentac__512781 (2).zip &gt; eml5currentac__512781.zip / FNB _-) R500.00 paid to Current a_c..512781 @ Smartapp. Ref.274942,04294887007. 25Feb 11_47.eml</x:v>
      </x:c>
    </x:row>
    <x:row r="88">
      <x:c r="A88" s="15" t="str">
        <x:v>281057,04294887007</x:v>
      </x:c>
      <x:c r="B88" s="15" t="str">
        <x:v>Sales / customer receipts</x:v>
      </x:c>
      <x:c r="C88" s="15" t="str">
        <x:v>Medium</x:v>
      </x:c>
      <x:c r="D88" s="15" t="str">
        <x:v>Default for incoming EFT/PayShap/online receipt.</x:v>
      </x:c>
      <x:c r="E88" s="15" t="n">
        <x:v>1</x:v>
      </x:c>
      <x:c r="F88" s="15" t="str">
        <x:v>eml_ALL_currentac__512781 (2).zip &gt; eml5currentac__512781.zip / FNB _-) R500.00 paid to Current a_c..512781 @ Smartapp. Ref.281057,04294887007. 25Feb 12_32.eml</x:v>
      </x:c>
    </x:row>
    <x:row r="89">
      <x:c r="A89" s="15" t="str">
        <x:v>286562,04294887007</x:v>
      </x:c>
      <x:c r="B89" s="15" t="str">
        <x:v>Sales / customer receipts</x:v>
      </x:c>
      <x:c r="C89" s="15" t="str">
        <x:v>Medium</x:v>
      </x:c>
      <x:c r="D89" s="15" t="str">
        <x:v>Default for incoming EFT/PayShap/online receipt.</x:v>
      </x:c>
      <x:c r="E89" s="15" t="n">
        <x:v>1</x:v>
      </x:c>
      <x:c r="F89" s="15" t="str">
        <x:v>eml_ALL_currentac__512781 (2).zip &gt; eml5currentac__512781.zip / FNB _-) R500.00 paid to Current a_c..512781 @ Smartapp. Ref.286562,04294887007. 25Feb 13_15.eml</x:v>
      </x:c>
    </x:row>
    <x:row r="90">
      <x:c r="A90" s="15" t="str">
        <x:v>338139,04294887007</x:v>
      </x:c>
      <x:c r="B90" s="15" t="str">
        <x:v>Sales / customer receipts</x:v>
      </x:c>
      <x:c r="C90" s="15" t="str">
        <x:v>Medium</x:v>
      </x:c>
      <x:c r="D90" s="15" t="str">
        <x:v>Default for incoming EFT/PayShap/online receipt.</x:v>
      </x:c>
      <x:c r="E90" s="15" t="n">
        <x:v>1</x:v>
      </x:c>
      <x:c r="F90" s="15" t="str">
        <x:v>eml_ALL_currentac__512781 (2).zip &gt; eml5currentac__512781.zip / FNB _-) R500.00 paid to Current a_c..512781 @ Smartapp. Ref.338139,04294887007. 25Feb 18_09.eml</x:v>
      </x:c>
    </x:row>
    <x:row r="91">
      <x:c r="A91" s="15" t="str">
        <x:v>524405,04294887007</x:v>
      </x:c>
      <x:c r="B91" s="15" t="str">
        <x:v>Sales / customer receipts</x:v>
      </x:c>
      <x:c r="C91" s="15" t="str">
        <x:v>Medium</x:v>
      </x:c>
      <x:c r="D91" s="15" t="str">
        <x:v>Default for incoming EFT/PayShap/online receipt.</x:v>
      </x:c>
      <x:c r="E91" s="15" t="n">
        <x:v>1</x:v>
      </x:c>
      <x:c r="F91" s="15" t="str">
        <x:v>eml_ALL_currentac__512781 (2).zip &gt; eml1currentac__512781.zip / FNB _-) R150.00 paid to Current a_c..512781 @ Smartapp. Ref.524405,04294887007.  9Jun 19_37.eml</x:v>
      </x:c>
    </x:row>
    <x:row r="92">
      <x:c r="A92" s="15" t="str">
        <x:v>524745,04294887007</x:v>
      </x:c>
      <x:c r="B92" s="15" t="str">
        <x:v>Sales / customer receipts</x:v>
      </x:c>
      <x:c r="C92" s="15" t="str">
        <x:v>Medium</x:v>
      </x:c>
      <x:c r="D92" s="15" t="str">
        <x:v>Default for incoming EFT/PayShap/online receipt.</x:v>
      </x:c>
      <x:c r="E92" s="15" t="n">
        <x:v>1</x:v>
      </x:c>
      <x:c r="F92" s="15" t="str">
        <x:v>eml_ALL_currentac__512781 (2).zip &gt; eml1currentac__512781.zip / FNB _-) R150.00 paid to Current a_c..512781 @ Smartapp. Ref.524745,04294887007.  9Jun 19_38.eml</x:v>
      </x:c>
    </x:row>
    <x:row r="93">
      <x:c r="A93" s="15" t="str">
        <x:v>6111002148</x:v>
      </x:c>
      <x:c r="B93" s="15" t="str">
        <x:v>Sales / customer receipts</x:v>
      </x:c>
      <x:c r="C93" s="15" t="str">
        <x:v>Medium</x:v>
      </x:c>
      <x:c r="D93" s="15" t="str">
        <x:v>Default for incoming EFT/PayShap/online receipt.</x:v>
      </x:c>
      <x:c r="E93" s="15" t="n">
        <x:v>1</x:v>
      </x:c>
      <x:c r="F93" s="15" t="str">
        <x:v>eml_ALL_currentac__512781 (2).zip &gt; eml10currentac__512781.zip / FNB _-) R1915.42 paid to Current a_c..512781 @ Real Time Cl. Ref.6111002148. 29Nov 11_16.eml</x:v>
      </x:c>
    </x:row>
    <x:row r="94">
      <x:c r="A94" s="15" t="str">
        <x:v>6114000315</x:v>
      </x:c>
      <x:c r="B94" s="15" t="str">
        <x:v>Sales / customer receipts</x:v>
      </x:c>
      <x:c r="C94" s="15" t="str">
        <x:v>Medium</x:v>
      </x:c>
      <x:c r="D94" s="15" t="str">
        <x:v>Default for incoming EFT/PayShap/online receipt.</x:v>
      </x:c>
      <x:c r="E94" s="15" t="n">
        <x:v>1</x:v>
      </x:c>
      <x:c r="F94" s="15" t="str">
        <x:v>eml_ALL_currentac__512781 (2).zip &gt; eml2currentac__512781.zip / FNB _-) R38411.98 paid to Current a_c..512781 @ Real Time Cl. Ref.6114000315. 25May 14_00.eml</x:v>
      </x:c>
    </x:row>
    <x:row r="95">
      <x:c r="A95" s="15" t="str">
        <x:v>7f040 Airbnb Payment</x:v>
      </x:c>
      <x:c r="B95" s="15" t="str">
        <x:v>Sales / customer receipts</x:v>
      </x:c>
      <x:c r="C95" s="15" t="str">
        <x:v>Medium</x:v>
      </x:c>
      <x:c r="D95" s="15" t="str">
        <x:v>Default for incoming EFT/PayShap/online receipt.</x:v>
      </x:c>
      <x:c r="E95" s="15" t="n">
        <x:v>1</x:v>
      </x:c>
      <x:c r="F95" s="15" t="str">
        <x:v>eml_ALL_currentac__512781 (2).zip &gt; eml5currentac__512781.zip / FNB _-) R2830.85 paid to Current a_c..512781 @ Payshap. Ref.7f040 Airbnb Payment.  8Mar 13_42.eml</x:v>
      </x:c>
    </x:row>
    <x:row r="96">
      <x:c r="A96" s="15" t="str">
        <x:v>Absa Bush Centr</x:v>
      </x:c>
      <x:c r="B96" s="15" t="str">
        <x:v>Cash withdrawal</x:v>
      </x:c>
      <x:c r="C96" s="15" t="str">
        <x:v>High</x:v>
      </x:c>
      <x:c r="D96" s="15" t="str">
        <x:v>ATM/cash withdrawal identified.</x:v>
      </x:c>
      <x:c r="E96" s="15" t="n">
        <x:v>1</x:v>
      </x:c>
      <x:c r="F96" s="15" t="str">
        <x:v>eml_ALL_currentac__512781 (2).zip &gt; eml1currentac__512781.zip / FNB _-) R250.00 withdrawn from Current a_c..512781 using card..2924 @ Absa Bush Centr.  1Jun 15_12.eml</x:v>
      </x:c>
    </x:row>
    <x:row r="97">
      <x:c r="A97" s="15" t="str">
        <x:v>Ac De Jager Vleis..269640</x:v>
      </x:c>
      <x:c r="B97" s="15" t="str">
        <x:v>Other</x:v>
      </x:c>
      <x:c r="C97" s="15" t="str">
        <x:v>Low</x:v>
      </x:c>
      <x:c r="D97" s="15" t="str">
        <x:v>Unable to map confidently.</x:v>
      </x:c>
      <x:c r="E97" s="15" t="n">
        <x:v>1</x:v>
      </x:c>
      <x:c r="F97" s="15" t="str">
        <x:v>eml_ALL_currentac__512781 (2).zip &gt; eml10currentac__512781.zip / FNB _-) Payment Link created from Current a_c..512781 To Ac De Jager Vleis..269640 @ Smartapp. 20Nov 17_55 Call 087 575 9404  for help..eml</x:v>
      </x:c>
    </x:row>
    <x:row r="98">
      <x:c r="A98" s="15" t="str">
        <x:v>Ae Millys</x:v>
      </x:c>
      <x:c r="B98" s="15" t="str">
        <x:v>Card spend</x:v>
      </x:c>
      <x:c r="C98" s="15" t="str">
        <x:v>Low</x:v>
      </x:c>
      <x:c r="D98" s="15" t="str">
        <x:v>Default card-spend category; merchant not confidently mapped.</x:v>
      </x:c>
      <x:c r="E98" s="15" t="n">
        <x:v>1</x:v>
      </x:c>
      <x:c r="F98" s="15" t="str">
        <x:v>eml_ALL_currentac__512781 (2).zip &gt; eml1currentac__512781.zip / FNB _-) R300.00 reserved for purchase @ Ae Millys from Current a_c..512781 using card..2924. 10Jun 12_37.eml</x:v>
      </x:c>
    </x:row>
    <x:row r="99">
      <x:c r="A99" s="15" t="str">
        <x:v>Afr Dream In27814</x:v>
      </x:c>
      <x:c r="B99" s="15" t="str">
        <x:v>Supplier payments</x:v>
      </x:c>
      <x:c r="C99" s="15" t="str">
        <x:v>Low</x:v>
      </x:c>
      <x:c r="D99" s="15" t="str">
        <x:v>Default outflow category; review counterparty/reference.</x:v>
      </x:c>
      <x:c r="E99" s="15" t="n">
        <x:v>1</x:v>
      </x:c>
      <x:c r="F99" s="15" t="str">
        <x:v>eml_ALL_currentac__512781 (2).zip &gt; eml10currentac__512781.zip / FNB _-) R678.50 paid from Current a_c..512781 @ Smartapp. Ref.Afr Dream In27814. 21Nov 15_13.eml</x:v>
      </x:c>
    </x:row>
    <x:row r="100">
      <x:c r="A100" s="15" t="str">
        <x:v>African Dream Amenit..032135</x:v>
      </x:c>
      <x:c r="B100" s="15" t="str">
        <x:v>Other</x:v>
      </x:c>
      <x:c r="C100" s="15" t="str">
        <x:v>Low</x:v>
      </x:c>
      <x:c r="D100" s="15" t="str">
        <x:v>Unable to map confidently.</x:v>
      </x:c>
      <x:c r="E100" s="15" t="n">
        <x:v>1</x:v>
      </x:c>
      <x:c r="F100" s="15" t="str">
        <x:v>eml_ALL_currentac__512781 (2).zip &gt; eml10currentac__512781.zip / FNB _-) Payment Link created from Current a_c..512781 To African Dream Amenit..032135 @ Smartapp. 21Nov 15_12 Call 087 575 9404  for help..eml</x:v>
      </x:c>
    </x:row>
    <x:row r="101">
      <x:c r="A101" s="15" t="str">
        <x:v>African Sky</x:v>
      </x:c>
      <x:c r="B101" s="15" t="str">
        <x:v>Supplier payments</x:v>
      </x:c>
      <x:c r="C101" s="15" t="str">
        <x:v>Low</x:v>
      </x:c>
      <x:c r="D101" s="15" t="str">
        <x:v>Default outflow category; review counterparty/reference.</x:v>
      </x:c>
      <x:c r="E101" s="15" t="n">
        <x:v>1</x:v>
      </x:c>
      <x:c r="F101" s="15" t="str">
        <x:v>eml_ALL_currentac__512781 (2).zip &gt; eml4currentac__512781.zip / FNB _-) R5000.00 paid from Current a_c..512781 @ Gen Ph. Ref.African Sky.  9Apr 01_17.eml</x:v>
      </x:c>
    </x:row>
    <x:row r="102">
      <x:c r="A102" s="15" t="str">
        <x:v>Am Hoffman Wages</x:v>
      </x:c>
      <x:c r="B102" s="15" t="str">
        <x:v>Salary / wages</x:v>
      </x:c>
      <x:c r="C102" s="15" t="str">
        <x:v>High</x:v>
      </x:c>
      <x:c r="D102" s="15" t="str">
        <x:v>Staff/salary/wages keyword.</x:v>
      </x:c>
      <x:c r="E102" s="15" t="n">
        <x:v>1</x:v>
      </x:c>
      <x:c r="F102" s="15" t="str">
        <x:v>eml_ALL_currentac__512781 (2).zip &gt; eml8currentac__512781.zip / FNB _-) R5000.00 paid from Current a_c..512781 @ Gen Ph. Ref.Am Hoffman Wages.  4Jan 09_57.eml</x:v>
      </x:c>
    </x:row>
    <x:row r="103">
      <x:c r="A103" s="15" t="str">
        <x:v>Annemarie Hoffman..346294</x:v>
      </x:c>
      <x:c r="B103" s="15" t="str">
        <x:v>Other</x:v>
      </x:c>
      <x:c r="C103" s="15" t="str">
        <x:v>Low</x:v>
      </x:c>
      <x:c r="D103" s="15" t="str">
        <x:v>Unable to map confidently.</x:v>
      </x:c>
      <x:c r="E103" s="15" t="n">
        <x:v>1</x:v>
      </x:c>
      <x:c r="F103" s="15" t="str">
        <x:v>eml_ALL_currentac__512781 (2).zip &gt; eml12currentac__512781.zip / FNB _-) Payment Link created from Current a_c..512781 To Annemarie Hoffman..346294 @ Smartapp.  4Oct 11_54 Call 087 575 9404  for help..eml</x:v>
      </x:c>
    </x:row>
    <x:row r="104">
      <x:c r="A104" s="15" t="str">
        <x:v>Annemarie Hoffman..829416</x:v>
      </x:c>
      <x:c r="B104" s="15" t="str">
        <x:v>Other</x:v>
      </x:c>
      <x:c r="C104" s="15" t="str">
        <x:v>Low</x:v>
      </x:c>
      <x:c r="D104" s="15" t="str">
        <x:v>Unable to map confidently.</x:v>
      </x:c>
      <x:c r="E104" s="15" t="n">
        <x:v>1</x:v>
      </x:c>
      <x:c r="F104" s="15" t="str">
        <x:v>eml_ALL_currentac__512781 (2).zip &gt; eml8currentac__512781.zip / FNB _-) Payment Link created from Current a_c..512781 To Annemarie Hoffman..829416 @ Smartapp.  3Jan 17_39 Call 087 575 9404  for help..eml</x:v>
      </x:c>
    </x:row>
    <x:row r="105">
      <x:c r="A105" s="15" t="str">
        <x:v>Asbe - 002 Comm Jan</x:v>
      </x:c>
      <x:c r="B105" s="15" t="str">
        <x:v>Supplier payments</x:v>
      </x:c>
      <x:c r="C105" s="15" t="str">
        <x:v>Low</x:v>
      </x:c>
      <x:c r="D105" s="15" t="str">
        <x:v>Default outflow category; review counterparty/reference.</x:v>
      </x:c>
      <x:c r="E105" s="15" t="n">
        <x:v>1</x:v>
      </x:c>
      <x:c r="F105" s="15" t="str">
        <x:v>eml_ALL_currentac__512781 (2).zip &gt; eml8currentac__512781.zip / FNB _-) R4372.34 paid from Current a_c..512781 @ Smartapp. Ref.Asbe - 002 Comm Jan.  9Jan 20_00.eml</x:v>
      </x:c>
    </x:row>
    <x:row r="106">
      <x:c r="A106" s="15" t="str">
        <x:v>Asbe - Comm</x:v>
      </x:c>
      <x:c r="B106" s="15" t="str">
        <x:v>Supplier payments</x:v>
      </x:c>
      <x:c r="C106" s="15" t="str">
        <x:v>Low</x:v>
      </x:c>
      <x:c r="D106" s="15" t="str">
        <x:v>Default outflow category; review counterparty/reference.</x:v>
      </x:c>
      <x:c r="E106" s="15" t="n">
        <x:v>1</x:v>
      </x:c>
      <x:c r="F106" s="15" t="str">
        <x:v>eml_ALL_currentac__512781 (2).zip &gt; eml8currentac__512781.zip / FNB _-) R857.18 paid from Current a_c..512781 @ Smartapp. Ref.Asbe - Comm. 28Dec 12_33.eml</x:v>
      </x:c>
    </x:row>
    <x:row r="107">
      <x:c r="A107" s="15" t="str">
        <x:v>Asbe - Comm Jan</x:v>
      </x:c>
      <x:c r="B107" s="15" t="str">
        <x:v>Supplier payments</x:v>
      </x:c>
      <x:c r="C107" s="15" t="str">
        <x:v>Low</x:v>
      </x:c>
      <x:c r="D107" s="15" t="str">
        <x:v>Default outflow category; review counterparty/reference.</x:v>
      </x:c>
      <x:c r="E107" s="15" t="n">
        <x:v>1</x:v>
      </x:c>
      <x:c r="F107" s="15" t="str">
        <x:v>eml_ALL_currentac__512781 (2).zip &gt; eml7currentac__512781.zip / FNB _-) R1344.45 paid from Current a_c..512781 @ Smartapp. Ref.Asbe - Comm Jan. 19Jan 10_04.eml</x:v>
      </x:c>
    </x:row>
    <x:row r="108">
      <x:c r="A108" s="15" t="str">
        <x:v>Big Bay Maintenance</x:v>
      </x:c>
      <x:c r="B108" s="15" t="str">
        <x:v>Rent / property</x:v>
      </x:c>
      <x:c r="C108" s="15" t="str">
        <x:v>High</x:v>
      </x:c>
      <x:c r="D108" s="15" t="str">
        <x:v>Rent/property/maintenance keyword.</x:v>
      </x:c>
      <x:c r="E108" s="15" t="n">
        <x:v>1</x:v>
      </x:c>
      <x:c r="F108" s="15" t="str">
        <x:v>eml_ALL_currentac__512781 (2).zip &gt; eml7currentac__512781.zip / FNB _-) R3550.00 paid from Current a_c..512781 @ Smartapp. Ref.Big Bay Maintenance. 16Jan 15_48.eml</x:v>
      </x:c>
    </x:row>
    <x:row r="109">
      <x:c r="A109" s="15" t="str">
        <x:v>Bon Express - Bacon..109612</x:v>
      </x:c>
      <x:c r="B109" s="15" t="str">
        <x:v>Other</x:v>
      </x:c>
      <x:c r="C109" s="15" t="str">
        <x:v>Low</x:v>
      </x:c>
      <x:c r="D109" s="15" t="str">
        <x:v>Unable to map confidently.</x:v>
      </x:c>
      <x:c r="E109" s="15" t="n">
        <x:v>1</x:v>
      </x:c>
      <x:c r="F109" s="15" t="str">
        <x:v>eml_ALL_currentac__512781 (2).zip &gt; eml12currentac__512781.zip / FNB _-) Payment Link created from Current a_c..512781 To Bon Express - Bacon..109612 @ Smartapp.  8Oct 13_40 Call 087 575 9404  for help..eml</x:v>
      </x:c>
    </x:row>
    <x:row r="110">
      <x:c r="A110" s="15" t="str">
        <x:v>Bon Express 006708</x:v>
      </x:c>
      <x:c r="B110" s="15" t="str">
        <x:v>Supplier payments</x:v>
      </x:c>
      <x:c r="C110" s="15" t="str">
        <x:v>Low</x:v>
      </x:c>
      <x:c r="D110" s="15" t="str">
        <x:v>Default outflow category; review counterparty/reference.</x:v>
      </x:c>
      <x:c r="E110" s="15" t="n">
        <x:v>1</x:v>
      </x:c>
      <x:c r="F110" s="15" t="str">
        <x:v>eml_ALL_currentac__512781 (2).zip &gt; eml12currentac__512781.zip / FNB _-) R127.88 paid from Current a_c..512781 @ Smartapp. Ref.Bon Express 006708.  8Oct 13_40.eml</x:v>
      </x:c>
    </x:row>
    <x:row r="111">
      <x:c r="A111" s="15" t="str">
        <x:v>Bon Express 006772</x:v>
      </x:c>
      <x:c r="B111" s="15" t="str">
        <x:v>Supplier payments</x:v>
      </x:c>
      <x:c r="C111" s="15" t="str">
        <x:v>Low</x:v>
      </x:c>
      <x:c r="D111" s="15" t="str">
        <x:v>Default outflow category; review counterparty/reference.</x:v>
      </x:c>
      <x:c r="E111" s="15" t="n">
        <x:v>1</x:v>
      </x:c>
      <x:c r="F111" s="15" t="str">
        <x:v>eml_ALL_currentac__512781 (2).zip &gt; eml12currentac__512781.zip / FNB _-) R255.76 paid from Current a_c..512781 @ Smartapp. Ref.Bon Express 006772. 14Oct 10_05.eml</x:v>
      </x:c>
    </x:row>
    <x:row r="112">
      <x:c r="A112" s="15" t="str">
        <x:v>Bon Express 006962</x:v>
      </x:c>
      <x:c r="B112" s="15" t="str">
        <x:v>Supplier payments</x:v>
      </x:c>
      <x:c r="C112" s="15" t="str">
        <x:v>Low</x:v>
      </x:c>
      <x:c r="D112" s="15" t="str">
        <x:v>Default outflow category; review counterparty/reference.</x:v>
      </x:c>
      <x:c r="E112" s="15" t="n">
        <x:v>1</x:v>
      </x:c>
      <x:c r="F112" s="15" t="str">
        <x:v>eml_ALL_currentac__512781 (2).zip &gt; eml10currentac__512781.zip / FNB _-) R255.76 paid from Current a_c..512781 @ Smartapp. Ref.Bon Express 006962. 10Nov 13_42.eml</x:v>
      </x:c>
    </x:row>
    <x:row r="113">
      <x:c r="A113" s="15" t="str">
        <x:v>Bon Express 007058</x:v>
      </x:c>
      <x:c r="B113" s="15" t="str">
        <x:v>Supplier payments</x:v>
      </x:c>
      <x:c r="C113" s="15" t="str">
        <x:v>Low</x:v>
      </x:c>
      <x:c r="D113" s="15" t="str">
        <x:v>Default outflow category; review counterparty/reference.</x:v>
      </x:c>
      <x:c r="E113" s="15" t="n">
        <x:v>1</x:v>
      </x:c>
      <x:c r="F113" s="15" t="str">
        <x:v>eml_ALL_currentac__512781 (2).zip &gt; eml10currentac__512781.zip / FNB _-) R546.25 paid from Current a_c..512781 @ Smartapp. Ref.Bon Express 007058. 21Nov 09_49.eml</x:v>
      </x:c>
    </x:row>
    <x:row r="114">
      <x:c r="A114" s="15" t="str">
        <x:v>Bon Express 007623</x:v>
      </x:c>
      <x:c r="B114" s="15" t="str">
        <x:v>Supplier payments</x:v>
      </x:c>
      <x:c r="C114" s="15" t="str">
        <x:v>Low</x:v>
      </x:c>
      <x:c r="D114" s="15" t="str">
        <x:v>Default outflow category; review counterparty/reference.</x:v>
      </x:c>
      <x:c r="E114" s="15" t="n">
        <x:v>1</x:v>
      </x:c>
      <x:c r="F114" s="15" t="str">
        <x:v>eml_ALL_currentac__512781 (2).zip &gt; eml6currentac__512781.zip / FNB _-) R380.65 paid from Current a_c..512781 @ Smartapp. Ref.Bon Express 007623. 12Feb 10_22.eml</x:v>
      </x:c>
    </x:row>
    <x:row r="115">
      <x:c r="A115" s="15" t="str">
        <x:v>Bon Express 007661</x:v>
      </x:c>
      <x:c r="B115" s="15" t="str">
        <x:v>Supplier payments</x:v>
      </x:c>
      <x:c r="C115" s="15" t="str">
        <x:v>Low</x:v>
      </x:c>
      <x:c r="D115" s="15" t="str">
        <x:v>Default outflow category; review counterparty/reference.</x:v>
      </x:c>
      <x:c r="E115" s="15" t="n">
        <x:v>1</x:v>
      </x:c>
      <x:c r="F115" s="15" t="str">
        <x:v>eml_ALL_currentac__512781 (2).zip &gt; eml6currentac__512781.zip / FNB _-) R345.00 paid from Current a_c..512781 @ Smartapp. Ref.Bon Express 007661. 12Feb 10_22.eml</x:v>
      </x:c>
    </x:row>
    <x:row r="116">
      <x:c r="A116" s="15" t="str">
        <x:v>Bon Express 007757</x:v>
      </x:c>
      <x:c r="B116" s="15" t="str">
        <x:v>Supplier payments</x:v>
      </x:c>
      <x:c r="C116" s="15" t="str">
        <x:v>Low</x:v>
      </x:c>
      <x:c r="D116" s="15" t="str">
        <x:v>Default outflow category; review counterparty/reference.</x:v>
      </x:c>
      <x:c r="E116" s="15" t="n">
        <x:v>1</x:v>
      </x:c>
      <x:c r="F116" s="15" t="str">
        <x:v>eml_ALL_currentac__512781 (2).zip &gt; eml6currentac__512781.zip / FNB _-) R132.25 paid from Current a_c..512781 @ Smartapp. Ref.Bon Express 007757. 19Feb 15_08.eml</x:v>
      </x:c>
    </x:row>
    <x:row r="117">
      <x:c r="A117" s="15" t="str">
        <x:v>Bon Express 008072</x:v>
      </x:c>
      <x:c r="B117" s="15" t="str">
        <x:v>Supplier payments</x:v>
      </x:c>
      <x:c r="C117" s="15" t="str">
        <x:v>Low</x:v>
      </x:c>
      <x:c r="D117" s="15" t="str">
        <x:v>Default outflow category; review counterparty/reference.</x:v>
      </x:c>
      <x:c r="E117" s="15" t="n">
        <x:v>1</x:v>
      </x:c>
      <x:c r="F117" s="15" t="str">
        <x:v>eml_ALL_currentac__512781 (2).zip &gt; eml4currentac__512781.zip / FNB _-) R284.17 paid from Current a_c..512781 @ Smartapp. Ref.Bon Express 008072.  1Apr 10_15.eml</x:v>
      </x:c>
    </x:row>
    <x:row r="118">
      <x:c r="A118" s="15" t="str">
        <x:v>Bon Express 008267</x:v>
      </x:c>
      <x:c r="B118" s="15" t="str">
        <x:v>Supplier payments</x:v>
      </x:c>
      <x:c r="C118" s="15" t="str">
        <x:v>Low</x:v>
      </x:c>
      <x:c r="D118" s="15" t="str">
        <x:v>Default outflow category; review counterparty/reference.</x:v>
      </x:c>
      <x:c r="E118" s="15" t="n">
        <x:v>1</x:v>
      </x:c>
      <x:c r="F118" s="15" t="str">
        <x:v>eml_ALL_currentac__512781 (2).zip &gt; eml3currentac__512781.zip / FNB _-) R142.08 paid from Current a_c..512781 @ Smartapp. Ref.Bon Express 008267. 29Apr 10_04.eml</x:v>
      </x:c>
    </x:row>
    <x:row r="119">
      <x:c r="A119" s="15" t="str">
        <x:v>Bon Express 008340</x:v>
      </x:c>
      <x:c r="B119" s="15" t="str">
        <x:v>Supplier payments</x:v>
      </x:c>
      <x:c r="C119" s="15" t="str">
        <x:v>Low</x:v>
      </x:c>
      <x:c r="D119" s="15" t="str">
        <x:v>Default outflow category; review counterparty/reference.</x:v>
      </x:c>
      <x:c r="E119" s="15" t="n">
        <x:v>1</x:v>
      </x:c>
      <x:c r="F119" s="15" t="str">
        <x:v>eml_ALL_currentac__512781 (2).zip &gt; eml2currentac__512781.zip / FNB _-) R345.40 paid from Current a_c..512781 @ Smartapp. Ref.Bon Express 008340. 11May 09_41.eml</x:v>
      </x:c>
    </x:row>
    <x:row r="120">
      <x:c r="A120" s="15" t="str">
        <x:v>Bon Express 1/07/26</x:v>
      </x:c>
      <x:c r="B120" s="15" t="str">
        <x:v>Supplier payments</x:v>
      </x:c>
      <x:c r="C120" s="15" t="str">
        <x:v>Low</x:v>
      </x:c>
      <x:c r="D120" s="15" t="str">
        <x:v>Default outflow category; review counterparty/reference.</x:v>
      </x:c>
      <x:c r="E120" s="15" t="n">
        <x:v>1</x:v>
      </x:c>
      <x:c r="F120" s="15" t="str">
        <x:v>eml_ALL_currentac__512781 (2).zip &gt; eml8currentac__512781.zip / FNB _-) R912.35 paid from Current a_c..512781 @ Smartapp. Ref.Bon Express 1_07_26.  7Jan 15_36.eml</x:v>
      </x:c>
    </x:row>
    <x:row r="121">
      <x:c r="A121" s="15" t="str">
        <x:v>Bon Express 8018</x:v>
      </x:c>
      <x:c r="B121" s="15" t="str">
        <x:v>Supplier payments</x:v>
      </x:c>
      <x:c r="C121" s="15" t="str">
        <x:v>Low</x:v>
      </x:c>
      <x:c r="D121" s="15" t="str">
        <x:v>Default outflow category; review counterparty/reference.</x:v>
      </x:c>
      <x:c r="E121" s="15" t="n">
        <x:v>1</x:v>
      </x:c>
      <x:c r="F121" s="15" t="str">
        <x:v>eml_ALL_currentac__512781 (2).zip &gt; eml4currentac__512781.zip / FNB _-) R142.08 paid from Current a_c..512781 @ Smartapp. Ref.Bon Express 8018. 30Mar 11_53.eml</x:v>
      </x:c>
    </x:row>
    <x:row r="122">
      <x:c r="A122" s="15" t="str">
        <x:v>Bon Express 8470</x:v>
      </x:c>
      <x:c r="B122" s="15" t="str">
        <x:v>Supplier payments</x:v>
      </x:c>
      <x:c r="C122" s="15" t="str">
        <x:v>Low</x:v>
      </x:c>
      <x:c r="D122" s="15" t="str">
        <x:v>Default outflow category; review counterparty/reference.</x:v>
      </x:c>
      <x:c r="E122" s="15" t="n">
        <x:v>1</x:v>
      </x:c>
      <x:c r="F122" s="15" t="str">
        <x:v>eml_ALL_currentac__512781 (2).zip &gt; eml1currentac__512781.zip / FNB _-) R725.77 paid from Current a_c..512781 @ Smartapp. Ref.Bon Express 8470. 29May 11_02.eml</x:v>
      </x:c>
    </x:row>
    <x:row r="123">
      <x:c r="A123" s="15" t="str">
        <x:v>Boskombuis 116</x:v>
      </x:c>
      <x:c r="B123" s="15" t="str">
        <x:v>Card spend</x:v>
      </x:c>
      <x:c r="C123" s="15" t="str">
        <x:v>Low</x:v>
      </x:c>
      <x:c r="D123" s="15" t="str">
        <x:v>Default card-spend category; merchant not confidently mapped.</x:v>
      </x:c>
      <x:c r="E123" s="15" t="n">
        <x:v>1</x:v>
      </x:c>
      <x:c r="F123" s="15" t="str">
        <x:v>eml_ALL_currentac__512781 (2).zip &gt; eml7currentac__512781.zip / FNB _-) R134.00 reserved for purchase @ Boskombuis 116 from Current a_c..512781 using card..2924. 26Jan 15_23.eml</x:v>
      </x:c>
    </x:row>
    <x:row r="124">
      <x:c r="A124" s="15" t="str">
        <x:v>Bossa Nelspruit</x:v>
      </x:c>
      <x:c r="B124" s="15" t="str">
        <x:v>Card spend</x:v>
      </x:c>
      <x:c r="C124" s="15" t="str">
        <x:v>Low</x:v>
      </x:c>
      <x:c r="D124" s="15" t="str">
        <x:v>Default card-spend category; merchant not confidently mapped.</x:v>
      </x:c>
      <x:c r="E124" s="15" t="n">
        <x:v>1</x:v>
      </x:c>
      <x:c r="F124" s="15" t="str">
        <x:v>eml_ALL_currentac__512781 (2).zip &gt; eml10currentac__512781.zip / FNB _-) R125.00 reserved for purchase @ Bossa Nelspruit from Current a_c..512781 using card..2924. 20Nov 11_22.eml</x:v>
      </x:c>
    </x:row>
    <x:row r="125">
      <x:c r="A125" s="15" t="str">
        <x:v>Bushwise Inv 0122</x:v>
      </x:c>
      <x:c r="B125" s="15" t="str">
        <x:v>Supplier payments</x:v>
      </x:c>
      <x:c r="C125" s="15" t="str">
        <x:v>Low</x:v>
      </x:c>
      <x:c r="D125" s="15" t="str">
        <x:v>Default outflow category; review counterparty/reference.</x:v>
      </x:c>
      <x:c r="E125" s="15" t="n">
        <x:v>1</x:v>
      </x:c>
      <x:c r="F125" s="15" t="str">
        <x:v>eml_ALL_currentac__512781 (2).zip &gt; eml1currentac__512781.zip / FNB _-) R2975.00 paid from Current a_c..512781 @ Smartapp. Ref.Bushwise Inv 0122. 19Jun 16_05.eml</x:v>
      </x:c>
    </x:row>
    <x:row r="126">
      <x:c r="A126" s="15" t="str">
        <x:v>Bushwise Safaris..817835</x:v>
      </x:c>
      <x:c r="B126" s="15" t="str">
        <x:v>Other</x:v>
      </x:c>
      <x:c r="C126" s="15" t="str">
        <x:v>Low</x:v>
      </x:c>
      <x:c r="D126" s="15" t="str">
        <x:v>Unable to map confidently.</x:v>
      </x:c>
      <x:c r="E126" s="15" t="n">
        <x:v>1</x:v>
      </x:c>
      <x:c r="F126" s="15" t="str">
        <x:v>eml_ALL_currentac__512781 (2).zip &gt; eml1currentac__512781.zip / FNB _-) Payment Link created from Current a_c..512781 To Bushwise Safaris..817835 @ Smartapp. 19Jun 16_04 Call 087 575 9404  for help..eml</x:v>
      </x:c>
    </x:row>
    <x:row r="127">
      <x:c r="A127" s="15" t="str">
        <x:v>Candace Osbourn</x:v>
      </x:c>
      <x:c r="B127" s="15" t="str">
        <x:v>Sales / customer receipts</x:v>
      </x:c>
      <x:c r="C127" s="15" t="str">
        <x:v>Medium</x:v>
      </x:c>
      <x:c r="D127" s="15" t="str">
        <x:v>Default for incoming EFT/PayShap/online receipt.</x:v>
      </x:c>
      <x:c r="E127" s="15" t="n">
        <x:v>1</x:v>
      </x:c>
      <x:c r="F127" s="15" t="str">
        <x:v>eml_ALL_currentac__512781 (2).zip &gt; eml6currentac__512781.zip / FNB _-) R12000.00 paid to Current a_c..512781 @ Smartapp. Ref.Candace Osbourn. 20Feb 09_24.eml</x:v>
      </x:c>
    </x:row>
    <x:row r="128">
      <x:c r="A128" s="15" t="str">
        <x:v>Capitec I Strydom</x:v>
      </x:c>
      <x:c r="B128" s="15" t="str">
        <x:v>Sales / customer receipts</x:v>
      </x:c>
      <x:c r="C128" s="15" t="str">
        <x:v>Medium</x:v>
      </x:c>
      <x:c r="D128" s="15" t="str">
        <x:v>Default for incoming EFT/PayShap/online receipt.</x:v>
      </x:c>
      <x:c r="E128" s="15" t="n">
        <x:v>1</x:v>
      </x:c>
      <x:c r="F128" s="15" t="str">
        <x:v>eml_ALL_currentac__512781 (2).zip &gt; eml7currentac__512781.zip / FNB _-) R5071.50 paid to Current a_c..512781 @ Eft. Ref.Capitec I Strydom. 27Jan 00_00.eml</x:v>
      </x:c>
    </x:row>
    <x:row r="129">
      <x:c r="A129" s="15" t="str">
        <x:v>Captured Views Photo..937400</x:v>
      </x:c>
      <x:c r="B129" s="15" t="str">
        <x:v>Other</x:v>
      </x:c>
      <x:c r="C129" s="15" t="str">
        <x:v>Low</x:v>
      </x:c>
      <x:c r="D129" s="15" t="str">
        <x:v>Unable to map confidently.</x:v>
      </x:c>
      <x:c r="E129" s="15" t="n">
        <x:v>1</x:v>
      </x:c>
      <x:c r="F129" s="15" t="str">
        <x:v>eml_ALL_currentac__512781 (2).zip &gt; eml6currentac__512781.zip / FNB _-) Payment Link created from Current a_c..512781 To Captured Views Photo..937400 @ Smartapp. 19Feb 19_10 Call 087 575 9404  for help..eml</x:v>
      </x:c>
    </x:row>
    <x:row r="130">
      <x:c r="A130" s="15" t="str">
        <x:v>Car Deposit</x:v>
      </x:c>
      <x:c r="B130" s="15" t="str">
        <x:v>Supplier payments</x:v>
      </x:c>
      <x:c r="C130" s="15" t="str">
        <x:v>Low</x:v>
      </x:c>
      <x:c r="D130" s="15" t="str">
        <x:v>Default outflow category; review counterparty/reference.</x:v>
      </x:c>
      <x:c r="E130" s="15" t="n">
        <x:v>1</x:v>
      </x:c>
      <x:c r="F130" s="15" t="str">
        <x:v>eml_ALL_currentac__512781 (2).zip &gt; eml3currentac__512781.zip / FNB _-) R5000.00 paid from Current a_c..512781 @ Smartapp. Ref.Car Deposit. 23Apr 12_23.eml</x:v>
      </x:c>
    </x:row>
    <x:row r="131">
      <x:c r="A131" s="15" t="str">
        <x:v>Card purchase reversal</x:v>
      </x:c>
      <x:c r="B131" s="15" t="str">
        <x:v>Refunds / reversals</x:v>
      </x:c>
      <x:c r="C131" s="15" t="str">
        <x:v>High</x:v>
      </x:c>
      <x:c r="D131" s="15" t="str">
        <x:v>Refund/reversal transaction type.</x:v>
      </x:c>
      <x:c r="E131" s="15" t="n">
        <x:v>1</x:v>
      </x:c>
      <x:c r="F131" s="15" t="str">
        <x:v>eml_ALL_currentac__512781 (2).zip &gt; eml10currentac__512781.zip / FNB _-) REVERSAL of R778.98 for goods purchased from Current a_c..512781 using card..2924. 20Nov 12_04.eml</x:v>
      </x:c>
    </x:row>
    <x:row r="132">
      <x:c r="A132" s="15" t="str">
        <x:v>Cash Ag18 3884 Olif</x:v>
      </x:c>
      <x:c r="B132" s="15" t="str">
        <x:v>Cash withdrawal</x:v>
      </x:c>
      <x:c r="C132" s="15" t="str">
        <x:v>Medium</x:v>
      </x:c>
      <x:c r="D132" s="15" t="str">
        <x:v>Cash keyword in payment reference; verify manually.</x:v>
      </x:c>
      <x:c r="E132" s="15" t="n">
        <x:v>1</x:v>
      </x:c>
      <x:c r="F132" s="15" t="str">
        <x:v>eml_ALL_currentac__512781 (2).zip &gt; eml6currentac__512781.zip / Payments for 11 Feb.eml</x:v>
      </x:c>
    </x:row>
    <x:row r="133">
      <x:c r="A133" s="15" t="str">
        <x:v>Cash withdrawal reversal</x:v>
      </x:c>
      <x:c r="B133" s="15" t="str">
        <x:v>Refunds / reversals</x:v>
      </x:c>
      <x:c r="C133" s="15" t="str">
        <x:v>High</x:v>
      </x:c>
      <x:c r="D133" s="15" t="str">
        <x:v>Refund/reversal transaction type.</x:v>
      </x:c>
      <x:c r="E133" s="15" t="n">
        <x:v>1</x:v>
      </x:c>
      <x:c r="F133" s="15" t="str">
        <x:v>eml_ALL_currentac__512781 (2).zip &gt; eml6currentac__512781.zip / FNB _-) REVERSAL of R200.00 withdrawn from Current a_c..512781.  7Feb 12_50.eml</x:v>
      </x:c>
    </x:row>
    <x:row r="134">
      <x:c r="A134" s="15" t="str">
        <x:v>Cellphone</x:v>
      </x:c>
      <x:c r="B134" s="15" t="str">
        <x:v>Supplier payments</x:v>
      </x:c>
      <x:c r="C134" s="15" t="str">
        <x:v>Low</x:v>
      </x:c>
      <x:c r="D134" s="15" t="str">
        <x:v>Default outflow category; review counterparty/reference.</x:v>
      </x:c>
      <x:c r="E134" s="15" t="n">
        <x:v>1</x:v>
      </x:c>
      <x:c r="F134" s="15" t="str">
        <x:v>eml_ALL_currentac__512781 (2).zip &gt; eml8currentac__512781.zip / FNB _-) R2000.00 paid from Current a_c..512781 @ Smartapp. Ref.Cellphone. 15Jan 12_48.eml</x:v>
      </x:c>
    </x:row>
    <x:row r="135">
      <x:c r="A135" s="15" t="str">
        <x:v>Cf Moto Saf - Inv 1</x:v>
      </x:c>
      <x:c r="B135" s="15" t="str">
        <x:v>Supplier payments</x:v>
      </x:c>
      <x:c r="C135" s="15" t="str">
        <x:v>Low</x:v>
      </x:c>
      <x:c r="D135" s="15" t="str">
        <x:v>Default outflow category; review counterparty/reference.</x:v>
      </x:c>
      <x:c r="E135" s="15" t="n">
        <x:v>1</x:v>
      </x:c>
      <x:c r="F135" s="15" t="str">
        <x:v>eml_ALL_currentac__512781 (2).zip &gt; eml6currentac__512781.zip / FNB _-) R2049.00 paid from Current a_c..512781 @ Smartapp. Ref.Cf Moto Saf - Inv 1.. 11Feb 12_31.eml</x:v>
      </x:c>
    </x:row>
    <x:row r="136">
      <x:c r="A136" s="15" t="str">
        <x:v>Cf Moto Saf - Inv 2</x:v>
      </x:c>
      <x:c r="B136" s="15" t="str">
        <x:v>Supplier payments</x:v>
      </x:c>
      <x:c r="C136" s="15" t="str">
        <x:v>Low</x:v>
      </x:c>
      <x:c r="D136" s="15" t="str">
        <x:v>Default outflow category; review counterparty/reference.</x:v>
      </x:c>
      <x:c r="E136" s="15" t="n">
        <x:v>1</x:v>
      </x:c>
      <x:c r="F136" s="15" t="str">
        <x:v>eml_ALL_currentac__512781 (2).zip &gt; eml4currentac__512781.zip / FNB _-) R1292.00 paid from Current a_c..512781 @ Smartapp. Ref.Cf Moto Saf - Inv 2. 18Mar 19_01.eml</x:v>
      </x:c>
    </x:row>
    <x:row r="137">
      <x:c r="A137" s="15" t="str">
        <x:v>Checkers Bronkhorsts</x:v>
      </x:c>
      <x:c r="B137" s="15" t="str">
        <x:v>Supplier payments</x:v>
      </x:c>
      <x:c r="C137" s="15" t="str">
        <x:v>Medium</x:v>
      </x:c>
      <x:c r="D137" s="15" t="str">
        <x:v>Retail/supplier merchant keyword.</x:v>
      </x:c>
      <x:c r="E137" s="15" t="n">
        <x:v>1</x:v>
      </x:c>
      <x:c r="F137" s="15" t="str">
        <x:v>eml_ALL_currentac__512781 (2).zip &gt; eml1currentac__512781.zip / FNB _-) R593.35 reserved for purchase @ Checkers Bronkhorsts from Current a_c..512781 using card..2924. 10Jun 15_07.eml</x:v>
      </x:c>
    </x:row>
    <x:row r="138">
      <x:c r="A138" s="15" t="str">
        <x:v>City Of Capetown</x:v>
      </x:c>
      <x:c r="B138" s="15" t="str">
        <x:v>Supplier payments</x:v>
      </x:c>
      <x:c r="C138" s="15" t="str">
        <x:v>Low</x:v>
      </x:c>
      <x:c r="D138" s="15" t="str">
        <x:v>Default outflow category; review counterparty/reference.</x:v>
      </x:c>
      <x:c r="E138" s="15" t="n">
        <x:v>1</x:v>
      </x:c>
      <x:c r="F138" s="15" t="str">
        <x:v>eml_ALL_currentac__512781 (2).zip &gt; eml5currentac__512781.zip / FNB _-) R4835.36 paid from Current a_c..512781 @ Smartapp. Ref.City Of Capetown. 16Mar 17_12.eml</x:v>
      </x:c>
    </x:row>
    <x:row r="139">
      <x:c r="A139" s="15" t="str">
        <x:v>Clicks Malelane Ingw</x:v>
      </x:c>
      <x:c r="B139" s="15" t="str">
        <x:v>Supplier payments</x:v>
      </x:c>
      <x:c r="C139" s="15" t="str">
        <x:v>Medium</x:v>
      </x:c>
      <x:c r="D139" s="15" t="str">
        <x:v>Retail/supplier merchant keyword.</x:v>
      </x:c>
      <x:c r="E139" s="15" t="n">
        <x:v>1</x:v>
      </x:c>
      <x:c r="F139" s="15" t="str">
        <x:v>eml_ALL_currentac__512781 (2).zip &gt; eml5currentac__512781.zip / FNB _-) R539.90 reserved for purchase @ Clicks Malelane Ingw from Current a_c..512781 using card..2924. 23Feb 11_49.eml</x:v>
      </x:c>
    </x:row>
    <x:row r="140">
      <x:c r="A140" s="15" t="str">
        <x:v>Cm Coetzee Wage</x:v>
      </x:c>
      <x:c r="B140" s="15" t="str">
        <x:v>Salary / wages</x:v>
      </x:c>
      <x:c r="C140" s="15" t="str">
        <x:v>High</x:v>
      </x:c>
      <x:c r="D140" s="15" t="str">
        <x:v>Staff/salary/wages keyword.</x:v>
      </x:c>
      <x:c r="E140" s="15" t="n">
        <x:v>1</x:v>
      </x:c>
      <x:c r="F140" s="15" t="str">
        <x:v>eml_ALL_currentac__512781 (2).zip &gt; eml2currentac__512781.zip / FNB _-) R1500.00 paid from Current a_c..512781 @ Smartapp. Ref.Cm Coetzee Wage. 14May 16_16.eml</x:v>
      </x:c>
    </x:row>
    <x:row r="141">
      <x:c r="A141" s="15" t="str">
        <x:v>Daisys Den 77</x:v>
      </x:c>
      <x:c r="B141" s="15" t="str">
        <x:v>Card spend</x:v>
      </x:c>
      <x:c r="C141" s="15" t="str">
        <x:v>Low</x:v>
      </x:c>
      <x:c r="D141" s="15" t="str">
        <x:v>Default card-spend category; merchant not confidently mapped.</x:v>
      </x:c>
      <x:c r="E141" s="15" t="n">
        <x:v>1</x:v>
      </x:c>
      <x:c r="F141" s="15" t="str">
        <x:v>eml_ALL_currentac__512781 (2).zip &gt; eml8currentac__512781.zip / FNB _-) R210.00 reserved for purchase @ Daisys Den 77 from Current a_c..512781 using card..2924.  8Jan 15_33.eml</x:v>
      </x:c>
    </x:row>
    <x:row r="142">
      <x:c r="A142" s="15" t="str">
        <x:v>Dam Staff</x:v>
      </x:c>
      <x:c r="B142" s="15" t="str">
        <x:v>Salary / wages</x:v>
      </x:c>
      <x:c r="C142" s="15" t="str">
        <x:v>High</x:v>
      </x:c>
      <x:c r="D142" s="15" t="str">
        <x:v>Staff/salary/wages keyword.</x:v>
      </x:c>
      <x:c r="E142" s="15" t="n">
        <x:v>1</x:v>
      </x:c>
      <x:c r="F142" s="15" t="str">
        <x:v>eml_ALL_currentac__512781 (2).zip &gt; eml4currentac__512781.zip / FNB _-) R1000.00 paid from Current a_c..512781 @ Smartapp. Ref.Dam Staff. 24Mar 11_56.eml</x:v>
      </x:c>
    </x:row>
    <x:row r="143">
      <x:c r="A143" s="15" t="str">
        <x:v>Deon"s Diy</x:v>
      </x:c>
      <x:c r="B143" s="15" t="str">
        <x:v>Supplier payments</x:v>
      </x:c>
      <x:c r="C143" s="15" t="str">
        <x:v>Low</x:v>
      </x:c>
      <x:c r="D143" s="15" t="str">
        <x:v>Default outflow category; review counterparty/reference.</x:v>
      </x:c>
      <x:c r="E143" s="15" t="n">
        <x:v>1</x:v>
      </x:c>
      <x:c r="F143" s="15" t="str">
        <x:v>eml_ALL_currentac__512781 (2).zip &gt; eml7currentac__512781.zip / FNB _-) R300.00 paid from Current a_c..512781 @ Smartapp. Ref.Deon_s Diy.  2Feb 10_00.eml</x:v>
      </x:c>
    </x:row>
    <x:row r="144">
      <x:c r="A144" s="15" t="str">
        <x:v>Deon"s Diy 19/04</x:v>
      </x:c>
      <x:c r="B144" s="15" t="str">
        <x:v>Supplier payments</x:v>
      </x:c>
      <x:c r="C144" s="15" t="str">
        <x:v>Low</x:v>
      </x:c>
      <x:c r="D144" s="15" t="str">
        <x:v>Default outflow category; review counterparty/reference.</x:v>
      </x:c>
      <x:c r="E144" s="15" t="n">
        <x:v>1</x:v>
      </x:c>
      <x:c r="F144" s="15" t="str">
        <x:v>eml_ALL_currentac__512781 (2).zip &gt; eml3currentac__512781.zip / FNB _-) R850.00 paid from Current a_c..512781 @ Smartapp. Ref.Deon_s Diy 19_04. 22Apr 09_17.eml</x:v>
      </x:c>
    </x:row>
    <x:row r="145">
      <x:c r="A145" s="15" t="str">
        <x:v>Deon"s Diy 4193</x:v>
      </x:c>
      <x:c r="B145" s="15" t="str">
        <x:v>Supplier payments</x:v>
      </x:c>
      <x:c r="C145" s="15" t="str">
        <x:v>Low</x:v>
      </x:c>
      <x:c r="D145" s="15" t="str">
        <x:v>Default outflow category; review counterparty/reference.</x:v>
      </x:c>
      <x:c r="E145" s="15" t="n">
        <x:v>1</x:v>
      </x:c>
      <x:c r="F145" s="15" t="str">
        <x:v>eml_ALL_currentac__512781 (2).zip &gt; eml12currentac__512781.zip / FNB _-) R300.00 paid from Current a_c..512781 @ Smartapp. Ref.Deon_s Diy 4193.  2Oct 11_37.eml</x:v>
      </x:c>
    </x:row>
    <x:row r="146">
      <x:c r="A146" s="15" t="str">
        <x:v>Deon"s Diy 4377</x:v>
      </x:c>
      <x:c r="B146" s="15" t="str">
        <x:v>Supplier payments</x:v>
      </x:c>
      <x:c r="C146" s="15" t="str">
        <x:v>Low</x:v>
      </x:c>
      <x:c r="D146" s="15" t="str">
        <x:v>Default outflow category; review counterparty/reference.</x:v>
      </x:c>
      <x:c r="E146" s="15" t="n">
        <x:v>1</x:v>
      </x:c>
      <x:c r="F146" s="15" t="str">
        <x:v>eml_ALL_currentac__512781 (2).zip &gt; eml8currentac__512781.zip / FNB _-) R300.00 paid from Current a_c..512781 @ Smartapp. Ref.Deon_s Diy 4377.  6Jan 18_40.eml</x:v>
      </x:c>
    </x:row>
    <x:row r="147">
      <x:c r="A147" s="15" t="str">
        <x:v>Deon"s Diy Tool + Pl..574704</x:v>
      </x:c>
      <x:c r="B147" s="15" t="str">
        <x:v>Other</x:v>
      </x:c>
      <x:c r="C147" s="15" t="str">
        <x:v>Low</x:v>
      </x:c>
      <x:c r="D147" s="15" t="str">
        <x:v>Unable to map confidently.</x:v>
      </x:c>
      <x:c r="E147" s="15" t="n">
        <x:v>1</x:v>
      </x:c>
      <x:c r="F147" s="15" t="str">
        <x:v>eml_ALL_currentac__512781 (2).zip &gt; eml12currentac__512781.zip / FNB _-) Payment Link created from Current a_c..512781 To Deon_s Diy Tool + Pl..574704 @ Smartapp.  2Oct 11_36 Call 087 575 9404  for help..eml</x:v>
      </x:c>
    </x:row>
    <x:row r="148">
      <x:c r="A148" s="15" t="str">
        <x:v>Dinner Box 100542</x:v>
      </x:c>
      <x:c r="B148" s="15" t="str">
        <x:v>Meals / restaurants / entertainment</x:v>
      </x:c>
      <x:c r="C148" s="15" t="str">
        <x:v>High</x:v>
      </x:c>
      <x:c r="D148" s="15" t="str">
        <x:v>Restaurant/entertainment/liquor keyword.</x:v>
      </x:c>
      <x:c r="E148" s="15" t="n">
        <x:v>1</x:v>
      </x:c>
      <x:c r="F148" s="15" t="str">
        <x:v>eml_ALL_currentac__512781 (2).zip &gt; eml12currentac__512781.zip / FNB _-) R1870.75 paid from Current a_c..512781 @ Smartapp. Ref.Dinner Box 100542. 14Oct 10_03.eml</x:v>
      </x:c>
    </x:row>
    <x:row r="149">
      <x:c r="A149" s="15" t="str">
        <x:v>Dinner Box 102116</x:v>
      </x:c>
      <x:c r="B149" s="15" t="str">
        <x:v>Meals / restaurants / entertainment</x:v>
      </x:c>
      <x:c r="C149" s="15" t="str">
        <x:v>High</x:v>
      </x:c>
      <x:c r="D149" s="15" t="str">
        <x:v>Restaurant/entertainment/liquor keyword.</x:v>
      </x:c>
      <x:c r="E149" s="15" t="n">
        <x:v>1</x:v>
      </x:c>
      <x:c r="F149" s="15" t="str">
        <x:v>eml_ALL_currentac__512781 (2).zip &gt; eml10currentac__512781.zip / FNB _-) R1202.00 paid from Current a_c..512781 @ Smartapp. Ref.Dinner Box 102116. 11Nov 11_42.eml</x:v>
      </x:c>
    </x:row>
    <x:row r="150">
      <x:c r="A150" s="15" t="str">
        <x:v>Dinner Box 102430</x:v>
      </x:c>
      <x:c r="B150" s="15" t="str">
        <x:v>Meals / restaurants / entertainment</x:v>
      </x:c>
      <x:c r="C150" s="15" t="str">
        <x:v>High</x:v>
      </x:c>
      <x:c r="D150" s="15" t="str">
        <x:v>Restaurant/entertainment/liquor keyword.</x:v>
      </x:c>
      <x:c r="E150" s="15" t="n">
        <x:v>1</x:v>
      </x:c>
      <x:c r="F150" s="15" t="str">
        <x:v>eml_ALL_currentac__512781 (2).zip &gt; eml10currentac__512781.zip / FNB _-) R1543.00 paid from Current a_c..512781 @ Smartapp. Ref.Dinner Box 102430. 19Nov 11_55.eml</x:v>
      </x:c>
    </x:row>
    <x:row r="151">
      <x:c r="A151" s="15" t="str">
        <x:v>Dinner Box 102794</x:v>
      </x:c>
      <x:c r="B151" s="15" t="str">
        <x:v>Meals / restaurants / entertainment</x:v>
      </x:c>
      <x:c r="C151" s="15" t="str">
        <x:v>High</x:v>
      </x:c>
      <x:c r="D151" s="15" t="str">
        <x:v>Restaurant/entertainment/liquor keyword.</x:v>
      </x:c>
      <x:c r="E151" s="15" t="n">
        <x:v>1</x:v>
      </x:c>
      <x:c r="F151" s="15" t="str">
        <x:v>eml_ALL_currentac__512781 (2).zip &gt; eml10currentac__512781.zip / FNB _-) R1484.00 paid from Current a_c..512781 @ Smartapp. Ref.Dinner Box 102794. 26Nov 13_04.eml</x:v>
      </x:c>
    </x:row>
    <x:row r="152">
      <x:c r="A152" s="15" t="str">
        <x:v>Dinner Box 105110</x:v>
      </x:c>
      <x:c r="B152" s="15" t="str">
        <x:v>Meals / restaurants / entertainment</x:v>
      </x:c>
      <x:c r="C152" s="15" t="str">
        <x:v>High</x:v>
      </x:c>
      <x:c r="D152" s="15" t="str">
        <x:v>Restaurant/entertainment/liquor keyword.</x:v>
      </x:c>
      <x:c r="E152" s="15" t="n">
        <x:v>1</x:v>
      </x:c>
      <x:c r="F152" s="15" t="str">
        <x:v>eml_ALL_currentac__512781 (2).zip &gt; eml8currentac__512781.zip / FNB _-) R1326.00 paid from Current a_c..512781 @ Smartapp. Ref.Dinner Box 105110. 14Jan 11_06.eml</x:v>
      </x:c>
    </x:row>
    <x:row r="153">
      <x:c r="A153" s="15" t="str">
        <x:v>Dinner Box 105910</x:v>
      </x:c>
      <x:c r="B153" s="15" t="str">
        <x:v>Meals / restaurants / entertainment</x:v>
      </x:c>
      <x:c r="C153" s="15" t="str">
        <x:v>High</x:v>
      </x:c>
      <x:c r="D153" s="15" t="str">
        <x:v>Restaurant/entertainment/liquor keyword.</x:v>
      </x:c>
      <x:c r="E153" s="15" t="n">
        <x:v>1</x:v>
      </x:c>
      <x:c r="F153" s="15" t="str">
        <x:v>eml_ALL_currentac__512781 (2).zip &gt; eml7currentac__512781.zip / FNB _-) R1768.20 paid from Current a_c..512781 @ Smartapp. Ref.Dinner Box 105910. 27Jan 09_26.eml</x:v>
      </x:c>
    </x:row>
    <x:row r="154">
      <x:c r="A154" s="15" t="str">
        <x:v>Dinner Box 106824</x:v>
      </x:c>
      <x:c r="B154" s="15" t="str">
        <x:v>Meals / restaurants / entertainment</x:v>
      </x:c>
      <x:c r="C154" s="15" t="str">
        <x:v>High</x:v>
      </x:c>
      <x:c r="D154" s="15" t="str">
        <x:v>Restaurant/entertainment/liquor keyword.</x:v>
      </x:c>
      <x:c r="E154" s="15" t="n">
        <x:v>1</x:v>
      </x:c>
      <x:c r="F154" s="15" t="str">
        <x:v>eml_ALL_currentac__512781 (2).zip &gt; eml6currentac__512781.zip / FNB _-) R1760.00 paid from Current a_c..512781 @ Smartapp. Ref.Dinner Box 106824. 11Feb 12_33.eml</x:v>
      </x:c>
    </x:row>
    <x:row r="155">
      <x:c r="A155" s="15" t="str">
        <x:v>Dinner Box 107370</x:v>
      </x:c>
      <x:c r="B155" s="15" t="str">
        <x:v>Meals / restaurants / entertainment</x:v>
      </x:c>
      <x:c r="C155" s="15" t="str">
        <x:v>High</x:v>
      </x:c>
      <x:c r="D155" s="15" t="str">
        <x:v>Restaurant/entertainment/liquor keyword.</x:v>
      </x:c>
      <x:c r="E155" s="15" t="n">
        <x:v>1</x:v>
      </x:c>
      <x:c r="F155" s="15" t="str">
        <x:v>eml_ALL_currentac__512781 (2).zip &gt; eml5currentac__512781.zip / FNB _-) R1707.00 paid from Current a_c..512781 @ Smartapp. Ref.Dinner Box 107370. 23Feb 13_10.eml</x:v>
      </x:c>
    </x:row>
    <x:row r="156">
      <x:c r="A156" s="15" t="str">
        <x:v>Dinner Box 108599</x:v>
      </x:c>
      <x:c r="B156" s="15" t="str">
        <x:v>Meals / restaurants / entertainment</x:v>
      </x:c>
      <x:c r="C156" s="15" t="str">
        <x:v>High</x:v>
      </x:c>
      <x:c r="D156" s="15" t="str">
        <x:v>Restaurant/entertainment/liquor keyword.</x:v>
      </x:c>
      <x:c r="E156" s="15" t="n">
        <x:v>1</x:v>
      </x:c>
      <x:c r="F156" s="15" t="str">
        <x:v>eml_ALL_currentac__512781 (2).zip &gt; eml4currentac__512781.zip / FNB _-) R1801.00 paid from Current a_c..512781 @ Smartapp. Ref.Dinner Box 108599. 17Mar 14_09.eml</x:v>
      </x:c>
    </x:row>
    <x:row r="157">
      <x:c r="A157" s="15" t="str">
        <x:v>Dinner Box 109255</x:v>
      </x:c>
      <x:c r="B157" s="15" t="str">
        <x:v>Meals / restaurants / entertainment</x:v>
      </x:c>
      <x:c r="C157" s="15" t="str">
        <x:v>High</x:v>
      </x:c>
      <x:c r="D157" s="15" t="str">
        <x:v>Restaurant/entertainment/liquor keyword.</x:v>
      </x:c>
      <x:c r="E157" s="15" t="n">
        <x:v>1</x:v>
      </x:c>
      <x:c r="F157" s="15" t="str">
        <x:v>eml_ALL_currentac__512781 (2).zip &gt; eml4currentac__512781.zip / FNB _-) R1482.00 paid from Current a_c..512781 @ Smartapp. Ref.Dinner Box 109255.  1Apr 10_05.eml</x:v>
      </x:c>
    </x:row>
    <x:row r="158">
      <x:c r="A158" s="15" t="str">
        <x:v>Dinner Box 110658</x:v>
      </x:c>
      <x:c r="B158" s="15" t="str">
        <x:v>Meals / restaurants / entertainment</x:v>
      </x:c>
      <x:c r="C158" s="15" t="str">
        <x:v>High</x:v>
      </x:c>
      <x:c r="D158" s="15" t="str">
        <x:v>Restaurant/entertainment/liquor keyword.</x:v>
      </x:c>
      <x:c r="E158" s="15" t="n">
        <x:v>1</x:v>
      </x:c>
      <x:c r="F158" s="15" t="str">
        <x:v>eml_ALL_currentac__512781 (2).zip &gt; eml3currentac__512781.zip / FNB _-) R1541.00 paid from Current a_c..512781 @ Smartapp. Ref.Dinner Box 110658. 30Apr 11_59.eml</x:v>
      </x:c>
    </x:row>
    <x:row r="159">
      <x:c r="A159" s="15" t="str">
        <x:v>Dinner Box 111862</x:v>
      </x:c>
      <x:c r="B159" s="15" t="str">
        <x:v>Meals / restaurants / entertainment</x:v>
      </x:c>
      <x:c r="C159" s="15" t="str">
        <x:v>High</x:v>
      </x:c>
      <x:c r="D159" s="15" t="str">
        <x:v>Restaurant/entertainment/liquor keyword.</x:v>
      </x:c>
      <x:c r="E159" s="15" t="n">
        <x:v>1</x:v>
      </x:c>
      <x:c r="F159" s="15" t="str">
        <x:v>eml_ALL_currentac__512781 (2).zip &gt; eml2currentac__512781.zip / FNB _-) R1541.00 paid from Current a_c..512781 @ Smartapp. Ref.Dinner Box 111862. 27May 11_57.eml</x:v>
      </x:c>
    </x:row>
    <x:row r="160">
      <x:c r="A160" s="15" t="str">
        <x:v>Dinner Box 99970</x:v>
      </x:c>
      <x:c r="B160" s="15" t="str">
        <x:v>Meals / restaurants / entertainment</x:v>
      </x:c>
      <x:c r="C160" s="15" t="str">
        <x:v>High</x:v>
      </x:c>
      <x:c r="D160" s="15" t="str">
        <x:v>Restaurant/entertainment/liquor keyword.</x:v>
      </x:c>
      <x:c r="E160" s="15" t="n">
        <x:v>1</x:v>
      </x:c>
      <x:c r="F160" s="15" t="str">
        <x:v>eml_ALL_currentac__512781 (2).zip &gt; eml12currentac__512781.zip / FNB _-) R2543.95 paid from Current a_c..512781 @ Smartapp. Ref.Dinner Box 99970.  2Oct 09_54.eml</x:v>
      </x:c>
    </x:row>
    <x:row r="161">
      <x:c r="A161" s="15" t="str">
        <x:v>Dinner Box..946412</x:v>
      </x:c>
      <x:c r="B161" s="15" t="str">
        <x:v>Other</x:v>
      </x:c>
      <x:c r="C161" s="15" t="str">
        <x:v>Low</x:v>
      </x:c>
      <x:c r="D161" s="15" t="str">
        <x:v>Unable to map confidently.</x:v>
      </x:c>
      <x:c r="E161" s="15" t="n">
        <x:v>1</x:v>
      </x:c>
      <x:c r="F161" s="15" t="str">
        <x:v>eml_ALL_currentac__512781 (2).zip &gt; eml12currentac__512781.zip / FNB _-) Payment Link created from Current a_c..512781 To Dinner Box..946412 @ Smartapp. 22Sep 10_24 Call 087 575 9404  for help..eml</x:v>
      </x:c>
    </x:row>
    <x:row r="162">
      <x:c r="A162" s="15" t="str">
        <x:v>Dj Ludik Honeysucker..496920</x:v>
      </x:c>
      <x:c r="B162" s="15" t="str">
        <x:v>Other</x:v>
      </x:c>
      <x:c r="C162" s="15" t="str">
        <x:v>Low</x:v>
      </x:c>
      <x:c r="D162" s="15" t="str">
        <x:v>Unable to map confidently.</x:v>
      </x:c>
      <x:c r="E162" s="15" t="n">
        <x:v>1</x:v>
      </x:c>
      <x:c r="F162" s="15" t="str">
        <x:v>eml_ALL_currentac__512781 (2).zip &gt; eml7currentac__512781.zip / FNB _-) Payment Link created from Current a_c..512781 To Dj Ludik Honeysucker..496920 @ Smartapp.  1Feb 11_10 Call 087 575 9404  for help..eml</x:v>
      </x:c>
    </x:row>
    <x:row r="163">
      <x:c r="A163" s="15" t="str">
        <x:v>Dream Lucky</x:v>
      </x:c>
      <x:c r="B163" s="15" t="str">
        <x:v>Card spend</x:v>
      </x:c>
      <x:c r="C163" s="15" t="str">
        <x:v>Low</x:v>
      </x:c>
      <x:c r="D163" s="15" t="str">
        <x:v>Default card-spend category; merchant not confidently mapped.</x:v>
      </x:c>
      <x:c r="E163" s="15" t="n">
        <x:v>1</x:v>
      </x:c>
      <x:c r="F163" s="15" t="str">
        <x:v>eml_ALL_currentac__512781 (2).zip &gt; eml10currentac__512781.zip / FNB _-) R223.00 reserved for purchase @ Dream Lucky from Current a_c..512781 using card..2924. 14Nov 11_48.eml</x:v>
      </x:c>
    </x:row>
    <x:row r="164">
      <x:c r="A164" s="15" t="str">
        <x:v>Dreyer</x:v>
      </x:c>
      <x:c r="B164" s="15" t="str">
        <x:v>Sales / customer receipts</x:v>
      </x:c>
      <x:c r="C164" s="15" t="str">
        <x:v>Medium</x:v>
      </x:c>
      <x:c r="D164" s="15" t="str">
        <x:v>Default for incoming EFT/PayShap/online receipt.</x:v>
      </x:c>
      <x:c r="E164" s="15" t="n">
        <x:v>1</x:v>
      </x:c>
      <x:c r="F164" s="15" t="str">
        <x:v>eml_ALL_currentac__512781 (2).zip &gt; eml10currentac__512781.zip / FNB _-) R5000.00 paid to Current a_c..512781 @ Smartapp. Ref.Dreyer. 24Nov 10_47.eml</x:v>
      </x:c>
    </x:row>
    <x:row r="165">
      <x:c r="A165" s="15" t="str">
        <x:v>Dreyer</x:v>
      </x:c>
      <x:c r="B165" s="15" t="str">
        <x:v>Supplier payments</x:v>
      </x:c>
      <x:c r="C165" s="15" t="str">
        <x:v>Low</x:v>
      </x:c>
      <x:c r="D165" s="15" t="str">
        <x:v>Default outflow category; review counterparty/reference.</x:v>
      </x:c>
      <x:c r="E165" s="15" t="n">
        <x:v>1</x:v>
      </x:c>
      <x:c r="F165" s="15" t="str">
        <x:v>eml_ALL_currentac__512781 (2).zip &gt; eml6currentac__512781.zip / FNB _-) R3000.00 paid from Current a_c..512781 @ Smartapp. Ref.Dreyer. 14Feb 00_12.eml</x:v>
      </x:c>
    </x:row>
    <x:row r="166">
      <x:c r="A166" s="15" t="str">
        <x:v>Dreyer Hoffman..465222</x:v>
      </x:c>
      <x:c r="B166" s="15" t="str">
        <x:v>Other</x:v>
      </x:c>
      <x:c r="C166" s="15" t="str">
        <x:v>Low</x:v>
      </x:c>
      <x:c r="D166" s="15" t="str">
        <x:v>Unable to map confidently.</x:v>
      </x:c>
      <x:c r="E166" s="15" t="n">
        <x:v>1</x:v>
      </x:c>
      <x:c r="F166" s="15" t="str">
        <x:v>eml_ALL_currentac__512781 (2).zip &gt; eml12currentac__512781.zip / FNB _-) Payment Link created from Current a_c..512781 To Dreyer Hoffman..465222 @ Smartapp.  4Oct 11_55 Call 087 575 9404  for help..eml</x:v>
      </x:c>
    </x:row>
    <x:row r="167">
      <x:c r="A167" s="15" t="str">
        <x:v>Dreyer Salary</x:v>
      </x:c>
      <x:c r="B167" s="15" t="str">
        <x:v>Salary / wages</x:v>
      </x:c>
      <x:c r="C167" s="15" t="str">
        <x:v>High</x:v>
      </x:c>
      <x:c r="D167" s="15" t="str">
        <x:v>Staff/salary/wages keyword.</x:v>
      </x:c>
      <x:c r="E167" s="15" t="n">
        <x:v>1</x:v>
      </x:c>
      <x:c r="F167" s="15" t="str">
        <x:v>eml_ALL_currentac__512781 (2).zip &gt; eml8currentac__512781.zip / FNB _-) R2500.00 paid from Current a_c..512781 @ Smartapp. Ref.Dreyer Salary.  6Jan 18_42.eml</x:v>
      </x:c>
    </x:row>
    <x:row r="168">
      <x:c r="A168" s="15" t="str">
        <x:v>Dreyer Salary Portio</x:v>
      </x:c>
      <x:c r="B168" s="15" t="str">
        <x:v>Salary / wages</x:v>
      </x:c>
      <x:c r="C168" s="15" t="str">
        <x:v>High</x:v>
      </x:c>
      <x:c r="D168" s="15" t="str">
        <x:v>Staff/salary/wages keyword.</x:v>
      </x:c>
      <x:c r="E168" s="15" t="n">
        <x:v>1</x:v>
      </x:c>
      <x:c r="F168" s="15" t="str">
        <x:v>eml_ALL_currentac__512781 (2).zip &gt; eml8currentac__512781.zip / FNB _-) R1000.00 paid from Current a_c..512781 @ Smartapp. Ref.Dreyer Salary Portio. 11Jan 13_35.eml</x:v>
      </x:c>
    </x:row>
    <x:row r="169">
      <x:c r="A169" s="15" t="str">
        <x:v>Dreyer Ticket Jhb</x:v>
      </x:c>
      <x:c r="B169" s="15" t="str">
        <x:v>Supplier payments</x:v>
      </x:c>
      <x:c r="C169" s="15" t="str">
        <x:v>Low</x:v>
      </x:c>
      <x:c r="D169" s="15" t="str">
        <x:v>Default outflow category; review counterparty/reference.</x:v>
      </x:c>
      <x:c r="E169" s="15" t="n">
        <x:v>1</x:v>
      </x:c>
      <x:c r="F169" s="15" t="str">
        <x:v>eml_ALL_currentac__512781 (2).zip &gt; eml8currentac__512781.zip / FNB _-) R3000.00 paid from Current a_c..512781 @ Smartapp. Ref.Dreyer Ticket Jhb.  8Jan 14_38.eml</x:v>
      </x:c>
    </x:row>
    <x:row r="170">
      <x:c r="A170" s="15" t="str">
        <x:v>Electricity</x:v>
      </x:c>
      <x:c r="B170" s="15" t="str">
        <x:v>Telecom / utilities</x:v>
      </x:c>
      <x:c r="C170" s="15" t="str">
        <x:v>High</x:v>
      </x:c>
      <x:c r="D170" s="15" t="str">
        <x:v>Telecom/utility keyword.</x:v>
      </x:c>
      <x:c r="E170" s="15" t="n">
        <x:v>1</x:v>
      </x:c>
      <x:c r="F170" s="15" t="str">
        <x:v>eml_ALL_currentac__512781 (2).zip &gt; eml5currentac__512781.zip / FNB _-) R500.00 paid from Current a_c..512781 @ Smartapp. Ref.Electricity. 25Feb 18_11.eml</x:v>
      </x:c>
    </x:row>
    <x:row r="171">
      <x:c r="A171" s="15" t="str">
        <x:v>Engen Komatipoort</x:v>
      </x:c>
      <x:c r="B171" s="15" t="str">
        <x:v>Fuel / transport</x:v>
      </x:c>
      <x:c r="C171" s="15" t="str">
        <x:v>High</x:v>
      </x:c>
      <x:c r="D171" s="15" t="str">
        <x:v>Fuel/transport merchant keyword.</x:v>
      </x:c>
      <x:c r="E171" s="15" t="n">
        <x:v>1</x:v>
      </x:c>
      <x:c r="F171" s="15" t="str">
        <x:v>eml_ALL_currentac__512781 (2).zip &gt; eml12currentac__512781.zip / FNB _-) R400.00 reserved for purchase @ Engen Komatipoort from Current a_c..512781 using card..2924.  1Oct 02_03.eml</x:v>
      </x:c>
    </x:row>
    <x:row r="172">
      <x:c r="A172" s="15" t="str">
        <x:v>Engen Malelane</x:v>
      </x:c>
      <x:c r="B172" s="15" t="str">
        <x:v>Fuel / transport</x:v>
      </x:c>
      <x:c r="C172" s="15" t="str">
        <x:v>High</x:v>
      </x:c>
      <x:c r="D172" s="15" t="str">
        <x:v>Fuel/transport merchant keyword.</x:v>
      </x:c>
      <x:c r="E172" s="15" t="n">
        <x:v>1</x:v>
      </x:c>
      <x:c r="F172" s="15" t="str">
        <x:v>eml_ALL_currentac__512781 (2).zip &gt; eml1currentac__512781.zip / FNB _-) R200.15 reserved for purchase @ Engen Malelane from Current a_c..512781 using card..2924. 15Jun 13_11.eml</x:v>
      </x:c>
    </x:row>
    <x:row r="173">
      <x:c r="A173" s="15" t="str">
        <x:v>Engen Prime Corner C</x:v>
      </x:c>
      <x:c r="B173" s="15" t="str">
        <x:v>Fuel / transport</x:v>
      </x:c>
      <x:c r="C173" s="15" t="str">
        <x:v>High</x:v>
      </x:c>
      <x:c r="D173" s="15" t="str">
        <x:v>Fuel/transport merchant keyword.</x:v>
      </x:c>
      <x:c r="E173" s="15" t="n">
        <x:v>1</x:v>
      </x:c>
      <x:c r="F173" s="15" t="str">
        <x:v>eml_ALL_currentac__512781 (2).zip &gt; eml7currentac__512781.zip / FNB _-) R500.00 reserved for purchase @ Engen Prime Corner C from Current a_c..512781 using card..2924.  3Feb 13_03.eml</x:v>
      </x:c>
    </x:row>
    <x:row r="174">
      <x:c r="A174" s="15" t="str">
        <x:v>Engen Siyaya Numbi</x:v>
      </x:c>
      <x:c r="B174" s="15" t="str">
        <x:v>Fuel / transport</x:v>
      </x:c>
      <x:c r="C174" s="15" t="str">
        <x:v>High</x:v>
      </x:c>
      <x:c r="D174" s="15" t="str">
        <x:v>Fuel/transport merchant keyword.</x:v>
      </x:c>
      <x:c r="E174" s="15" t="n">
        <x:v>1</x:v>
      </x:c>
      <x:c r="F174" s="15" t="str">
        <x:v>eml_ALL_currentac__512781 (2).zip &gt; eml6currentac__512781.zip / FNB _-) R573.50 reserved for purchase @ Engen Siyaya Numbi from Current a_c..512781 using card..2924.  6Feb 11_43.eml</x:v>
      </x:c>
    </x:row>
    <x:row r="175">
      <x:c r="A175" s="15" t="str">
        <x:v>FNB card a/c..279000</x:v>
      </x:c>
      <x:c r="B175" s="15" t="str">
        <x:v>Inter-account transfer</x:v>
      </x:c>
      <x:c r="C175" s="15" t="str">
        <x:v>High</x:v>
      </x:c>
      <x:c r="D175" s="15" t="str">
        <x:v>Transfer between identified account/card identifiers.</x:v>
      </x:c>
      <x:c r="E175" s="15" t="n">
        <x:v>1</x:v>
      </x:c>
      <x:c r="F175" s="15" t="str">
        <x:v>eml_ALL_currentac__512781 (2).zip &gt; eml1currentac__512781.zip / FNB _-) R5000.00 t_fer from Current a_c..512781 to FNB card a_c..279000 @ Smartapp. 29May 08_59.eml</x:v>
      </x:c>
    </x:row>
    <x:row r="176">
      <x:c r="A176" s="15" t="str">
        <x:v>Fr Steyn..296546</x:v>
      </x:c>
      <x:c r="B176" s="15" t="str">
        <x:v>Other</x:v>
      </x:c>
      <x:c r="C176" s="15" t="str">
        <x:v>Low</x:v>
      </x:c>
      <x:c r="D176" s="15" t="str">
        <x:v>Unable to map confidently.</x:v>
      </x:c>
      <x:c r="E176" s="15" t="n">
        <x:v>1</x:v>
      </x:c>
      <x:c r="F176" s="15" t="str">
        <x:v>eml_ALL_currentac__512781 (2).zip &gt; eml6currentac__512781.zip / FNB _-) Payment Link created from Current a_c..512781 To Fr Steyn..296546 @ Smartapp. 12Feb 10_25 Call 087 575 9404  for help..eml</x:v>
      </x:c>
    </x:row>
    <x:row r="177">
      <x:c r="A177" s="15" t="str">
        <x:v>Fuel</x:v>
      </x:c>
      <x:c r="B177" s="15" t="str">
        <x:v>Fuel / transport</x:v>
      </x:c>
      <x:c r="C177" s="15" t="str">
        <x:v>High</x:v>
      </x:c>
      <x:c r="D177" s="15" t="str">
        <x:v>Fuel/transport merchant keyword.</x:v>
      </x:c>
      <x:c r="E177" s="15" t="n">
        <x:v>1</x:v>
      </x:c>
      <x:c r="F177" s="15" t="str">
        <x:v>eml_ALL_currentac__512781 (2).zip &gt; eml2currentac__512781.zip / FNB _-) R1000.00 paid from Current a_c..512781 @ Smartapp. Ref.Fuel. 22May 14_17.eml</x:v>
      </x:c>
    </x:row>
    <x:row r="178">
      <x:c r="A178" s="15" t="str">
        <x:v>G Van Der Merwe..529150</x:v>
      </x:c>
      <x:c r="B178" s="15" t="str">
        <x:v>Other</x:v>
      </x:c>
      <x:c r="C178" s="15" t="str">
        <x:v>Low</x:v>
      </x:c>
      <x:c r="D178" s="15" t="str">
        <x:v>Unable to map confidently.</x:v>
      </x:c>
      <x:c r="E178" s="15" t="n">
        <x:v>1</x:v>
      </x:c>
      <x:c r="F178" s="15" t="str">
        <x:v>eml_ALL_currentac__512781 (2).zip &gt; eml6currentac__512781.zip / FNB _-) Payment Link created from Current a_c..512781 To G Van Der Merwe..529150 @ Smartapp. 19Feb 11_23 Call 087 575 9404  for help..eml</x:v>
      </x:c>
    </x:row>
    <x:row r="179">
      <x:c r="A179" s="15" t="str">
        <x:v>Gas</x:v>
      </x:c>
      <x:c r="B179" s="15" t="str">
        <x:v>Supplier payments</x:v>
      </x:c>
      <x:c r="C179" s="15" t="str">
        <x:v>Low</x:v>
      </x:c>
      <x:c r="D179" s="15" t="str">
        <x:v>Default outflow category; review counterparty/reference.</x:v>
      </x:c>
      <x:c r="E179" s="15" t="n">
        <x:v>1</x:v>
      </x:c>
      <x:c r="F179" s="15" t="str">
        <x:v>eml_ALL_currentac__512781 (2).zip &gt; eml6currentac__512781.zip / FNB _-) R2000.00 paid from Current a_c..512781 @ Smartapp. Ref.Gas. 20Feb 19_18.eml</x:v>
      </x:c>
    </x:row>
    <x:row r="180">
      <x:c r="A180" s="15" t="str">
        <x:v>Gd</x:v>
      </x:c>
      <x:c r="B180" s="15" t="str">
        <x:v>Sales / customer receipts</x:v>
      </x:c>
      <x:c r="C180" s="15" t="str">
        <x:v>Medium</x:v>
      </x:c>
      <x:c r="D180" s="15" t="str">
        <x:v>Default for incoming EFT/PayShap/online receipt.</x:v>
      </x:c>
      <x:c r="E180" s="15" t="n">
        <x:v>1</x:v>
      </x:c>
      <x:c r="F180" s="15" t="str">
        <x:v>eml_ALL_currentac__512781 (2).zip &gt; eml1currentac__512781.zip / FNB _-) R4100.00 paid to Current a_c..512781 @ 00182007 ATM. Ref.Gd.  8Jun 11_58.eml</x:v>
      </x:c>
    </x:row>
    <x:row r="181">
      <x:c r="A181" s="15" t="str">
        <x:v>Gd Hoffman Wages</x:v>
      </x:c>
      <x:c r="B181" s="15" t="str">
        <x:v>Salary / wages</x:v>
      </x:c>
      <x:c r="C181" s="15" t="str">
        <x:v>High</x:v>
      </x:c>
      <x:c r="D181" s="15" t="str">
        <x:v>Staff/salary/wages keyword.</x:v>
      </x:c>
      <x:c r="E181" s="15" t="n">
        <x:v>1</x:v>
      </x:c>
      <x:c r="F181" s="15" t="str">
        <x:v>eml_ALL_currentac__512781 (2).zip &gt; eml8currentac__512781.zip / FNB _-) R5000.00 paid from Current a_c..512781 @ Gen Ph. Ref.Gd Hoffman Wages. 27Dec 19_55.eml</x:v>
      </x:c>
    </x:row>
    <x:row r="182">
      <x:c r="A182" s="15" t="str">
        <x:v>Gd Hoffman..999079</x:v>
      </x:c>
      <x:c r="B182" s="15" t="str">
        <x:v>Other</x:v>
      </x:c>
      <x:c r="C182" s="15" t="str">
        <x:v>Low</x:v>
      </x:c>
      <x:c r="D182" s="15" t="str">
        <x:v>Unable to map confidently.</x:v>
      </x:c>
      <x:c r="E182" s="15" t="n">
        <x:v>1</x:v>
      </x:c>
      <x:c r="F182" s="15" t="str">
        <x:v>eml_ALL_currentac__512781 (2).zip &gt; eml3currentac__512781.zip / FNB _-) Payment Link created from Current a_c..512781 To Gd Hoffman..999079 @ Smartapp. 23Apr 12_23 Call 087 575 9404  for help..eml</x:v>
      </x:c>
    </x:row>
    <x:row r="183">
      <x:c r="A183" s="15" t="str">
        <x:v>Gfc Whisky Packhouse</x:v>
      </x:c>
      <x:c r="B183" s="15" t="str">
        <x:v>Card spend</x:v>
      </x:c>
      <x:c r="C183" s="15" t="str">
        <x:v>Low</x:v>
      </x:c>
      <x:c r="D183" s="15" t="str">
        <x:v>Default card-spend category; merchant not confidently mapped.</x:v>
      </x:c>
      <x:c r="E183" s="15" t="n">
        <x:v>1</x:v>
      </x:c>
      <x:c r="F183" s="15" t="str">
        <x:v>eml_ALL_currentac__512781 (2).zip &gt; eml12currentac__512781.zip / FNB _-) R115.00 reserved for purchase @ Gfc Whisky Packhouse from Current a_c..512781 using card..2924.  9Oct 13_36.eml</x:v>
      </x:c>
    </x:row>
    <x:row r="184">
      <x:c r="A184" s="15" t="str">
        <x:v>Hokaai Fuels</x:v>
      </x:c>
      <x:c r="B184" s="15" t="str">
        <x:v>Fuel / transport</x:v>
      </x:c>
      <x:c r="C184" s="15" t="str">
        <x:v>High</x:v>
      </x:c>
      <x:c r="D184" s="15" t="str">
        <x:v>Fuel/transport merchant keyword.</x:v>
      </x:c>
      <x:c r="E184" s="15" t="n">
        <x:v>1</x:v>
      </x:c>
      <x:c r="F184" s="15" t="str">
        <x:v>eml_ALL_currentac__512781 (2).zip &gt; eml1currentac__512781.zip / FNB _-) R400.00 reserved for purchase @ Hokaai Fuels from Current a_c..512781 using card..2924. 14Jun 14_25.eml</x:v>
      </x:c>
    </x:row>
    <x:row r="185">
      <x:c r="A185" s="15" t="str">
        <x:v>Honeysucker</x:v>
      </x:c>
      <x:c r="B185" s="15" t="str">
        <x:v>Supplier payments</x:v>
      </x:c>
      <x:c r="C185" s="15" t="str">
        <x:v>Low</x:v>
      </x:c>
      <x:c r="D185" s="15" t="str">
        <x:v>Default outflow category; review counterparty/reference.</x:v>
      </x:c>
      <x:c r="E185" s="15" t="n">
        <x:v>1</x:v>
      </x:c>
      <x:c r="F185" s="15" t="str">
        <x:v>eml_ALL_currentac__512781 (2).zip &gt; eml7currentac__512781.zip / FNB _-) R1500.00 paid from Current a_c..512781 @ Smartapp. Ref.Honeysucker.  1Feb 11_11.eml</x:v>
      </x:c>
    </x:row>
    <x:row r="186">
      <x:c r="A186" s="15" t="str">
        <x:v>Horse Af2hr2011</x:v>
      </x:c>
      <x:c r="B186" s="15" t="str">
        <x:v>Supplier payments</x:v>
      </x:c>
      <x:c r="C186" s="15" t="str">
        <x:v>Low</x:v>
      </x:c>
      <x:c r="D186" s="15" t="str">
        <x:v>Default outflow category; review counterparty/reference.</x:v>
      </x:c>
      <x:c r="E186" s="15" t="n">
        <x:v>1</x:v>
      </x:c>
      <x:c r="F186" s="15" t="str">
        <x:v>eml_ALL_currentac__512781 (2).zip &gt; eml10currentac__512781.zip / FNB _-) R1400.00 paid from Current a_c..512781 @ Smartapp. Ref.Horse Af2hr2011. 14Nov 09_05.eml</x:v>
      </x:c>
    </x:row>
    <x:row r="187">
      <x:c r="A187" s="15" t="str">
        <x:v>Hpy*twin City Fabric</x:v>
      </x:c>
      <x:c r="B187" s="15" t="str">
        <x:v>Card spend</x:v>
      </x:c>
      <x:c r="C187" s="15" t="str">
        <x:v>Low</x:v>
      </x:c>
      <x:c r="D187" s="15" t="str">
        <x:v>Default card-spend category; merchant not confidently mapped.</x:v>
      </x:c>
      <x:c r="E187" s="15" t="n">
        <x:v>1</x:v>
      </x:c>
      <x:c r="F187" s="15" t="str">
        <x:v>eml_ALL_currentac__512781 (2).zip &gt; eml5currentac__512781.zip / FNB _-) R166.50 reserved for purchase @ Hpy_twin City Fabric from Current a_c..512781 using card..2924.  6Mar 11_43.eml</x:v>
      </x:c>
    </x:row>
    <x:row r="188">
      <x:c r="A188" s="15" t="str">
        <x:v>Ik *park Horizons Pt</x:v>
      </x:c>
      <x:c r="B188" s="15" t="str">
        <x:v>Card spend</x:v>
      </x:c>
      <x:c r="C188" s="15" t="str">
        <x:v>Low</x:v>
      </x:c>
      <x:c r="D188" s="15" t="str">
        <x:v>Default card-spend category; merchant not confidently mapped.</x:v>
      </x:c>
      <x:c r="E188" s="15" t="n">
        <x:v>1</x:v>
      </x:c>
      <x:c r="F188" s="15" t="str">
        <x:v>eml_ALL_currentac__512781 (2).zip &gt; eml1currentac__512781.zip / FNB _-) R420.00 reserved for purchase @ Ik _park Horizons Pt from Current a_c..512781 using card..2924.  5Jun 19_42.eml</x:v>
      </x:c>
    </x:row>
    <x:row r="189">
      <x:c r="A189" s="15" t="str">
        <x:v>Impala Asset Fin..067277</x:v>
      </x:c>
      <x:c r="B189" s="15" t="str">
        <x:v>Other</x:v>
      </x:c>
      <x:c r="C189" s="15" t="str">
        <x:v>Low</x:v>
      </x:c>
      <x:c r="D189" s="15" t="str">
        <x:v>Unable to map confidently.</x:v>
      </x:c>
      <x:c r="E189" s="15" t="n">
        <x:v>1</x:v>
      </x:c>
      <x:c r="F189" s="15" t="str">
        <x:v>eml_ALL_currentac__512781 (2).zip &gt; eml3currentac__512781.zip / FNB _-) Payment Link created from Current a_c..512781 To Impala Asset Fin..067277 @ Smartapp. 17Apr 12_21 Call 087 575 9404  for help..eml</x:v>
      </x:c>
    </x:row>
    <x:row r="190">
      <x:c r="A190" s="15" t="str">
        <x:v>Impala Electrical Wh</x:v>
      </x:c>
      <x:c r="B190" s="15" t="str">
        <x:v>Telecom / utilities</x:v>
      </x:c>
      <x:c r="C190" s="15" t="str">
        <x:v>High</x:v>
      </x:c>
      <x:c r="D190" s="15" t="str">
        <x:v>Telecom/utility keyword.</x:v>
      </x:c>
      <x:c r="E190" s="15" t="n">
        <x:v>1</x:v>
      </x:c>
      <x:c r="F190" s="15" t="str">
        <x:v>eml_ALL_currentac__512781 (2).zip &gt; eml10currentac__512781.zip / FNB _-) R1099.79 reserved for purchase @ Impala Electrical Wh from Current a_c..512781 using card..2924. 12Nov 12_15.eml</x:v>
      </x:c>
    </x:row>
    <x:row r="191">
      <x:c r="A191" s="15" t="str">
        <x:v>Ingwe Liquors 146</x:v>
      </x:c>
      <x:c r="B191" s="15" t="str">
        <x:v>Meals / restaurants / entertainment</x:v>
      </x:c>
      <x:c r="C191" s="15" t="str">
        <x:v>High</x:v>
      </x:c>
      <x:c r="D191" s="15" t="str">
        <x:v>Restaurant/entertainment/liquor keyword.</x:v>
      </x:c>
      <x:c r="E191" s="15" t="n">
        <x:v>1</x:v>
      </x:c>
      <x:c r="F191" s="15" t="str">
        <x:v>eml_ALL_currentac__512781 (2).zip &gt; eml12currentac__512781.zip / FNB _-) R142.00 reserved for purchase @ Ingwe Liquors 146 from Current a_c..512781 using card..2924. 13Oct 13_51.eml</x:v>
      </x:c>
    </x:row>
    <x:row r="192">
      <x:c r="A192" s="15" t="str">
        <x:v>Inv 20260138</x:v>
      </x:c>
      <x:c r="B192" s="15" t="str">
        <x:v>Supplier payments</x:v>
      </x:c>
      <x:c r="C192" s="15" t="str">
        <x:v>Low</x:v>
      </x:c>
      <x:c r="D192" s="15" t="str">
        <x:v>Default outflow category; review counterparty/reference.</x:v>
      </x:c>
      <x:c r="E192" s="15" t="n">
        <x:v>1</x:v>
      </x:c>
      <x:c r="F192" s="15" t="str">
        <x:v>eml_ALL_currentac__512781 (2).zip &gt; eml6currentac__512781.zip / FNB _-) R545.00 paid from Current a_c..512781 @ Smartapp. Ref.Inv 20260138. 19Feb 19_10.eml</x:v>
      </x:c>
    </x:row>
    <x:row r="193">
      <x:c r="A193" s="15" t="str">
        <x:v>Inv# - 000170</x:v>
      </x:c>
      <x:c r="B193" s="15" t="str">
        <x:v>Sales / customer receipts</x:v>
      </x:c>
      <x:c r="C193" s="15" t="str">
        <x:v>Medium</x:v>
      </x:c>
      <x:c r="D193" s="15" t="str">
        <x:v>Default for incoming EFT/PayShap/online receipt.</x:v>
      </x:c>
      <x:c r="E193" s="15" t="n">
        <x:v>1</x:v>
      </x:c>
      <x:c r="F193" s="15" t="str">
        <x:v>eml_ALL_currentac__512781 (2).zip &gt; eml5currentac__512781.zip / FNB _-) R521.64 paid to Current a_c..512781 @ Payshap. Ref.Inv# - 000170. 26Feb 08_13.eml</x:v>
      </x:c>
    </x:row>
    <x:row r="194">
      <x:c r="A194" s="15" t="str">
        <x:v>Jabula Lodge 73</x:v>
      </x:c>
      <x:c r="B194" s="15" t="str">
        <x:v>Accommodation / hotels</x:v>
      </x:c>
      <x:c r="C194" s="15" t="str">
        <x:v>Medium</x:v>
      </x:c>
      <x:c r="D194" s="15" t="str">
        <x:v>Accommodation/travel keyword.</x:v>
      </x:c>
      <x:c r="E194" s="15" t="n">
        <x:v>1</x:v>
      </x:c>
      <x:c r="F194" s="15" t="str">
        <x:v>eml_ALL_currentac__512781 (2).zip &gt; eml4currentac__512781.zip / FNB _-) R150.00 reserved for purchase @ Jabula Lodge 73 from Current a_c..512781 using card..2924. 26Mar 14_11.eml</x:v>
      </x:c>
    </x:row>
    <x:row r="195">
      <x:c r="A195" s="15" t="str">
        <x:v>Jj Spangenberg..735498</x:v>
      </x:c>
      <x:c r="B195" s="15" t="str">
        <x:v>Other</x:v>
      </x:c>
      <x:c r="C195" s="15" t="str">
        <x:v>Low</x:v>
      </x:c>
      <x:c r="D195" s="15" t="str">
        <x:v>Unable to map confidently.</x:v>
      </x:c>
      <x:c r="E195" s="15" t="n">
        <x:v>1</x:v>
      </x:c>
      <x:c r="F195" s="15" t="str">
        <x:v>eml_ALL_currentac__512781 (2).zip &gt; eml12currentac__512781.zip / FNB _-) Payment Link created from Current a_c..512781 To Jj Spangenberg..735498 @ Smartapp.  3Oct 11_01 Call 087 575 9404  for help..eml</x:v>
      </x:c>
    </x:row>
    <x:row r="196">
      <x:c r="A196" s="15" t="str">
        <x:v>Jnb Property Mainten..877149</x:v>
      </x:c>
      <x:c r="B196" s="15" t="str">
        <x:v>Other</x:v>
      </x:c>
      <x:c r="C196" s="15" t="str">
        <x:v>Low</x:v>
      </x:c>
      <x:c r="D196" s="15" t="str">
        <x:v>Unable to map confidently.</x:v>
      </x:c>
      <x:c r="E196" s="15" t="n">
        <x:v>1</x:v>
      </x:c>
      <x:c r="F196" s="15" t="str">
        <x:v>eml_ALL_currentac__512781 (2).zip &gt; eml7currentac__512781.zip / FNB _-) Payment Link created from Current a_c..512781 To Jnb Property Mainten..877149 @ Smartapp. 16Jan 15_48 Call 087 575 9404  for help..eml</x:v>
      </x:c>
    </x:row>
    <x:row r="197">
      <x:c r="A197" s="15" t="str">
        <x:v>Jsl - 9/12 Nov</x:v>
      </x:c>
      <x:c r="B197" s="15" t="str">
        <x:v>Supplier payments</x:v>
      </x:c>
      <x:c r="C197" s="15" t="str">
        <x:v>Low</x:v>
      </x:c>
      <x:c r="D197" s="15" t="str">
        <x:v>Default outflow category; review counterparty/reference.</x:v>
      </x:c>
      <x:c r="E197" s="15" t="n">
        <x:v>1</x:v>
      </x:c>
      <x:c r="F197" s="15" t="str">
        <x:v>eml_ALL_currentac__512781 (2).zip &gt; eml10currentac__512781.zip / FNB _-) R11280.00 paid from Current a_c..512781 @ Gen Ph. Ref.Jsl - 9_12 Nov. 30Nov 18_25.eml</x:v>
      </x:c>
    </x:row>
    <x:row r="198">
      <x:c r="A198" s="15" t="str">
        <x:v>Komatipoort</x:v>
      </x:c>
      <x:c r="B198" s="15" t="str">
        <x:v>Supplier payments</x:v>
      </x:c>
      <x:c r="C198" s="15" t="str">
        <x:v>Low</x:v>
      </x:c>
      <x:c r="D198" s="15" t="str">
        <x:v>Default outflow category; review counterparty/reference.</x:v>
      </x:c>
      <x:c r="E198" s="15" t="n">
        <x:v>1</x:v>
      </x:c>
      <x:c r="F198" s="15" t="str">
        <x:v>eml_ALL_currentac__512781 (2).zip &gt; eml6currentac__512781.zip / FNB _-) R845.00 paid from Current a_c..512781 @ Smartapp. Ref.Komatipoort. 20Feb 09_23.eml</x:v>
      </x:c>
    </x:row>
    <x:row r="199">
      <x:c r="A199" s="15" t="str">
        <x:v>Komatipoort..134128</x:v>
      </x:c>
      <x:c r="B199" s="15" t="str">
        <x:v>Other</x:v>
      </x:c>
      <x:c r="C199" s="15" t="str">
        <x:v>Low</x:v>
      </x:c>
      <x:c r="D199" s="15" t="str">
        <x:v>Unable to map confidently.</x:v>
      </x:c>
      <x:c r="E199" s="15" t="n">
        <x:v>1</x:v>
      </x:c>
      <x:c r="F199" s="15" t="str">
        <x:v>eml_ALL_currentac__512781 (2).zip &gt; eml6currentac__512781.zip / FNB _-) Payment Link created from Current a_c..512781 To Komatipoort..134128 @ Smartapp. 20Feb 09_23 Call 087 575 9404  for help..eml</x:v>
      </x:c>
    </x:row>
    <x:row r="200">
      <x:c r="A200" s="15" t="str">
        <x:v>Kpci - C1736 April</x:v>
      </x:c>
      <x:c r="B200" s="15" t="str">
        <x:v>Supplier payments</x:v>
      </x:c>
      <x:c r="C200" s="15" t="str">
        <x:v>Low</x:v>
      </x:c>
      <x:c r="D200" s="15" t="str">
        <x:v>Default outflow category; review counterparty/reference.</x:v>
      </x:c>
      <x:c r="E200" s="15" t="n">
        <x:v>1</x:v>
      </x:c>
      <x:c r="F200" s="15" t="str">
        <x:v>eml_ALL_currentac__512781 (2).zip &gt; eml4currentac__512781.zip / FNB _-) R500.00 paid from Current a_c..512781 @ Smartapp. Ref.Kpci - C1736 April. 31Mar 09_01.eml</x:v>
      </x:c>
    </x:row>
    <x:row r="201">
      <x:c r="A201" s="15" t="str">
        <x:v>Kpci - C1736 Feb</x:v>
      </x:c>
      <x:c r="B201" s="15" t="str">
        <x:v>Supplier payments</x:v>
      </x:c>
      <x:c r="C201" s="15" t="str">
        <x:v>Low</x:v>
      </x:c>
      <x:c r="D201" s="15" t="str">
        <x:v>Default outflow category; review counterparty/reference.</x:v>
      </x:c>
      <x:c r="E201" s="15" t="n">
        <x:v>1</x:v>
      </x:c>
      <x:c r="F201" s="15" t="str">
        <x:v>eml_ALL_currentac__512781 (2).zip &gt; eml7currentac__512781.zip / FNB _-) R500.00 paid from Current a_c..512781 @ Smartapp. Ref.Kpci - C1736 Feb.  2Feb 09_58.eml</x:v>
      </x:c>
    </x:row>
    <x:row r="202">
      <x:c r="A202" s="15" t="str">
        <x:v>Kpci - C1736 March</x:v>
      </x:c>
      <x:c r="B202" s="15" t="str">
        <x:v>Supplier payments</x:v>
      </x:c>
      <x:c r="C202" s="15" t="str">
        <x:v>Low</x:v>
      </x:c>
      <x:c r="D202" s="15" t="str">
        <x:v>Default outflow category; review counterparty/reference.</x:v>
      </x:c>
      <x:c r="E202" s="15" t="n">
        <x:v>1</x:v>
      </x:c>
      <x:c r="F202" s="15" t="str">
        <x:v>eml_ALL_currentac__512781 (2).zip &gt; eml5currentac__512781.zip / FNB _-) R500.00 paid from Current a_c..512781 @ Smartapp. Ref.Kpci - C1736 March.  2Mar 14_40.eml</x:v>
      </x:c>
    </x:row>
    <x:row r="203">
      <x:c r="A203" s="15" t="str">
        <x:v>Kruger Sa 1698 50%</x:v>
      </x:c>
      <x:c r="B203" s="15" t="str">
        <x:v>Supplier payments</x:v>
      </x:c>
      <x:c r="C203" s="15" t="str">
        <x:v>Low</x:v>
      </x:c>
      <x:c r="D203" s="15" t="str">
        <x:v>Default outflow category; review counterparty/reference.</x:v>
      </x:c>
      <x:c r="E203" s="15" t="n">
        <x:v>1</x:v>
      </x:c>
      <x:c r="F203" s="15" t="str">
        <x:v>eml_ALL_currentac__512781 (2).zip &gt; eml2currentac__512781.zip / FNB _-) R3454.50 paid from Current a_c..512781 @ Smartapp. Ref.Kruger Sa 1698 50%. 25May 11_45.eml</x:v>
      </x:c>
    </x:row>
    <x:row r="204">
      <x:c r="A204" s="15" t="str">
        <x:v>Kruger Sa 1698 50%</x:v>
      </x:c>
      <x:c r="B204" s="15" t="str">
        <x:v>Refunds / reversals</x:v>
      </x:c>
      <x:c r="C204" s="15" t="str">
        <x:v>High</x:v>
      </x:c>
      <x:c r="D204" s="15" t="str">
        <x:v>Refund/reversal transaction type.</x:v>
      </x:c>
      <x:c r="E204" s="15" t="n">
        <x:v>1</x:v>
      </x:c>
      <x:c r="F204" s="15" t="str">
        <x:v>eml_ALL_currentac__512781 (2).zip &gt; eml2currentac__512781.zip / FNB _-) REVERSAL of R3454.50 paid from Current a_c..512781 Ref.Kruger Sa 1698 50%. 25May 11_46.eml</x:v>
      </x:c>
    </x:row>
    <x:row r="205">
      <x:c r="A205" s="15" t="str">
        <x:v>Kruger Saf 1662/1663</x:v>
      </x:c>
      <x:c r="B205" s="15" t="str">
        <x:v>Supplier payments</x:v>
      </x:c>
      <x:c r="C205" s="15" t="str">
        <x:v>Low</x:v>
      </x:c>
      <x:c r="D205" s="15" t="str">
        <x:v>Default outflow category; review counterparty/reference.</x:v>
      </x:c>
      <x:c r="E205" s="15" t="n">
        <x:v>1</x:v>
      </x:c>
      <x:c r="F205" s="15" t="str">
        <x:v>eml_ALL_currentac__512781 (2).zip &gt; eml10currentac__512781.zip / FNB _-) R11016.00 paid from Current a_c..512781 @ Gen Ph. Ref.Kruger Saf 1662_1663. 17Nov 05_06.eml</x:v>
      </x:c>
    </x:row>
    <x:row r="206">
      <x:c r="A206" s="15" t="str">
        <x:v>Kruger Saf 1699 50%</x:v>
      </x:c>
      <x:c r="B206" s="15" t="str">
        <x:v>Supplier payments</x:v>
      </x:c>
      <x:c r="C206" s="15" t="str">
        <x:v>Low</x:v>
      </x:c>
      <x:c r="D206" s="15" t="str">
        <x:v>Default outflow category; review counterparty/reference.</x:v>
      </x:c>
      <x:c r="E206" s="15" t="n">
        <x:v>1</x:v>
      </x:c>
      <x:c r="F206" s="15" t="str">
        <x:v>eml_ALL_currentac__512781 (2).zip &gt; eml1currentac__512781.zip / FNB _-) R6909.00 paid from Current a_c..512781 @ Smartapp. Ref.Kruger Saf 1699 50%. 28May 15_41.eml</x:v>
      </x:c>
    </x:row>
    <x:row r="207">
      <x:c r="A207" s="15" t="str">
        <x:v>Kruger Safa 1698 Vat</x:v>
      </x:c>
      <x:c r="B207" s="15" t="str">
        <x:v>Taxes / statutory payments</x:v>
      </x:c>
      <x:c r="C207" s="15" t="str">
        <x:v>High</x:v>
      </x:c>
      <x:c r="D207" s="15" t="str">
        <x:v>Tax/statutory keyword.</x:v>
      </x:c>
      <x:c r="E207" s="15" t="n">
        <x:v>1</x:v>
      </x:c>
      <x:c r="F207" s="15" t="str">
        <x:v>eml_ALL_currentac__512781 (2).zip &gt; eml1currentac__512781.zip / FNB _-) R901.20 paid from Current a_c..512781 @ Smartapp. Ref.Kruger Safa 1698 Vat. 30May 10_33.eml</x:v>
      </x:c>
    </x:row>
    <x:row r="208">
      <x:c r="A208" s="15" t="str">
        <x:v>Kruger Safari 1657</x:v>
      </x:c>
      <x:c r="B208" s="15" t="str">
        <x:v>Supplier payments</x:v>
      </x:c>
      <x:c r="C208" s="15" t="str">
        <x:v>Low</x:v>
      </x:c>
      <x:c r="D208" s="15" t="str">
        <x:v>Default outflow category; review counterparty/reference.</x:v>
      </x:c>
      <x:c r="E208" s="15" t="n">
        <x:v>1</x:v>
      </x:c>
      <x:c r="F208" s="15" t="str">
        <x:v>eml_ALL_currentac__512781 (2).zip &gt; eml12currentac__512781.zip / FNB _-) R2845.00 paid from Current a_c..512781 @ Smartapp. Ref.Kruger Safari 1657.  3Oct 11_01.eml</x:v>
      </x:c>
    </x:row>
    <x:row r="209">
      <x:c r="A209" s="15" t="str">
        <x:v>Kruger Safari 1658</x:v>
      </x:c>
      <x:c r="B209" s="15" t="str">
        <x:v>Supplier payments</x:v>
      </x:c>
      <x:c r="C209" s="15" t="str">
        <x:v>Low</x:v>
      </x:c>
      <x:c r="D209" s="15" t="str">
        <x:v>Default outflow category; review counterparty/reference.</x:v>
      </x:c>
      <x:c r="E209" s="15" t="n">
        <x:v>1</x:v>
      </x:c>
      <x:c r="F209" s="15" t="str">
        <x:v>eml_ALL_currentac__512781 (2).zip &gt; eml12currentac__512781.zip / FNB _-) R2776.00 paid from Current a_c..512781 @ Smartapp. Ref.Kruger Safari 1658.  8Oct 13_41.eml</x:v>
      </x:c>
    </x:row>
    <x:row r="210">
      <x:c r="A210" s="15" t="str">
        <x:v>Kruger Safari 1664</x:v>
      </x:c>
      <x:c r="B210" s="15" t="str">
        <x:v>Supplier payments</x:v>
      </x:c>
      <x:c r="C210" s="15" t="str">
        <x:v>Low</x:v>
      </x:c>
      <x:c r="D210" s="15" t="str">
        <x:v>Default outflow category; review counterparty/reference.</x:v>
      </x:c>
      <x:c r="E210" s="15" t="n">
        <x:v>1</x:v>
      </x:c>
      <x:c r="F210" s="15" t="str">
        <x:v>eml_ALL_currentac__512781 (2).zip &gt; eml10currentac__512781.zip / FNB _-) R7500.00 paid from Current a_c..512781 @ Smartapp. Ref.Kruger Safari 1664. 10Nov 08_49.eml</x:v>
      </x:c>
    </x:row>
    <x:row r="211">
      <x:c r="A211" s="15" t="str">
        <x:v>Kruger Safari 1665</x:v>
      </x:c>
      <x:c r="B211" s="15" t="str">
        <x:v>Supplier payments</x:v>
      </x:c>
      <x:c r="C211" s="15" t="str">
        <x:v>Low</x:v>
      </x:c>
      <x:c r="D211" s="15" t="str">
        <x:v>Default outflow category; review counterparty/reference.</x:v>
      </x:c>
      <x:c r="E211" s="15" t="n">
        <x:v>1</x:v>
      </x:c>
      <x:c r="F211" s="15" t="str">
        <x:v>eml_ALL_currentac__512781 (2).zip &gt; eml10currentac__512781.zip / FNB _-) R5074.00 paid from Current a_c..512781 @ Smartapp. Ref.Kruger Safari 1665. 14Nov 11_01.eml</x:v>
      </x:c>
    </x:row>
    <x:row r="212">
      <x:c r="A212" s="15" t="str">
        <x:v>Kruger Safari 1666</x:v>
      </x:c>
      <x:c r="B212" s="15" t="str">
        <x:v>Supplier payments</x:v>
      </x:c>
      <x:c r="C212" s="15" t="str">
        <x:v>Low</x:v>
      </x:c>
      <x:c r="D212" s="15" t="str">
        <x:v>Default outflow category; review counterparty/reference.</x:v>
      </x:c>
      <x:c r="E212" s="15" t="n">
        <x:v>1</x:v>
      </x:c>
      <x:c r="F212" s="15" t="str">
        <x:v>eml_ALL_currentac__512781 (2).zip &gt; eml10currentac__512781.zip / FNB _-) R8112.00 paid from Current a_c..512781 @ Gen Ph. Ref.Kruger Safari 1666. 20Nov 14_44.eml</x:v>
      </x:c>
    </x:row>
    <x:row r="213">
      <x:c r="A213" s="15" t="str">
        <x:v>Kruger Safari 1667</x:v>
      </x:c>
      <x:c r="B213" s="15" t="str">
        <x:v>Supplier payments</x:v>
      </x:c>
      <x:c r="C213" s="15" t="str">
        <x:v>Low</x:v>
      </x:c>
      <x:c r="D213" s="15" t="str">
        <x:v>Default outflow category; review counterparty/reference.</x:v>
      </x:c>
      <x:c r="E213" s="15" t="n">
        <x:v>1</x:v>
      </x:c>
      <x:c r="F213" s="15" t="str">
        <x:v>eml_ALL_currentac__512781 (2).zip &gt; eml10currentac__512781.zip / FNB _-) R5704.00 paid from Current a_c..512781 @ Smartapp. Ref.Kruger Safari 1667. 21Nov 15_17.eml</x:v>
      </x:c>
    </x:row>
    <x:row r="214">
      <x:c r="A214" s="15" t="str">
        <x:v>Kruger Safari 1668</x:v>
      </x:c>
      <x:c r="B214" s="15" t="str">
        <x:v>Supplier payments</x:v>
      </x:c>
      <x:c r="C214" s="15" t="str">
        <x:v>Low</x:v>
      </x:c>
      <x:c r="D214" s="15" t="str">
        <x:v>Default outflow category; review counterparty/reference.</x:v>
      </x:c>
      <x:c r="E214" s="15" t="n">
        <x:v>1</x:v>
      </x:c>
      <x:c r="F214" s="15" t="str">
        <x:v>eml_ALL_currentac__512781 (2).zip &gt; eml10currentac__512781.zip / FNB _-) R2440.00 paid from Current a_c..512781 @ Smartapp. Ref.Kruger Safari 1668. 26Nov 15_36.eml</x:v>
      </x:c>
    </x:row>
    <x:row r="215">
      <x:c r="A215" s="15" t="str">
        <x:v>Kruger Safari 1669</x:v>
      </x:c>
      <x:c r="B215" s="15" t="str">
        <x:v>Supplier payments</x:v>
      </x:c>
      <x:c r="C215" s="15" t="str">
        <x:v>Low</x:v>
      </x:c>
      <x:c r="D215" s="15" t="str">
        <x:v>Default outflow category; review counterparty/reference.</x:v>
      </x:c>
      <x:c r="E215" s="15" t="n">
        <x:v>1</x:v>
      </x:c>
      <x:c r="F215" s="15" t="str">
        <x:v>eml_ALL_currentac__512781 (2).zip &gt; eml10currentac__512781.zip / FNB _-) R2910.00 paid from Current a_c..512781 @ Smartapp. Ref.Kruger Safari 1669. 27Nov 02_49.eml</x:v>
      </x:c>
    </x:row>
    <x:row r="216">
      <x:c r="A216" s="15" t="str">
        <x:v>Kruger Safari 1673</x:v>
      </x:c>
      <x:c r="B216" s="15" t="str">
        <x:v>Supplier payments</x:v>
      </x:c>
      <x:c r="C216" s="15" t="str">
        <x:v>Low</x:v>
      </x:c>
      <x:c r="D216" s="15" t="str">
        <x:v>Default outflow category; review counterparty/reference.</x:v>
      </x:c>
      <x:c r="E216" s="15" t="n">
        <x:v>1</x:v>
      </x:c>
      <x:c r="F216" s="15" t="str">
        <x:v>eml_ALL_currentac__512781 (2).zip &gt; eml8currentac__512781.zip / FNB _-) R13095.00 paid from Current a_c..512781 @ Gen Ph. Ref.Kruger Safari 1673. 30Dec 10_40.eml</x:v>
      </x:c>
    </x:row>
    <x:row r="217">
      <x:c r="A217" s="15" t="str">
        <x:v>Kruger Safari 1674</x:v>
      </x:c>
      <x:c r="B217" s="15" t="str">
        <x:v>Supplier payments</x:v>
      </x:c>
      <x:c r="C217" s="15" t="str">
        <x:v>Low</x:v>
      </x:c>
      <x:c r="D217" s="15" t="str">
        <x:v>Default outflow category; review counterparty/reference.</x:v>
      </x:c>
      <x:c r="E217" s="15" t="n">
        <x:v>1</x:v>
      </x:c>
      <x:c r="F217" s="15" t="str">
        <x:v>eml_ALL_currentac__512781 (2).zip &gt; eml8currentac__512781.zip / FNB _-) R2904.00 paid from Current a_c..512781 @ Smartapp. Ref.Kruger Safari 1674.  8Jan 15_02.eml</x:v>
      </x:c>
    </x:row>
    <x:row r="218">
      <x:c r="A218" s="15" t="str">
        <x:v>Kruger Safari 1675</x:v>
      </x:c>
      <x:c r="B218" s="15" t="str">
        <x:v>Supplier payments</x:v>
      </x:c>
      <x:c r="C218" s="15" t="str">
        <x:v>Low</x:v>
      </x:c>
      <x:c r="D218" s="15" t="str">
        <x:v>Default outflow category; review counterparty/reference.</x:v>
      </x:c>
      <x:c r="E218" s="15" t="n">
        <x:v>1</x:v>
      </x:c>
      <x:c r="F218" s="15" t="str">
        <x:v>eml_ALL_currentac__512781 (2).zip &gt; eml8currentac__512781.zip / FNB _-) R2904.00 paid from Current a_c..512781 @ Smartapp. Ref.Kruger Safari 1675.  8Jan 15_00.eml</x:v>
      </x:c>
    </x:row>
    <x:row r="219">
      <x:c r="A219" s="15" t="str">
        <x:v>Kruger Safari 1676</x:v>
      </x:c>
      <x:c r="B219" s="15" t="str">
        <x:v>Supplier payments</x:v>
      </x:c>
      <x:c r="C219" s="15" t="str">
        <x:v>Low</x:v>
      </x:c>
      <x:c r="D219" s="15" t="str">
        <x:v>Default outflow category; review counterparty/reference.</x:v>
      </x:c>
      <x:c r="E219" s="15" t="n">
        <x:v>1</x:v>
      </x:c>
      <x:c r="F219" s="15" t="str">
        <x:v>eml_ALL_currentac__512781 (2).zip &gt; eml8currentac__512781.zip / FNB _-) R5408.00 paid from Current a_c..512781 @ Gen Ph. Ref.Kruger Safari 1676. 10Jan 12_43.eml</x:v>
      </x:c>
    </x:row>
    <x:row r="220">
      <x:c r="A220" s="15" t="str">
        <x:v>Kruger Safari 1677</x:v>
      </x:c>
      <x:c r="B220" s="15" t="str">
        <x:v>Supplier payments</x:v>
      </x:c>
      <x:c r="C220" s="15" t="str">
        <x:v>Low</x:v>
      </x:c>
      <x:c r="D220" s="15" t="str">
        <x:v>Default outflow category; review counterparty/reference.</x:v>
      </x:c>
      <x:c r="E220" s="15" t="n">
        <x:v>1</x:v>
      </x:c>
      <x:c r="F220" s="15" t="str">
        <x:v>eml_ALL_currentac__512781 (2).zip &gt; eml8currentac__512781.zip / FNB _-) R7008.00 paid from Current a_c..512781 @ Smartapp. Ref.Kruger Safari 1677. 15Jan 11_34.eml</x:v>
      </x:c>
    </x:row>
    <x:row r="221">
      <x:c r="A221" s="15" t="str">
        <x:v>Kruger Safari 1678</x:v>
      </x:c>
      <x:c r="B221" s="15" t="str">
        <x:v>Supplier payments</x:v>
      </x:c>
      <x:c r="C221" s="15" t="str">
        <x:v>Low</x:v>
      </x:c>
      <x:c r="D221" s="15" t="str">
        <x:v>Default outflow category; review counterparty/reference.</x:v>
      </x:c>
      <x:c r="E221" s="15" t="n">
        <x:v>1</x:v>
      </x:c>
      <x:c r="F221" s="15" t="str">
        <x:v>eml_ALL_currentac__512781 (2).zip &gt; eml7currentac__512781.zip / FNB _-) R7510.00 paid from Current a_c..512781 @ Smartapp. Ref.Kruger Safari 1678. 16Jan 15_26.eml</x:v>
      </x:c>
    </x:row>
    <x:row r="222">
      <x:c r="A222" s="15" t="str">
        <x:v>Kruger Safari 1679</x:v>
      </x:c>
      <x:c r="B222" s="15" t="str">
        <x:v>Supplier payments</x:v>
      </x:c>
      <x:c r="C222" s="15" t="str">
        <x:v>Low</x:v>
      </x:c>
      <x:c r="D222" s="15" t="str">
        <x:v>Default outflow category; review counterparty/reference.</x:v>
      </x:c>
      <x:c r="E222" s="15" t="n">
        <x:v>1</x:v>
      </x:c>
      <x:c r="F222" s="15" t="str">
        <x:v>eml_ALL_currentac__512781 (2).zip &gt; eml7currentac__512781.zip / FNB _-) R3004.00 paid from Current a_c..512781 @ Gen Ph. Ref.Kruger Safari 1679. 27Jan 09_25.eml</x:v>
      </x:c>
    </x:row>
    <x:row r="223">
      <x:c r="A223" s="15" t="str">
        <x:v>Kruger Safari 1680</x:v>
      </x:c>
      <x:c r="B223" s="15" t="str">
        <x:v>Supplier payments</x:v>
      </x:c>
      <x:c r="C223" s="15" t="str">
        <x:v>Low</x:v>
      </x:c>
      <x:c r="D223" s="15" t="str">
        <x:v>Default outflow category; review counterparty/reference.</x:v>
      </x:c>
      <x:c r="E223" s="15" t="n">
        <x:v>1</x:v>
      </x:c>
      <x:c r="F223" s="15" t="str">
        <x:v>eml_ALL_currentac__512781 (2).zip &gt; eml7currentac__512781.zip / FNB _-) R6008.00 paid from Current a_c..512781 @ Smartapp. Ref.Kruger Safari 1680. 30Jan 13_08.eml</x:v>
      </x:c>
    </x:row>
    <x:row r="224">
      <x:c r="A224" s="15" t="str">
        <x:v>Kruger Safari 1681</x:v>
      </x:c>
      <x:c r="B224" s="15" t="str">
        <x:v>Supplier payments</x:v>
      </x:c>
      <x:c r="C224" s="15" t="str">
        <x:v>Low</x:v>
      </x:c>
      <x:c r="D224" s="15" t="str">
        <x:v>Default outflow category; review counterparty/reference.</x:v>
      </x:c>
      <x:c r="E224" s="15" t="n">
        <x:v>1</x:v>
      </x:c>
      <x:c r="F224" s="15" t="str">
        <x:v>eml_ALL_currentac__512781 (2).zip &gt; eml7currentac__512781.zip / FNB _-) R6008.00 paid from Current a_c..512781 @ Gen Ph. Ref.Kruger Safari 1681.  4Feb 12_22.eml</x:v>
      </x:c>
    </x:row>
    <x:row r="225">
      <x:c r="A225" s="15" t="str">
        <x:v>Kruger Safari 1682</x:v>
      </x:c>
      <x:c r="B225" s="15" t="str">
        <x:v>Supplier payments</x:v>
      </x:c>
      <x:c r="C225" s="15" t="str">
        <x:v>Low</x:v>
      </x:c>
      <x:c r="D225" s="15" t="str">
        <x:v>Default outflow category; review counterparty/reference.</x:v>
      </x:c>
      <x:c r="E225" s="15" t="n">
        <x:v>1</x:v>
      </x:c>
      <x:c r="F225" s="15" t="str">
        <x:v>eml_ALL_currentac__512781 (2).zip &gt; eml6currentac__512781.zip / FNB _-) R5708.00 paid from Current a_c..512781 @ Smartapp. Ref.Kruger Safari 1682. 12Feb 10_27.eml</x:v>
      </x:c>
    </x:row>
    <x:row r="226">
      <x:c r="A226" s="15" t="str">
        <x:v>Kruger Safari 1683</x:v>
      </x:c>
      <x:c r="B226" s="15" t="str">
        <x:v>Supplier payments</x:v>
      </x:c>
      <x:c r="C226" s="15" t="str">
        <x:v>Low</x:v>
      </x:c>
      <x:c r="D226" s="15" t="str">
        <x:v>Default outflow category; review counterparty/reference.</x:v>
      </x:c>
      <x:c r="E226" s="15" t="n">
        <x:v>1</x:v>
      </x:c>
      <x:c r="F226" s="15" t="str">
        <x:v>eml_ALL_currentac__512781 (2).zip &gt; eml6currentac__512781.zip / FNB _-) R4506.00 paid from Current a_c..512781 @ Gen Ph. Ref.Kruger Safari 1683. 17Feb 11_05.eml</x:v>
      </x:c>
    </x:row>
    <x:row r="227">
      <x:c r="A227" s="15" t="str">
        <x:v>Kruger Safari 1684</x:v>
      </x:c>
      <x:c r="B227" s="15" t="str">
        <x:v>Supplier payments</x:v>
      </x:c>
      <x:c r="C227" s="15" t="str">
        <x:v>Low</x:v>
      </x:c>
      <x:c r="D227" s="15" t="str">
        <x:v>Default outflow category; review counterparty/reference.</x:v>
      </x:c>
      <x:c r="E227" s="15" t="n">
        <x:v>1</x:v>
      </x:c>
      <x:c r="F227" s="15" t="str">
        <x:v>eml_ALL_currentac__512781 (2).zip &gt; eml6currentac__512781.zip / FNB _-) R6008.00 paid from Current a_c..512781 @ Smartapp. Ref.Kruger Safari 1684. 20Feb 13_57.eml</x:v>
      </x:c>
    </x:row>
    <x:row r="228">
      <x:c r="A228" s="15" t="str">
        <x:v>Kruger Safari 1685</x:v>
      </x:c>
      <x:c r="B228" s="15" t="str">
        <x:v>Supplier payments</x:v>
      </x:c>
      <x:c r="C228" s="15" t="str">
        <x:v>Low</x:v>
      </x:c>
      <x:c r="D228" s="15" t="str">
        <x:v>Default outflow category; review counterparty/reference.</x:v>
      </x:c>
      <x:c r="E228" s="15" t="n">
        <x:v>1</x:v>
      </x:c>
      <x:c r="F228" s="15" t="str">
        <x:v>eml_ALL_currentac__512781 (2).zip &gt; eml5currentac__512781.zip / FNB _-) R3004.00 paid from Current a_c..512781 @ Smartapp. Ref.Kruger Safari 1685. 27Feb 15_57.eml</x:v>
      </x:c>
    </x:row>
    <x:row r="229">
      <x:c r="A229" s="15" t="str">
        <x:v>Kruger Safari 1686</x:v>
      </x:c>
      <x:c r="B229" s="15" t="str">
        <x:v>Supplier payments</x:v>
      </x:c>
      <x:c r="C229" s="15" t="str">
        <x:v>Low</x:v>
      </x:c>
      <x:c r="D229" s="15" t="str">
        <x:v>Default outflow category; review counterparty/reference.</x:v>
      </x:c>
      <x:c r="E229" s="15" t="n">
        <x:v>1</x:v>
      </x:c>
      <x:c r="F229" s="15" t="str">
        <x:v>eml_ALL_currentac__512781 (2).zip &gt; eml5currentac__512781.zip / FNB _-) R6008.00 paid from Current a_c..512781 @ Smartapp. Ref.Kruger Safari 1686. 11Mar 13_50.eml</x:v>
      </x:c>
    </x:row>
    <x:row r="230">
      <x:c r="A230" s="15" t="str">
        <x:v>Kruger Safari 1687</x:v>
      </x:c>
      <x:c r="B230" s="15" t="str">
        <x:v>Supplier payments</x:v>
      </x:c>
      <x:c r="C230" s="15" t="str">
        <x:v>Low</x:v>
      </x:c>
      <x:c r="D230" s="15" t="str">
        <x:v>Default outflow category; review counterparty/reference.</x:v>
      </x:c>
      <x:c r="E230" s="15" t="n">
        <x:v>1</x:v>
      </x:c>
      <x:c r="F230" s="15" t="str">
        <x:v>eml_ALL_currentac__512781 (2).zip &gt; eml5currentac__512781.zip / FNB _-) R4506.00 paid from Current a_c..512781 @ Smartapp. Ref.Kruger Safari 1687. 12Mar 16_08.eml</x:v>
      </x:c>
    </x:row>
    <x:row r="231">
      <x:c r="A231" s="15" t="str">
        <x:v>Kruger Safari 1688</x:v>
      </x:c>
      <x:c r="B231" s="15" t="str">
        <x:v>Supplier payments</x:v>
      </x:c>
      <x:c r="C231" s="15" t="str">
        <x:v>Low</x:v>
      </x:c>
      <x:c r="D231" s="15" t="str">
        <x:v>Default outflow category; review counterparty/reference.</x:v>
      </x:c>
      <x:c r="E231" s="15" t="n">
        <x:v>1</x:v>
      </x:c>
      <x:c r="F231" s="15" t="str">
        <x:v>eml_ALL_currentac__512781 (2).zip &gt; eml4currentac__512781.zip / FNB _-) R2929.00 paid from Current a_c..512781 @ Smartapp. Ref.Kruger Safari 1688. 21Mar 15_42.eml</x:v>
      </x:c>
    </x:row>
    <x:row r="232">
      <x:c r="A232" s="15" t="str">
        <x:v>Kruger Safari 1689</x:v>
      </x:c>
      <x:c r="B232" s="15" t="str">
        <x:v>Supplier payments</x:v>
      </x:c>
      <x:c r="C232" s="15" t="str">
        <x:v>Low</x:v>
      </x:c>
      <x:c r="D232" s="15" t="str">
        <x:v>Default outflow category; review counterparty/reference.</x:v>
      </x:c>
      <x:c r="E232" s="15" t="n">
        <x:v>1</x:v>
      </x:c>
      <x:c r="F232" s="15" t="str">
        <x:v>eml_ALL_currentac__512781 (2).zip &gt; eml4currentac__512781.zip / FNB _-) R2929.00 paid from Current a_c..512781 @ Smartapp. Ref.Kruger Safari 1689. 31Mar 09_09.eml</x:v>
      </x:c>
    </x:row>
    <x:row r="233">
      <x:c r="A233" s="15" t="str">
        <x:v>Kruger Safari 1690</x:v>
      </x:c>
      <x:c r="B233" s="15" t="str">
        <x:v>Supplier payments</x:v>
      </x:c>
      <x:c r="C233" s="15" t="str">
        <x:v>Low</x:v>
      </x:c>
      <x:c r="D233" s="15" t="str">
        <x:v>Default outflow category; review counterparty/reference.</x:v>
      </x:c>
      <x:c r="E233" s="15" t="n">
        <x:v>1</x:v>
      </x:c>
      <x:c r="F233" s="15" t="str">
        <x:v>eml_ALL_currentac__512781 (2).zip &gt; eml4currentac__512781.zip / FNB _-) R2037.00 paid from Current a_c..512781 @ Smartapp. Ref.Kruger Safari 1690.  1Apr 09_29.eml</x:v>
      </x:c>
    </x:row>
    <x:row r="234">
      <x:c r="A234" s="15" t="str">
        <x:v>Kruger Safari 1691</x:v>
      </x:c>
      <x:c r="B234" s="15" t="str">
        <x:v>Supplier payments</x:v>
      </x:c>
      <x:c r="C234" s="15" t="str">
        <x:v>Low</x:v>
      </x:c>
      <x:c r="D234" s="15" t="str">
        <x:v>Default outflow category; review counterparty/reference.</x:v>
      </x:c>
      <x:c r="E234" s="15" t="n">
        <x:v>1</x:v>
      </x:c>
      <x:c r="F234" s="15" t="str">
        <x:v>eml_ALL_currentac__512781 (2).zip &gt; eml4currentac__512781.zip / FNB _-) R9176.00 paid from Current a_c..512781 @ Smartapp. Ref.Kruger Safari 1691.  7Apr 16_37.eml</x:v>
      </x:c>
    </x:row>
    <x:row r="235">
      <x:c r="A235" s="15" t="str">
        <x:v>Kruger Safari 1693</x:v>
      </x:c>
      <x:c r="B235" s="15" t="str">
        <x:v>Supplier payments</x:v>
      </x:c>
      <x:c r="C235" s="15" t="str">
        <x:v>Low</x:v>
      </x:c>
      <x:c r="D235" s="15" t="str">
        <x:v>Default outflow category; review counterparty/reference.</x:v>
      </x:c>
      <x:c r="E235" s="15" t="n">
        <x:v>1</x:v>
      </x:c>
      <x:c r="F235" s="15" t="str">
        <x:v>eml_ALL_currentac__512781 (2).zip &gt; eml4currentac__512781.zip / FNB _-) R2929.00 paid from Current a_c..512781 @ Smartapp. Ref.Kruger Safari 1693. 10Apr 11_42.eml</x:v>
      </x:c>
    </x:row>
    <x:row r="236">
      <x:c r="A236" s="15" t="str">
        <x:v>Kruger Safari 1694</x:v>
      </x:c>
      <x:c r="B236" s="15" t="str">
        <x:v>Supplier payments</x:v>
      </x:c>
      <x:c r="C236" s="15" t="str">
        <x:v>Low</x:v>
      </x:c>
      <x:c r="D236" s="15" t="str">
        <x:v>Default outflow category; review counterparty/reference.</x:v>
      </x:c>
      <x:c r="E236" s="15" t="n">
        <x:v>1</x:v>
      </x:c>
      <x:c r="F236" s="15" t="str">
        <x:v>eml_ALL_currentac__512781 (2).zip &gt; eml3currentac__512781.zip / FNB _-) R3274.00 paid from Current a_c..512781 @ Smartapp. Ref.Kruger Safari 1694. 13Apr 13_37.eml</x:v>
      </x:c>
    </x:row>
    <x:row r="237">
      <x:c r="A237" s="15" t="str">
        <x:v>Kruger Safari 1695</x:v>
      </x:c>
      <x:c r="B237" s="15" t="str">
        <x:v>Supplier payments</x:v>
      </x:c>
      <x:c r="C237" s="15" t="str">
        <x:v>Low</x:v>
      </x:c>
      <x:c r="D237" s="15" t="str">
        <x:v>Default outflow category; review counterparty/reference.</x:v>
      </x:c>
      <x:c r="E237" s="15" t="n">
        <x:v>1</x:v>
      </x:c>
      <x:c r="F237" s="15" t="str">
        <x:v>eml_ALL_currentac__512781 (2).zip &gt; eml3currentac__512781.zip / FNB _-) R3966.60 paid from Current a_c..512781 @ Smartapp. Ref.Kruger Safari 1695. 22Apr 09_19.eml</x:v>
      </x:c>
    </x:row>
    <x:row r="238">
      <x:c r="A238" s="15" t="str">
        <x:v>Kruger Safari 1696</x:v>
      </x:c>
      <x:c r="B238" s="15" t="str">
        <x:v>Supplier payments</x:v>
      </x:c>
      <x:c r="C238" s="15" t="str">
        <x:v>Low</x:v>
      </x:c>
      <x:c r="D238" s="15" t="str">
        <x:v>Default outflow category; review counterparty/reference.</x:v>
      </x:c>
      <x:c r="E238" s="15" t="n">
        <x:v>1</x:v>
      </x:c>
      <x:c r="F238" s="15" t="str">
        <x:v>eml_ALL_currentac__512781 (2).zip &gt; eml3currentac__512781.zip / FNB _-) R3454.60 paid from Current a_c..512781 @ Smartapp. Ref.Kruger Safari 1696. 29Apr 16_09.eml</x:v>
      </x:c>
    </x:row>
    <x:row r="239">
      <x:c r="A239" s="15" t="str">
        <x:v>Kruger Safari 1697</x:v>
      </x:c>
      <x:c r="B239" s="15" t="str">
        <x:v>Supplier payments</x:v>
      </x:c>
      <x:c r="C239" s="15" t="str">
        <x:v>Low</x:v>
      </x:c>
      <x:c r="D239" s="15" t="str">
        <x:v>Default outflow category; review counterparty/reference.</x:v>
      </x:c>
      <x:c r="E239" s="15" t="n">
        <x:v>1</x:v>
      </x:c>
      <x:c r="F239" s="15" t="str">
        <x:v>eml_ALL_currentac__512781 (2).zip &gt; eml3currentac__512781.zip / FNB _-) R13128.00 paid from Current a_c..512781 @ Smartapp. Ref.Kruger Safari 1697.  5May 10_50.eml</x:v>
      </x:c>
    </x:row>
    <x:row r="240">
      <x:c r="A240" s="15" t="str">
        <x:v>Kruger Safari 1698</x:v>
      </x:c>
      <x:c r="B240" s="15" t="str">
        <x:v>Supplier payments</x:v>
      </x:c>
      <x:c r="C240" s="15" t="str">
        <x:v>Low</x:v>
      </x:c>
      <x:c r="D240" s="15" t="str">
        <x:v>Default outflow category; review counterparty/reference.</x:v>
      </x:c>
      <x:c r="E240" s="15" t="n">
        <x:v>1</x:v>
      </x:c>
      <x:c r="F240" s="15" t="str">
        <x:v>eml_ALL_currentac__512781 (2).zip &gt; eml2currentac__512781.zip / FNB _-) R6008.00 paid from Current a_c..512781 @ Smartapp. Ref.Kruger Safari 1698. 25May 17_32.eml</x:v>
      </x:c>
    </x:row>
    <x:row r="241">
      <x:c r="A241" s="15" t="str">
        <x:v>Kruger Safari 1700</x:v>
      </x:c>
      <x:c r="B241" s="15" t="str">
        <x:v>Supplier payments</x:v>
      </x:c>
      <x:c r="C241" s="15" t="str">
        <x:v>Low</x:v>
      </x:c>
      <x:c r="D241" s="15" t="str">
        <x:v>Default outflow category; review counterparty/reference.</x:v>
      </x:c>
      <x:c r="E241" s="15" t="n">
        <x:v>1</x:v>
      </x:c>
      <x:c r="F241" s="15" t="str">
        <x:v>eml_ALL_currentac__512781 (2).zip &gt; eml1currentac__512781.zip / FNB _-) R4189.00 paid from Current a_c..512781 @ Smartapp. Ref.Kruger Safari 1700.  5Jun 12_47.eml</x:v>
      </x:c>
    </x:row>
    <x:row r="242">
      <x:c r="A242" s="15" t="str">
        <x:v>L Meiring Laundry..679185</x:v>
      </x:c>
      <x:c r="B242" s="15" t="str">
        <x:v>Other</x:v>
      </x:c>
      <x:c r="C242" s="15" t="str">
        <x:v>Low</x:v>
      </x:c>
      <x:c r="D242" s="15" t="str">
        <x:v>Unable to map confidently.</x:v>
      </x:c>
      <x:c r="E242" s="15" t="n">
        <x:v>1</x:v>
      </x:c>
      <x:c r="F242" s="15" t="str">
        <x:v>eml_ALL_currentac__512781 (2).zip &gt; eml7currentac__512781.zip / FNB _-) Payment Link created from Current a_c..512781 To L Meiring Laundry..679185 @ Smartapp.  5Feb 09_12 Call 087 575 9404  for help..eml</x:v>
      </x:c>
    </x:row>
    <x:row r="243">
      <x:c r="A243" s="15" t="str">
        <x:v>Laundry Bigbay</x:v>
      </x:c>
      <x:c r="B243" s="15" t="str">
        <x:v>Supplier payments</x:v>
      </x:c>
      <x:c r="C243" s="15" t="str">
        <x:v>Low</x:v>
      </x:c>
      <x:c r="D243" s="15" t="str">
        <x:v>Default outflow category; review counterparty/reference.</x:v>
      </x:c>
      <x:c r="E243" s="15" t="n">
        <x:v>1</x:v>
      </x:c>
      <x:c r="F243" s="15" t="str">
        <x:v>eml_ALL_currentac__512781 (2).zip &gt; eml7currentac__512781.zip / FNB _-) R442.25 paid from Current a_c..512781 @ Smartapp. Ref.Laundry Bigbay.  5Feb 09_12.eml</x:v>
      </x:c>
    </x:row>
    <x:row r="244">
      <x:c r="A244" s="15" t="str">
        <x:v>Lebombo 24/01/2026</x:v>
      </x:c>
      <x:c r="B244" s="15" t="str">
        <x:v>Supplier payments</x:v>
      </x:c>
      <x:c r="C244" s="15" t="str">
        <x:v>Low</x:v>
      </x:c>
      <x:c r="D244" s="15" t="str">
        <x:v>Default outflow category; review counterparty/reference.</x:v>
      </x:c>
      <x:c r="E244" s="15" t="n">
        <x:v>1</x:v>
      </x:c>
      <x:c r="F244" s="15" t="str">
        <x:v>eml_ALL_currentac__512781 (2).zip &gt; eml5currentac__512781.zip / FNB _-) R450.00 paid from Current a_c..512781 @ Smartapp. Ref.Lebombo 24_01_2026. 25Feb 13_14.eml</x:v>
      </x:c>
    </x:row>
    <x:row r="245">
      <x:c r="A245" s="15" t="str">
        <x:v>Lebombo Verkoeling..990821</x:v>
      </x:c>
      <x:c r="B245" s="15" t="str">
        <x:v>Other</x:v>
      </x:c>
      <x:c r="C245" s="15" t="str">
        <x:v>Low</x:v>
      </x:c>
      <x:c r="D245" s="15" t="str">
        <x:v>Unable to map confidently.</x:v>
      </x:c>
      <x:c r="E245" s="15" t="n">
        <x:v>1</x:v>
      </x:c>
      <x:c r="F245" s="15" t="str">
        <x:v>eml_ALL_currentac__512781 (2).zip &gt; eml7currentac__512781.zip / FNB _-) Payment Link created from Current a_c..512781 To Lebombo Verkoeling..990821 @ Smartapp. 26Jan 10_58 Call 087 575 9404  for help..eml</x:v>
      </x:c>
    </x:row>
    <x:row r="246">
      <x:c r="A246" s="15" t="str">
        <x:v>Lebombo Wash 03/30</x:v>
      </x:c>
      <x:c r="B246" s="15" t="str">
        <x:v>Supplier payments</x:v>
      </x:c>
      <x:c r="C246" s="15" t="str">
        <x:v>Low</x:v>
      </x:c>
      <x:c r="D246" s="15" t="str">
        <x:v>Default outflow category; review counterparty/reference.</x:v>
      </x:c>
      <x:c r="E246" s="15" t="n">
        <x:v>1</x:v>
      </x:c>
      <x:c r="F246" s="15" t="str">
        <x:v>eml_ALL_currentac__512781 (2).zip &gt; eml4currentac__512781.zip / FNB _-) R1500.00 paid from Current a_c..512781 @ Smartapp. Ref.Lebombo Wash 03_30. 30Mar 09_20.eml</x:v>
      </x:c>
    </x:row>
    <x:row r="247">
      <x:c r="A247" s="15" t="str">
        <x:v>Liquorshop Komatipoo</x:v>
      </x:c>
      <x:c r="B247" s="15" t="str">
        <x:v>Meals / restaurants / entertainment</x:v>
      </x:c>
      <x:c r="C247" s="15" t="str">
        <x:v>High</x:v>
      </x:c>
      <x:c r="D247" s="15" t="str">
        <x:v>Restaurant/entertainment/liquor keyword.</x:v>
      </x:c>
      <x:c r="E247" s="15" t="n">
        <x:v>1</x:v>
      </x:c>
      <x:c r="F247" s="15" t="str">
        <x:v>eml_ALL_currentac__512781 (2).zip &gt; eml2currentac__512781.zip / FNB _-) R239.99 reserved for purchase @ Liquorshop Komatipoo from Current a_c..512781 using card..2924. 22May 14_21.eml</x:v>
      </x:c>
    </x:row>
    <x:row r="248">
      <x:c r="A248" s="15" t="str">
        <x:v>Lynne Warner..201049</x:v>
      </x:c>
      <x:c r="B248" s="15" t="str">
        <x:v>Other</x:v>
      </x:c>
      <x:c r="C248" s="15" t="str">
        <x:v>Low</x:v>
      </x:c>
      <x:c r="D248" s="15" t="str">
        <x:v>Unable to map confidently.</x:v>
      </x:c>
      <x:c r="E248" s="15" t="n">
        <x:v>1</x:v>
      </x:c>
      <x:c r="F248" s="15" t="str">
        <x:v>eml_ALL_currentac__512781 (2).zip &gt; eml8currentac__512781.zip / FNB _-) Payment Link created from Current a_c..512781 To Lynne Warner..201049 @ Smartapp. 28Dec 12_32 Call 087 575 9404  for help..eml</x:v>
      </x:c>
    </x:row>
    <x:row r="249">
      <x:c r="A249" s="15" t="str">
        <x:v>Mascor Komatipoort F</x:v>
      </x:c>
      <x:c r="B249" s="15" t="str">
        <x:v>Card spend</x:v>
      </x:c>
      <x:c r="C249" s="15" t="str">
        <x:v>Low</x:v>
      </x:c>
      <x:c r="D249" s="15" t="str">
        <x:v>Default card-spend category; merchant not confidently mapped.</x:v>
      </x:c>
      <x:c r="E249" s="15" t="n">
        <x:v>1</x:v>
      </x:c>
      <x:c r="F249" s="15" t="str">
        <x:v>eml_ALL_currentac__512781 (2).zip &gt; eml4currentac__512781.zip / FNB _-) R200.00 reserved for purchase @ Mascor Komatipoort F from Current a_c..512781 using card..2924. 25Mar 13_36.eml</x:v>
      </x:c>
    </x:row>
    <x:row r="250">
      <x:c r="A250" s="15" t="str">
        <x:v>Mj Taback..052173</x:v>
      </x:c>
      <x:c r="B250" s="15" t="str">
        <x:v>Other</x:v>
      </x:c>
      <x:c r="C250" s="15" t="str">
        <x:v>Low</x:v>
      </x:c>
      <x:c r="D250" s="15" t="str">
        <x:v>Unable to map confidently.</x:v>
      </x:c>
      <x:c r="E250" s="15" t="n">
        <x:v>1</x:v>
      </x:c>
      <x:c r="F250" s="15" t="str">
        <x:v>eml_ALL_currentac__512781 (2).zip &gt; eml6currentac__512781.zip / FNB _-) Payment Link created from Current a_c..512781 To Mj Taback..052173 @ Smartapp. 11Feb 12_31 Call 087 575 9404  for help..eml</x:v>
      </x:c>
    </x:row>
    <x:row r="251">
      <x:c r="A251" s="15" t="str">
        <x:v>Moment_*dstv Joh</x:v>
      </x:c>
      <x:c r="B251" s="15" t="str">
        <x:v>Card spend</x:v>
      </x:c>
      <x:c r="C251" s="15" t="str">
        <x:v>Low</x:v>
      </x:c>
      <x:c r="D251" s="15" t="str">
        <x:v>Default card-spend category; merchant not confidently mapped.</x:v>
      </x:c>
      <x:c r="E251" s="15" t="n">
        <x:v>1</x:v>
      </x:c>
      <x:c r="F251" s="15" t="str">
        <x:v>eml_ALL_currentac__512781 (2).zip &gt; eml2currentac__512781.zip / FNB _-) R676.45 reserved for purchase @ Moment__dstv Joh from Current a_c..512781 using card..0104. 13May 21_21.eml</x:v>
      </x:c>
    </x:row>
    <x:row r="252">
      <x:c r="A252" s="15" t="str">
        <x:v>Mr Plumber- Inv 5053</x:v>
      </x:c>
      <x:c r="B252" s="15" t="str">
        <x:v>Supplier payments</x:v>
      </x:c>
      <x:c r="C252" s="15" t="str">
        <x:v>Low</x:v>
      </x:c>
      <x:c r="D252" s="15" t="str">
        <x:v>Default outflow category; review counterparty/reference.</x:v>
      </x:c>
      <x:c r="E252" s="15" t="n">
        <x:v>1</x:v>
      </x:c>
      <x:c r="F252" s="15" t="str">
        <x:v>eml_ALL_currentac__512781 (2).zip &gt; eml10currentac__512781.zip / FNB _-) R590.00 paid from Current a_c..512781 @ Smartapp. Ref.Mr Plumber- Inv 5053. 13Nov 08_26.eml</x:v>
      </x:c>
    </x:row>
    <x:row r="253">
      <x:c r="A253" s="15" t="str">
        <x:v>Ms Cp Nsingwane..561030</x:v>
      </x:c>
      <x:c r="B253" s="15" t="str">
        <x:v>Other</x:v>
      </x:c>
      <x:c r="C253" s="15" t="str">
        <x:v>Low</x:v>
      </x:c>
      <x:c r="D253" s="15" t="str">
        <x:v>Unable to map confidently.</x:v>
      </x:c>
      <x:c r="E253" s="15" t="n">
        <x:v>1</x:v>
      </x:c>
      <x:c r="F253" s="15" t="str">
        <x:v>eml_ALL_currentac__512781 (2).zip &gt; eml6currentac__512781.zip / FNB _-) Payment Link created from Current a_c..512781 To Ms Cp Nsingwane..561030 @ Smartapp. 20Feb 19_18 Call 087 575 9404  for help..eml</x:v>
      </x:c>
    </x:row>
    <x:row r="254">
      <x:c r="A254" s="15" t="str">
        <x:v>Muncipality Bigbay</x:v>
      </x:c>
      <x:c r="B254" s="15" t="str">
        <x:v>Supplier payments</x:v>
      </x:c>
      <x:c r="C254" s="15" t="str">
        <x:v>Low</x:v>
      </x:c>
      <x:c r="D254" s="15" t="str">
        <x:v>Default outflow category; review counterparty/reference.</x:v>
      </x:c>
      <x:c r="E254" s="15" t="n">
        <x:v>1</x:v>
      </x:c>
      <x:c r="F254" s="15" t="str">
        <x:v>eml_ALL_currentac__512781 (2).zip &gt; eml4currentac__512781.zip / FNB _-) R1500.00 paid from Current a_c..512781 @ Smartapp. Ref.Muncipality Bigbay. 10Apr 11_47.eml</x:v>
      </x:c>
    </x:row>
    <x:row r="255">
      <x:c r="A255" s="15" t="str">
        <x:v>Nason Staff..860933</x:v>
      </x:c>
      <x:c r="B255" s="15" t="str">
        <x:v>Other</x:v>
      </x:c>
      <x:c r="C255" s="15" t="str">
        <x:v>Low</x:v>
      </x:c>
      <x:c r="D255" s="15" t="str">
        <x:v>Unable to map confidently.</x:v>
      </x:c>
      <x:c r="E255" s="15" t="n">
        <x:v>1</x:v>
      </x:c>
      <x:c r="F255" s="15" t="str">
        <x:v>eml_ALL_currentac__512781 (2).zip &gt; eml12currentac__512781.zip / FNB _-) Payment Link created from Current a_c..512781 To Nason Staff..860933 @ Smartapp.  4Oct 11_52 Call 087 575 9404  for help..eml</x:v>
      </x:c>
    </x:row>
    <x:row r="256">
      <x:c r="A256" s="15" t="str">
        <x:v>Nb 26696</x:v>
      </x:c>
      <x:c r="B256" s="15" t="str">
        <x:v>Supplier payments</x:v>
      </x:c>
      <x:c r="C256" s="15" t="str">
        <x:v>Low</x:v>
      </x:c>
      <x:c r="D256" s="15" t="str">
        <x:v>Default outflow category; review counterparty/reference.</x:v>
      </x:c>
      <x:c r="E256" s="15" t="n">
        <x:v>1</x:v>
      </x:c>
      <x:c r="F256" s="15" t="str">
        <x:v>eml_ALL_currentac__512781 (2).zip &gt; eml6currentac__512781.zip / FNB _-) R759.00 paid from Current a_c..512781 @ Smartapp. Ref.Nb 26696.  9Feb 14_10.eml</x:v>
      </x:c>
    </x:row>
    <x:row r="257">
      <x:c r="A257" s="15" t="str">
        <x:v>Nb N992820 + 983772</x:v>
      </x:c>
      <x:c r="B257" s="15" t="str">
        <x:v>Supplier payments</x:v>
      </x:c>
      <x:c r="C257" s="15" t="str">
        <x:v>Low</x:v>
      </x:c>
      <x:c r="D257" s="15" t="str">
        <x:v>Default outflow category; review counterparty/reference.</x:v>
      </x:c>
      <x:c r="E257" s="15" t="n">
        <x:v>1</x:v>
      </x:c>
      <x:c r="F257" s="15" t="str">
        <x:v>eml_ALL_currentac__512781 (2).zip &gt; eml12currentac__512781.zip / FNB _-) R1414.50 paid from Current a_c..512781 @ Smartapp. Ref.Nb N992820 + 983772.  3Oct 12_26.eml</x:v>
      </x:c>
    </x:row>
    <x:row r="258">
      <x:c r="A258" s="15" t="str">
        <x:v>Nightsbridge..593701</x:v>
      </x:c>
      <x:c r="B258" s="15" t="str">
        <x:v>Other</x:v>
      </x:c>
      <x:c r="C258" s="15" t="str">
        <x:v>Low</x:v>
      </x:c>
      <x:c r="D258" s="15" t="str">
        <x:v>Unable to map confidently.</x:v>
      </x:c>
      <x:c r="E258" s="15" t="n">
        <x:v>1</x:v>
      </x:c>
      <x:c r="F258" s="15" t="str">
        <x:v>eml_ALL_currentac__512781 (2).zip &gt; eml12currentac__512781.zip / FNB _-) Payment Link created from Current a_c..512781 To Nightsbridge..593701 @ Smartapp.  3Oct 12_24 Call 087 575 9404  for help..eml</x:v>
      </x:c>
    </x:row>
    <x:row r="259">
      <x:c r="A259" s="15" t="str">
        <x:v>Ntonwasi (pty) Ltd..390477</x:v>
      </x:c>
      <x:c r="B259" s="15" t="str">
        <x:v>Other</x:v>
      </x:c>
      <x:c r="C259" s="15" t="str">
        <x:v>Low</x:v>
      </x:c>
      <x:c r="D259" s="15" t="str">
        <x:v>Unable to map confidently.</x:v>
      </x:c>
      <x:c r="E259" s="15" t="n">
        <x:v>1</x:v>
      </x:c>
      <x:c r="F259" s="15" t="str">
        <x:v>eml_ALL_currentac__512781 (2).zip &gt; eml10currentac__512781.zip / FNB _-) Payment Link created from Current a_c..512781 To Ntonwasi (pty) Ltd..390477 @ Smartapp. 17Nov 20_27 Call 087 575 9404  for help..eml</x:v>
      </x:c>
    </x:row>
    <x:row r="260">
      <x:c r="A260" s="15" t="str">
        <x:v>Ntonwasi Saf Inv476</x:v>
      </x:c>
      <x:c r="B260" s="15" t="str">
        <x:v>Supplier payments</x:v>
      </x:c>
      <x:c r="C260" s="15" t="str">
        <x:v>Low</x:v>
      </x:c>
      <x:c r="D260" s="15" t="str">
        <x:v>Default outflow category; review counterparty/reference.</x:v>
      </x:c>
      <x:c r="E260" s="15" t="n">
        <x:v>1</x:v>
      </x:c>
      <x:c r="F260" s="15" t="str">
        <x:v>eml_ALL_currentac__512781 (2).zip &gt; eml10currentac__512781.zip / FNB _-) R2770.00 paid from Current a_c..512781 @ Smartapp. Ref.Ntonwasi Saf Inv476. 17Nov 20_28.eml</x:v>
      </x:c>
    </x:row>
    <x:row r="261">
      <x:c r="A261" s="15" t="str">
        <x:v>Nyala Luxury Safari..395895</x:v>
      </x:c>
      <x:c r="B261" s="15" t="str">
        <x:v>Other</x:v>
      </x:c>
      <x:c r="C261" s="15" t="str">
        <x:v>Low</x:v>
      </x:c>
      <x:c r="D261" s="15" t="str">
        <x:v>Unable to map confidently.</x:v>
      </x:c>
      <x:c r="E261" s="15" t="n">
        <x:v>1</x:v>
      </x:c>
      <x:c r="F261" s="15" t="str">
        <x:v>eml_ALL_currentac__512781 (2).zip &gt; eml12currentac__512781.zip / FNB _-) Payment Link created from Current a_c..512781 To Nyala Luxury Safari..395895 @ Smartapp.  5Oct 09_57 Call 087 575 9404  for help..eml</x:v>
      </x:c>
    </x:row>
    <x:row r="262">
      <x:c r="A262" s="15" t="str">
        <x:v>Nyala Safari 145</x:v>
      </x:c>
      <x:c r="B262" s="15" t="str">
        <x:v>Supplier payments</x:v>
      </x:c>
      <x:c r="C262" s="15" t="str">
        <x:v>Low</x:v>
      </x:c>
      <x:c r="D262" s="15" t="str">
        <x:v>Default outflow category; review counterparty/reference.</x:v>
      </x:c>
      <x:c r="E262" s="15" t="n">
        <x:v>1</x:v>
      </x:c>
      <x:c r="F262" s="15" t="str">
        <x:v>eml_ALL_currentac__512781 (2).zip &gt; eml12currentac__512781.zip / FNB _-) R10080.00 paid from Current a_c..512781 @ Smartapp. Ref.Nyala Safari 145.  5Oct 09_57.eml</x:v>
      </x:c>
    </x:row>
    <x:row r="263">
      <x:c r="A263" s="15" t="str">
        <x:v>Nyala Safari 146</x:v>
      </x:c>
      <x:c r="B263" s="15" t="str">
        <x:v>Supplier payments</x:v>
      </x:c>
      <x:c r="C263" s="15" t="str">
        <x:v>Low</x:v>
      </x:c>
      <x:c r="D263" s="15" t="str">
        <x:v>Default outflow category; review counterparty/reference.</x:v>
      </x:c>
      <x:c r="E263" s="15" t="n">
        <x:v>1</x:v>
      </x:c>
      <x:c r="F263" s="15" t="str">
        <x:v>eml_ALL_currentac__512781 (2).zip &gt; eml12currentac__512781.zip / FNB _-) R2244.00 paid from Current a_c..512781 @ Smartapp. Ref.Nyala Safari 146. 10Oct 13_29.eml</x:v>
      </x:c>
    </x:row>
    <x:row r="264">
      <x:c r="A264" s="15" t="str">
        <x:v>Oasis Water 7745</x:v>
      </x:c>
      <x:c r="B264" s="15" t="str">
        <x:v>Supplier payments</x:v>
      </x:c>
      <x:c r="C264" s="15" t="str">
        <x:v>Medium</x:v>
      </x:c>
      <x:c r="D264" s="15" t="str">
        <x:v>Retail/supplier merchant keyword.</x:v>
      </x:c>
      <x:c r="E264" s="15" t="n">
        <x:v>1</x:v>
      </x:c>
      <x:c r="F264" s="15" t="str">
        <x:v>eml_ALL_currentac__512781 (2).zip &gt; eml12currentac__512781.zip / FNB _-) R108.00 paid from Current a_c..512781 @ Smartapp. Ref.Oasis Water 7745. 15Oct 14_26.eml</x:v>
      </x:c>
    </x:row>
    <x:row r="265">
      <x:c r="A265" s="15" t="str">
        <x:v>Oasis Water 8830</x:v>
      </x:c>
      <x:c r="B265" s="15" t="str">
        <x:v>Supplier payments</x:v>
      </x:c>
      <x:c r="C265" s="15" t="str">
        <x:v>Medium</x:v>
      </x:c>
      <x:c r="D265" s="15" t="str">
        <x:v>Retail/supplier merchant keyword.</x:v>
      </x:c>
      <x:c r="E265" s="15" t="n">
        <x:v>1</x:v>
      </x:c>
      <x:c r="F265" s="15" t="str">
        <x:v>eml_ALL_currentac__512781 (2).zip &gt; eml8currentac__512781.zip / FNB _-) R240.20 paid from Current a_c..512781 @ Smartapp. Ref.Oasis Water 8830.  9Jan 08_49.eml</x:v>
      </x:c>
    </x:row>
    <x:row r="266">
      <x:c r="A266" s="15" t="str">
        <x:v>Obaro Komatipoort</x:v>
      </x:c>
      <x:c r="B266" s="15" t="str">
        <x:v>Supplier payments</x:v>
      </x:c>
      <x:c r="C266" s="15" t="str">
        <x:v>Medium</x:v>
      </x:c>
      <x:c r="D266" s="15" t="str">
        <x:v>Retail/supplier merchant keyword.</x:v>
      </x:c>
      <x:c r="E266" s="15" t="n">
        <x:v>1</x:v>
      </x:c>
      <x:c r="F266" s="15" t="str">
        <x:v>eml_ALL_currentac__512781 (2).zip &gt; eml6currentac__512781.zip / FNB _-) R233.00 reserved for purchase @ Obaro Komatipoort from Current a_c..512781 using card..2924. 11Feb 13_11.eml</x:v>
      </x:c>
    </x:row>
    <x:row r="267">
      <x:c r="A267" s="15" t="str">
        <x:v>Phindi Salary Dec</x:v>
      </x:c>
      <x:c r="B267" s="15" t="str">
        <x:v>Salary / wages</x:v>
      </x:c>
      <x:c r="C267" s="15" t="str">
        <x:v>High</x:v>
      </x:c>
      <x:c r="D267" s="15" t="str">
        <x:v>Staff/salary/wages keyword.</x:v>
      </x:c>
      <x:c r="E267" s="15" t="n">
        <x:v>1</x:v>
      </x:c>
      <x:c r="F267" s="15" t="str">
        <x:v>eml_ALL_currentac__512781 (2).zip &gt; eml8currentac__512781.zip / FNB _-) R4250.00 paid from Current a_c..512781 @ Gen Ph. Ref.Phindi Salary Dec. 31Dec 11_40.eml</x:v>
      </x:c>
    </x:row>
    <x:row r="268">
      <x:c r="A268" s="15" t="str">
        <x:v>Phindi Salary Nov</x:v>
      </x:c>
      <x:c r="B268" s="15" t="str">
        <x:v>Salary / wages</x:v>
      </x:c>
      <x:c r="C268" s="15" t="str">
        <x:v>High</x:v>
      </x:c>
      <x:c r="D268" s="15" t="str">
        <x:v>Staff/salary/wages keyword.</x:v>
      </x:c>
      <x:c r="E268" s="15" t="n">
        <x:v>1</x:v>
      </x:c>
      <x:c r="F268" s="15" t="str">
        <x:v>eml_ALL_currentac__512781 (2).zip &gt; eml10currentac__512781.zip / FNB _-) R4500.00 paid from Current a_c..512781 @ Gen Ph. Ref.Phindi Salary Nov. 30Nov 10_10.eml</x:v>
      </x:c>
    </x:row>
    <x:row r="269">
      <x:c r="A269" s="15" t="str">
        <x:v>Phindi Wages</x:v>
      </x:c>
      <x:c r="B269" s="15" t="str">
        <x:v>Salary / wages</x:v>
      </x:c>
      <x:c r="C269" s="15" t="str">
        <x:v>High</x:v>
      </x:c>
      <x:c r="D269" s="15" t="str">
        <x:v>Staff/salary/wages keyword.</x:v>
      </x:c>
      <x:c r="E269" s="15" t="n">
        <x:v>1</x:v>
      </x:c>
      <x:c r="F269" s="15" t="str">
        <x:v>eml_ALL_currentac__512781 (2).zip &gt; eml8currentac__512781.zip / FNB _-) R750.00 paid from Current a_c..512781 @ Smartapp. Ref.Phindi Wages. 28Dec 09_20.eml</x:v>
      </x:c>
    </x:row>
    <x:row r="270">
      <x:c r="A270" s="15" t="str">
        <x:v>Pj Els</x:v>
      </x:c>
      <x:c r="B270" s="15" t="str">
        <x:v>Supplier payments</x:v>
      </x:c>
      <x:c r="C270" s="15" t="str">
        <x:v>Low</x:v>
      </x:c>
      <x:c r="D270" s="15" t="str">
        <x:v>Default outflow category; review counterparty/reference.</x:v>
      </x:c>
      <x:c r="E270" s="15" t="n">
        <x:v>1</x:v>
      </x:c>
      <x:c r="F270" s="15" t="str">
        <x:v>eml_ALL_currentac__512781 (2).zip &gt; eml7currentac__512781.zip / FNB _-) R16500.00 paid from Current a_c..512781 @ Gen Ph. Ref.Pj Els. 18Jan 08_25.eml</x:v>
      </x:c>
    </x:row>
    <x:row r="271">
      <x:c r="A271" s="15" t="str">
        <x:v>Pnp Fam Bronkhorstsp</x:v>
      </x:c>
      <x:c r="B271" s="15" t="str">
        <x:v>Card spend</x:v>
      </x:c>
      <x:c r="C271" s="15" t="str">
        <x:v>Low</x:v>
      </x:c>
      <x:c r="D271" s="15" t="str">
        <x:v>Default card-spend category; merchant not confidently mapped.</x:v>
      </x:c>
      <x:c r="E271" s="15" t="n">
        <x:v>1</x:v>
      </x:c>
      <x:c r="F271" s="15" t="str">
        <x:v>eml_ALL_currentac__512781 (2).zip &gt; eml1currentac__512781.zip / FNB _-) R793.26 reserved for purchase @ Pnp Fam Bronkhorstsp from Current a_c..512781 using card..2924. 14Jun 14_09.eml</x:v>
      </x:c>
    </x:row>
    <x:row r="272">
      <x:c r="A272" s="15" t="str">
        <x:v>Pnp Fam Malelane</x:v>
      </x:c>
      <x:c r="B272" s="15" t="str">
        <x:v>Card spend</x:v>
      </x:c>
      <x:c r="C272" s="15" t="str">
        <x:v>Low</x:v>
      </x:c>
      <x:c r="D272" s="15" t="str">
        <x:v>Default card-spend category; merchant not confidently mapped.</x:v>
      </x:c>
      <x:c r="E272" s="15" t="n">
        <x:v>1</x:v>
      </x:c>
      <x:c r="F272" s="15" t="str">
        <x:v>eml_ALL_currentac__512781 (2).zip &gt; eml8currentac__512781.zip / FNB _-) R184.40 reserved for purchase @ Pnp Fam Malelane from Current a_c..512781 using card..2924. 27Dec 11_59.eml</x:v>
      </x:c>
    </x:row>
    <x:row r="273">
      <x:c r="A273" s="15" t="str">
        <x:v>Printing Signboard</x:v>
      </x:c>
      <x:c r="B273" s="15" t="str">
        <x:v>Sales / customer receipts</x:v>
      </x:c>
      <x:c r="C273" s="15" t="str">
        <x:v>Medium</x:v>
      </x:c>
      <x:c r="D273" s="15" t="str">
        <x:v>Default for incoming EFT/PayShap/online receipt.</x:v>
      </x:c>
      <x:c r="E273" s="15" t="n">
        <x:v>1</x:v>
      </x:c>
      <x:c r="F273" s="15" t="str">
        <x:v>eml_ALL_currentac__512781 (2).zip &gt; eml3currentac__512781.zip / FNB _-) R600.00 paid to Current a_c..512781 @ Smartapp. Ref.Printing Signboard. 15Apr 10_08.eml</x:v>
      </x:c>
    </x:row>
    <x:row r="274">
      <x:c r="A274" s="15" t="str">
        <x:v>R + A Project..990460</x:v>
      </x:c>
      <x:c r="B274" s="15" t="str">
        <x:v>Other</x:v>
      </x:c>
      <x:c r="C274" s="15" t="str">
        <x:v>Low</x:v>
      </x:c>
      <x:c r="D274" s="15" t="str">
        <x:v>Unable to map confidently.</x:v>
      </x:c>
      <x:c r="E274" s="15" t="n">
        <x:v>1</x:v>
      </x:c>
      <x:c r="F274" s="15" t="str">
        <x:v>eml_ALL_currentac__512781 (2).zip &gt; eml12currentac__512781.zip / FNB _-) Payment Link created from Current a_c..512781 To R + A Project..990460 @ Smartapp. 10Oct 13_28 Call 087 575 9404  for help..eml</x:v>
      </x:c>
    </x:row>
    <x:row r="275">
      <x:c r="A275" s="15" t="str">
        <x:v>R + A Projects</x:v>
      </x:c>
      <x:c r="B275" s="15" t="str">
        <x:v>Supplier payments</x:v>
      </x:c>
      <x:c r="C275" s="15" t="str">
        <x:v>Low</x:v>
      </x:c>
      <x:c r="D275" s="15" t="str">
        <x:v>Default outflow category; review counterparty/reference.</x:v>
      </x:c>
      <x:c r="E275" s="15" t="n">
        <x:v>1</x:v>
      </x:c>
      <x:c r="F275" s="15" t="str">
        <x:v>eml_ALL_currentac__512781 (2).zip &gt; eml12currentac__512781.zip / FNB _-) R1950.00 paid from Current a_c..512781 @ Smartapp. Ref.R + A Projects. 10Oct 13_28.eml</x:v>
      </x:c>
    </x:row>
    <x:row r="276">
      <x:c r="A276" s="15" t="str">
        <x:v>R Vedder Horse Back..369915</x:v>
      </x:c>
      <x:c r="B276" s="15" t="str">
        <x:v>Other</x:v>
      </x:c>
      <x:c r="C276" s="15" t="str">
        <x:v>Low</x:v>
      </x:c>
      <x:c r="D276" s="15" t="str">
        <x:v>Unable to map confidently.</x:v>
      </x:c>
      <x:c r="E276" s="15" t="n">
        <x:v>1</x:v>
      </x:c>
      <x:c r="F276" s="15" t="str">
        <x:v>eml_ALL_currentac__512781 (2).zip &gt; eml10currentac__512781.zip / FNB _-) Payment Link created from Current a_c..512781 To R Vedder Horse Back..369915 @ Smartapp. 14Nov 09_05 Call 087 575 9404  for help..eml</x:v>
      </x:c>
    </x:row>
    <x:row r="277">
      <x:c r="A277" s="15" t="str">
        <x:v>R025hthth0 Booking.c</x:v>
      </x:c>
      <x:c r="B277" s="15" t="str">
        <x:v>Sales / customer receipts</x:v>
      </x:c>
      <x:c r="C277" s="15" t="str">
        <x:v>Medium</x:v>
      </x:c>
      <x:c r="D277" s="15" t="str">
        <x:v>Default for incoming EFT/PayShap/online receipt.</x:v>
      </x:c>
      <x:c r="E277" s="15" t="n">
        <x:v>1</x:v>
      </x:c>
      <x:c r="F277" s="15" t="str">
        <x:v>eml_ALL_currentac__512781 (2).zip &gt; eml8currentac__512781.zip / FNB _-) R17245.52 paid to Current a_c..512781 @ Retail Forex. Ref.R025hthth0 Booking.c. 30Dec 10_37.eml</x:v>
      </x:c>
    </x:row>
    <x:row r="278">
      <x:c r="A278" s="15" t="str">
        <x:v>R025k2rz50 Booking.c</x:v>
      </x:c>
      <x:c r="B278" s="15" t="str">
        <x:v>Sales / customer receipts</x:v>
      </x:c>
      <x:c r="C278" s="15" t="str">
        <x:v>Medium</x:v>
      </x:c>
      <x:c r="D278" s="15" t="str">
        <x:v>Default for incoming EFT/PayShap/online receipt.</x:v>
      </x:c>
      <x:c r="E278" s="15" t="n">
        <x:v>1</x:v>
      </x:c>
      <x:c r="F278" s="15" t="str">
        <x:v>eml_ALL_currentac__512781 (2).zip &gt; eml10currentac__512781.zip / FNB _-) R19163.49 paid to Current a_c..512781 @ Retail Forex. Ref.R025k2rz50 Booking.c. 28Nov 14_16.eml</x:v>
      </x:c>
    </x:row>
    <x:row r="279">
      <x:c r="A279" s="15" t="str">
        <x:v>R025klftk0 Booking.c</x:v>
      </x:c>
      <x:c r="B279" s="15" t="str">
        <x:v>Sales / customer receipts</x:v>
      </x:c>
      <x:c r="C279" s="15" t="str">
        <x:v>Medium</x:v>
      </x:c>
      <x:c r="D279" s="15" t="str">
        <x:v>Default for incoming EFT/PayShap/online receipt.</x:v>
      </x:c>
      <x:c r="E279" s="15" t="n">
        <x:v>1</x:v>
      </x:c>
      <x:c r="F279" s="15" t="str">
        <x:v>eml_ALL_currentac__512781 (2).zip &gt; eml10currentac__512781.zip / FNB _-) R27704.96 paid to Current a_c..512781 @ Retail Forex. Ref.R025klftk0 Booking.c. 21Nov 14_23.eml</x:v>
      </x:c>
    </x:row>
    <x:row r="280">
      <x:c r="A280" s="15" t="str">
        <x:v>R025kw5cs0 Booking.c</x:v>
      </x:c>
      <x:c r="B280" s="15" t="str">
        <x:v>Sales / customer receipts</x:v>
      </x:c>
      <x:c r="C280" s="15" t="str">
        <x:v>Medium</x:v>
      </x:c>
      <x:c r="D280" s="15" t="str">
        <x:v>Default for incoming EFT/PayShap/online receipt.</x:v>
      </x:c>
      <x:c r="E280" s="15" t="n">
        <x:v>1</x:v>
      </x:c>
      <x:c r="F280" s="15" t="str">
        <x:v>eml_ALL_currentac__512781 (2).zip &gt; eml10currentac__512781.zip / FNB _-) R18242.98 paid to Current a_c..512781 @ Retail Forex. Ref.R025kw5cs0 Booking.c. 14Nov 10_42.eml</x:v>
      </x:c>
    </x:row>
    <x:row r="281">
      <x:c r="A281" s="15" t="str">
        <x:v>R025mdszb0 Booking.c</x:v>
      </x:c>
      <x:c r="B281" s="15" t="str">
        <x:v>Sales / customer receipts</x:v>
      </x:c>
      <x:c r="C281" s="15" t="str">
        <x:v>Medium</x:v>
      </x:c>
      <x:c r="D281" s="15" t="str">
        <x:v>Default for incoming EFT/PayShap/online receipt.</x:v>
      </x:c>
      <x:c r="E281" s="15" t="n">
        <x:v>1</x:v>
      </x:c>
      <x:c r="F281" s="15" t="str">
        <x:v>eml_ALL_currentac__512781 (2).zip &gt; eml12currentac__512781.zip / FNB _-) R27423.36 paid to Current a_c..512781 @ Retail Forex. Ref.R025mdszb0 Booking.c. 10Oct 08_48.eml</x:v>
      </x:c>
    </x:row>
    <x:row r="282">
      <x:c r="A282" s="15" t="str">
        <x:v>R025mp0hp0 Booking.c</x:v>
      </x:c>
      <x:c r="B282" s="15" t="str">
        <x:v>Sales / customer receipts</x:v>
      </x:c>
      <x:c r="C282" s="15" t="str">
        <x:v>Medium</x:v>
      </x:c>
      <x:c r="D282" s="15" t="str">
        <x:v>Default for incoming EFT/PayShap/online receipt.</x:v>
      </x:c>
      <x:c r="E282" s="15" t="n">
        <x:v>1</x:v>
      </x:c>
      <x:c r="F282" s="15" t="str">
        <x:v>eml_ALL_currentac__512781 (2).zip &gt; eml12currentac__512781.zip / FNB _-) R32699.14 paid to Current a_c..512781 @ Retail Forex. Ref.R025mp0hp0 Booking.c.  3Oct 11_58.eml</x:v>
      </x:c>
    </x:row>
    <x:row r="283">
      <x:c r="A283" s="15" t="str">
        <x:v>R025n8vc90 Booking.c</x:v>
      </x:c>
      <x:c r="B283" s="15" t="str">
        <x:v>Sales / customer receipts</x:v>
      </x:c>
      <x:c r="C283" s="15" t="str">
        <x:v>Medium</x:v>
      </x:c>
      <x:c r="D283" s="15" t="str">
        <x:v>Default for incoming EFT/PayShap/online receipt.</x:v>
      </x:c>
      <x:c r="E283" s="15" t="n">
        <x:v>1</x:v>
      </x:c>
      <x:c r="F283" s="15" t="str">
        <x:v>eml_ALL_currentac__512781 (2).zip &gt; eml12currentac__512781.zip / FNB _-) R41435.63 paid to Current a_c..512781 @ Retail Forex. Ref.R025n8vc90 Booking.c.  3Oct 10_14.eml</x:v>
      </x:c>
    </x:row>
    <x:row r="284">
      <x:c r="A284" s="15" t="str">
        <x:v>R026qc6v20 Booking.c</x:v>
      </x:c>
      <x:c r="B284" s="15" t="str">
        <x:v>Sales / customer receipts</x:v>
      </x:c>
      <x:c r="C284" s="15" t="str">
        <x:v>Medium</x:v>
      </x:c>
      <x:c r="D284" s="15" t="str">
        <x:v>Default for incoming EFT/PayShap/online receipt.</x:v>
      </x:c>
      <x:c r="E284" s="15" t="n">
        <x:v>1</x:v>
      </x:c>
      <x:c r="F284" s="15" t="str">
        <x:v>eml_ALL_currentac__512781 (2).zip &gt; eml1currentac__512781.zip / FNB _-) R6363.32 paid to Current a_c..512781 @ Retail Forex. Ref.R026qc6v20 Booking.c. 18Jun 09_21.eml</x:v>
      </x:c>
    </x:row>
    <x:row r="285">
      <x:c r="A285" s="15" t="str">
        <x:v>R026qn5f90 Booking.c</x:v>
      </x:c>
      <x:c r="B285" s="15" t="str">
        <x:v>Sales / customer receipts</x:v>
      </x:c>
      <x:c r="C285" s="15" t="str">
        <x:v>Medium</x:v>
      </x:c>
      <x:c r="D285" s="15" t="str">
        <x:v>Default for incoming EFT/PayShap/online receipt.</x:v>
      </x:c>
      <x:c r="E285" s="15" t="n">
        <x:v>1</x:v>
      </x:c>
      <x:c r="F285" s="15" t="str">
        <x:v>eml_ALL_currentac__512781 (2).zip &gt; eml1currentac__512781.zip / FNB _-) R12141.73 paid to Current a_c..512781 @ Retail Forex. Ref.R026qn5f90 Booking.c. 11Jun 08_10.eml</x:v>
      </x:c>
    </x:row>
    <x:row r="286">
      <x:c r="A286" s="15" t="str">
        <x:v>R026qzlwv0 Booking.c</x:v>
      </x:c>
      <x:c r="B286" s="15" t="str">
        <x:v>Sales / customer receipts</x:v>
      </x:c>
      <x:c r="C286" s="15" t="str">
        <x:v>Medium</x:v>
      </x:c>
      <x:c r="D286" s="15" t="str">
        <x:v>Default for incoming EFT/PayShap/online receipt.</x:v>
      </x:c>
      <x:c r="E286" s="15" t="n">
        <x:v>1</x:v>
      </x:c>
      <x:c r="F286" s="15" t="str">
        <x:v>eml_ALL_currentac__512781 (2).zip &gt; eml1currentac__512781.zip / FNB _-) R8567.39 paid to Current a_c..512781 @ Retail Forex. Ref.R026qzlwv0 Booking.c.  4Jun 08_07.eml</x:v>
      </x:c>
    </x:row>
    <x:row r="287">
      <x:c r="A287" s="15" t="str">
        <x:v>R026rbwzx0 Booking.c</x:v>
      </x:c>
      <x:c r="B287" s="15" t="str">
        <x:v>Sales / customer receipts</x:v>
      </x:c>
      <x:c r="C287" s="15" t="str">
        <x:v>Medium</x:v>
      </x:c>
      <x:c r="D287" s="15" t="str">
        <x:v>Default for incoming EFT/PayShap/online receipt.</x:v>
      </x:c>
      <x:c r="E287" s="15" t="n">
        <x:v>1</x:v>
      </x:c>
      <x:c r="F287" s="15" t="str">
        <x:v>eml_ALL_currentac__512781 (2).zip &gt; eml1currentac__512781.zip / FNB _-) R19442.24 paid to Current a_c..512781 @ Retail Forex. Ref.R026rbwzx0 Booking.c. 28May 08_38.eml</x:v>
      </x:c>
    </x:row>
    <x:row r="288">
      <x:c r="A288" s="15" t="str">
        <x:v>R026rpg4x0 Booking.c</x:v>
      </x:c>
      <x:c r="B288" s="15" t="str">
        <x:v>Sales / customer receipts</x:v>
      </x:c>
      <x:c r="C288" s="15" t="str">
        <x:v>Medium</x:v>
      </x:c>
      <x:c r="D288" s="15" t="str">
        <x:v>Default for incoming EFT/PayShap/online receipt.</x:v>
      </x:c>
      <x:c r="E288" s="15" t="n">
        <x:v>1</x:v>
      </x:c>
      <x:c r="F288" s="15" t="str">
        <x:v>eml_ALL_currentac__512781 (2).zip &gt; eml2currentac__512781.zip / FNB _-) R28594.43 paid to Current a_c..512781 @ Retail Forex. Ref.R026rpg4x0 Booking.c. 21May 08_15.eml</x:v>
      </x:c>
    </x:row>
    <x:row r="289">
      <x:c r="A289" s="15" t="str">
        <x:v>R026rzc0k0 Booking.c</x:v>
      </x:c>
      <x:c r="B289" s="15" t="str">
        <x:v>Sales / customer receipts</x:v>
      </x:c>
      <x:c r="C289" s="15" t="str">
        <x:v>Medium</x:v>
      </x:c>
      <x:c r="D289" s="15" t="str">
        <x:v>Default for incoming EFT/PayShap/online receipt.</x:v>
      </x:c>
      <x:c r="E289" s="15" t="n">
        <x:v>1</x:v>
      </x:c>
      <x:c r="F289" s="15" t="str">
        <x:v>eml_ALL_currentac__512781 (2).zip &gt; eml2currentac__512781.zip / FNB _-) R13502.81 paid to Current a_c..512781 @ Retail Forex. Ref.R026rzc0k0 Booking.c. 15May 08_22.eml</x:v>
      </x:c>
    </x:row>
    <x:row r="290">
      <x:c r="A290" s="15" t="str">
        <x:v>R026sb0230 Booking.c</x:v>
      </x:c>
      <x:c r="B290" s="15" t="str">
        <x:v>Sales / customer receipts</x:v>
      </x:c>
      <x:c r="C290" s="15" t="str">
        <x:v>Medium</x:v>
      </x:c>
      <x:c r="D290" s="15" t="str">
        <x:v>Default for incoming EFT/PayShap/online receipt.</x:v>
      </x:c>
      <x:c r="E290" s="15" t="n">
        <x:v>1</x:v>
      </x:c>
      <x:c r="F290" s="15" t="str">
        <x:v>eml_ALL_currentac__512781 (2).zip &gt; eml2currentac__512781.zip / FNB _-) R17426.63 paid to Current a_c..512781 @ Retail Forex. Ref.R026sb0230 Booking.c.  7May 08_24.eml</x:v>
      </x:c>
    </x:row>
    <x:row r="291">
      <x:c r="A291" s="15" t="str">
        <x:v>R026snghm0 Booking.c</x:v>
      </x:c>
      <x:c r="B291" s="15" t="str">
        <x:v>Sales / customer receipts</x:v>
      </x:c>
      <x:c r="C291" s="15" t="str">
        <x:v>Medium</x:v>
      </x:c>
      <x:c r="D291" s="15" t="str">
        <x:v>Default for incoming EFT/PayShap/online receipt.</x:v>
      </x:c>
      <x:c r="E291" s="15" t="n">
        <x:v>1</x:v>
      </x:c>
      <x:c r="F291" s="15" t="str">
        <x:v>eml_ALL_currentac__512781 (2).zip &gt; eml3currentac__512781.zip / FNB _-) R15228.38 paid to Current a_c..512781 @ Retail Forex. Ref.R026snghm0 Booking.c. 30Apr 09_22.eml</x:v>
      </x:c>
    </x:row>
    <x:row r="292">
      <x:c r="A292" s="15" t="str">
        <x:v>R026t8t8r0 Booking.c</x:v>
      </x:c>
      <x:c r="B292" s="15" t="str">
        <x:v>Sales / customer receipts</x:v>
      </x:c>
      <x:c r="C292" s="15" t="str">
        <x:v>Medium</x:v>
      </x:c>
      <x:c r="D292" s="15" t="str">
        <x:v>Default for incoming EFT/PayShap/online receipt.</x:v>
      </x:c>
      <x:c r="E292" s="15" t="n">
        <x:v>1</x:v>
      </x:c>
      <x:c r="F292" s="15" t="str">
        <x:v>eml_ALL_currentac__512781 (2).zip &gt; eml3currentac__512781.zip / FNB _-) R7285.89 paid to Current a_c..512781 @ Retail Forex. Ref.R026t8t8r0 Booking.c. 23Apr 08_54.eml</x:v>
      </x:c>
    </x:row>
    <x:row r="293">
      <x:c r="A293" s="15" t="str">
        <x:v>R026tc0tx0 Booking.c</x:v>
      </x:c>
      <x:c r="B293" s="15" t="str">
        <x:v>Sales / customer receipts</x:v>
      </x:c>
      <x:c r="C293" s="15" t="str">
        <x:v>Medium</x:v>
      </x:c>
      <x:c r="D293" s="15" t="str">
        <x:v>Default for incoming EFT/PayShap/online receipt.</x:v>
      </x:c>
      <x:c r="E293" s="15" t="n">
        <x:v>1</x:v>
      </x:c>
      <x:c r="F293" s="15" t="str">
        <x:v>eml_ALL_currentac__512781 (2).zip &gt; eml3currentac__512781.zip / FNB _-) R4822.71 paid to Current a_c..512781 @ Retail Forex. Ref.R026tc0tx0 Booking.c. 16Apr 08_31.eml</x:v>
      </x:c>
    </x:row>
    <x:row r="294">
      <x:c r="A294" s="15" t="str">
        <x:v>R026tlz5b0 Johan Spr</x:v>
      </x:c>
      <x:c r="B294" s="15" t="str">
        <x:v>Sales / customer receipts</x:v>
      </x:c>
      <x:c r="C294" s="15" t="str">
        <x:v>Medium</x:v>
      </x:c>
      <x:c r="D294" s="15" t="str">
        <x:v>Default for incoming EFT/PayShap/online receipt.</x:v>
      </x:c>
      <x:c r="E294" s="15" t="n">
        <x:v>1</x:v>
      </x:c>
      <x:c r="F294" s="15" t="str">
        <x:v>eml_ALL_currentac__512781 (2).zip &gt; eml4currentac__512781.zip / FNB _-) R8865.50 paid to Current a_c..512781 @ Retail Forex. Ref.R026tlz5b0 Johan Spr. 10Apr 09_24.eml</x:v>
      </x:c>
    </x:row>
    <x:row r="295">
      <x:c r="A295" s="15" t="str">
        <x:v>R026tnsk50 Booking.c</x:v>
      </x:c>
      <x:c r="B295" s="15" t="str">
        <x:v>Sales / customer receipts</x:v>
      </x:c>
      <x:c r="C295" s="15" t="str">
        <x:v>Medium</x:v>
      </x:c>
      <x:c r="D295" s="15" t="str">
        <x:v>Default for incoming EFT/PayShap/online receipt.</x:v>
      </x:c>
      <x:c r="E295" s="15" t="n">
        <x:v>1</x:v>
      </x:c>
      <x:c r="F295" s="15" t="str">
        <x:v>eml_ALL_currentac__512781 (2).zip &gt; eml4currentac__512781.zip / FNB _-) R35316.64 paid to Current a_c..512781 @ Retail Forex. Ref.R026tnsk50 Booking.c.  9Apr 08_20.eml</x:v>
      </x:c>
    </x:row>
    <x:row r="296">
      <x:c r="A296" s="15" t="str">
        <x:v>R026txbl00 Booking.c</x:v>
      </x:c>
      <x:c r="B296" s="15" t="str">
        <x:v>Sales / customer receipts</x:v>
      </x:c>
      <x:c r="C296" s="15" t="str">
        <x:v>Medium</x:v>
      </x:c>
      <x:c r="D296" s="15" t="str">
        <x:v>Default for incoming EFT/PayShap/online receipt.</x:v>
      </x:c>
      <x:c r="E296" s="15" t="n">
        <x:v>1</x:v>
      </x:c>
      <x:c r="F296" s="15" t="str">
        <x:v>eml_ALL_currentac__512781 (2).zip &gt; eml4currentac__512781.zip / FNB _-) R24034.56 paid to Current a_c..512781 @ Retail Forex. Ref.R026txbl00 Booking.c.  2Apr 09_08.eml</x:v>
      </x:c>
    </x:row>
    <x:row r="297">
      <x:c r="A297" s="15" t="str">
        <x:v>R026v0kzq0 Booking.c</x:v>
      </x:c>
      <x:c r="B297" s="15" t="str">
        <x:v>Sales / customer receipts</x:v>
      </x:c>
      <x:c r="C297" s="15" t="str">
        <x:v>Medium</x:v>
      </x:c>
      <x:c r="D297" s="15" t="str">
        <x:v>Default for incoming EFT/PayShap/online receipt.</x:v>
      </x:c>
      <x:c r="E297" s="15" t="n">
        <x:v>1</x:v>
      </x:c>
      <x:c r="F297" s="15" t="str">
        <x:v>eml_ALL_currentac__512781 (2).zip &gt; eml4currentac__512781.zip / FNB _-) R11517.18 paid to Current a_c..512781 @ Retail Forex. Ref.R026v0kzq0 Booking.c. 26Mar 08_08.eml</x:v>
      </x:c>
    </x:row>
    <x:row r="298">
      <x:c r="A298" s="15" t="str">
        <x:v>R026vlwjc0 Booking.c</x:v>
      </x:c>
      <x:c r="B298" s="15" t="str">
        <x:v>Sales / customer receipts</x:v>
      </x:c>
      <x:c r="C298" s="15" t="str">
        <x:v>Medium</x:v>
      </x:c>
      <x:c r="D298" s="15" t="str">
        <x:v>Default for incoming EFT/PayShap/online receipt.</x:v>
      </x:c>
      <x:c r="E298" s="15" t="n">
        <x:v>1</x:v>
      </x:c>
      <x:c r="F298" s="15" t="str">
        <x:v>eml_ALL_currentac__512781 (2).zip &gt; eml4currentac__512781.zip / FNB _-) R6823.74 paid to Current a_c..512781 @ Retail Forex. Ref.R026vlwjc0 Booking.c. 19Mar 08_20.eml</x:v>
      </x:c>
    </x:row>
    <x:row r="299">
      <x:c r="A299" s="15" t="str">
        <x:v>R026vwnk80 Booking.c</x:v>
      </x:c>
      <x:c r="B299" s="15" t="str">
        <x:v>Sales / customer receipts</x:v>
      </x:c>
      <x:c r="C299" s="15" t="str">
        <x:v>Medium</x:v>
      </x:c>
      <x:c r="D299" s="15" t="str">
        <x:v>Default for incoming EFT/PayShap/online receipt.</x:v>
      </x:c>
      <x:c r="E299" s="15" t="n">
        <x:v>1</x:v>
      </x:c>
      <x:c r="F299" s="15" t="str">
        <x:v>eml_ALL_currentac__512781 (2).zip &gt; eml5currentac__512781.zip / FNB _-) R29321.53 paid to Current a_c..512781 @ Retail Forex. Ref.R026vwnk80 Booking.c. 12Mar 08_20.eml</x:v>
      </x:c>
    </x:row>
    <x:row r="300">
      <x:c r="A300" s="15" t="str">
        <x:v>R026w3r9l0 Booking.c</x:v>
      </x:c>
      <x:c r="B300" s="15" t="str">
        <x:v>Sales / customer receipts</x:v>
      </x:c>
      <x:c r="C300" s="15" t="str">
        <x:v>Medium</x:v>
      </x:c>
      <x:c r="D300" s="15" t="str">
        <x:v>Default for incoming EFT/PayShap/online receipt.</x:v>
      </x:c>
      <x:c r="E300" s="15" t="n">
        <x:v>1</x:v>
      </x:c>
      <x:c r="F300" s="15" t="str">
        <x:v>eml_ALL_currentac__512781 (2).zip &gt; eml5currentac__512781.zip / FNB _-) R15593.21 paid to Current a_c..512781 @ Retail Forex. Ref.R026w3r9l0 Booking.c.  5Mar 08_35.eml</x:v>
      </x:c>
    </x:row>
    <x:row r="301">
      <x:c r="A301" s="15" t="str">
        <x:v>R026wj48l0 Booking.c</x:v>
      </x:c>
      <x:c r="B301" s="15" t="str">
        <x:v>Sales / customer receipts</x:v>
      </x:c>
      <x:c r="C301" s="15" t="str">
        <x:v>Medium</x:v>
      </x:c>
      <x:c r="D301" s="15" t="str">
        <x:v>Default for incoming EFT/PayShap/online receipt.</x:v>
      </x:c>
      <x:c r="E301" s="15" t="n">
        <x:v>1</x:v>
      </x:c>
      <x:c r="F301" s="15" t="str">
        <x:v>eml_ALL_currentac__512781 (2).zip &gt; eml5currentac__512781.zip / FNB _-) R30949.25 paid to Current a_c..512781 @ Retail Forex. Ref.R026wj48l0 Booking.c. 27Feb 10_02.eml</x:v>
      </x:c>
    </x:row>
    <x:row r="302">
      <x:c r="A302" s="15" t="str">
        <x:v>R026wwtl60 Booking.c</x:v>
      </x:c>
      <x:c r="B302" s="15" t="str">
        <x:v>Sales / customer receipts</x:v>
      </x:c>
      <x:c r="C302" s="15" t="str">
        <x:v>Medium</x:v>
      </x:c>
      <x:c r="D302" s="15" t="str">
        <x:v>Default for incoming EFT/PayShap/online receipt.</x:v>
      </x:c>
      <x:c r="E302" s="15" t="n">
        <x:v>1</x:v>
      </x:c>
      <x:c r="F302" s="15" t="str">
        <x:v>eml_ALL_currentac__512781 (2).zip &gt; eml6currentac__512781.zip / FNB _-) R26868.57 paid to Current a_c..512781 @ Retail Forex. Ref.R026wwtl60 Booking.c. 19Feb 08_24.eml</x:v>
      </x:c>
    </x:row>
    <x:row r="303">
      <x:c r="A303" s="15" t="str">
        <x:v>R026x4wv90 Booking.c</x:v>
      </x:c>
      <x:c r="B303" s="15" t="str">
        <x:v>Sales / customer receipts</x:v>
      </x:c>
      <x:c r="C303" s="15" t="str">
        <x:v>Medium</x:v>
      </x:c>
      <x:c r="D303" s="15" t="str">
        <x:v>Default for incoming EFT/PayShap/online receipt.</x:v>
      </x:c>
      <x:c r="E303" s="15" t="n">
        <x:v>1</x:v>
      </x:c>
      <x:c r="F303" s="15" t="str">
        <x:v>eml_ALL_currentac__512781 (2).zip &gt; eml6currentac__512781.zip / FNB _-) R35459.34 paid to Current a_c..512781 @ Retail Forex. Ref.R026x4wv90 Booking.c. 12Feb 08_29.eml</x:v>
      </x:c>
    </x:row>
    <x:row r="304">
      <x:c r="A304" s="15" t="str">
        <x:v>R026xf8n60 Booking.c</x:v>
      </x:c>
      <x:c r="B304" s="15" t="str">
        <x:v>Sales / customer receipts</x:v>
      </x:c>
      <x:c r="C304" s="15" t="str">
        <x:v>Medium</x:v>
      </x:c>
      <x:c r="D304" s="15" t="str">
        <x:v>Default for incoming EFT/PayShap/online receipt.</x:v>
      </x:c>
      <x:c r="E304" s="15" t="n">
        <x:v>1</x:v>
      </x:c>
      <x:c r="F304" s="15" t="str">
        <x:v>eml_ALL_currentac__512781 (2).zip &gt; eml6currentac__512781.zip / FNB _-) R12861.68 paid to Current a_c..512781 @ Retail Forex. Ref.R026xf8n60 Booking.c.  6Feb 10_10.eml</x:v>
      </x:c>
    </x:row>
    <x:row r="305">
      <x:c r="A305" s="15" t="str">
        <x:v>R026xr9cp0 Booking.c</x:v>
      </x:c>
      <x:c r="B305" s="15" t="str">
        <x:v>Sales / customer receipts</x:v>
      </x:c>
      <x:c r="C305" s="15" t="str">
        <x:v>Medium</x:v>
      </x:c>
      <x:c r="D305" s="15" t="str">
        <x:v>Default for incoming EFT/PayShap/online receipt.</x:v>
      </x:c>
      <x:c r="E305" s="15" t="n">
        <x:v>1</x:v>
      </x:c>
      <x:c r="F305" s="15" t="str">
        <x:v>eml_ALL_currentac__512781 (2).zip &gt; eml7currentac__512781.zip / FNB _-) R11313.46 paid to Current a_c..512781 @ Retail Forex. Ref.R026xr9cp0 Booking.c. 30Jan 10_08.eml</x:v>
      </x:c>
    </x:row>
    <x:row r="306">
      <x:c r="A306" s="15" t="str">
        <x:v>R026z3l840 De Pauw D</x:v>
      </x:c>
      <x:c r="B306" s="15" t="str">
        <x:v>Sales / customer receipts</x:v>
      </x:c>
      <x:c r="C306" s="15" t="str">
        <x:v>Medium</x:v>
      </x:c>
      <x:c r="D306" s="15" t="str">
        <x:v>Default for incoming EFT/PayShap/online receipt.</x:v>
      </x:c>
      <x:c r="E306" s="15" t="n">
        <x:v>1</x:v>
      </x:c>
      <x:c r="F306" s="15" t="str">
        <x:v>eml_ALL_currentac__512781 (2).zip &gt; eml7currentac__512781.zip / FNB _-) R23287.50 paid to Current a_c..512781 @ Retail Forex. Ref.R026z3l840 De Pauw D. 21Jan 13_38.eml</x:v>
      </x:c>
    </x:row>
    <x:row r="307">
      <x:c r="A307" s="15" t="str">
        <x:v>R026z6vq90 Booking.c</x:v>
      </x:c>
      <x:c r="B307" s="15" t="str">
        <x:v>Sales / customer receipts</x:v>
      </x:c>
      <x:c r="C307" s="15" t="str">
        <x:v>Medium</x:v>
      </x:c>
      <x:c r="D307" s="15" t="str">
        <x:v>Default for incoming EFT/PayShap/online receipt.</x:v>
      </x:c>
      <x:c r="E307" s="15" t="n">
        <x:v>1</x:v>
      </x:c>
      <x:c r="F307" s="15" t="str">
        <x:v>eml_ALL_currentac__512781 (2).zip &gt; eml7currentac__512781.zip / FNB _-) R12786.76 paid to Current a_c..512781 @ Retail Forex. Ref.R026z6vq90 Booking.c. 23Jan 09_51.eml</x:v>
      </x:c>
    </x:row>
    <x:row r="308">
      <x:c r="A308" s="15" t="str">
        <x:v>R026zd2np0 Booking.c</x:v>
      </x:c>
      <x:c r="B308" s="15" t="str">
        <x:v>Sales / customer receipts</x:v>
      </x:c>
      <x:c r="C308" s="15" t="str">
        <x:v>Medium</x:v>
      </x:c>
      <x:c r="D308" s="15" t="str">
        <x:v>Default for incoming EFT/PayShap/online receipt.</x:v>
      </x:c>
      <x:c r="E308" s="15" t="n">
        <x:v>1</x:v>
      </x:c>
      <x:c r="F308" s="15" t="str">
        <x:v>eml_ALL_currentac__512781 (2).zip &gt; eml8currentac__512781.zip / FNB _-) R13006.93 paid to Current a_c..512781 @ Retail Forex. Ref.R026zd2np0 Booking.c. 16Jan 10_05.eml</x:v>
      </x:c>
    </x:row>
    <x:row r="309">
      <x:c r="A309" s="15" t="str">
        <x:v>R026zdm6s0 Booking.c</x:v>
      </x:c>
      <x:c r="B309" s="15" t="str">
        <x:v>Sales / customer receipts</x:v>
      </x:c>
      <x:c r="C309" s="15" t="str">
        <x:v>Medium</x:v>
      </x:c>
      <x:c r="D309" s="15" t="str">
        <x:v>Default for incoming EFT/PayShap/online receipt.</x:v>
      </x:c>
      <x:c r="E309" s="15" t="n">
        <x:v>1</x:v>
      </x:c>
      <x:c r="F309" s="15" t="str">
        <x:v>eml_ALL_currentac__512781 (2).zip &gt; eml8currentac__512781.zip / FNB _-) R45321.13 paid to Current a_c..512781 @ Retail Forex. Ref.R026zdm6s0 Booking.c. 16Jan 08_50.eml</x:v>
      </x:c>
    </x:row>
    <x:row r="310">
      <x:c r="A310" s="15" t="str">
        <x:v>R026znlj30 Booking.c</x:v>
      </x:c>
      <x:c r="B310" s="15" t="str">
        <x:v>Sales / customer receipts</x:v>
      </x:c>
      <x:c r="C310" s="15" t="str">
        <x:v>Medium</x:v>
      </x:c>
      <x:c r="D310" s="15" t="str">
        <x:v>Default for incoming EFT/PayShap/online receipt.</x:v>
      </x:c>
      <x:c r="E310" s="15" t="n">
        <x:v>1</x:v>
      </x:c>
      <x:c r="F310" s="15" t="str">
        <x:v>eml_ALL_currentac__512781 (2).zip &gt; eml8currentac__512781.zip / FNB _-) R33960.52 paid to Current a_c..512781 @ Retail Forex. Ref.R026znlj30 Booking.c.  9Jan 11_04.eml</x:v>
      </x:c>
    </x:row>
    <x:row r="311">
      <x:c r="A311" s="15" t="str">
        <x:v>R026zvfqh0 Booking.c</x:v>
      </x:c>
      <x:c r="B311" s="15" t="str">
        <x:v>Sales / customer receipts</x:v>
      </x:c>
      <x:c r="C311" s="15" t="str">
        <x:v>Medium</x:v>
      </x:c>
      <x:c r="D311" s="15" t="str">
        <x:v>Default for incoming EFT/PayShap/online receipt.</x:v>
      </x:c>
      <x:c r="E311" s="15" t="n">
        <x:v>1</x:v>
      </x:c>
      <x:c r="F311" s="15" t="str">
        <x:v>eml_ALL_currentac__512781 (2).zip &gt; eml8currentac__512781.zip / FNB _-) R18851.23 paid to Current a_c..512781 @ Retail Forex. Ref.R026zvfqh0 Booking.c.  5Jan 12_26.eml</x:v>
      </x:c>
    </x:row>
    <x:row r="312">
      <x:c r="A312" s="15" t="str">
        <x:v>Reeva</x:v>
      </x:c>
      <x:c r="B312" s="15" t="str">
        <x:v>Sales / customer receipts</x:v>
      </x:c>
      <x:c r="C312" s="15" t="str">
        <x:v>Medium</x:v>
      </x:c>
      <x:c r="D312" s="15" t="str">
        <x:v>Default for incoming EFT/PayShap/online receipt.</x:v>
      </x:c>
      <x:c r="E312" s="15" t="n">
        <x:v>1</x:v>
      </x:c>
      <x:c r="F312" s="15" t="str">
        <x:v>eml_ALL_currentac__512781 (2).zip &gt; eml5currentac__512781.zip / FNB _-) R1500.00 paid to Current a_c..512781 @ Smartapp. Ref.Reeva. 12Mar 13_44.eml</x:v>
      </x:c>
    </x:row>
    <x:row r="313">
      <x:c r="A313" s="15" t="str">
        <x:v>Repairs + Maintenanc</x:v>
      </x:c>
      <x:c r="B313" s="15" t="str">
        <x:v>Supplier payments</x:v>
      </x:c>
      <x:c r="C313" s="15" t="str">
        <x:v>Low</x:v>
      </x:c>
      <x:c r="D313" s="15" t="str">
        <x:v>Default outflow category; review counterparty/reference.</x:v>
      </x:c>
      <x:c r="E313" s="15" t="n">
        <x:v>1</x:v>
      </x:c>
      <x:c r="F313" s="15" t="str">
        <x:v>eml_ALL_currentac__512781 (2).zip &gt; eml7currentac__512781.zip / FNB _-) R15000.00 paid from Current a_c..512781 @ Smartapp. Ref.Repairs + Maintenanc. 26Jan 21_20.eml</x:v>
      </x:c>
    </x:row>
    <x:row r="314">
      <x:c r="A314" s="15" t="str">
        <x:v>Repay</x:v>
      </x:c>
      <x:c r="B314" s="15" t="str">
        <x:v>Supplier payments</x:v>
      </x:c>
      <x:c r="C314" s="15" t="str">
        <x:v>Low</x:v>
      </x:c>
      <x:c r="D314" s="15" t="str">
        <x:v>Default outflow category; review counterparty/reference.</x:v>
      </x:c>
      <x:c r="E314" s="15" t="n">
        <x:v>1</x:v>
      </x:c>
      <x:c r="F314" s="15" t="str">
        <x:v>eml_ALL_currentac__512781 (2).zip &gt; eml1currentac__512781.zip / FNB _-) R2000.00 paid from Current a_c..512781 @ Smartapp. Ref.Repay. 16Jun 09_14.eml</x:v>
      </x:c>
    </x:row>
    <x:row r="315">
      <x:c r="A315" s="15" t="str">
        <x:v>Repayment</x:v>
      </x:c>
      <x:c r="B315" s="15" t="str">
        <x:v>Supplier payments</x:v>
      </x:c>
      <x:c r="C315" s="15" t="str">
        <x:v>Low</x:v>
      </x:c>
      <x:c r="D315" s="15" t="str">
        <x:v>Default outflow category; review counterparty/reference.</x:v>
      </x:c>
      <x:c r="E315" s="15" t="n">
        <x:v>1</x:v>
      </x:c>
      <x:c r="F315" s="15" t="str">
        <x:v>eml_ALL_currentac__512781 (2).zip &gt; eml10currentac__512781.zip / FNB _-) R5000.00 paid from Current a_c..512781 @ Gen Ph. Ref.Repayment. 29Nov 13_49.eml</x:v>
      </x:c>
    </x:row>
    <x:row r="316">
      <x:c r="A316" s="15" t="str">
        <x:v>Rev Ag18 3884 Olif</x:v>
      </x:c>
      <x:c r="B316" s="15" t="str">
        <x:v>Sales / customer receipts</x:v>
      </x:c>
      <x:c r="C316" s="15" t="str">
        <x:v>Medium</x:v>
      </x:c>
      <x:c r="D316" s="15" t="str">
        <x:v>Default for incoming EFT/PayShap/online receipt.</x:v>
      </x:c>
      <x:c r="E316" s="15" t="n">
        <x:v>1</x:v>
      </x:c>
      <x:c r="F316" s="15" t="str">
        <x:v>eml_ALL_currentac__512781 (2).zip &gt; eml6currentac__512781.zip / FNB _-) R200.00 paid to Current a_c..512781 @ Eft. Ref.Rev Ag18 3884 Olif. 11Feb 00_00.eml</x:v>
      </x:c>
    </x:row>
    <x:row r="317">
      <x:c r="A317" s="15" t="str">
        <x:v>Riviera Cash N Carry</x:v>
      </x:c>
      <x:c r="B317" s="15" t="str">
        <x:v>Cash withdrawal</x:v>
      </x:c>
      <x:c r="C317" s="15" t="str">
        <x:v>Medium</x:v>
      </x:c>
      <x:c r="D317" s="15" t="str">
        <x:v>Cash keyword in payment reference; verify manually.</x:v>
      </x:c>
      <x:c r="E317" s="15" t="n">
        <x:v>1</x:v>
      </x:c>
      <x:c r="F317" s="15" t="str">
        <x:v>eml_ALL_currentac__512781 (2).zip &gt; eml10currentac__512781.zip / FNB _-) R369.94 reserved for purchase @ Riviera Cash N Carry from Current a_c..512781 using card..2924. 14Nov 12_12.eml</x:v>
      </x:c>
    </x:row>
    <x:row r="318">
      <x:c r="A318" s="15" t="str">
        <x:v>Royal 3380 + 3463</x:v>
      </x:c>
      <x:c r="B318" s="15" t="str">
        <x:v>Supplier payments</x:v>
      </x:c>
      <x:c r="C318" s="15" t="str">
        <x:v>Low</x:v>
      </x:c>
      <x:c r="D318" s="15" t="str">
        <x:v>Default outflow category; review counterparty/reference.</x:v>
      </x:c>
      <x:c r="E318" s="15" t="n">
        <x:v>1</x:v>
      </x:c>
      <x:c r="F318" s="15" t="str">
        <x:v>eml_ALL_currentac__512781 (2).zip &gt; eml10currentac__512781.zip / FNB _-) R26185.00 paid from Current a_c..512781 @ Smartapp. Ref.Royal 3380 + 3463. 14Nov 10_54.eml</x:v>
      </x:c>
    </x:row>
    <x:row r="319">
      <x:c r="A319" s="15" t="str">
        <x:v>Royal Bush 3380 50%</x:v>
      </x:c>
      <x:c r="B319" s="15" t="str">
        <x:v>Supplier payments</x:v>
      </x:c>
      <x:c r="C319" s="15" t="str">
        <x:v>Low</x:v>
      </x:c>
      <x:c r="D319" s="15" t="str">
        <x:v>Default outflow category; review counterparty/reference.</x:v>
      </x:c>
      <x:c r="E319" s="15" t="n">
        <x:v>1</x:v>
      </x:c>
      <x:c r="F319" s="15" t="str">
        <x:v>eml_ALL_currentac__512781 (2).zip &gt; eml10currentac__512781.zip / FNB _-) R21945.00 paid from Current a_c..512781 @ Gen Ph. Ref.Royal Bush 3380 50%. 11Nov 14_35.eml</x:v>
      </x:c>
    </x:row>
    <x:row r="320">
      <x:c r="A320" s="15" t="str">
        <x:v>Royal Bush 3597</x:v>
      </x:c>
      <x:c r="B320" s="15" t="str">
        <x:v>Supplier payments</x:v>
      </x:c>
      <x:c r="C320" s="15" t="str">
        <x:v>Low</x:v>
      </x:c>
      <x:c r="D320" s="15" t="str">
        <x:v>Default outflow category; review counterparty/reference.</x:v>
      </x:c>
      <x:c r="E320" s="15" t="n">
        <x:v>1</x:v>
      </x:c>
      <x:c r="F320" s="15" t="str">
        <x:v>eml_ALL_currentac__512781 (2).zip &gt; eml7currentac__512781.zip / FNB _-) R6472.00 paid from Current a_c..512781 @ Smartapp. Ref.Royal Bush 3597.  2Feb 15_12.eml</x:v>
      </x:c>
    </x:row>
    <x:row r="321">
      <x:c r="A321" s="15" t="str">
        <x:v>Royal Bush 3610</x:v>
      </x:c>
      <x:c r="B321" s="15" t="str">
        <x:v>Supplier payments</x:v>
      </x:c>
      <x:c r="C321" s="15" t="str">
        <x:v>Low</x:v>
      </x:c>
      <x:c r="D321" s="15" t="str">
        <x:v>Default outflow category; review counterparty/reference.</x:v>
      </x:c>
      <x:c r="E321" s="15" t="n">
        <x:v>1</x:v>
      </x:c>
      <x:c r="F321" s="15" t="str">
        <x:v>eml_ALL_currentac__512781 (2).zip &gt; eml6currentac__512781.zip / FNB _-) R3036.00 paid from Current a_c..512781 @ Smartapp. Ref.Royal Bush 3610.  9Feb 14_11.eml</x:v>
      </x:c>
    </x:row>
    <x:row r="322">
      <x:c r="A322" s="15" t="str">
        <x:v>Royal Bush 3617</x:v>
      </x:c>
      <x:c r="B322" s="15" t="str">
        <x:v>Supplier payments</x:v>
      </x:c>
      <x:c r="C322" s="15" t="str">
        <x:v>Low</x:v>
      </x:c>
      <x:c r="D322" s="15" t="str">
        <x:v>Default outflow category; review counterparty/reference.</x:v>
      </x:c>
      <x:c r="E322" s="15" t="n">
        <x:v>1</x:v>
      </x:c>
      <x:c r="F322" s="15" t="str">
        <x:v>eml_ALL_currentac__512781 (2).zip &gt; eml8currentac__512781.zip / FNB _-) R4740.00 paid from Current a_c..512781 @ Gen Ph. Ref.Royal Bush 3617.  9Jan 16_44.eml</x:v>
      </x:c>
    </x:row>
    <x:row r="323">
      <x:c r="A323" s="15" t="str">
        <x:v>Royal Bush 3751</x:v>
      </x:c>
      <x:c r="B323" s="15" t="str">
        <x:v>Supplier payments</x:v>
      </x:c>
      <x:c r="C323" s="15" t="str">
        <x:v>Low</x:v>
      </x:c>
      <x:c r="D323" s="15" t="str">
        <x:v>Default outflow category; review counterparty/reference.</x:v>
      </x:c>
      <x:c r="E323" s="15" t="n">
        <x:v>1</x:v>
      </x:c>
      <x:c r="F323" s="15" t="str">
        <x:v>eml_ALL_currentac__512781 (2).zip &gt; eml5currentac__512781.zip / FNB _-) R8480.00 paid from Current a_c..512781 @ Smartapp. Ref.Royal Bush 3751. 24Feb 11_11.eml</x:v>
      </x:c>
    </x:row>
    <x:row r="324">
      <x:c r="A324" s="15" t="str">
        <x:v>Royal Bush 3764</x:v>
      </x:c>
      <x:c r="B324" s="15" t="str">
        <x:v>Supplier payments</x:v>
      </x:c>
      <x:c r="C324" s="15" t="str">
        <x:v>Low</x:v>
      </x:c>
      <x:c r="D324" s="15" t="str">
        <x:v>Default outflow category; review counterparty/reference.</x:v>
      </x:c>
      <x:c r="E324" s="15" t="n">
        <x:v>1</x:v>
      </x:c>
      <x:c r="F324" s="15" t="str">
        <x:v>eml_ALL_currentac__512781 (2).zip &gt; eml5currentac__512781.zip / FNB _-) R4240.00 paid from Current a_c..512781 @ Smartapp. Ref.Royal Bush 3764.  6Mar 15_31.eml</x:v>
      </x:c>
    </x:row>
    <x:row r="325">
      <x:c r="A325" s="15" t="str">
        <x:v>Royal Bush 3766</x:v>
      </x:c>
      <x:c r="B325" s="15" t="str">
        <x:v>Supplier payments</x:v>
      </x:c>
      <x:c r="C325" s="15" t="str">
        <x:v>Low</x:v>
      </x:c>
      <x:c r="D325" s="15" t="str">
        <x:v>Default outflow category; review counterparty/reference.</x:v>
      </x:c>
      <x:c r="E325" s="15" t="n">
        <x:v>1</x:v>
      </x:c>
      <x:c r="F325" s="15" t="str">
        <x:v>eml_ALL_currentac__512781 (2).zip &gt; eml4currentac__512781.zip / FNB _-) R8480.00 paid from Current a_c..512781 @ Smartapp. Ref.Royal Bush 3766. 31Mar 09_29.eml</x:v>
      </x:c>
    </x:row>
    <x:row r="326">
      <x:c r="A326" s="15" t="str">
        <x:v>Royal Bush 3783</x:v>
      </x:c>
      <x:c r="B326" s="15" t="str">
        <x:v>Supplier payments</x:v>
      </x:c>
      <x:c r="C326" s="15" t="str">
        <x:v>Low</x:v>
      </x:c>
      <x:c r="D326" s="15" t="str">
        <x:v>Default outflow category; review counterparty/reference.</x:v>
      </x:c>
      <x:c r="E326" s="15" t="n">
        <x:v>1</x:v>
      </x:c>
      <x:c r="F326" s="15" t="str">
        <x:v>eml_ALL_currentac__512781 (2).zip &gt; eml4currentac__512781.zip / FNB _-) R4240.00 paid from Current a_c..512781 @ Smartapp. Ref.Royal Bush 3783.  7Apr 16_31.eml</x:v>
      </x:c>
    </x:row>
    <x:row r="327">
      <x:c r="A327" s="15" t="str">
        <x:v>Royal Bush 3798</x:v>
      </x:c>
      <x:c r="B327" s="15" t="str">
        <x:v>Supplier payments</x:v>
      </x:c>
      <x:c r="C327" s="15" t="str">
        <x:v>Low</x:v>
      </x:c>
      <x:c r="D327" s="15" t="str">
        <x:v>Default outflow category; review counterparty/reference.</x:v>
      </x:c>
      <x:c r="E327" s="15" t="n">
        <x:v>1</x:v>
      </x:c>
      <x:c r="F327" s="15" t="str">
        <x:v>eml_ALL_currentac__512781 (2).zip &gt; eml5currentac__512781.zip / FNB _-) R4240.00 paid from Current a_c..512781 @ Smartapp. Ref.Royal Bush 3798. 12Mar 16_06.eml</x:v>
      </x:c>
    </x:row>
    <x:row r="328">
      <x:c r="A328" s="15" t="str">
        <x:v>Royal Bush 3846</x:v>
      </x:c>
      <x:c r="B328" s="15" t="str">
        <x:v>Supplier payments</x:v>
      </x:c>
      <x:c r="C328" s="15" t="str">
        <x:v>Low</x:v>
      </x:c>
      <x:c r="D328" s="15" t="str">
        <x:v>Default outflow category; review counterparty/reference.</x:v>
      </x:c>
      <x:c r="E328" s="15" t="n">
        <x:v>1</x:v>
      </x:c>
      <x:c r="F328" s="15" t="str">
        <x:v>eml_ALL_currentac__512781 (2).zip &gt; eml1currentac__512781.zip / FNB _-) R2990.00 paid from Current a_c..512781 @ Smartapp. Ref.Royal Bush 3846. 19Jun 12_01.eml</x:v>
      </x:c>
    </x:row>
    <x:row r="329">
      <x:c r="A329" s="15" t="str">
        <x:v>Royal Bush 3945</x:v>
      </x:c>
      <x:c r="B329" s="15" t="str">
        <x:v>Supplier payments</x:v>
      </x:c>
      <x:c r="C329" s="15" t="str">
        <x:v>Low</x:v>
      </x:c>
      <x:c r="D329" s="15" t="str">
        <x:v>Default outflow category; review counterparty/reference.</x:v>
      </x:c>
      <x:c r="E329" s="15" t="n">
        <x:v>1</x:v>
      </x:c>
      <x:c r="F329" s="15" t="str">
        <x:v>eml_ALL_currentac__512781 (2).zip &gt; eml3currentac__512781.zip / FNB _-) R8480.00 paid from Current a_c..512781 @ Smartapp. Ref.Royal Bush 3945.  5May 10_51.eml</x:v>
      </x:c>
    </x:row>
    <x:row r="330">
      <x:c r="A330" s="15" t="str">
        <x:v>Royal Bush 3965</x:v>
      </x:c>
      <x:c r="B330" s="15" t="str">
        <x:v>Supplier payments</x:v>
      </x:c>
      <x:c r="C330" s="15" t="str">
        <x:v>Low</x:v>
      </x:c>
      <x:c r="D330" s="15" t="str">
        <x:v>Default outflow category; review counterparty/reference.</x:v>
      </x:c>
      <x:c r="E330" s="15" t="n">
        <x:v>1</x:v>
      </x:c>
      <x:c r="F330" s="15" t="str">
        <x:v>eml_ALL_currentac__512781 (2).zip &gt; eml2currentac__512781.zip / FNB _-) R7276.00 paid from Current a_c..512781 @ Smartapp. Ref.Royal Bush 3965. 27May 10_36.eml</x:v>
      </x:c>
    </x:row>
    <x:row r="331">
      <x:c r="A331" s="15" t="str">
        <x:v>Royal Bush 3979</x:v>
      </x:c>
      <x:c r="B331" s="15" t="str">
        <x:v>Supplier payments</x:v>
      </x:c>
      <x:c r="C331" s="15" t="str">
        <x:v>Low</x:v>
      </x:c>
      <x:c r="D331" s="15" t="str">
        <x:v>Default outflow category; review counterparty/reference.</x:v>
      </x:c>
      <x:c r="E331" s="15" t="n">
        <x:v>1</x:v>
      </x:c>
      <x:c r="F331" s="15" t="str">
        <x:v>eml_ALL_currentac__512781 (2).zip &gt; eml2currentac__512781.zip / FNB _-) R4240.00 paid from Current a_c..512781 @ Smartapp. Ref.Royal Bush 3979. 25May 11_48.eml</x:v>
      </x:c>
    </x:row>
    <x:row r="332">
      <x:c r="A332" s="15" t="str">
        <x:v>Royal Safari Company..309283</x:v>
      </x:c>
      <x:c r="B332" s="15" t="str">
        <x:v>Other</x:v>
      </x:c>
      <x:c r="C332" s="15" t="str">
        <x:v>Low</x:v>
      </x:c>
      <x:c r="D332" s="15" t="str">
        <x:v>Unable to map confidently.</x:v>
      </x:c>
      <x:c r="E332" s="15" t="n">
        <x:v>1</x:v>
      </x:c>
      <x:c r="F332" s="15" t="str">
        <x:v>eml_ALL_currentac__512781 (2).zip &gt; eml10currentac__512781.zip / FNB _-) Payment Link created from Current a_c..512781 To Royal Safari Company..309283 @ Smartapp. 11Nov 14_34 Call 087 575 9404  for help..eml</x:v>
      </x:c>
    </x:row>
    <x:row r="333">
      <x:c r="A333" s="15" t="str">
        <x:v>S Gamedze - Wage..334428</x:v>
      </x:c>
      <x:c r="B333" s="15" t="str">
        <x:v>Other</x:v>
      </x:c>
      <x:c r="C333" s="15" t="str">
        <x:v>Low</x:v>
      </x:c>
      <x:c r="D333" s="15" t="str">
        <x:v>Unable to map confidently.</x:v>
      </x:c>
      <x:c r="E333" s="15" t="n">
        <x:v>1</x:v>
      </x:c>
      <x:c r="F333" s="15" t="str">
        <x:v>eml_ALL_currentac__512781 (2).zip &gt; eml8currentac__512781.zip / FNB _-) Payment Link created from Current a_c..512781 To S Gamedze - Wage..334428 @ Smartapp. 16Jan 14_16 Call 087 575 9404  for help..eml</x:v>
      </x:c>
    </x:row>
    <x:row r="334">
      <x:c r="A334" s="15" t="str">
        <x:v>Salary Feb</x:v>
      </x:c>
      <x:c r="B334" s="15" t="str">
        <x:v>Salary / wages</x:v>
      </x:c>
      <x:c r="C334" s="15" t="str">
        <x:v>High</x:v>
      </x:c>
      <x:c r="D334" s="15" t="str">
        <x:v>Staff/salary/wages keyword.</x:v>
      </x:c>
      <x:c r="E334" s="15" t="n">
        <x:v>1</x:v>
      </x:c>
      <x:c r="F334" s="15" t="str">
        <x:v>eml_ALL_currentac__512781 (2).zip &gt; eml6currentac__512781.zip / FNB _-) R3000.00 paid from Current a_c..512781 @ Smartapp. Ref.Salary Feb. 13Feb 20_41.eml</x:v>
      </x:c>
    </x:row>
    <x:row r="335">
      <x:c r="A335" s="15" t="str">
        <x:v>Salary Nason Dec</x:v>
      </x:c>
      <x:c r="B335" s="15" t="str">
        <x:v>Salary / wages</x:v>
      </x:c>
      <x:c r="C335" s="15" t="str">
        <x:v>High</x:v>
      </x:c>
      <x:c r="D335" s="15" t="str">
        <x:v>Staff/salary/wages keyword.</x:v>
      </x:c>
      <x:c r="E335" s="15" t="n">
        <x:v>1</x:v>
      </x:c>
      <x:c r="F335" s="15" t="str">
        <x:v>eml_ALL_currentac__512781 (2).zip &gt; eml8currentac__512781.zip / FNB _-) R7000.00 paid from Current a_c..512781 @ Smartapp. Ref.Salary Nason Dec.  8Jan 17_46.eml</x:v>
      </x:c>
    </x:row>
    <x:row r="336">
      <x:c r="A336" s="15" t="str">
        <x:v>Salary Portion Oct</x:v>
      </x:c>
      <x:c r="B336" s="15" t="str">
        <x:v>Salary / wages</x:v>
      </x:c>
      <x:c r="C336" s="15" t="str">
        <x:v>High</x:v>
      </x:c>
      <x:c r="D336" s="15" t="str">
        <x:v>Staff/salary/wages keyword.</x:v>
      </x:c>
      <x:c r="E336" s="15" t="n">
        <x:v>1</x:v>
      </x:c>
      <x:c r="F336" s="15" t="str">
        <x:v>eml_ALL_currentac__512781 (2).zip &gt; eml10currentac__512781.zip / FNB _-) R13000.00 paid from Current a_c..512781 @ Smartapp. Ref.Salary Portion Oct. 21Nov 15_15.eml</x:v>
      </x:c>
    </x:row>
    <x:row r="337">
      <x:c r="A337" s="15" t="str">
        <x:v>Salary- Feb</x:v>
      </x:c>
      <x:c r="B337" s="15" t="str">
        <x:v>Salary / wages</x:v>
      </x:c>
      <x:c r="C337" s="15" t="str">
        <x:v>High</x:v>
      </x:c>
      <x:c r="D337" s="15" t="str">
        <x:v>Staff/salary/wages keyword.</x:v>
      </x:c>
      <x:c r="E337" s="15" t="n">
        <x:v>1</x:v>
      </x:c>
      <x:c r="F337" s="15" t="str">
        <x:v>eml_ALL_currentac__512781 (2).zip &gt; eml5currentac__512781.zip / FNB _-) R5000.00 paid from Current a_c..512781 @ Smartapp. Ref.Salary- Feb. 13Mar 03_53.eml</x:v>
      </x:c>
    </x:row>
    <x:row r="338">
      <x:c r="A338" s="15" t="str">
        <x:v>Sanparks Crocodile B</x:v>
      </x:c>
      <x:c r="B338" s="15" t="str">
        <x:v>Card spend</x:v>
      </x:c>
      <x:c r="C338" s="15" t="str">
        <x:v>Low</x:v>
      </x:c>
      <x:c r="D338" s="15" t="str">
        <x:v>Default card-spend category; merchant not confidently mapped.</x:v>
      </x:c>
      <x:c r="E338" s="15" t="n">
        <x:v>1</x:v>
      </x:c>
      <x:c r="F338" s="15" t="str">
        <x:v>eml_ALL_currentac__512781 (2).zip &gt; eml10currentac__512781.zip / FNB _-) R13332.00 reserved for purchase @ Sanparks Crocodile B from Current a_c..512781 using card..2924. 10Nov 05_37.eml</x:v>
      </x:c>
    </x:row>
    <x:row r="339">
      <x:c r="A339" s="15" t="str">
        <x:v>Screens X 5</x:v>
      </x:c>
      <x:c r="B339" s="15" t="str">
        <x:v>Supplier payments</x:v>
      </x:c>
      <x:c r="C339" s="15" t="str">
        <x:v>Low</x:v>
      </x:c>
      <x:c r="D339" s="15" t="str">
        <x:v>Default outflow category; review counterparty/reference.</x:v>
      </x:c>
      <x:c r="E339" s="15" t="n">
        <x:v>1</x:v>
      </x:c>
      <x:c r="F339" s="15" t="str">
        <x:v>eml_ALL_currentac__512781 (2).zip &gt; eml6currentac__512781.zip / FNB _-) R3525.00 paid from Current a_c..512781 @ Smartapp. Ref.Screens X 5. 19Feb 11_23.eml</x:v>
      </x:c>
    </x:row>
    <x:row r="340">
      <x:c r="A340" s="15" t="str">
        <x:v>Seaside Village Elec</x:v>
      </x:c>
      <x:c r="B340" s="15" t="str">
        <x:v>Accommodation / hotels</x:v>
      </x:c>
      <x:c r="C340" s="15" t="str">
        <x:v>Medium</x:v>
      </x:c>
      <x:c r="D340" s="15" t="str">
        <x:v>Accommodation/travel keyword.</x:v>
      </x:c>
      <x:c r="E340" s="15" t="n">
        <x:v>1</x:v>
      </x:c>
      <x:c r="F340" s="15" t="str">
        <x:v>eml_ALL_currentac__512781 (2).zip &gt; eml6currentac__512781.zip / FNB _-) R1000.00 paid from Current a_c..512781 @ Smartapp. Ref.Seaside Village Elec. 13Feb 16_23.eml</x:v>
      </x:c>
    </x:row>
    <x:row r="341">
      <x:c r="A341" s="15" t="str">
        <x:v>Send Peter Carpentor</x:v>
      </x:c>
      <x:c r="B341" s="15" t="str">
        <x:v>Supplier payments</x:v>
      </x:c>
      <x:c r="C341" s="15" t="str">
        <x:v>Low</x:v>
      </x:c>
      <x:c r="D341" s="15" t="str">
        <x:v>Default outflow category; review counterparty/reference.</x:v>
      </x:c>
      <x:c r="E341" s="15" t="n">
        <x:v>1</x:v>
      </x:c>
      <x:c r="F341" s="15" t="str">
        <x:v>eml_ALL_currentac__512781 (2).zip &gt; eml2currentac__512781.zip / FNB _-) R800.00 paid from Current a_c..512781 @ Smartapp. Ref.Send Peter Carpentor.  8May 12_09.eml</x:v>
      </x:c>
    </x:row>
    <x:row r="342">
      <x:c r="A342" s="15" t="str">
        <x:v>Send Rev</x:v>
      </x:c>
      <x:c r="B342" s="15" t="str">
        <x:v>Sales / customer receipts</x:v>
      </x:c>
      <x:c r="C342" s="15" t="str">
        <x:v>Medium</x:v>
      </x:c>
      <x:c r="D342" s="15" t="str">
        <x:v>Default for incoming EFT/PayShap/online receipt.</x:v>
      </x:c>
      <x:c r="E342" s="15" t="n">
        <x:v>1</x:v>
      </x:c>
      <x:c r="F342" s="15" t="str">
        <x:v>eml_ALL_currentac__512781 (2).zip &gt; eml2currentac__512781.zip / FNB _-) R1500.00 paid to Current a_c..512781 @ Smartapp. Ref.Send Rev. 11May 15_45.eml</x:v>
      </x:c>
    </x:row>
    <x:row r="343">
      <x:c r="A343" s="15" t="str">
        <x:v>Sf Mndlovu..646958</x:v>
      </x:c>
      <x:c r="B343" s="15" t="str">
        <x:v>Other</x:v>
      </x:c>
      <x:c r="C343" s="15" t="str">
        <x:v>Low</x:v>
      </x:c>
      <x:c r="D343" s="15" t="str">
        <x:v>Unable to map confidently.</x:v>
      </x:c>
      <x:c r="E343" s="15" t="n">
        <x:v>1</x:v>
      </x:c>
      <x:c r="F343" s="15" t="str">
        <x:v>eml_ALL_currentac__512781 (2).zip &gt; eml12currentac__512781.zip / FNB _-) Payment Link created from Current a_c..512781 To Sf Mndlovu..646958 @ Smartapp.  9Oct 11_00 Call 087 575 9404  for help..eml</x:v>
      </x:c>
    </x:row>
    <x:row r="344">
      <x:c r="A344" s="15" t="str">
        <x:v>Shell Rinsa Pty Ltd</x:v>
      </x:c>
      <x:c r="B344" s="15" t="str">
        <x:v>Fuel / transport</x:v>
      </x:c>
      <x:c r="C344" s="15" t="str">
        <x:v>High</x:v>
      </x:c>
      <x:c r="D344" s="15" t="str">
        <x:v>Fuel/transport merchant keyword.</x:v>
      </x:c>
      <x:c r="E344" s="15" t="n">
        <x:v>1</x:v>
      </x:c>
      <x:c r="F344" s="15" t="str">
        <x:v>eml_ALL_currentac__512781 (2).zip &gt; eml12currentac__512781.zip / FNB _-) R500.15 reserved for purchase @ Shell Rinsa Pty Ltd from Current a_c..512781 using card..2924. 19Sep 09_20.eml</x:v>
      </x:c>
    </x:row>
    <x:row r="345">
      <x:c r="A345" s="15" t="str">
        <x:v>Showpls Roofing</x:v>
      </x:c>
      <x:c r="B345" s="15" t="str">
        <x:v>Supplier payments</x:v>
      </x:c>
      <x:c r="C345" s="15" t="str">
        <x:v>Low</x:v>
      </x:c>
      <x:c r="D345" s="15" t="str">
        <x:v>Default outflow category; review counterparty/reference.</x:v>
      </x:c>
      <x:c r="E345" s="15" t="n">
        <x:v>1</x:v>
      </x:c>
      <x:c r="F345" s="15" t="str">
        <x:v>eml_ALL_currentac__512781 (2).zip &gt; eml6currentac__512781.zip / FNB _-) R2000.00 paid from Current a_c..512781 @ Smartapp. Ref.Showpls Roofing. 17Feb 10_29.eml</x:v>
      </x:c>
    </x:row>
    <x:row r="346">
      <x:c r="A346" s="15" t="str">
        <x:v>Sk Transfer 0194</x:v>
      </x:c>
      <x:c r="B346" s="15" t="str">
        <x:v>Supplier payments</x:v>
      </x:c>
      <x:c r="C346" s="15" t="str">
        <x:v>Low</x:v>
      </x:c>
      <x:c r="D346" s="15" t="str">
        <x:v>Default outflow category; review counterparty/reference.</x:v>
      </x:c>
      <x:c r="E346" s="15" t="n">
        <x:v>1</x:v>
      </x:c>
      <x:c r="F346" s="15" t="str">
        <x:v>eml_ALL_currentac__512781 (2).zip &gt; eml2currentac__512781.zip / FNB _-) R2200.00 paid from Current a_c..512781 @ Smartapp. Ref.Sk Transfer 0194.  7May 11_51.eml</x:v>
      </x:c>
    </x:row>
    <x:row r="347">
      <x:c r="A347" s="15" t="str">
        <x:v>Sk Transfer 0202</x:v>
      </x:c>
      <x:c r="B347" s="15" t="str">
        <x:v>Supplier payments</x:v>
      </x:c>
      <x:c r="C347" s="15" t="str">
        <x:v>Low</x:v>
      </x:c>
      <x:c r="D347" s="15" t="str">
        <x:v>Default outflow category; review counterparty/reference.</x:v>
      </x:c>
      <x:c r="E347" s="15" t="n">
        <x:v>1</x:v>
      </x:c>
      <x:c r="F347" s="15" t="str">
        <x:v>eml_ALL_currentac__512781 (2).zip &gt; eml2currentac__512781.zip / FNB _-) R2200.00 paid from Current a_c..512781 @ Smartapp. Ref.Sk Transfer 0202. 13May 09_23.eml</x:v>
      </x:c>
    </x:row>
    <x:row r="348">
      <x:c r="A348" s="15" t="str">
        <x:v>Sk Transfer 0209</x:v>
      </x:c>
      <x:c r="B348" s="15" t="str">
        <x:v>Supplier payments</x:v>
      </x:c>
      <x:c r="C348" s="15" t="str">
        <x:v>Low</x:v>
      </x:c>
      <x:c r="D348" s="15" t="str">
        <x:v>Default outflow category; review counterparty/reference.</x:v>
      </x:c>
      <x:c r="E348" s="15" t="n">
        <x:v>1</x:v>
      </x:c>
      <x:c r="F348" s="15" t="str">
        <x:v>eml_ALL_currentac__512781 (2).zip &gt; eml1currentac__512781.zip / FNB _-) R7400.00 paid from Current a_c..512781 @ Smartapp. Ref.Sk Transfer 0209.  1Jun 16_01.eml</x:v>
      </x:c>
    </x:row>
    <x:row r="349">
      <x:c r="A349" s="15" t="str">
        <x:v>Sk Transfer 0213</x:v>
      </x:c>
      <x:c r="B349" s="15" t="str">
        <x:v>Supplier payments</x:v>
      </x:c>
      <x:c r="C349" s="15" t="str">
        <x:v>Low</x:v>
      </x:c>
      <x:c r="D349" s="15" t="str">
        <x:v>Default outflow category; review counterparty/reference.</x:v>
      </x:c>
      <x:c r="E349" s="15" t="n">
        <x:v>1</x:v>
      </x:c>
      <x:c r="F349" s="15" t="str">
        <x:v>eml_ALL_currentac__512781 (2).zip &gt; eml2currentac__512781.zip / FNB _-) R8200.00 paid from Current a_c..512781 @ Smartapp. Ref.Sk Transfer 0213. 27May 10_27.eml</x:v>
      </x:c>
    </x:row>
    <x:row r="350">
      <x:c r="A350" s="15" t="str">
        <x:v>Smart Home</x:v>
      </x:c>
      <x:c r="B350" s="15" t="str">
        <x:v>Card spend</x:v>
      </x:c>
      <x:c r="C350" s="15" t="str">
        <x:v>Low</x:v>
      </x:c>
      <x:c r="D350" s="15" t="str">
        <x:v>Default card-spend category; merchant not confidently mapped.</x:v>
      </x:c>
      <x:c r="E350" s="15" t="n">
        <x:v>1</x:v>
      </x:c>
      <x:c r="F350" s="15" t="str">
        <x:v>eml_ALL_currentac__512781 (2).zip &gt; eml10currentac__512781.zip / FNB _-) R220.00 reserved for purchase @ Smart Home from Current a_c..512781 using card..2924. 14Nov 11_28.eml</x:v>
      </x:c>
    </x:row>
    <x:row r="351">
      <x:c r="A351" s="15" t="str">
        <x:v>Southern Kru 0135</x:v>
      </x:c>
      <x:c r="B351" s="15" t="str">
        <x:v>Supplier payments</x:v>
      </x:c>
      <x:c r="C351" s="15" t="str">
        <x:v>Low</x:v>
      </x:c>
      <x:c r="D351" s="15" t="str">
        <x:v>Default outflow category; review counterparty/reference.</x:v>
      </x:c>
      <x:c r="E351" s="15" t="n">
        <x:v>1</x:v>
      </x:c>
      <x:c r="F351" s="15" t="str">
        <x:v>eml_ALL_currentac__512781 (2).zip &gt; eml5currentac__512781.zip / FNB _-) R6450.00 paid from Current a_c..512781 @ Gen Ph. Ref.Southern Kru 0135. 27Feb 11_01.eml</x:v>
      </x:c>
    </x:row>
    <x:row r="352">
      <x:c r="A352" s="15" t="str">
        <x:v>Southern Kruger - Sw</x:v>
      </x:c>
      <x:c r="B352" s="15" t="str">
        <x:v>Supplier payments</x:v>
      </x:c>
      <x:c r="C352" s="15" t="str">
        <x:v>Low</x:v>
      </x:c>
      <x:c r="D352" s="15" t="str">
        <x:v>Default outflow category; review counterparty/reference.</x:v>
      </x:c>
      <x:c r="E352" s="15" t="n">
        <x:v>1</x:v>
      </x:c>
      <x:c r="F352" s="15" t="str">
        <x:v>eml_ALL_currentac__512781 (2).zip &gt; eml7currentac__512781.zip / FNB _-) R4900.00 paid from Current a_c..512781 @ Smartapp. Ref.Southern Kruger - Sw.  2Feb 10_14.eml</x:v>
      </x:c>
    </x:row>
    <x:row r="353">
      <x:c r="A353" s="15" t="str">
        <x:v>Southern Kruger Saf..698317</x:v>
      </x:c>
      <x:c r="B353" s="15" t="str">
        <x:v>Other</x:v>
      </x:c>
      <x:c r="C353" s="15" t="str">
        <x:v>Low</x:v>
      </x:c>
      <x:c r="D353" s="15" t="str">
        <x:v>Unable to map confidently.</x:v>
      </x:c>
      <x:c r="E353" s="15" t="n">
        <x:v>1</x:v>
      </x:c>
      <x:c r="F353" s="15" t="str">
        <x:v>eml_ALL_currentac__512781 (2).zip &gt; eml7currentac__512781.zip / FNB _-) Payment Link created from Current a_c..512781 To Southern Kruger Saf..698317 @ Smartapp.  2Feb 10_14 Call 087 575 9404  for help..eml</x:v>
      </x:c>
    </x:row>
    <x:row r="354">
      <x:c r="A354" s="15" t="str">
        <x:v>Southern Kruger Tran..698317</x:v>
      </x:c>
      <x:c r="B354" s="15" t="str">
        <x:v>Other</x:v>
      </x:c>
      <x:c r="C354" s="15" t="str">
        <x:v>Low</x:v>
      </x:c>
      <x:c r="D354" s="15" t="str">
        <x:v>Unable to map confidently.</x:v>
      </x:c>
      <x:c r="E354" s="15" t="n">
        <x:v>1</x:v>
      </x:c>
      <x:c r="F354" s="15" t="str">
        <x:v>eml_ALL_currentac__512781 (2).zip &gt; eml2currentac__512781.zip / FNB _-) Payment Link created from Current a_c..512781 To Southern Kruger Tran..698317 @ Smartapp.  7May 11_51 Call 087 575 9404  for help..eml</x:v>
      </x:c>
    </x:row>
    <x:row r="355">
      <x:c r="A355" s="15" t="str">
        <x:v>Spur Fern Valley</x:v>
      </x:c>
      <x:c r="B355" s="15" t="str">
        <x:v>Card spend</x:v>
      </x:c>
      <x:c r="C355" s="15" t="str">
        <x:v>Low</x:v>
      </x:c>
      <x:c r="D355" s="15" t="str">
        <x:v>Default card-spend category; merchant not confidently mapped.</x:v>
      </x:c>
      <x:c r="E355" s="15" t="n">
        <x:v>1</x:v>
      </x:c>
      <x:c r="F355" s="15" t="str">
        <x:v>eml_ALL_currentac__512781 (2).zip &gt; eml7currentac__512781.zip / FNB _-) R490.00 reserved for purchase @ Spur Fern Valley from Current a_c..512781 using card..2924. 20Jan 20_34.eml</x:v>
      </x:c>
    </x:row>
    <x:row r="356">
      <x:c r="A356" s="15" t="str">
        <x:v>Sqsp* Domain</x:v>
      </x:c>
      <x:c r="B356" s="15" t="str">
        <x:v>Software / subscriptions</x:v>
      </x:c>
      <x:c r="C356" s="15" t="str">
        <x:v>High</x:v>
      </x:c>
      <x:c r="D356" s="15" t="str">
        <x:v>Software/subscription keyword.</x:v>
      </x:c>
      <x:c r="E356" s="15" t="n">
        <x:v>1</x:v>
      </x:c>
      <x:c r="F356" s="15" t="str">
        <x:v>eml_ALL_currentac__512781 (2).zip &gt; eml7currentac__512781.zip / FNB _-) R419.34 reserved for purchase @ Sqsp_ Domain from Current a_c..512781 using card..2924.  1Feb 19_40.eml</x:v>
      </x:c>
    </x:row>
    <x:row r="357">
      <x:c r="A357" s="15" t="str">
        <x:v>Staff Loan</x:v>
      </x:c>
      <x:c r="B357" s="15" t="str">
        <x:v>Salary / wages</x:v>
      </x:c>
      <x:c r="C357" s="15" t="str">
        <x:v>High</x:v>
      </x:c>
      <x:c r="D357" s="15" t="str">
        <x:v>Staff/salary/wages keyword.</x:v>
      </x:c>
      <x:c r="E357" s="15" t="n">
        <x:v>1</x:v>
      </x:c>
      <x:c r="F357" s="15" t="str">
        <x:v>eml_ALL_currentac__512781 (2).zip &gt; eml2currentac__512781.zip / FNB _-) R1000.00 paid from Current a_c..512781 @ Smartapp. Ref.Staff Loan. 20May 16_22.eml</x:v>
      </x:c>
    </x:row>
    <x:row r="358">
      <x:c r="A358" s="15" t="str">
        <x:v>Staff Nason</x:v>
      </x:c>
      <x:c r="B358" s="15" t="str">
        <x:v>Salary / wages</x:v>
      </x:c>
      <x:c r="C358" s="15" t="str">
        <x:v>High</x:v>
      </x:c>
      <x:c r="D358" s="15" t="str">
        <x:v>Staff/salary/wages keyword.</x:v>
      </x:c>
      <x:c r="E358" s="15" t="n">
        <x:v>1</x:v>
      </x:c>
      <x:c r="F358" s="15" t="str">
        <x:v>eml_ALL_currentac__512781 (2).zip &gt; eml8currentac__512781.zip / FNB _-) R5000.00 paid from Current a_c..512781 @ Smartapp. Ref.Staff Nason.  3Jan 17_47.eml</x:v>
      </x:c>
    </x:row>
    <x:row r="359">
      <x:c r="A359" s="15" t="str">
        <x:v>Staff Tips</x:v>
      </x:c>
      <x:c r="B359" s="15" t="str">
        <x:v>Salary / wages</x:v>
      </x:c>
      <x:c r="C359" s="15" t="str">
        <x:v>High</x:v>
      </x:c>
      <x:c r="D359" s="15" t="str">
        <x:v>Staff/salary/wages keyword.</x:v>
      </x:c>
      <x:c r="E359" s="15" t="n">
        <x:v>1</x:v>
      </x:c>
      <x:c r="F359" s="15" t="str">
        <x:v>eml_ALL_currentac__512781 (2).zip &gt; eml7currentac__512781.zip / FNB _-) R4000.00 paid from Current a_c..512781 @ Gen Ph. Ref.Staff Tips. 25Jan 00_53.eml</x:v>
      </x:c>
    </x:row>
    <x:row r="360">
      <x:c r="A360" s="15" t="str">
        <x:v>Staff Tips For Dec</x:v>
      </x:c>
      <x:c r="B360" s="15" t="str">
        <x:v>Salary / wages</x:v>
      </x:c>
      <x:c r="C360" s="15" t="str">
        <x:v>High</x:v>
      </x:c>
      <x:c r="D360" s="15" t="str">
        <x:v>Staff/salary/wages keyword.</x:v>
      </x:c>
      <x:c r="E360" s="15" t="n">
        <x:v>1</x:v>
      </x:c>
      <x:c r="F360" s="15" t="str">
        <x:v>eml_ALL_currentac__512781 (2).zip &gt; eml7currentac__512781.zip / FNB _-) R4000.00 paid from Current a_c..512781 @ Gen Ph. Ref.Staff Tips For Dec. 24Jan 22_14.eml</x:v>
      </x:c>
    </x:row>
    <x:row r="361">
      <x:c r="A361" s="15" t="str">
        <x:v>Staff Tips For Oct</x:v>
      </x:c>
      <x:c r="B361" s="15" t="str">
        <x:v>Salary / wages</x:v>
      </x:c>
      <x:c r="C361" s="15" t="str">
        <x:v>High</x:v>
      </x:c>
      <x:c r="D361" s="15" t="str">
        <x:v>Staff/salary/wages keyword.</x:v>
      </x:c>
      <x:c r="E361" s="15" t="n">
        <x:v>1</x:v>
      </x:c>
      <x:c r="F361" s="15" t="str">
        <x:v>eml_ALL_currentac__512781 (2).zip &gt; eml10currentac__512781.zip / FNB _-) R4000.00 paid from Current a_c..512781 @ Gen Ph. Ref.Staff Tips For Oct. 30Nov 02_07.eml</x:v>
      </x:c>
    </x:row>
    <x:row r="362">
      <x:c r="A362" s="15" t="str">
        <x:v>Staff Tips For Sept</x:v>
      </x:c>
      <x:c r="B362" s="15" t="str">
        <x:v>Salary / wages</x:v>
      </x:c>
      <x:c r="C362" s="15" t="str">
        <x:v>High</x:v>
      </x:c>
      <x:c r="D362" s="15" t="str">
        <x:v>Staff/salary/wages keyword.</x:v>
      </x:c>
      <x:c r="E362" s="15" t="n">
        <x:v>1</x:v>
      </x:c>
      <x:c r="F362" s="15" t="str">
        <x:v>eml_ALL_currentac__512781 (2).zip &gt; eml10currentac__512781.zip / FNB _-) R5000.00 paid from Current a_c..512781 @ Gen Ph. Ref.Staff Tips For Sept. 30Nov 00_12.eml</x:v>
      </x:c>
    </x:row>
    <x:row r="363">
      <x:c r="A363" s="15" t="str">
        <x:v>Staff Tips Jan</x:v>
      </x:c>
      <x:c r="B363" s="15" t="str">
        <x:v>Salary / wages</x:v>
      </x:c>
      <x:c r="C363" s="15" t="str">
        <x:v>High</x:v>
      </x:c>
      <x:c r="D363" s="15" t="str">
        <x:v>Staff/salary/wages keyword.</x:v>
      </x:c>
      <x:c r="E363" s="15" t="n">
        <x:v>1</x:v>
      </x:c>
      <x:c r="F363" s="15" t="str">
        <x:v>eml_ALL_currentac__512781 (2).zip &gt; eml7currentac__512781.zip / FNB _-) R5250.00 paid from Current a_c..512781 @ Gen Ph. Ref.Staff Tips Jan. 25Jan 00_25.eml</x:v>
      </x:c>
    </x:row>
    <x:row r="364">
      <x:c r="A364" s="15" t="str">
        <x:v>Staff Wage - Feb</x:v>
      </x:c>
      <x:c r="B364" s="15" t="str">
        <x:v>Salary / wages</x:v>
      </x:c>
      <x:c r="C364" s="15" t="str">
        <x:v>High</x:v>
      </x:c>
      <x:c r="D364" s="15" t="str">
        <x:v>Staff/salary/wages keyword.</x:v>
      </x:c>
      <x:c r="E364" s="15" t="n">
        <x:v>1</x:v>
      </x:c>
      <x:c r="F364" s="15" t="str">
        <x:v>eml_ALL_currentac__512781 (2).zip &gt; eml5currentac__512781.zip / FNB _-) R14500.00 paid from Current a_c..512781 @ Smartapp. Ref.Staff Wage - Feb. 27Feb 16_02.eml</x:v>
      </x:c>
    </x:row>
    <x:row r="365">
      <x:c r="A365" s="15" t="str">
        <x:v>Stratton Property Ma..072310</x:v>
      </x:c>
      <x:c r="B365" s="15" t="str">
        <x:v>Other</x:v>
      </x:c>
      <x:c r="C365" s="15" t="str">
        <x:v>Low</x:v>
      </x:c>
      <x:c r="D365" s="15" t="str">
        <x:v>Unable to map confidently.</x:v>
      </x:c>
      <x:c r="E365" s="15" t="n">
        <x:v>1</x:v>
      </x:c>
      <x:c r="F365" s="15" t="str">
        <x:v>eml_ALL_currentac__512781 (2).zip &gt; eml7currentac__512781.zip / FNB _-) Payment Link created from Current a_c..512781 To Stratton Property Ma..072310 @ Smartapp. 23Jan 15_54 Call 087 575 9404  for help..eml</x:v>
      </x:c>
    </x:row>
    <x:row r="366">
      <x:c r="A366" s="15" t="str">
        <x:v>T F Venter..191794</x:v>
      </x:c>
      <x:c r="B366" s="15" t="str">
        <x:v>Other</x:v>
      </x:c>
      <x:c r="C366" s="15" t="str">
        <x:v>Low</x:v>
      </x:c>
      <x:c r="D366" s="15" t="str">
        <x:v>Unable to map confidently.</x:v>
      </x:c>
      <x:c r="E366" s="15" t="n">
        <x:v>1</x:v>
      </x:c>
      <x:c r="F366" s="15" t="str">
        <x:v>eml_ALL_currentac__512781 (2).zip &gt; eml12currentac__512781.zip / FNB _-) Payment Link created from Current a_c..512781 To T F Venter..191794 @ Smartapp. 19Sep 13_06 Call 087 575 9404  for help..eml</x:v>
      </x:c>
    </x:row>
    <x:row r="367">
      <x:c r="A367" s="15" t="str">
        <x:v>The Water Well Bu136</x:v>
      </x:c>
      <x:c r="B367" s="15" t="str">
        <x:v>Card spend</x:v>
      </x:c>
      <x:c r="C367" s="15" t="str">
        <x:v>Low</x:v>
      </x:c>
      <x:c r="D367" s="15" t="str">
        <x:v>Default card-spend category; merchant not confidently mapped.</x:v>
      </x:c>
      <x:c r="E367" s="15" t="n">
        <x:v>1</x:v>
      </x:c>
      <x:c r="F367" s="15" t="str">
        <x:v>eml_ALL_currentac__512781 (2).zip &gt; eml7currentac__512781.zip / FNB _-) R435.00 reserved for purchase @ The Water Well Bu136 from Current a_c..512781 using card..2924. 19Jan 14_57.eml</x:v>
      </x:c>
    </x:row>
    <x:row r="368">
      <x:c r="A368" s="15" t="str">
        <x:v>Vacation</x:v>
      </x:c>
      <x:c r="B368" s="15" t="str">
        <x:v>Supplier payments</x:v>
      </x:c>
      <x:c r="C368" s="15" t="str">
        <x:v>Low</x:v>
      </x:c>
      <x:c r="D368" s="15" t="str">
        <x:v>Default outflow category; review counterparty/reference.</x:v>
      </x:c>
      <x:c r="E368" s="15" t="n">
        <x:v>1</x:v>
      </x:c>
      <x:c r="F368" s="15" t="str">
        <x:v>eml_ALL_currentac__512781 (2).zip &gt; eml8currentac__512781.zip / FNB _-) R3000.00 paid from Current a_c..512781 @ Smartapp. Ref.Vacation. 26Dec 17_29.eml</x:v>
      </x:c>
    </x:row>
    <x:row r="369">
      <x:c r="A369" s="15" t="str">
        <x:v>Wage</x:v>
      </x:c>
      <x:c r="B369" s="15" t="str">
        <x:v>Salary / wages</x:v>
      </x:c>
      <x:c r="C369" s="15" t="str">
        <x:v>High</x:v>
      </x:c>
      <x:c r="D369" s="15" t="str">
        <x:v>Staff/salary/wages keyword.</x:v>
      </x:c>
      <x:c r="E369" s="15" t="n">
        <x:v>1</x:v>
      </x:c>
      <x:c r="F369" s="15" t="str">
        <x:v>eml_ALL_currentac__512781 (2).zip &gt; eml8currentac__512781.zip / FNB _-) R6500.00 paid from Current a_c..512781 @ Gen Ph. Ref.Wage. 16Jan 15_25.eml</x:v>
      </x:c>
    </x:row>
    <x:row r="370">
      <x:c r="A370" s="15" t="str">
        <x:v>Wage - Jan 2026</x:v>
      </x:c>
      <x:c r="B370" s="15" t="str">
        <x:v>Salary / wages</x:v>
      </x:c>
      <x:c r="C370" s="15" t="str">
        <x:v>High</x:v>
      </x:c>
      <x:c r="D370" s="15" t="str">
        <x:v>Staff/salary/wages keyword.</x:v>
      </x:c>
      <x:c r="E370" s="15" t="n">
        <x:v>1</x:v>
      </x:c>
      <x:c r="F370" s="15" t="str">
        <x:v>eml_ALL_currentac__512781 (2).zip &gt; eml7currentac__512781.zip / FNB _-) R12000.00 paid from Current a_c..512781 @ Smartapp. Ref.Wage - Jan 2026. 31Jan 13_23.eml</x:v>
      </x:c>
    </x:row>
    <x:row r="371">
      <x:c r="A371" s="15" t="str">
        <x:v>Wage Jan</x:v>
      </x:c>
      <x:c r="B371" s="15" t="str">
        <x:v>Salary / wages</x:v>
      </x:c>
      <x:c r="C371" s="15" t="str">
        <x:v>High</x:v>
      </x:c>
      <x:c r="D371" s="15" t="str">
        <x:v>Staff/salary/wages keyword.</x:v>
      </x:c>
      <x:c r="E371" s="15" t="n">
        <x:v>1</x:v>
      </x:c>
      <x:c r="F371" s="15" t="str">
        <x:v>eml_ALL_currentac__512781 (2).zip &gt; eml7currentac__512781.zip / FNB _-) R15000.00 paid from Current a_c..512781 @ Smartapp. Ref.Wage Jan. 31Jan 13_22.eml</x:v>
      </x:c>
    </x:row>
    <x:row r="372">
      <x:c r="A372" s="15" t="str">
        <x:v>Warner</x:v>
      </x:c>
      <x:c r="B372" s="15" t="str">
        <x:v>Sales / customer receipts</x:v>
      </x:c>
      <x:c r="C372" s="15" t="str">
        <x:v>Medium</x:v>
      </x:c>
      <x:c r="D372" s="15" t="str">
        <x:v>Default for incoming EFT/PayShap/online receipt.</x:v>
      </x:c>
      <x:c r="E372" s="15" t="n">
        <x:v>1</x:v>
      </x:c>
      <x:c r="F372" s="15" t="str">
        <x:v>eml_ALL_currentac__512781 (2).zip &gt; eml7currentac__512781.zip / FNB _-) R257.18 paid to Current a_c..512781 @ Payshap. Ref.Warner.  2Feb 15_02.eml</x:v>
      </x:c>
    </x:row>
    <x:row r="373">
      <x:c r="A373" s="15" t="str">
        <x:v>Waterkloof Gas 10266</x:v>
      </x:c>
      <x:c r="B373" s="15" t="str">
        <x:v>Supplier payments</x:v>
      </x:c>
      <x:c r="C373" s="15" t="str">
        <x:v>Low</x:v>
      </x:c>
      <x:c r="D373" s="15" t="str">
        <x:v>Default outflow category; review counterparty/reference.</x:v>
      </x:c>
      <x:c r="E373" s="15" t="n">
        <x:v>1</x:v>
      </x:c>
      <x:c r="F373" s="15" t="str">
        <x:v>eml_ALL_currentac__512781 (2).zip &gt; eml8currentac__512781.zip / FNB _-) R1273.00 paid from Current a_c..512781 @ Smartapp. Ref.Waterkloof Gas 10266. 27Dec 15_33.eml</x:v>
      </x:c>
    </x:row>
    <x:row r="374">
      <x:c r="A374" s="15" t="str">
        <x:v>Waterkloof Gas 10355</x:v>
      </x:c>
      <x:c r="B374" s="15" t="str">
        <x:v>Supplier payments</x:v>
      </x:c>
      <x:c r="C374" s="15" t="str">
        <x:v>Low</x:v>
      </x:c>
      <x:c r="D374" s="15" t="str">
        <x:v>Default outflow category; review counterparty/reference.</x:v>
      </x:c>
      <x:c r="E374" s="15" t="n">
        <x:v>1</x:v>
      </x:c>
      <x:c r="F374" s="15" t="str">
        <x:v>eml_ALL_currentac__512781 (2).zip &gt; eml8currentac__512781.zip / FNB _-) R325.00 paid from Current a_c..512781 @ Smartapp. Ref.Waterkloof Gas 10355.  5Jan 09_19.eml</x:v>
      </x:c>
    </x:row>
    <x:row r="375">
      <x:c r="A375" s="15" t="str">
        <x:v>Waterkloof Gas 11080</x:v>
      </x:c>
      <x:c r="B375" s="15" t="str">
        <x:v>Supplier payments</x:v>
      </x:c>
      <x:c r="C375" s="15" t="str">
        <x:v>Low</x:v>
      </x:c>
      <x:c r="D375" s="15" t="str">
        <x:v>Default outflow category; review counterparty/reference.</x:v>
      </x:c>
      <x:c r="E375" s="15" t="n">
        <x:v>1</x:v>
      </x:c>
      <x:c r="F375" s="15" t="str">
        <x:v>eml_ALL_currentac__512781 (2).zip &gt; eml4currentac__512781.zip / FNB _-) R1565.00 paid from Current a_c..512781 @ Smartapp. Ref.Waterkloof Gas 11080. 25Mar 11_24.eml</x:v>
      </x:c>
    </x:row>
    <x:row r="376">
      <x:c r="A376" s="15" t="str">
        <x:v>Waterkloof Gas 9632</x:v>
      </x:c>
      <x:c r="B376" s="15" t="str">
        <x:v>Supplier payments</x:v>
      </x:c>
      <x:c r="C376" s="15" t="str">
        <x:v>Low</x:v>
      </x:c>
      <x:c r="D376" s="15" t="str">
        <x:v>Default outflow category; review counterparty/reference.</x:v>
      </x:c>
      <x:c r="E376" s="15" t="n">
        <x:v>1</x:v>
      </x:c>
      <x:c r="F376" s="15" t="str">
        <x:v>eml_ALL_currentac__512781 (2).zip &gt; eml10currentac__512781.zip / FNB _-) R1258.00 paid from Current a_c..512781 @ Smartapp. Ref.Waterkloof Gas 9632. 11Nov 11_06.eml</x:v>
      </x:c>
    </x:row>
    <x:row r="377">
      <x:c r="A377" s="15" t="str">
        <x:v>Waterkloof Gas..850097</x:v>
      </x:c>
      <x:c r="B377" s="15" t="str">
        <x:v>Other</x:v>
      </x:c>
      <x:c r="C377" s="15" t="str">
        <x:v>Low</x:v>
      </x:c>
      <x:c r="D377" s="15" t="str">
        <x:v>Unable to map confidently.</x:v>
      </x:c>
      <x:c r="E377" s="15" t="n">
        <x:v>1</x:v>
      </x:c>
      <x:c r="F377" s="15" t="str">
        <x:v>eml_ALL_currentac__512781 (2).zip &gt; eml10currentac__512781.zip / FNB _-) Payment Link created from Current a_c..512781 To Waterkloof Gas..850097 @ Smartapp. 11Nov 11_05 Call 087 575 9404  for help..eml</x:v>
      </x:c>
    </x:row>
    <x:row r="378">
      <x:c r="A378" s="15" t="str">
        <x:v>Waterkloofgas 236</x:v>
      </x:c>
      <x:c r="B378" s="15" t="str">
        <x:v>Card spend</x:v>
      </x:c>
      <x:c r="C378" s="15" t="str">
        <x:v>Low</x:v>
      </x:c>
      <x:c r="D378" s="15" t="str">
        <x:v>Default card-spend category; merchant not confidently mapped.</x:v>
      </x:c>
      <x:c r="E378" s="15" t="n">
        <x:v>1</x:v>
      </x:c>
      <x:c r="F378" s="15" t="str">
        <x:v>eml_ALL_currentac__512781 (2).zip &gt; eml10currentac__512781.zip / FNB _-) R321.00 reserved for purchase @ Waterkloofgas 236 from Current a_c..512781 using card..2924. 26Nov 12_13.eml</x:v>
      </x:c>
    </x:row>
    <x:row r="379">
      <x:c r="A379" s="15" t="str">
        <x:v>Yoco *locksmart Pt</x:v>
      </x:c>
      <x:c r="B379" s="15" t="str">
        <x:v>Card spend</x:v>
      </x:c>
      <x:c r="C379" s="15" t="str">
        <x:v>Low</x:v>
      </x:c>
      <x:c r="D379" s="15" t="str">
        <x:v>Default card-spend category; merchant not confidently mapped.</x:v>
      </x:c>
      <x:c r="E379" s="15" t="n">
        <x:v>1</x:v>
      </x:c>
      <x:c r="F379" s="15" t="str">
        <x:v>eml_ALL_currentac__512781 (2).zip &gt; eml3currentac__512781.zip / FNB _-) R125.00 reserved for purchase @ Yoco _locksmart Pt from Current a_c..512781 using card..2924. 28Apr 14_29.eml</x:v>
      </x:c>
    </x:row>
  </x:sheetData>
  <x:pageMargins left="0.7" right="0.7" top="0.75" bottom="0.75" header="0.3" footer="0.3"/>
  <x:tableParts count="1">
    <x:tablePart xmlns:r="http://schemas.openxmlformats.org/officeDocument/2006/relationships" r:id="R4e7f421c5861416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8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29" t="str">
        <x:v>Exception type</x:v>
      </x:c>
      <x:c r="B1" s="29" t="str">
        <x:v>Transaction date/time</x:v>
      </x:c>
      <x:c r="C1" s="29" t="str">
        <x:v>Amount</x:v>
      </x:c>
      <x:c r="D1" s="29" t="str">
        <x:v>Counterparty / merchant / payer / payee</x:v>
      </x:c>
      <x:c r="E1" s="29" t="str">
        <x:v>Issue / reason</x:v>
      </x:c>
      <x:c r="F1" s="29" t="str">
        <x:v>Action / notes</x:v>
      </x:c>
      <x:c r="G1" s="29" t="str">
        <x:v>Source ZIP file</x:v>
      </x:c>
      <x:c r="H1" s="29" t="str">
        <x:v>Source .eml file</x:v>
      </x:c>
      <x:c r="I1" s="29" t="str">
        <x:v>Related source</x:v>
      </x:c>
    </x:row>
    <x:row r="2">
      <x:c r="A2" s="15" t="str">
        <x:v>Duplicate notification removed</x:v>
      </x:c>
      <x:c r="B2" s="34" t="n">
        <x:v>46147.635416666664</x:v>
      </x:c>
      <x:c r="C2" s="38" t="n">
        <x:v>475.72</x:v>
      </x:c>
      <x:c r="D2" s="15" t="str">
        <x:v>Marlothi Petrol Stat</x:v>
      </x:c>
      <x:c r="E2" s="15" t="str">
        <x:v>Exact duplicate notification text.</x:v>
      </x:c>
      <x:c r="F2" s="15" t="str">
        <x:v>Exact duplicate notification text; excluded from transaction totals.</x:v>
      </x:c>
      <x:c r="G2" s="15" t="str">
        <x:v>eml_ALL_currentac__512781 (2).zip &gt; eml3currentac__512781.zip</x:v>
      </x:c>
      <x:c r="H2" s="15" t="str">
        <x:v>FNB _-) R475.72 reserved for purchase @ Marlothi Petrol Stat from Current a_c..512781 using card..2924.  5May 15_15.eml</x:v>
      </x:c>
      <x:c r="I2" s="15" t="str">
        <x:v>eml_ALL_currentac__512781 (2).zip &gt; eml2currentac__512781.zip / FNB _-) R475.72 reserved for purchase @ Marlothi Petrol Stat from Current a_c..512781 using card..2924.  5May 15_15.eml</x:v>
      </x:c>
    </x:row>
    <x:row r="3">
      <x:c r="A3" s="15" t="str">
        <x:v>Duplicate notification removed</x:v>
      </x:c>
      <x:c r="B3" s="34" t="n">
        <x:v>46123.513194444444</x:v>
      </x:c>
      <x:c r="C3" s="38" t="n">
        <x:v>200</x:v>
      </x:c>
      <x:c r="D3" s="15" t="str">
        <x:v>Ae Komatipoort</x:v>
      </x:c>
      <x:c r="E3" s="15" t="str">
        <x:v>Exact duplicate notification text.</x:v>
      </x:c>
      <x:c r="F3" s="15" t="str">
        <x:v>Exact duplicate notification text; excluded from transaction totals.</x:v>
      </x:c>
      <x:c r="G3" s="15" t="str">
        <x:v>eml_ALL_currentac__512781 (2).zip &gt; eml4currentac__512781.zip</x:v>
      </x:c>
      <x:c r="H3" s="15" t="str">
        <x:v>FNB _-) R200.00 reserved for purchase @ Ae Komatipoort from Current a_c..512781 using card..2924. 11Apr 12_19.eml</x:v>
      </x:c>
      <x:c r="I3" s="15" t="str">
        <x:v>eml_ALL_currentac__512781 (2).zip &gt; eml3currentac__512781.zip / FNB _-) R200.00 reserved for purchase @ Ae Komatipoort from Current a_c..512781 using card..2924. 11Apr 12_19.eml</x:v>
      </x:c>
    </x:row>
    <x:row r="4">
      <x:c r="A4" s="15" t="str">
        <x:v>Duplicate notification removed</x:v>
      </x:c>
      <x:c r="B4" s="34" t="n">
        <x:v>46100.45138888889</x:v>
      </x:c>
      <x:c r="C4" s="38" t="n">
        <x:v>1069.68</x:v>
      </x:c>
      <x:c r="D4" s="15" t="str">
        <x:v>Superspar Komatipoor</x:v>
      </x:c>
      <x:c r="E4" s="15" t="str">
        <x:v>Exact duplicate notification text.</x:v>
      </x:c>
      <x:c r="F4" s="15" t="str">
        <x:v>Exact duplicate notification text; excluded from transaction totals.</x:v>
      </x:c>
      <x:c r="G4" s="15" t="str">
        <x:v>eml_ALL_currentac__512781 (2).zip &gt; eml5currentac__512781 (2).zip</x:v>
      </x:c>
      <x:c r="H4" s="15" t="str">
        <x:v>FNB _-) R1069.68 reserved for purchase @ Superspar Komatipoor from Current a_c..512781 using card..2924. 19Mar 10_50.eml</x:v>
      </x:c>
      <x:c r="I4" s="15" t="str">
        <x:v>eml_ALL_currentac__512781 (2).zip &gt; eml4currentac__512781.zip / FNB _-) R1069.68 reserved for purchase @ Superspar Komatipoor from Current a_c..512781 using card..2924. 19Mar 10_50.eml</x:v>
      </x:c>
    </x:row>
    <x:row r="5">
      <x:c r="A5" s="15" t="str">
        <x:v>Duplicate notification removed</x:v>
      </x:c>
      <x:c r="B5" s="34" t="n">
        <x:v>46100.34722222222</x:v>
      </x:c>
      <x:c r="C5" s="38" t="n">
        <x:v>6823.74</x:v>
      </x:c>
      <x:c r="D5" s="15" t="str">
        <x:v>R026vlwjc0 Booking.c</x:v>
      </x:c>
      <x:c r="E5" s="15" t="str">
        <x:v>Exact duplicate notification text.</x:v>
      </x:c>
      <x:c r="F5" s="15" t="str">
        <x:v>Exact duplicate notification text; excluded from transaction totals.</x:v>
      </x:c>
      <x:c r="G5" s="15" t="str">
        <x:v>eml_ALL_currentac__512781 (2).zip &gt; eml5currentac__512781 (2).zip</x:v>
      </x:c>
      <x:c r="H5" s="15" t="str">
        <x:v>FNB _-) R6823.74 paid to Current a_c..512781 @ Retail Forex. Ref.R026vlwjc0 Booking.c. 19Mar 08_20.eml</x:v>
      </x:c>
      <x:c r="I5" s="15" t="str">
        <x:v>eml_ALL_currentac__512781 (2).zip &gt; eml4currentac__512781.zip / FNB _-) R6823.74 paid to Current a_c..512781 @ Retail Forex. Ref.R026vlwjc0 Booking.c. 19Mar 08_20.eml</x:v>
      </x:c>
    </x:row>
    <x:row r="6">
      <x:c r="A6" s="15" t="str">
        <x:v>Duplicate notification removed</x:v>
      </x:c>
      <x:c r="B6" s="34" t="n">
        <x:v>46099.79236111111</x:v>
      </x:c>
      <x:c r="C6" s="38" t="n">
        <x:v>1292</x:v>
      </x:c>
      <x:c r="D6" s="15" t="str">
        <x:v>Cf Moto Saf - Inv 2</x:v>
      </x:c>
      <x:c r="E6" s="15" t="str">
        <x:v>Exact duplicate notification text.</x:v>
      </x:c>
      <x:c r="F6" s="15" t="str">
        <x:v>Exact duplicate notification text; excluded from transaction totals.</x:v>
      </x:c>
      <x:c r="G6" s="15" t="str">
        <x:v>eml_ALL_currentac__512781 (2).zip &gt; eml5currentac__512781 (2).zip</x:v>
      </x:c>
      <x:c r="H6" s="15" t="str">
        <x:v>FNB _-) R1292.00 paid from Current a_c..512781 @ Smartapp. Ref.Cf Moto Saf - Inv 2. 18Mar 19_01.eml</x:v>
      </x:c>
      <x:c r="I6" s="15" t="str">
        <x:v>eml_ALL_currentac__512781 (2).zip &gt; eml4currentac__512781.zip / FNB _-) R1292.00 paid from Current a_c..512781 @ Smartapp. Ref.Cf Moto Saf - Inv 2. 18Mar 19_01.eml</x:v>
      </x:c>
    </x:row>
    <x:row r="7">
      <x:c r="A7" s="15" t="str">
        <x:v>Duplicate notification removed</x:v>
      </x:c>
      <x:c r="B7" s="34" t="n">
        <x:v>46099.77847222222</x:v>
      </x:c>
      <x:c r="C7" s="38" t="n">
        <x:v>204</x:v>
      </x:c>
      <x:c r="D7" s="15" t="str">
        <x:v>The Tin Shack</x:v>
      </x:c>
      <x:c r="E7" s="15" t="str">
        <x:v>Exact duplicate notification text.</x:v>
      </x:c>
      <x:c r="F7" s="15" t="str">
        <x:v>Exact duplicate notification text; excluded from transaction totals.</x:v>
      </x:c>
      <x:c r="G7" s="15" t="str">
        <x:v>eml_ALL_currentac__512781 (2).zip &gt; eml5currentac__512781 (2).zip</x:v>
      </x:c>
      <x:c r="H7" s="15" t="str">
        <x:v>FNB _-) R204.00 reserved for purchase @ The Tin Shack from Current a_c..512781 using card..2924. 18Mar 18_41.eml</x:v>
      </x:c>
      <x:c r="I7" s="15" t="str">
        <x:v>eml_ALL_currentac__512781 (2).zip &gt; eml4currentac__512781.zip / FNB _-) R204.00 reserved for purchase @ The Tin Shack from Current a_c..512781 using card..2924. 18Mar 18_41.eml</x:v>
      </x:c>
    </x:row>
    <x:row r="8">
      <x:c r="A8" s="15" t="str">
        <x:v>Duplicate notification removed</x:v>
      </x:c>
      <x:c r="B8" s="34" t="n">
        <x:v>46098.589583333334</x:v>
      </x:c>
      <x:c r="C8" s="38" t="n">
        <x:v>1801</x:v>
      </x:c>
      <x:c r="D8" s="15" t="str">
        <x:v>Dinner Box 108599</x:v>
      </x:c>
      <x:c r="E8" s="15" t="str">
        <x:v>Exact duplicate notification text.</x:v>
      </x:c>
      <x:c r="F8" s="15" t="str">
        <x:v>Exact duplicate notification text; excluded from transaction totals.</x:v>
      </x:c>
      <x:c r="G8" s="15" t="str">
        <x:v>eml_ALL_currentac__512781 (2).zip &gt; eml5currentac__512781.zip</x:v>
      </x:c>
      <x:c r="H8" s="15" t="str">
        <x:v>FNB _-) R1801.00 paid from Current a_c..512781 @ Smartapp. Ref.Dinner Box 108599. 17Mar 14_09.eml</x:v>
      </x:c>
      <x:c r="I8" s="15" t="str">
        <x:v>eml_ALL_currentac__512781 (2).zip &gt; eml4currentac__512781.zip / FNB _-) R1801.00 paid from Current a_c..512781 @ Smartapp. Ref.Dinner Box 108599. 17Mar 14_09.eml</x:v>
      </x:c>
    </x:row>
    <x:row r="9">
      <x:c r="A9" s="15" t="str">
        <x:v>Duplicate notification removed</x:v>
      </x:c>
      <x:c r="B9" s="34" t="n">
        <x:v>46076.475</x:v>
      </x:c>
      <x:c r="C9" s="38" t="n">
        <x:v>306</x:v>
      </x:c>
      <x:c r="D9" s="15" t="str">
        <x:v>Pep 5668 Malelane</x:v>
      </x:c>
      <x:c r="E9" s="15" t="str">
        <x:v>Exact duplicate notification text.</x:v>
      </x:c>
      <x:c r="F9" s="15" t="str">
        <x:v>Exact duplicate notification text; excluded from transaction totals.</x:v>
      </x:c>
      <x:c r="G9" s="15" t="str">
        <x:v>eml_ALL_currentac__512781 (2).zip &gt; eml6currentac__512781 (2).zip</x:v>
      </x:c>
      <x:c r="H9" s="15" t="str">
        <x:v>FNB _-) R306.00 reserved for purchase @ Pep 5668 Malelane from Current a_c..512781 using card..2924. 23Feb 11_24.eml</x:v>
      </x:c>
      <x:c r="I9" s="15" t="str">
        <x:v>eml_ALL_currentac__512781 (2).zip &gt; eml5currentac__512781.zip / FNB _-) R306.00 reserved for purchase @ Pep 5668 Malelane from Current a_c..512781 using card..2924. 23Feb 11_24.eml</x:v>
      </x:c>
    </x:row>
    <x:row r="10">
      <x:c r="A10" s="15" t="str">
        <x:v>Duplicate notification removed</x:v>
      </x:c>
      <x:c r="B10" s="34" t="n">
        <x:v>46076.49236111111</x:v>
      </x:c>
      <x:c r="C10" s="38" t="n">
        <x:v>539.9</x:v>
      </x:c>
      <x:c r="D10" s="15" t="str">
        <x:v>Clicks Malelane Ingw</x:v>
      </x:c>
      <x:c r="E10" s="15" t="str">
        <x:v>Exact duplicate notification text.</x:v>
      </x:c>
      <x:c r="F10" s="15" t="str">
        <x:v>Exact duplicate notification text; excluded from transaction totals.</x:v>
      </x:c>
      <x:c r="G10" s="15" t="str">
        <x:v>eml_ALL_currentac__512781 (2).zip &gt; eml6currentac__512781 (2).zip</x:v>
      </x:c>
      <x:c r="H10" s="15" t="str">
        <x:v>FNB _-) R539.90 reserved for purchase @ Clicks Malelane Ingw from Current a_c..512781 using card..2924. 23Feb 11_49.eml</x:v>
      </x:c>
      <x:c r="I10" s="15" t="str">
        <x:v>eml_ALL_currentac__512781 (2).zip &gt; eml5currentac__512781.zip / FNB _-) R539.90 reserved for purchase @ Clicks Malelane Ingw from Current a_c..512781 using card..2924. 23Feb 11_49.eml</x:v>
      </x:c>
    </x:row>
    <x:row r="11">
      <x:c r="A11" s="15" t="str">
        <x:v>Duplicate notification removed</x:v>
      </x:c>
      <x:c r="B11" s="34" t="n">
        <x:v>46075.56805555556</x:v>
      </x:c>
      <x:c r="C11" s="38" t="n">
        <x:v>179.98</x:v>
      </x:c>
      <x:c r="D11" s="15" t="str">
        <x:v>Savemor Marloth Liqu</x:v>
      </x:c>
      <x:c r="E11" s="15" t="str">
        <x:v>Exact duplicate notification text.</x:v>
      </x:c>
      <x:c r="F11" s="15" t="str">
        <x:v>Exact duplicate notification text; excluded from transaction totals.</x:v>
      </x:c>
      <x:c r="G11" s="15" t="str">
        <x:v>eml_ALL_currentac__512781 (2).zip &gt; eml6currentac__512781.zip</x:v>
      </x:c>
      <x:c r="H11" s="15" t="str">
        <x:v>FNB _-) R179.98 reserved for purchase @ Savemor Marloth Liqu from Current a_c..512781 using card..2924. 22Feb 13_38.eml</x:v>
      </x:c>
      <x:c r="I11" s="15" t="str">
        <x:v>eml_ALL_currentac__512781 (2).zip &gt; eml5currentac__512781.zip / FNB _-) R179.98 reserved for purchase @ Savemor Marloth Liqu from Current a_c..512781 using card..2924. 22Feb 13_38.eml</x:v>
      </x:c>
    </x:row>
    <x:row r="12">
      <x:c r="A12" s="15" t="str">
        <x:v>Duplicate notification removed</x:v>
      </x:c>
      <x:c r="B12" s="34" t="n">
        <x:v>46059.42361111111</x:v>
      </x:c>
      <x:c r="C12" s="38" t="n">
        <x:v>12861.68</x:v>
      </x:c>
      <x:c r="D12" s="15" t="str">
        <x:v>R026xf8n60 Booking.c</x:v>
      </x:c>
      <x:c r="E12" s="15" t="str">
        <x:v>Exact duplicate notification text.</x:v>
      </x:c>
      <x:c r="F12" s="15" t="str">
        <x:v>Exact duplicate notification text; excluded from transaction totals.</x:v>
      </x:c>
      <x:c r="G12" s="15" t="str">
        <x:v>eml_ALL_currentac__512781 (2).zip &gt; eml7currentac__512781 (2).zip</x:v>
      </x:c>
      <x:c r="H12" s="15" t="str">
        <x:v>FNB _-) R12861.68 paid to Current a_c..512781 @ Retail Forex. Ref.R026xf8n60 Booking.c.  6Feb 10_10.eml</x:v>
      </x:c>
      <x:c r="I12" s="15" t="str">
        <x:v>eml_ALL_currentac__512781 (2).zip &gt; eml6currentac__512781.zip / FNB _-) R12861.68 paid to Current a_c..512781 @ Retail Forex. Ref.R026xf8n60 Booking.c.  6Feb 10_10.eml</x:v>
      </x:c>
    </x:row>
    <x:row r="13">
      <x:c r="A13" s="15" t="str">
        <x:v>Duplicate notification removed</x:v>
      </x:c>
      <x:c r="B13" s="34" t="n">
        <x:v>46059.40833333333</x:v>
      </x:c>
      <x:c r="C13" s="38" t="n">
        <x:v>499.99</x:v>
      </x:c>
      <x:c r="D13" s="15" t="str">
        <x:v>Savemor Marloth</x:v>
      </x:c>
      <x:c r="E13" s="15" t="str">
        <x:v>Exact duplicate notification text.</x:v>
      </x:c>
      <x:c r="F13" s="15" t="str">
        <x:v>Exact duplicate notification text; excluded from transaction totals.</x:v>
      </x:c>
      <x:c r="G13" s="15" t="str">
        <x:v>eml_ALL_currentac__512781 (2).zip &gt; eml7currentac__512781 (2).zip</x:v>
      </x:c>
      <x:c r="H13" s="15" t="str">
        <x:v>FNB _-) R499.99 reserved for purchase @ Savemor Marloth from Current a_c..512781 using card..2924.  6Feb 09_48.eml</x:v>
      </x:c>
      <x:c r="I13" s="15" t="str">
        <x:v>eml_ALL_currentac__512781 (2).zip &gt; eml6currentac__512781.zip / FNB _-) R499.99 reserved for purchase @ Savemor Marloth from Current a_c..512781 using card..2924.  6Feb 09_48.eml</x:v>
      </x:c>
    </x:row>
    <x:row r="14">
      <x:c r="A14" s="15" t="str">
        <x:v>Duplicate notification removed</x:v>
      </x:c>
      <x:c r="B14" s="34" t="n">
        <x:v>46059.17986111111</x:v>
      </x:c>
      <x:c r="C14" s="38" t="n">
        <x:v>2000</x:v>
      </x:c>
      <x:c r="D14" s="15" t="str">
        <x:v>Salary Jan</x:v>
      </x:c>
      <x:c r="E14" s="15" t="str">
        <x:v>Exact duplicate notification text.</x:v>
      </x:c>
      <x:c r="F14" s="15" t="str">
        <x:v>Exact duplicate notification text; excluded from transaction totals.</x:v>
      </x:c>
      <x:c r="G14" s="15" t="str">
        <x:v>eml_ALL_currentac__512781 (2).zip &gt; eml7currentac__512781 (2).zip</x:v>
      </x:c>
      <x:c r="H14" s="15" t="str">
        <x:v>FNB _-) R2000.00 paid from Current a_c..512781 @ Smartapp. Ref.Salary Jan.  6Feb 04_19.eml</x:v>
      </x:c>
      <x:c r="I14" s="15" t="str">
        <x:v>eml_ALL_currentac__512781 (2).zip &gt; eml6currentac__512781.zip / FNB _-) R2000.00 paid from Current a_c..512781 @ Smartapp. Ref.Salary Jan.  6Feb 04_19.eml</x:v>
      </x:c>
    </x:row>
    <x:row r="15">
      <x:c r="A15" s="15" t="str">
        <x:v>Duplicate notification removed</x:v>
      </x:c>
      <x:c r="B15" s="34" t="n">
        <x:v>46059.07361111111</x:v>
      </x:c>
      <x:c r="C15" s="38" t="n">
        <x:v>5000</x:v>
      </x:c>
      <x:c r="D15" s="15" t="str">
        <x:v>Salary Jan</x:v>
      </x:c>
      <x:c r="E15" s="15" t="str">
        <x:v>Exact duplicate notification text.</x:v>
      </x:c>
      <x:c r="F15" s="15" t="str">
        <x:v>Exact duplicate notification text; excluded from transaction totals.</x:v>
      </x:c>
      <x:c r="G15" s="15" t="str">
        <x:v>eml_ALL_currentac__512781 (2).zip &gt; eml7currentac__512781.zip</x:v>
      </x:c>
      <x:c r="H15" s="15" t="str">
        <x:v>FNB _-) R5000.00 paid from Current a_c..512781 @ Gen Ph. Ref.Salary Jan.  6Feb 01_46.eml</x:v>
      </x:c>
      <x:c r="I15" s="15" t="str">
        <x:v>eml_ALL_currentac__512781 (2).zip &gt; eml6currentac__512781.zip / FNB _-) R5000.00 paid from Current a_c..512781 @ Gen Ph. Ref.Salary Jan.  6Feb 01_46.eml</x:v>
      </x:c>
    </x:row>
    <x:row r="16">
      <x:c r="A16" s="15" t="str">
        <x:v>Duplicate notification removed</x:v>
      </x:c>
      <x:c r="B16" s="34" t="n">
        <x:v>46038.65833333333</x:v>
      </x:c>
      <x:c r="C16" s="38" t="n">
        <x:v>3550</x:v>
      </x:c>
      <x:c r="D16" s="15" t="str">
        <x:v>Big Bay Maintenance</x:v>
      </x:c>
      <x:c r="E16" s="15" t="str">
        <x:v>Exact duplicate notification text.</x:v>
      </x:c>
      <x:c r="F16" s="15" t="str">
        <x:v>Exact duplicate notification text; excluded from transaction totals.</x:v>
      </x:c>
      <x:c r="G16" s="15" t="str">
        <x:v>eml_ALL_currentac__512781 (2).zip &gt; eml8currentac__512781 (2).zip</x:v>
      </x:c>
      <x:c r="H16" s="15" t="str">
        <x:v>FNB _-) R3550.00 paid from Current a_c..512781 @ Smartapp. Ref.Big Bay Maintenance. 16Jan 15_48.eml</x:v>
      </x:c>
      <x:c r="I16" s="15" t="str">
        <x:v>eml_ALL_currentac__512781 (2).zip &gt; eml7currentac__512781.zip / FNB _-) R3550.00 paid from Current a_c..512781 @ Smartapp. Ref.Big Bay Maintenance. 16Jan 15_48.eml</x:v>
      </x:c>
    </x:row>
    <x:row r="17">
      <x:c r="A17" s="15" t="str">
        <x:v>Duplicate notification removed</x:v>
      </x:c>
      <x:c r="B17" s="34" t="n">
        <x:v>46038.8</x:v>
      </x:c>
      <x:c r="C17" s="38" t="n">
        <x:v>400</x:v>
      </x:c>
      <x:c r="D17" s="15" t="str">
        <x:v>Yoco *k2025744041</x:v>
      </x:c>
      <x:c r="E17" s="15" t="str">
        <x:v>Exact duplicate notification text.</x:v>
      </x:c>
      <x:c r="F17" s="15" t="str">
        <x:v>Exact duplicate notification text; excluded from transaction totals.</x:v>
      </x:c>
      <x:c r="G17" s="15" t="str">
        <x:v>eml_ALL_currentac__512781 (2).zip &gt; eml8currentac__512781 (2).zip</x:v>
      </x:c>
      <x:c r="H17" s="15" t="str">
        <x:v>FNB _-) R400.00 reserved for purchase @ Yoco _k2025744041 from Current a_c..512781 using card..2924. 16Jan 19_12.eml</x:v>
      </x:c>
      <x:c r="I17" s="15" t="str">
        <x:v>eml_ALL_currentac__512781 (2).zip &gt; eml7currentac__512781.zip / FNB _-) R400.00 reserved for purchase @ Yoco _k2025744041 from Current a_c..512781 using card..2924. 16Jan 19_12.eml</x:v>
      </x:c>
    </x:row>
    <x:row r="18">
      <x:c r="A18" s="15" t="str">
        <x:v>Duplicate notification removed</x:v>
      </x:c>
      <x:c r="B18" s="34" t="n">
        <x:v>46038.645833333336</x:v>
      </x:c>
      <x:c r="C18" s="38" t="n">
        <x:v>707.25</x:v>
      </x:c>
      <x:c r="D18" s="15" t="str">
        <x:v>Nb N992820</x:v>
      </x:c>
      <x:c r="E18" s="15" t="str">
        <x:v>Exact duplicate notification text.</x:v>
      </x:c>
      <x:c r="F18" s="15" t="str">
        <x:v>Exact duplicate notification text; excluded from transaction totals.</x:v>
      </x:c>
      <x:c r="G18" s="15" t="str">
        <x:v>eml_ALL_currentac__512781 (2).zip &gt; eml8currentac__512781.zip</x:v>
      </x:c>
      <x:c r="H18" s="15" t="str">
        <x:v>FNB _-) R707.25 paid from Current a_c..512781 @ Smartapp. Ref.Nb N992820. 16Jan 15_30.eml</x:v>
      </x:c>
      <x:c r="I18" s="15" t="str">
        <x:v>eml_ALL_currentac__512781 (2).zip &gt; eml7currentac__512781.zip / FNB _-) R707.25 paid from Current a_c..512781 @ Smartapp. Ref.Nb N992820. 16Jan 15_30.eml</x:v>
      </x:c>
    </x:row>
    <x:row r="19">
      <x:c r="A19" s="15" t="str">
        <x:v>Duplicate notification removed</x:v>
      </x:c>
      <x:c r="B19" s="34" t="n">
        <x:v>46038.65833333333</x:v>
      </x:c>
      <x:c r="C19" s="38"/>
      <x:c r="D19" s="15" t="str">
        <x:v>Jnb Property Mainten..877149</x:v>
      </x:c>
      <x:c r="E19" s="15" t="str">
        <x:v>Exact duplicate notification text.</x:v>
      </x:c>
      <x:c r="F19" s="15" t="str">
        <x:v>Exact duplicate notification text; excluded from transaction totals.</x:v>
      </x:c>
      <x:c r="G19" s="15" t="str">
        <x:v>eml_ALL_currentac__512781 (2).zip &gt; eml8currentac__512781.zip</x:v>
      </x:c>
      <x:c r="H19" s="15" t="str">
        <x:v>FNB _-) Payment Link created from Current a_c..512781 To Jnb Property Mainten..877149 @ Smartapp. 16Jan 15_48 Call 087 575 9404  for help..eml</x:v>
      </x:c>
      <x:c r="I19" s="15" t="str">
        <x:v>eml_ALL_currentac__512781 (2).zip &gt; eml7currentac__512781.zip / FNB _-) Payment Link created from Current a_c..512781 To Jnb Property Mainten..877149 @ Smartapp. 16Jan 15_48 Call 087 575 9404  for help..eml</x:v>
      </x:c>
    </x:row>
    <x:row r="20">
      <x:c r="A20" s="15" t="str">
        <x:v>Duplicate notification removed</x:v>
      </x:c>
      <x:c r="B20" s="34" t="n">
        <x:v>46038.64513888889</x:v>
      </x:c>
      <x:c r="C20" s="38" t="n">
        <x:v>707.25</x:v>
      </x:c>
      <x:c r="D20" s="15" t="str">
        <x:v>Nb N992820</x:v>
      </x:c>
      <x:c r="E20" s="15" t="str">
        <x:v>Exact duplicate notification text.</x:v>
      </x:c>
      <x:c r="F20" s="15" t="str">
        <x:v>Exact duplicate notification text; excluded from transaction totals.</x:v>
      </x:c>
      <x:c r="G20" s="15" t="str">
        <x:v>eml_ALL_currentac__512781 (2).zip &gt; eml8currentac__512781.zip</x:v>
      </x:c>
      <x:c r="H20" s="15" t="str">
        <x:v>FNB _-) R707.25 paid from Current a_c..512781 @ Smartapp. Ref.Nb N992820. 16Jan 15_29.eml</x:v>
      </x:c>
      <x:c r="I20" s="15" t="str">
        <x:v>eml_ALL_currentac__512781 (2).zip &gt; eml7currentac__512781.zip / FNB _-) R707.25 paid from Current a_c..512781 @ Smartapp. Ref.Nb N992820. 16Jan 15_29.eml</x:v>
      </x:c>
    </x:row>
    <x:row r="21">
      <x:c r="A21" s="15" t="str">
        <x:v>Duplicate notification removed</x:v>
      </x:c>
      <x:c r="B21" s="34" t="n">
        <x:v>46038.643055555556</x:v>
      </x:c>
      <x:c r="C21" s="38" t="n">
        <x:v>7510</x:v>
      </x:c>
      <x:c r="D21" s="15" t="str">
        <x:v>Kruger Safari 1678</x:v>
      </x:c>
      <x:c r="E21" s="15" t="str">
        <x:v>Exact duplicate notification text.</x:v>
      </x:c>
      <x:c r="F21" s="15" t="str">
        <x:v>Exact duplicate notification text; excluded from transaction totals.</x:v>
      </x:c>
      <x:c r="G21" s="15" t="str">
        <x:v>eml_ALL_currentac__512781 (2).zip &gt; eml8currentac__512781.zip</x:v>
      </x:c>
      <x:c r="H21" s="15" t="str">
        <x:v>FNB _-) R7510.00 paid from Current a_c..512781 @ Smartapp. Ref.Kruger Safari 1678. 16Jan 15_26.eml</x:v>
      </x:c>
      <x:c r="I21" s="15" t="str">
        <x:v>eml_ALL_currentac__512781 (2).zip &gt; eml7currentac__512781.zip / FNB _-) R7510.00 paid from Current a_c..512781 @ Smartapp. Ref.Kruger Safari 1678. 16Jan 15_26.eml</x:v>
      </x:c>
    </x:row>
    <x:row r="22">
      <x:c r="A22" s="15" t="str">
        <x:v>Duplicate notification removed</x:v>
      </x:c>
      <x:c r="B22" s="34" t="n">
        <x:v>46166.614583333336</x:v>
      </x:c>
      <x:c r="C22" s="38" t="n">
        <x:v>750</x:v>
      </x:c>
      <x:c r="D22" s="15" t="str">
        <x:v>Giraffe Pub And Gril</x:v>
      </x:c>
      <x:c r="E22" s="15" t="str">
        <x:v>Exact duplicate notification text.</x:v>
      </x:c>
      <x:c r="F22" s="15" t="str">
        <x:v>Exact duplicate notification text; excluded from transaction totals.</x:v>
      </x:c>
      <x:c r="G22" s="15" t="str">
        <x:v>eml_ALL_currentac__512781 (2).zip &gt; eml1currentac__512781.zip</x:v>
      </x:c>
      <x:c r="H22" s="15" t="str">
        <x:v>Fwd_ FNB _-) R750.00 reserved for purchase @ Giraffe Pub And Gril from Current a_c..512781 using card..2924. 24May 14_45.eml</x:v>
      </x:c>
      <x:c r="I22" s="15" t="str">
        <x:v>eml_ALL_currentac__512781 (2).zip &gt; eml2currentac__512781.zip / FNB _-) R750.00 reserved for purchase @ Giraffe Pub And Gril from Current a_c..512781 using card..2924. 24May 14_45.eml</x:v>
      </x:c>
    </x:row>
    <x:row r="23">
      <x:c r="A23" s="15" t="str">
        <x:v>Duplicate notification removed</x:v>
      </x:c>
      <x:c r="B23" s="34" t="n">
        <x:v>46169.49791666667</x:v>
      </x:c>
      <x:c r="C23" s="38" t="n">
        <x:v>1541</x:v>
      </x:c>
      <x:c r="D23" s="15" t="str">
        <x:v>Dinner Box 111862</x:v>
      </x:c>
      <x:c r="E23" s="15" t="str">
        <x:v>Exact duplicate notification text.</x:v>
      </x:c>
      <x:c r="F23" s="15" t="str">
        <x:v>Exact duplicate notification text; excluded from transaction totals.</x:v>
      </x:c>
      <x:c r="G23" s="15" t="str">
        <x:v>eml_ALL_currentac__512781 (2).zip &gt; eml1currentac__512781.zip</x:v>
      </x:c>
      <x:c r="H23" s="15" t="str">
        <x:v>FNB _-) R1541.00 paid from Current a_c..512781 @ Smartapp. Ref.Dinner Box 111862. 27May 11_57.eml</x:v>
      </x:c>
      <x:c r="I23" s="15" t="str">
        <x:v>eml_ALL_currentac__512781 (2).zip &gt; eml2currentac__512781.zip / FNB _-) R1541.00 paid from Current a_c..512781 @ Smartapp. Ref.Dinner Box 111862. 27May 11_57.eml</x:v>
      </x:c>
    </x:row>
    <x:row r="24">
      <x:c r="A24" s="15" t="str">
        <x:v>Possible duplicate - not removed</x:v>
      </x:c>
      <x:c r="B24" s="34" t="n">
        <x:v>45934.495833333334</x:v>
      </x:c>
      <x:c r="C24" s="38" t="n">
        <x:v>1400</x:v>
      </x:c>
      <x:c r="D24" s="15" t="str">
        <x:v>Staff Tips For Aug</x:v>
      </x:c>
      <x:c r="E24" s="15" t="str">
        <x:v>Same date/amount/counterparty/type/reference within 3 minutes; not removed.</x:v>
      </x:c>
      <x:c r="F24" s="15" t="str">
        <x:v>Review pair manually; retained in totals because exact duplication was not proven.</x:v>
      </x:c>
      <x:c r="G24" s="15" t="str">
        <x:v>eml_ALL_currentac__512781 (2).zip &gt; eml12currentac__512781.zip</x:v>
      </x:c>
      <x:c r="H24" s="15" t="str">
        <x:v>FNB _-) R1400.00 paid from Current a_c..512781 @ Smartapp. Ref.Staff Tips For Aug.  4Oct 11_54.eml</x:v>
      </x:c>
      <x:c r="I24" s="15" t="str">
        <x:v>eml_ALL_currentac__512781 (2).zip &gt; eml12currentac__512781.zip / FNB _-) R1400.00 paid from Current a_c..512781 @ Smartapp. Ref.Staff Tips For Aug.  4Oct 11_55.eml</x:v>
      </x:c>
    </x:row>
    <x:row r="25">
      <x:c r="A25" s="15" t="str">
        <x:v>Possible duplicate - not removed</x:v>
      </x:c>
      <x:c r="B25" s="34" t="n">
        <x:v>45981.50277777778</x:v>
      </x:c>
      <x:c r="C25" s="38" t="n">
        <x:v>778.98</x:v>
      </x:c>
      <x:c r="D25" s="15" t="str">
        <x:v>Superspar The Grove</x:v>
      </x:c>
      <x:c r="E25" s="15" t="str">
        <x:v>Same date/amount/counterparty/type/reference within 3 minutes; not removed.</x:v>
      </x:c>
      <x:c r="F25" s="15" t="str">
        <x:v>Review pair manually; retained in totals because exact duplication was not proven.</x:v>
      </x:c>
      <x:c r="G25" s="15" t="str">
        <x:v>eml_ALL_currentac__512781 (2).zip &gt; eml10currentac__512781.zip</x:v>
      </x:c>
      <x:c r="H25" s="15" t="str">
        <x:v>FNB _-) R778.98 reserved for purchase @ Superspar The Grove from Current a_c..512781 using card..2924. 20Nov 12_04.eml</x:v>
      </x:c>
      <x:c r="I25" s="15" t="str">
        <x:v>eml_ALL_currentac__512781 (2).zip &gt; eml10currentac__512781.zip / FNB _-) R778.98 reserved for purchase @ Superspar The Grove from Current a_c..512781 using card..2924. 20Nov 12_04_1.eml</x:v>
      </x:c>
    </x:row>
    <x:row r="26">
      <x:c r="A26" s="15" t="str">
        <x:v>Possible duplicate - not removed</x:v>
      </x:c>
      <x:c r="B26" s="34" t="n">
        <x:v>46038.64513888889</x:v>
      </x:c>
      <x:c r="C26" s="38" t="n">
        <x:v>707.25</x:v>
      </x:c>
      <x:c r="D26" s="15" t="str">
        <x:v>Nb N992820</x:v>
      </x:c>
      <x:c r="E26" s="15" t="str">
        <x:v>Same date/amount/counterparty/type/reference within 3 minutes; not removed.</x:v>
      </x:c>
      <x:c r="F26" s="15" t="str">
        <x:v>Review pair manually; retained in totals because exact duplication was not proven.</x:v>
      </x:c>
      <x:c r="G26" s="15" t="str">
        <x:v>eml_ALL_currentac__512781 (2).zip &gt; eml7currentac__512781.zip</x:v>
      </x:c>
      <x:c r="H26" s="15" t="str">
        <x:v>FNB _-) R707.25 paid from Current a_c..512781 @ Smartapp. Ref.Nb N992820. 16Jan 15_29.eml</x:v>
      </x:c>
      <x:c r="I26" s="15" t="str">
        <x:v>eml_ALL_currentac__512781 (2).zip &gt; eml7currentac__512781.zip / FNB _-) R707.25 paid from Current a_c..512781 @ Smartapp. Ref.Nb N992820. 16Jan 15_30.eml</x:v>
      </x:c>
    </x:row>
    <x:row r="27">
      <x:c r="A27" s="15" t="str">
        <x:v>Possible duplicate - not removed</x:v>
      </x:c>
      <x:c r="B27" s="34" t="n">
        <x:v>46060.53402777778</x:v>
      </x:c>
      <x:c r="C27" s="38" t="n">
        <x:v>200</x:v>
      </x:c>
      <x:c r="D27" s="15" t="str">
        <x:v>Atmh11960000001</x:v>
      </x:c>
      <x:c r="E27" s="15" t="str">
        <x:v>Same date/amount/counterparty/type/reference within 3 minutes; not removed.</x:v>
      </x:c>
      <x:c r="F27" s="15" t="str">
        <x:v>Review pair manually; retained in totals because exact duplication was not proven.</x:v>
      </x:c>
      <x:c r="G27" s="15" t="str">
        <x:v>eml_ALL_currentac__512781 (2).zip &gt; eml6currentac__512781.zip</x:v>
      </x:c>
      <x:c r="H27" s="15" t="str">
        <x:v>FNB _-) R200.00 withdrawn from Current a_c..512781 using card..2924 @ Atmh11960000001.  7Feb 12_49.eml</x:v>
      </x:c>
      <x:c r="I27" s="15" t="str">
        <x:v>eml_ALL_currentac__512781 (2).zip &gt; eml6currentac__512781.zip / FNB _-) R200.00 withdrawn from Current a_c..512781 using card..2924 @ Atmh11960000001.  7Feb 12_51.eml</x:v>
      </x:c>
    </x:row>
    <x:row r="28">
      <x:c r="A28" s="15" t="str">
        <x:v>Possible duplicate - not removed</x:v>
      </x:c>
      <x:c r="B28" s="34" t="n">
        <x:v>46078.489583333336</x:v>
      </x:c>
      <x:c r="C28" s="38" t="n">
        <x:v>500</x:v>
      </x:c>
      <x:c r="D28" s="15" t="str">
        <x:v>Electricity 04294887</x:v>
      </x:c>
      <x:c r="E28" s="15" t="str">
        <x:v>Same date/amount/counterparty/type/reference within 3 minutes; not removed.</x:v>
      </x:c>
      <x:c r="F28" s="15" t="str">
        <x:v>Review pair manually; retained in totals because exact duplication was not proven.</x:v>
      </x:c>
      <x:c r="G28" s="15" t="str">
        <x:v>eml_ALL_currentac__512781 (2).zip &gt; eml5currentac__512781.zip</x:v>
      </x:c>
      <x:c r="H28" s="15" t="str">
        <x:v>FNB _-) R500.00 paid from Current a_c..512781 @ Smartapp. Ref.Electricity 04294887. 25Feb 11_45.eml</x:v>
      </x:c>
      <x:c r="I28" s="15" t="str">
        <x:v>eml_ALL_currentac__512781 (2).zip &gt; eml5currentac__512781.zip / FNB _-) R500.00 paid from Current a_c..512781 @ Smartapp. Ref.Electricity 04294887. 25Feb 11_47.eml</x:v>
      </x:c>
    </x:row>
    <x:row r="29">
      <x:c r="A29" s="15" t="str">
        <x:v>Possible duplicate - not removed</x:v>
      </x:c>
      <x:c r="B29" s="34" t="n">
        <x:v>46113.395833333336</x:v>
      </x:c>
      <x:c r="C29" s="38" t="n">
        <x:v>12000</x:v>
      </x:c>
      <x:c r="D29" s="15" t="str">
        <x:v>Staff Salary</x:v>
      </x:c>
      <x:c r="E29" s="15" t="str">
        <x:v>Same date/amount/counterparty/type/reference within 3 minutes; not removed.</x:v>
      </x:c>
      <x:c r="F29" s="15" t="str">
        <x:v>Review pair manually; retained in totals because exact duplication was not proven.</x:v>
      </x:c>
      <x:c r="G29" s="15" t="str">
        <x:v>eml_ALL_currentac__512781 (2).zip &gt; eml4currentac__512781.zip</x:v>
      </x:c>
      <x:c r="H29" s="15" t="str">
        <x:v>FNB _-) R12000.00 paid from Current a_c..512781 @ Gen Ph. Ref.Staff Salary.  1Apr 09_30.eml</x:v>
      </x:c>
      <x:c r="I29" s="15" t="str">
        <x:v>eml_ALL_currentac__512781 (2).zip &gt; eml4currentac__512781.zip / FNB _-) R12000.00 paid from Current a_c..512781 @ Gen Ph. Ref.Staff Salary.  1Apr 09_30_1.eml</x:v>
      </x:c>
    </x:row>
    <x:row r="30">
      <x:c r="A30" s="15" t="str">
        <x:v>Possible duplicate - not removed</x:v>
      </x:c>
      <x:c r="B30" s="34" t="n">
        <x:v>46143.37777777778</x:v>
      </x:c>
      <x:c r="C30" s="38" t="n">
        <x:v>12000</x:v>
      </x:c>
      <x:c r="D30" s="15" t="str">
        <x:v>Staff Salary</x:v>
      </x:c>
      <x:c r="E30" s="15" t="str">
        <x:v>Same date/amount/counterparty/type/reference within 3 minutes; not removed.</x:v>
      </x:c>
      <x:c r="F30" s="15" t="str">
        <x:v>Review pair manually; retained in totals because exact duplication was not proven.</x:v>
      </x:c>
      <x:c r="G30" s="15" t="str">
        <x:v>eml_ALL_currentac__512781 (2).zip &gt; eml3currentac__512781.zip</x:v>
      </x:c>
      <x:c r="H30" s="15" t="str">
        <x:v>FNB _-) R12000.00 paid from Current a_c..512781 @ Gen Ph. Ref.Staff Salary.  1May 09_04.eml</x:v>
      </x:c>
      <x:c r="I30" s="15" t="str">
        <x:v>eml_ALL_currentac__512781 (2).zip &gt; eml3currentac__512781.zip / FNB _-) R12000.00 paid from Current a_c..512781 @ Gen Ph. Ref.Staff Salary.  1May 09_04_1.eml</x:v>
      </x:c>
    </x:row>
    <x:row r="31">
      <x:c r="A31" s="15" t="str">
        <x:v>Possible duplicate - not removed</x:v>
      </x:c>
      <x:c r="B31" s="34" t="n">
        <x:v>46172.44097222222</x:v>
      </x:c>
      <x:c r="C31" s="38" t="n">
        <x:v>12000</x:v>
      </x:c>
      <x:c r="D31" s="15" t="str">
        <x:v>Staff</x:v>
      </x:c>
      <x:c r="E31" s="15" t="str">
        <x:v>Same date/amount/counterparty/type/reference within 3 minutes; not removed.</x:v>
      </x:c>
      <x:c r="F31" s="15" t="str">
        <x:v>Review pair manually; retained in totals because exact duplication was not proven.</x:v>
      </x:c>
      <x:c r="G31" s="15" t="str">
        <x:v>eml_ALL_currentac__512781 (2).zip &gt; eml1currentac__512781.zip</x:v>
      </x:c>
      <x:c r="H31" s="15" t="str">
        <x:v>FNB _-) R12000.00 paid from Current a_c..512781 @ Gen Ph. Ref.Staff. 30May 10_35.eml</x:v>
      </x:c>
      <x:c r="I31" s="15" t="str">
        <x:v>eml_ALL_currentac__512781 (2).zip &gt; eml1currentac__512781.zip / FNB _-) R12000.00 paid from Current a_c..512781 @ Smartapp. Ref.Staff. 30May 10_35.eml</x:v>
      </x:c>
    </x:row>
    <x:row r="32">
      <x:c r="A32" s="15" t="str">
        <x:v>Possible duplicate - not removed</x:v>
      </x:c>
      <x:c r="B32" s="34" t="n">
        <x:v>46182.81736111111</x:v>
      </x:c>
      <x:c r="C32" s="38" t="n">
        <x:v>150</x:v>
      </x:c>
      <x:c r="D32" s="15" t="str">
        <x:v>Electricity 04294887</x:v>
      </x:c>
      <x:c r="E32" s="15" t="str">
        <x:v>Same date/amount/counterparty/type/reference within 3 minutes; not removed.</x:v>
      </x:c>
      <x:c r="F32" s="15" t="str">
        <x:v>Review pair manually; retained in totals because exact duplication was not proven.</x:v>
      </x:c>
      <x:c r="G32" s="15" t="str">
        <x:v>eml_ALL_currentac__512781 (2).zip &gt; eml1currentac__512781.zip</x:v>
      </x:c>
      <x:c r="H32" s="15" t="str">
        <x:v>FNB _-) R150.00 paid from Current a_c..512781 @ Smartapp. Ref.Electricity 04294887.  9Jun 19_37.eml</x:v>
      </x:c>
      <x:c r="I32" s="15" t="str">
        <x:v>eml_ALL_currentac__512781 (2).zip &gt; eml1currentac__512781.zip / FNB _-) R150.00 paid from Current a_c..512781 @ Smartapp. Ref.Electricity 04294887.  9Jun 19_38.eml</x:v>
      </x:c>
    </x:row>
    <x:row r="33">
      <x:c r="A33" s="15" t="str">
        <x:v>Review item</x:v>
      </x:c>
      <x:c r="B33" s="34" t="n">
        <x:v>45919.433333333334</x:v>
      </x:c>
      <x:c r="C33" s="38" t="n">
        <x:v>122</x:v>
      </x:c>
      <x:c r="D33" s="15" t="str">
        <x:v>Machado Tap N Go</x:v>
      </x:c>
      <x:c r="E33" s="15" t="str">
        <x:v>Category assignment is low confidence.</x:v>
      </x:c>
      <x:c r="F33" s="15" t="str">
        <x:v>Category confidence Low: Default card-spend category; merchant not confidently mapped.</x:v>
      </x:c>
      <x:c r="G33" s="15" t="str">
        <x:v>eml_ALL_currentac__512781 (2).zip &gt; eml12currentac__512781.zip</x:v>
      </x:c>
      <x:c r="H33" s="15" t="str">
        <x:v>FNB _-) R122.00 reserved for purchase @ Machado Tap N Go from Current a_c..512781 using card..2924. 19Sep 10_24.eml</x:v>
      </x:c>
      <x:c r="I33" s="15" t="str"/>
    </x:row>
    <x:row r="34">
      <x:c r="A34" s="15" t="str">
        <x:v>Review item</x:v>
      </x:c>
      <x:c r="B34" s="34" t="n">
        <x:v>45919.54583333333</x:v>
      </x:c>
      <x:c r="C34" s="38"/>
      <x:c r="D34" s="15" t="str">
        <x:v>T F Venter..191794</x:v>
      </x:c>
      <x:c r="E34" s="15" t="str">
        <x:v>Category assignment is low confidence.</x:v>
      </x:c>
      <x:c r="F34" s="15" t="str">
        <x:v>Payment link creation only; no money movement indicated. Category confidence Low: Unable to map confidently.</x:v>
      </x:c>
      <x:c r="G34" s="15" t="str">
        <x:v>eml_ALL_currentac__512781 (2).zip &gt; eml12currentac__512781.zip</x:v>
      </x:c>
      <x:c r="H34" s="15" t="str">
        <x:v>FNB _-) Payment Link created from Current a_c..512781 To T F Venter..191794 @ Smartapp. 19Sep 13_06 Call 087 575 9404  for help..eml</x:v>
      </x:c>
      <x:c r="I34" s="15" t="str"/>
    </x:row>
    <x:row r="35">
      <x:c r="A35" s="15" t="str">
        <x:v>Review item</x:v>
      </x:c>
      <x:c r="B35" s="34" t="n">
        <x:v>45922.433333333334</x:v>
      </x:c>
      <x:c r="C35" s="38"/>
      <x:c r="D35" s="15" t="str">
        <x:v>Dinner Box..946412</x:v>
      </x:c>
      <x:c r="E35" s="15" t="str">
        <x:v>Category assignment is low confidence.</x:v>
      </x:c>
      <x:c r="F35" s="15" t="str">
        <x:v>Payment link creation only; no money movement indicated. Category confidence Low: Unable to map confidently.</x:v>
      </x:c>
      <x:c r="G35" s="15" t="str">
        <x:v>eml_ALL_currentac__512781 (2).zip &gt; eml12currentac__512781.zip</x:v>
      </x:c>
      <x:c r="H35" s="15" t="str">
        <x:v>FNB _-) Payment Link created from Current a_c..512781 To Dinner Box..946412 @ Smartapp. 22Sep 10_24 Call 087 575 9404  for help..eml</x:v>
      </x:c>
      <x:c r="I35" s="15" t="str"/>
    </x:row>
    <x:row r="36">
      <x:c r="A36" s="15" t="str">
        <x:v>Review item</x:v>
      </x:c>
      <x:c r="B36" s="34" t="n">
        <x:v>45932.48333333333</x:v>
      </x:c>
      <x:c r="C36" s="38"/>
      <x:c r="D36" s="15" t="str">
        <x:v>Deon"s Diy Tool + Pl..574704</x:v>
      </x:c>
      <x:c r="E36" s="15" t="str">
        <x:v>Category assignment is low confidence.</x:v>
      </x:c>
      <x:c r="F36" s="15" t="str">
        <x:v>Payment link creation only; no money movement indicated. Category confidence Low: Unable to map confidently.</x:v>
      </x:c>
      <x:c r="G36" s="15" t="str">
        <x:v>eml_ALL_currentac__512781 (2).zip &gt; eml12currentac__512781.zip</x:v>
      </x:c>
      <x:c r="H36" s="15" t="str">
        <x:v>FNB _-) Payment Link created from Current a_c..512781 To Deon_s Diy Tool + Pl..574704 @ Smartapp.  2Oct 11_36 Call 087 575 9404  for help..eml</x:v>
      </x:c>
      <x:c r="I36" s="15" t="str"/>
    </x:row>
    <x:row r="37">
      <x:c r="A37" s="15" t="str">
        <x:v>Review item</x:v>
      </x:c>
      <x:c r="B37" s="34" t="n">
        <x:v>45932.48402777778</x:v>
      </x:c>
      <x:c r="C37" s="38" t="n">
        <x:v>300</x:v>
      </x:c>
      <x:c r="D37" s="15" t="str">
        <x:v>Deon"s Diy 4193</x:v>
      </x:c>
      <x:c r="E37" s="15" t="str">
        <x:v>Category assignment is low confidence.</x:v>
      </x:c>
      <x:c r="F37" s="15" t="str">
        <x:v>Category confidence Low: Default outflow category; review counterparty/reference.</x:v>
      </x:c>
      <x:c r="G37" s="15" t="str">
        <x:v>eml_ALL_currentac__512781 (2).zip &gt; eml12currentac__512781.zip</x:v>
      </x:c>
      <x:c r="H37" s="15" t="str">
        <x:v>FNB _-) R300.00 paid from Current a_c..512781 @ Smartapp. Ref.Deon_s Diy 4193.  2Oct 11_37.eml</x:v>
      </x:c>
      <x:c r="I37" s="15" t="str"/>
    </x:row>
    <x:row r="38">
      <x:c r="A38" s="15" t="str">
        <x:v>Review item</x:v>
      </x:c>
      <x:c r="B38" s="34" t="n">
        <x:v>45933.459027777775</x:v>
      </x:c>
      <x:c r="C38" s="38"/>
      <x:c r="D38" s="15" t="str">
        <x:v>Jj Spangenberg..735498</x:v>
      </x:c>
      <x:c r="E38" s="15" t="str">
        <x:v>Category assignment is low confidence.</x:v>
      </x:c>
      <x:c r="F38" s="15" t="str">
        <x:v>Payment link creation only; no money movement indicated. Category confidence Low: Unable to map confidently.</x:v>
      </x:c>
      <x:c r="G38" s="15" t="str">
        <x:v>eml_ALL_currentac__512781 (2).zip &gt; eml12currentac__512781.zip</x:v>
      </x:c>
      <x:c r="H38" s="15" t="str">
        <x:v>FNB _-) Payment Link created from Current a_c..512781 To Jj Spangenberg..735498 @ Smartapp.  3Oct 11_01 Call 087 575 9404  for help..eml</x:v>
      </x:c>
      <x:c r="I38" s="15" t="str"/>
    </x:row>
    <x:row r="39">
      <x:c r="A39" s="15" t="str">
        <x:v>Review item</x:v>
      </x:c>
      <x:c r="B39" s="34" t="n">
        <x:v>45933.459027777775</x:v>
      </x:c>
      <x:c r="C39" s="38" t="n">
        <x:v>2845</x:v>
      </x:c>
      <x:c r="D39" s="15" t="str">
        <x:v>Kruger Safari 1657</x:v>
      </x:c>
      <x:c r="E39" s="15" t="str">
        <x:v>Category assignment is low confidence.</x:v>
      </x:c>
      <x:c r="F39" s="15" t="str">
        <x:v>Category confidence Low: Default outflow category; review counterparty/reference.</x:v>
      </x:c>
      <x:c r="G39" s="15" t="str">
        <x:v>eml_ALL_currentac__512781 (2).zip &gt; eml12currentac__512781.zip</x:v>
      </x:c>
      <x:c r="H39" s="15" t="str">
        <x:v>FNB _-) R2845.00 paid from Current a_c..512781 @ Smartapp. Ref.Kruger Safari 1657.  3Oct 11_01.eml</x:v>
      </x:c>
      <x:c r="I39" s="15" t="str"/>
    </x:row>
    <x:row r="40">
      <x:c r="A40" s="15" t="str">
        <x:v>Review item</x:v>
      </x:c>
      <x:c r="B40" s="34" t="n">
        <x:v>45933.51666666667</x:v>
      </x:c>
      <x:c r="C40" s="38"/>
      <x:c r="D40" s="15" t="str">
        <x:v>Nightsbridge..593701</x:v>
      </x:c>
      <x:c r="E40" s="15" t="str">
        <x:v>Category assignment is low confidence.</x:v>
      </x:c>
      <x:c r="F40" s="15" t="str">
        <x:v>Payment link creation only; no money movement indicated. Category confidence Low: Unable to map confidently.</x:v>
      </x:c>
      <x:c r="G40" s="15" t="str">
        <x:v>eml_ALL_currentac__512781 (2).zip &gt; eml12currentac__512781.zip</x:v>
      </x:c>
      <x:c r="H40" s="15" t="str">
        <x:v>FNB _-) Payment Link created from Current a_c..512781 To Nightsbridge..593701 @ Smartapp.  3Oct 12_24 Call 087 575 9404  for help..eml</x:v>
      </x:c>
      <x:c r="I40" s="15" t="str"/>
    </x:row>
    <x:row r="41">
      <x:c r="A41" s="15" t="str">
        <x:v>Review item</x:v>
      </x:c>
      <x:c r="B41" s="34" t="n">
        <x:v>45933.518055555556</x:v>
      </x:c>
      <x:c r="C41" s="38" t="n">
        <x:v>1414.5</x:v>
      </x:c>
      <x:c r="D41" s="15" t="str">
        <x:v>Nb N992820 + 983772</x:v>
      </x:c>
      <x:c r="E41" s="15" t="str">
        <x:v>Category assignment is low confidence.</x:v>
      </x:c>
      <x:c r="F41" s="15" t="str">
        <x:v>Category confidence Low: Default outflow category; review counterparty/reference.</x:v>
      </x:c>
      <x:c r="G41" s="15" t="str">
        <x:v>eml_ALL_currentac__512781 (2).zip &gt; eml12currentac__512781.zip</x:v>
      </x:c>
      <x:c r="H41" s="15" t="str">
        <x:v>FNB _-) R1414.50 paid from Current a_c..512781 @ Smartapp. Ref.Nb N992820 + 983772.  3Oct 12_26.eml</x:v>
      </x:c>
      <x:c r="I41" s="15" t="str"/>
    </x:row>
    <x:row r="42">
      <x:c r="A42" s="15" t="str">
        <x:v>Review item</x:v>
      </x:c>
      <x:c r="B42" s="34" t="n">
        <x:v>45934.49444444444</x:v>
      </x:c>
      <x:c r="C42" s="38"/>
      <x:c r="D42" s="15" t="str">
        <x:v>Nason Staff..860933</x:v>
      </x:c>
      <x:c r="E42" s="15" t="str">
        <x:v>Category assignment is low confidence.</x:v>
      </x:c>
      <x:c r="F42" s="15" t="str">
        <x:v>Payment link creation only; no money movement indicated. Category confidence Low: Unable to map confidently.</x:v>
      </x:c>
      <x:c r="G42" s="15" t="str">
        <x:v>eml_ALL_currentac__512781 (2).zip &gt; eml12currentac__512781.zip</x:v>
      </x:c>
      <x:c r="H42" s="15" t="str">
        <x:v>FNB _-) Payment Link created from Current a_c..512781 To Nason Staff..860933 @ Smartapp.  4Oct 11_52 Call 087 575 9404  for help..eml</x:v>
      </x:c>
      <x:c r="I42" s="15" t="str"/>
    </x:row>
    <x:row r="43">
      <x:c r="A43" s="15" t="str">
        <x:v>Review item</x:v>
      </x:c>
      <x:c r="B43" s="34" t="n">
        <x:v>45934.495833333334</x:v>
      </x:c>
      <x:c r="C43" s="38"/>
      <x:c r="D43" s="15" t="str">
        <x:v>Annemarie Hoffman..346294</x:v>
      </x:c>
      <x:c r="E43" s="15" t="str">
        <x:v>Category assignment is low confidence.</x:v>
      </x:c>
      <x:c r="F43" s="15" t="str">
        <x:v>Payment link creation only; no money movement indicated. Category confidence Low: Unable to map confidently.</x:v>
      </x:c>
      <x:c r="G43" s="15" t="str">
        <x:v>eml_ALL_currentac__512781 (2).zip &gt; eml12currentac__512781.zip</x:v>
      </x:c>
      <x:c r="H43" s="15" t="str">
        <x:v>FNB _-) Payment Link created from Current a_c..512781 To Annemarie Hoffman..346294 @ Smartapp.  4Oct 11_54 Call 087 575 9404  for help..eml</x:v>
      </x:c>
      <x:c r="I43" s="15" t="str"/>
    </x:row>
    <x:row r="44">
      <x:c r="A44" s="15" t="str">
        <x:v>Review item</x:v>
      </x:c>
      <x:c r="B44" s="34" t="n">
        <x:v>45934.49652777778</x:v>
      </x:c>
      <x:c r="C44" s="38"/>
      <x:c r="D44" s="15" t="str">
        <x:v>Dreyer Hoffman..465222</x:v>
      </x:c>
      <x:c r="E44" s="15" t="str">
        <x:v>Category assignment is low confidence.</x:v>
      </x:c>
      <x:c r="F44" s="15" t="str">
        <x:v>Payment link creation only; no money movement indicated. Category confidence Low: Unable to map confidently.</x:v>
      </x:c>
      <x:c r="G44" s="15" t="str">
        <x:v>eml_ALL_currentac__512781 (2).zip &gt; eml12currentac__512781.zip</x:v>
      </x:c>
      <x:c r="H44" s="15" t="str">
        <x:v>FNB _-) Payment Link created from Current a_c..512781 To Dreyer Hoffman..465222 @ Smartapp.  4Oct 11_55 Call 087 575 9404  for help..eml</x:v>
      </x:c>
      <x:c r="I44" s="15" t="str"/>
    </x:row>
    <x:row r="45">
      <x:c r="A45" s="15" t="str">
        <x:v>Review item</x:v>
      </x:c>
      <x:c r="B45" s="34" t="n">
        <x:v>45935.41458333333</x:v>
      </x:c>
      <x:c r="C45" s="38"/>
      <x:c r="D45" s="15" t="str">
        <x:v>Nyala Luxury Safari..395895</x:v>
      </x:c>
      <x:c r="E45" s="15" t="str">
        <x:v>Category assignment is low confidence.</x:v>
      </x:c>
      <x:c r="F45" s="15" t="str">
        <x:v>Payment link creation only; no money movement indicated. Category confidence Low: Unable to map confidently.</x:v>
      </x:c>
      <x:c r="G45" s="15" t="str">
        <x:v>eml_ALL_currentac__512781 (2).zip &gt; eml12currentac__512781.zip</x:v>
      </x:c>
      <x:c r="H45" s="15" t="str">
        <x:v>FNB _-) Payment Link created from Current a_c..512781 To Nyala Luxury Safari..395895 @ Smartapp.  5Oct 09_57 Call 087 575 9404  for help..eml</x:v>
      </x:c>
      <x:c r="I45" s="15" t="str"/>
    </x:row>
    <x:row r="46">
      <x:c r="A46" s="15" t="str">
        <x:v>Review item</x:v>
      </x:c>
      <x:c r="B46" s="34" t="n">
        <x:v>45935.41458333333</x:v>
      </x:c>
      <x:c r="C46" s="38" t="n">
        <x:v>10080</x:v>
      </x:c>
      <x:c r="D46" s="15" t="str">
        <x:v>Nyala Safari 145</x:v>
      </x:c>
      <x:c r="E46" s="15" t="str">
        <x:v>Category assignment is low confidence.</x:v>
      </x:c>
      <x:c r="F46" s="15" t="str">
        <x:v>Category confidence Low: Default outflow category; review counterparty/reference.</x:v>
      </x:c>
      <x:c r="G46" s="15" t="str">
        <x:v>eml_ALL_currentac__512781 (2).zip &gt; eml12currentac__512781.zip</x:v>
      </x:c>
      <x:c r="H46" s="15" t="str">
        <x:v>FNB _-) R10080.00 paid from Current a_c..512781 @ Smartapp. Ref.Nyala Safari 145.  5Oct 09_57.eml</x:v>
      </x:c>
      <x:c r="I46" s="15" t="str"/>
    </x:row>
    <x:row r="47">
      <x:c r="A47" s="15" t="str">
        <x:v>Review item</x:v>
      </x:c>
      <x:c r="B47" s="34" t="n">
        <x:v>45938.438888888886</x:v>
      </x:c>
      <x:c r="C47" s="38" t="n">
        <x:v>5670.36</x:v>
      </x:c>
      <x:c r="D47" s="15" t="str">
        <x:v>Nkomazi Local Munici</x:v>
      </x:c>
      <x:c r="E47" s="15" t="str">
        <x:v>Category assignment is low confidence.</x:v>
      </x:c>
      <x:c r="F47" s="15" t="str">
        <x:v>Category confidence Low: Default card-spend category; merchant not confidently mapped.</x:v>
      </x:c>
      <x:c r="G47" s="15" t="str">
        <x:v>eml_ALL_currentac__512781 (2).zip &gt; eml12currentac__512781.zip</x:v>
      </x:c>
      <x:c r="H47" s="15" t="str">
        <x:v>FNB _-) R5670.36 reserved for purchase @ Nkomazi Local Munici from Current a_c..512781 using card..2924.  8Oct 10_32.eml</x:v>
      </x:c>
      <x:c r="I47" s="15" t="str"/>
    </x:row>
    <x:row r="48">
      <x:c r="A48" s="15" t="str">
        <x:v>Review item</x:v>
      </x:c>
      <x:c r="B48" s="34" t="n">
        <x:v>45938.569444444445</x:v>
      </x:c>
      <x:c r="C48" s="38"/>
      <x:c r="D48" s="15" t="str">
        <x:v>Bon Express - Bacon..109612</x:v>
      </x:c>
      <x:c r="E48" s="15" t="str">
        <x:v>Category assignment is low confidence.</x:v>
      </x:c>
      <x:c r="F48" s="15" t="str">
        <x:v>Payment link creation only; no money movement indicated. Category confidence Low: Unable to map confidently.</x:v>
      </x:c>
      <x:c r="G48" s="15" t="str">
        <x:v>eml_ALL_currentac__512781 (2).zip &gt; eml12currentac__512781.zip</x:v>
      </x:c>
      <x:c r="H48" s="15" t="str">
        <x:v>FNB _-) Payment Link created from Current a_c..512781 To Bon Express - Bacon..109612 @ Smartapp.  8Oct 13_40 Call 087 575 9404  for help..eml</x:v>
      </x:c>
      <x:c r="I48" s="15" t="str"/>
    </x:row>
    <x:row r="49">
      <x:c r="A49" s="15" t="str">
        <x:v>Review item</x:v>
      </x:c>
      <x:c r="B49" s="34" t="n">
        <x:v>45938.569444444445</x:v>
      </x:c>
      <x:c r="C49" s="38" t="n">
        <x:v>127.88</x:v>
      </x:c>
      <x:c r="D49" s="15" t="str">
        <x:v>Bon Express 006708</x:v>
      </x:c>
      <x:c r="E49" s="15" t="str">
        <x:v>Category assignment is low confidence.</x:v>
      </x:c>
      <x:c r="F49" s="15" t="str">
        <x:v>Category confidence Low: Default outflow category; review counterparty/reference.</x:v>
      </x:c>
      <x:c r="G49" s="15" t="str">
        <x:v>eml_ALL_currentac__512781 (2).zip &gt; eml12currentac__512781.zip</x:v>
      </x:c>
      <x:c r="H49" s="15" t="str">
        <x:v>FNB _-) R127.88 paid from Current a_c..512781 @ Smartapp. Ref.Bon Express 006708.  8Oct 13_40.eml</x:v>
      </x:c>
      <x:c r="I49" s="15" t="str"/>
    </x:row>
    <x:row r="50">
      <x:c r="A50" s="15" t="str">
        <x:v>Review item</x:v>
      </x:c>
      <x:c r="B50" s="34" t="n">
        <x:v>45938.57013888889</x:v>
      </x:c>
      <x:c r="C50" s="38" t="n">
        <x:v>2776</x:v>
      </x:c>
      <x:c r="D50" s="15" t="str">
        <x:v>Kruger Safari 1658</x:v>
      </x:c>
      <x:c r="E50" s="15" t="str">
        <x:v>Category assignment is low confidence.</x:v>
      </x:c>
      <x:c r="F50" s="15" t="str">
        <x:v>Category confidence Low: Default outflow category; review counterparty/reference.</x:v>
      </x:c>
      <x:c r="G50" s="15" t="str">
        <x:v>eml_ALL_currentac__512781 (2).zip &gt; eml12currentac__512781.zip</x:v>
      </x:c>
      <x:c r="H50" s="15" t="str">
        <x:v>FNB _-) R2776.00 paid from Current a_c..512781 @ Smartapp. Ref.Kruger Safari 1658.  8Oct 13_41.eml</x:v>
      </x:c>
      <x:c r="I50" s="15" t="str"/>
    </x:row>
    <x:row r="51">
      <x:c r="A51" s="15" t="str">
        <x:v>Review item</x:v>
      </x:c>
      <x:c r="B51" s="34" t="n">
        <x:v>45938.59652777778</x:v>
      </x:c>
      <x:c r="C51" s="38" t="n">
        <x:v>150</x:v>
      </x:c>
      <x:c r="D51" s="15" t="str">
        <x:v>Temu</x:v>
      </x:c>
      <x:c r="E51" s="15" t="str">
        <x:v>Category assignment is low confidence.</x:v>
      </x:c>
      <x:c r="F51" s="15" t="str">
        <x:v>Category confidence Low: Default card-spend category; merchant not confidently mapped.</x:v>
      </x:c>
      <x:c r="G51" s="15" t="str">
        <x:v>eml_ALL_currentac__512781 (2).zip &gt; eml12currentac__512781.zip</x:v>
      </x:c>
      <x:c r="H51" s="15" t="str">
        <x:v>FNB _-) R150.00 reserved for purchase @ Temu from Current a_c..512781 using card..2924.  8Oct 14_19.eml</x:v>
      </x:c>
      <x:c r="I51" s="15" t="str"/>
    </x:row>
    <x:row r="52">
      <x:c r="A52" s="15" t="str">
        <x:v>Review item</x:v>
      </x:c>
      <x:c r="B52" s="34" t="n">
        <x:v>45938.603472222225</x:v>
      </x:c>
      <x:c r="C52" s="38" t="n">
        <x:v>234</x:v>
      </x:c>
      <x:c r="D52" s="15" t="str">
        <x:v>Temu</x:v>
      </x:c>
      <x:c r="E52" s="15" t="str">
        <x:v>Category assignment is low confidence.</x:v>
      </x:c>
      <x:c r="F52" s="15" t="str">
        <x:v>Category confidence Low: Default card-spend category; merchant not confidently mapped.</x:v>
      </x:c>
      <x:c r="G52" s="15" t="str">
        <x:v>eml_ALL_currentac__512781 (2).zip &gt; eml12currentac__512781.zip</x:v>
      </x:c>
      <x:c r="H52" s="15" t="str">
        <x:v>FNB _-) R234.00 reserved for purchase @ Temu from Current a_c..512781 using card..2924.  8Oct 14_29.eml</x:v>
      </x:c>
      <x:c r="I52" s="15" t="str"/>
    </x:row>
    <x:row r="53">
      <x:c r="A53" s="15" t="str">
        <x:v>Review item</x:v>
      </x:c>
      <x:c r="B53" s="34" t="n">
        <x:v>45938.60763888889</x:v>
      </x:c>
      <x:c r="C53" s="38" t="n">
        <x:v>152</x:v>
      </x:c>
      <x:c r="D53" s="15" t="str">
        <x:v>Temu</x:v>
      </x:c>
      <x:c r="E53" s="15" t="str">
        <x:v>Category assignment is low confidence.</x:v>
      </x:c>
      <x:c r="F53" s="15" t="str">
        <x:v>Category confidence Low: Default card-spend category; merchant not confidently mapped.</x:v>
      </x:c>
      <x:c r="G53" s="15" t="str">
        <x:v>eml_ALL_currentac__512781 (2).zip &gt; eml12currentac__512781.zip</x:v>
      </x:c>
      <x:c r="H53" s="15" t="str">
        <x:v>FNB _-) R152.00 reserved for purchase @ Temu from Current a_c..512781 using card..2924.  8Oct 14_35.eml</x:v>
      </x:c>
      <x:c r="I53" s="15" t="str"/>
    </x:row>
    <x:row r="54">
      <x:c r="A54" s="15" t="str">
        <x:v>Review item</x:v>
      </x:c>
      <x:c r="B54" s="34" t="n">
        <x:v>45938.620833333334</x:v>
      </x:c>
      <x:c r="C54" s="38" t="n">
        <x:v>170</x:v>
      </x:c>
      <x:c r="D54" s="15" t="str">
        <x:v>Temu</x:v>
      </x:c>
      <x:c r="E54" s="15" t="str">
        <x:v>Category assignment is low confidence.</x:v>
      </x:c>
      <x:c r="F54" s="15" t="str">
        <x:v>Category confidence Low: Default card-spend category; merchant not confidently mapped.</x:v>
      </x:c>
      <x:c r="G54" s="15" t="str">
        <x:v>eml_ALL_currentac__512781 (2).zip &gt; eml12currentac__512781.zip</x:v>
      </x:c>
      <x:c r="H54" s="15" t="str">
        <x:v>FNB _-) R170.00 reserved for purchase @ Temu from Current a_c..512781 using card..2924.  8Oct 14_54.eml</x:v>
      </x:c>
      <x:c r="I54" s="15" t="str"/>
    </x:row>
    <x:row r="55">
      <x:c r="A55" s="15" t="str">
        <x:v>Review item</x:v>
      </x:c>
      <x:c r="B55" s="34" t="n">
        <x:v>45939.458333333336</x:v>
      </x:c>
      <x:c r="C55" s="38"/>
      <x:c r="D55" s="15" t="str">
        <x:v>Sf Mndlovu..646958</x:v>
      </x:c>
      <x:c r="E55" s="15" t="str">
        <x:v>Category assignment is low confidence.</x:v>
      </x:c>
      <x:c r="F55" s="15" t="str">
        <x:v>Payment link creation only; no money movement indicated. Category confidence Low: Unable to map confidently.</x:v>
      </x:c>
      <x:c r="G55" s="15" t="str">
        <x:v>eml_ALL_currentac__512781 (2).zip &gt; eml12currentac__512781.zip</x:v>
      </x:c>
      <x:c r="H55" s="15" t="str">
        <x:v>FNB _-) Payment Link created from Current a_c..512781 To Sf Mndlovu..646958 @ Smartapp.  9Oct 11_00 Call 087 575 9404  for help..eml</x:v>
      </x:c>
      <x:c r="I55" s="15" t="str"/>
    </x:row>
    <x:row r="56">
      <x:c r="A56" s="15" t="str">
        <x:v>Review item</x:v>
      </x:c>
      <x:c r="B56" s="34" t="n">
        <x:v>45939.566666666666</x:v>
      </x:c>
      <x:c r="C56" s="38" t="n">
        <x:v>115</x:v>
      </x:c>
      <x:c r="D56" s="15" t="str">
        <x:v>Gfc Whisky Packhouse</x:v>
      </x:c>
      <x:c r="E56" s="15" t="str">
        <x:v>Category assignment is low confidence.</x:v>
      </x:c>
      <x:c r="F56" s="15" t="str">
        <x:v>Category confidence Low: Default card-spend category; merchant not confidently mapped.</x:v>
      </x:c>
      <x:c r="G56" s="15" t="str">
        <x:v>eml_ALL_currentac__512781 (2).zip &gt; eml12currentac__512781.zip</x:v>
      </x:c>
      <x:c r="H56" s="15" t="str">
        <x:v>FNB _-) R115.00 reserved for purchase @ Gfc Whisky Packhouse from Current a_c..512781 using card..2924.  9Oct 13_36.eml</x:v>
      </x:c>
      <x:c r="I56" s="15" t="str"/>
    </x:row>
    <x:row r="57">
      <x:c r="A57" s="15" t="str">
        <x:v>Review item</x:v>
      </x:c>
      <x:c r="B57" s="34" t="n">
        <x:v>45940.561111111114</x:v>
      </x:c>
      <x:c r="C57" s="38"/>
      <x:c r="D57" s="15" t="str">
        <x:v>R + A Project..990460</x:v>
      </x:c>
      <x:c r="E57" s="15" t="str">
        <x:v>Category assignment is low confidence.</x:v>
      </x:c>
      <x:c r="F57" s="15" t="str">
        <x:v>Payment link creation only; no money movement indicated. Category confidence Low: Unable to map confidently.</x:v>
      </x:c>
      <x:c r="G57" s="15" t="str">
        <x:v>eml_ALL_currentac__512781 (2).zip &gt; eml12currentac__512781.zip</x:v>
      </x:c>
      <x:c r="H57" s="15" t="str">
        <x:v>FNB _-) Payment Link created from Current a_c..512781 To R + A Project..990460 @ Smartapp. 10Oct 13_28 Call 087 575 9404  for help..eml</x:v>
      </x:c>
      <x:c r="I57" s="15" t="str"/>
    </x:row>
    <x:row r="58">
      <x:c r="A58" s="15" t="str">
        <x:v>Review item</x:v>
      </x:c>
      <x:c r="B58" s="34" t="n">
        <x:v>45940.561111111114</x:v>
      </x:c>
      <x:c r="C58" s="38" t="n">
        <x:v>1950</x:v>
      </x:c>
      <x:c r="D58" s="15" t="str">
        <x:v>R + A Projects</x:v>
      </x:c>
      <x:c r="E58" s="15" t="str">
        <x:v>Category assignment is low confidence.</x:v>
      </x:c>
      <x:c r="F58" s="15" t="str">
        <x:v>Category confidence Low: Default outflow category; review counterparty/reference.</x:v>
      </x:c>
      <x:c r="G58" s="15" t="str">
        <x:v>eml_ALL_currentac__512781 (2).zip &gt; eml12currentac__512781.zip</x:v>
      </x:c>
      <x:c r="H58" s="15" t="str">
        <x:v>FNB _-) R1950.00 paid from Current a_c..512781 @ Smartapp. Ref.R + A Projects. 10Oct 13_28.eml</x:v>
      </x:c>
      <x:c r="I58" s="15" t="str"/>
    </x:row>
    <x:row r="59">
      <x:c r="A59" s="15" t="str">
        <x:v>Review item</x:v>
      </x:c>
      <x:c r="B59" s="34" t="n">
        <x:v>45940.56180555555</x:v>
      </x:c>
      <x:c r="C59" s="38" t="n">
        <x:v>2244</x:v>
      </x:c>
      <x:c r="D59" s="15" t="str">
        <x:v>Nyala Safari 146</x:v>
      </x:c>
      <x:c r="E59" s="15" t="str">
        <x:v>Category assignment is low confidence.</x:v>
      </x:c>
      <x:c r="F59" s="15" t="str">
        <x:v>Category confidence Low: Default outflow category; review counterparty/reference.</x:v>
      </x:c>
      <x:c r="G59" s="15" t="str">
        <x:v>eml_ALL_currentac__512781 (2).zip &gt; eml12currentac__512781.zip</x:v>
      </x:c>
      <x:c r="H59" s="15" t="str">
        <x:v>FNB _-) R2244.00 paid from Current a_c..512781 @ Smartapp. Ref.Nyala Safari 146. 10Oct 13_29.eml</x:v>
      </x:c>
      <x:c r="I59" s="15" t="str"/>
    </x:row>
    <x:row r="60">
      <x:c r="A60" s="15" t="str">
        <x:v>Review item</x:v>
      </x:c>
      <x:c r="B60" s="34" t="n">
        <x:v>45942</x:v>
      </x:c>
      <x:c r="C60" s="38" t="n">
        <x:v>150</x:v>
      </x:c>
      <x:c r="D60" s="15" t="str">
        <x:v>Cr Vc Temu</x:v>
      </x:c>
      <x:c r="E60" s="15" t="str">
        <x:v>Refund/reversal transaction; separated from normal income/expense.</x:v>
      </x:c>
      <x:c r="F60" s="15" t="str">
        <x:v>Reversal/refund cashflow separated from regular income.</x:v>
      </x:c>
      <x:c r="G60" s="15" t="str">
        <x:v>eml_ALL_currentac__512781 (2).zip &gt; eml12currentac__512781.zip</x:v>
      </x:c>
      <x:c r="H60" s="15" t="str">
        <x:v>FNB _-) REVERSAL of R150.00 for goods purchased from Current a_c..512781. Ref.Cr Vc Temu. 12Oct 00_00.eml</x:v>
      </x:c>
      <x:c r="I60" s="15" t="str"/>
    </x:row>
    <x:row r="61">
      <x:c r="A61" s="15" t="str">
        <x:v>Review item</x:v>
      </x:c>
      <x:c r="B61" s="34" t="n">
        <x:v>45942</x:v>
      </x:c>
      <x:c r="C61" s="38" t="n">
        <x:v>152</x:v>
      </x:c>
      <x:c r="D61" s="15" t="str">
        <x:v>Cr Vc Temu</x:v>
      </x:c>
      <x:c r="E61" s="15" t="str">
        <x:v>Refund/reversal transaction; separated from normal income/expense.</x:v>
      </x:c>
      <x:c r="F61" s="15" t="str">
        <x:v>Reversal/refund cashflow separated from regular income.</x:v>
      </x:c>
      <x:c r="G61" s="15" t="str">
        <x:v>eml_ALL_currentac__512781 (2).zip &gt; eml12currentac__512781.zip</x:v>
      </x:c>
      <x:c r="H61" s="15" t="str">
        <x:v>FNB _-) REVERSAL of R152.00 for goods purchased from Current a_c..512781. Ref.Cr Vc Temu. 12Oct 00_00.eml</x:v>
      </x:c>
      <x:c r="I61" s="15" t="str"/>
    </x:row>
    <x:row r="62">
      <x:c r="A62" s="15" t="str">
        <x:v>Review item</x:v>
      </x:c>
      <x:c r="B62" s="34" t="n">
        <x:v>45942</x:v>
      </x:c>
      <x:c r="C62" s="38" t="n">
        <x:v>234</x:v>
      </x:c>
      <x:c r="D62" s="15" t="str">
        <x:v>Cr Vc Temu</x:v>
      </x:c>
      <x:c r="E62" s="15" t="str">
        <x:v>Refund/reversal transaction; separated from normal income/expense.</x:v>
      </x:c>
      <x:c r="F62" s="15" t="str">
        <x:v>Reversal/refund cashflow separated from regular income.</x:v>
      </x:c>
      <x:c r="G62" s="15" t="str">
        <x:v>eml_ALL_currentac__512781 (2).zip &gt; eml12currentac__512781.zip</x:v>
      </x:c>
      <x:c r="H62" s="15" t="str">
        <x:v>FNB _-) REVERSAL of R234.00 for goods purchased from Current a_c..512781. Ref.Cr Vc Temu. 12Oct 00_00.eml</x:v>
      </x:c>
      <x:c r="I62" s="15" t="str"/>
    </x:row>
    <x:row r="63">
      <x:c r="A63" s="15" t="str">
        <x:v>Review item</x:v>
      </x:c>
      <x:c r="B63" s="34" t="n">
        <x:v>45944.42013888889</x:v>
      </x:c>
      <x:c r="C63" s="38" t="n">
        <x:v>255.76</x:v>
      </x:c>
      <x:c r="D63" s="15" t="str">
        <x:v>Bon Express 006772</x:v>
      </x:c>
      <x:c r="E63" s="15" t="str">
        <x:v>Category assignment is low confidence.</x:v>
      </x:c>
      <x:c r="F63" s="15" t="str">
        <x:v>Category confidence Low: Default outflow category; review counterparty/reference.</x:v>
      </x:c>
      <x:c r="G63" s="15" t="str">
        <x:v>eml_ALL_currentac__512781 (2).zip &gt; eml12currentac__512781.zip</x:v>
      </x:c>
      <x:c r="H63" s="15" t="str">
        <x:v>FNB _-) R255.76 paid from Current a_c..512781 @ Smartapp. Ref.Bon Express 006772. 14Oct 10_05.eml</x:v>
      </x:c>
      <x:c r="I63" s="15" t="str"/>
    </x:row>
    <x:row r="64">
      <x:c r="A64" s="15" t="str">
        <x:v>Review item</x:v>
      </x:c>
      <x:c r="B64" s="34" t="n">
        <x:v>45971.23402777778</x:v>
      </x:c>
      <x:c r="C64" s="38" t="n">
        <x:v>13332</x:v>
      </x:c>
      <x:c r="D64" s="15" t="str">
        <x:v>Sanparks Crocodile B</x:v>
      </x:c>
      <x:c r="E64" s="15" t="str">
        <x:v>Category assignment is low confidence.</x:v>
      </x:c>
      <x:c r="F64" s="15" t="str">
        <x:v>Category confidence Low: Default card-spend category; merchant not confidently mapped.</x:v>
      </x:c>
      <x:c r="G64" s="15" t="str">
        <x:v>eml_ALL_currentac__512781 (2).zip &gt; eml10currentac__512781.zip</x:v>
      </x:c>
      <x:c r="H64" s="15" t="str">
        <x:v>FNB _-) R13332.00 reserved for purchase @ Sanparks Crocodile B from Current a_c..512781 using card..2924. 10Nov 05_37.eml</x:v>
      </x:c>
      <x:c r="I64" s="15" t="str"/>
    </x:row>
    <x:row r="65">
      <x:c r="A65" s="15" t="str">
        <x:v>Review item</x:v>
      </x:c>
      <x:c r="B65" s="34" t="n">
        <x:v>45971.36736111111</x:v>
      </x:c>
      <x:c r="C65" s="38" t="n">
        <x:v>7500</x:v>
      </x:c>
      <x:c r="D65" s="15" t="str">
        <x:v>Kruger Safari 1664</x:v>
      </x:c>
      <x:c r="E65" s="15" t="str">
        <x:v>Category assignment is low confidence.</x:v>
      </x:c>
      <x:c r="F65" s="15" t="str">
        <x:v>Category confidence Low: Default outflow category; review counterparty/reference.</x:v>
      </x:c>
      <x:c r="G65" s="15" t="str">
        <x:v>eml_ALL_currentac__512781 (2).zip &gt; eml10currentac__512781.zip</x:v>
      </x:c>
      <x:c r="H65" s="15" t="str">
        <x:v>FNB _-) R7500.00 paid from Current a_c..512781 @ Smartapp. Ref.Kruger Safari 1664. 10Nov 08_49.eml</x:v>
      </x:c>
      <x:c r="I65" s="15" t="str"/>
    </x:row>
    <x:row r="66">
      <x:c r="A66" s="15" t="str">
        <x:v>Review item</x:v>
      </x:c>
      <x:c r="B66" s="34" t="n">
        <x:v>45971.57083333333</x:v>
      </x:c>
      <x:c r="C66" s="38" t="n">
        <x:v>255.76</x:v>
      </x:c>
      <x:c r="D66" s="15" t="str">
        <x:v>Bon Express 006962</x:v>
      </x:c>
      <x:c r="E66" s="15" t="str">
        <x:v>Category assignment is low confidence.</x:v>
      </x:c>
      <x:c r="F66" s="15" t="str">
        <x:v>Category confidence Low: Default outflow category; review counterparty/reference.</x:v>
      </x:c>
      <x:c r="G66" s="15" t="str">
        <x:v>eml_ALL_currentac__512781 (2).zip &gt; eml10currentac__512781.zip</x:v>
      </x:c>
      <x:c r="H66" s="15" t="str">
        <x:v>FNB _-) R255.76 paid from Current a_c..512781 @ Smartapp. Ref.Bon Express 006962. 10Nov 13_42.eml</x:v>
      </x:c>
      <x:c r="I66" s="15" t="str"/>
    </x:row>
    <x:row r="67">
      <x:c r="A67" s="15" t="str">
        <x:v>Review item</x:v>
      </x:c>
      <x:c r="B67" s="34" t="n">
        <x:v>45972.461805555555</x:v>
      </x:c>
      <x:c r="C67" s="38"/>
      <x:c r="D67" s="15" t="str">
        <x:v>Waterkloof Gas..850097</x:v>
      </x:c>
      <x:c r="E67" s="15" t="str">
        <x:v>Category assignment is low confidence.</x:v>
      </x:c>
      <x:c r="F67" s="15" t="str">
        <x:v>Payment link creation only; no money movement indicated. Category confidence Low: Unable to map confidently.</x:v>
      </x:c>
      <x:c r="G67" s="15" t="str">
        <x:v>eml_ALL_currentac__512781 (2).zip &gt; eml10currentac__512781.zip</x:v>
      </x:c>
      <x:c r="H67" s="15" t="str">
        <x:v>FNB _-) Payment Link created from Current a_c..512781 To Waterkloof Gas..850097 @ Smartapp. 11Nov 11_05 Call 087 575 9404  for help..eml</x:v>
      </x:c>
      <x:c r="I67" s="15" t="str"/>
    </x:row>
    <x:row r="68">
      <x:c r="A68" s="15" t="str">
        <x:v>Review item</x:v>
      </x:c>
      <x:c r="B68" s="34" t="n">
        <x:v>45972.4625</x:v>
      </x:c>
      <x:c r="C68" s="38" t="n">
        <x:v>1258</x:v>
      </x:c>
      <x:c r="D68" s="15" t="str">
        <x:v>Waterkloof Gas 9632</x:v>
      </x:c>
      <x:c r="E68" s="15" t="str">
        <x:v>Category assignment is low confidence.</x:v>
      </x:c>
      <x:c r="F68" s="15" t="str">
        <x:v>Category confidence Low: Default outflow category; review counterparty/reference.</x:v>
      </x:c>
      <x:c r="G68" s="15" t="str">
        <x:v>eml_ALL_currentac__512781 (2).zip &gt; eml10currentac__512781.zip</x:v>
      </x:c>
      <x:c r="H68" s="15" t="str">
        <x:v>FNB _-) R1258.00 paid from Current a_c..512781 @ Smartapp. Ref.Waterkloof Gas 9632. 11Nov 11_06.eml</x:v>
      </x:c>
      <x:c r="I68" s="15" t="str"/>
    </x:row>
    <x:row r="69">
      <x:c r="A69" s="15" t="str">
        <x:v>Review item</x:v>
      </x:c>
      <x:c r="B69" s="34" t="n">
        <x:v>45972.606944444444</x:v>
      </x:c>
      <x:c r="C69" s="38"/>
      <x:c r="D69" s="15" t="str">
        <x:v>Royal Safari Company..309283</x:v>
      </x:c>
      <x:c r="E69" s="15" t="str">
        <x:v>Category assignment is low confidence.</x:v>
      </x:c>
      <x:c r="F69" s="15" t="str">
        <x:v>Payment link creation only; no money movement indicated. Category confidence Low: Unable to map confidently.</x:v>
      </x:c>
      <x:c r="G69" s="15" t="str">
        <x:v>eml_ALL_currentac__512781 (2).zip &gt; eml10currentac__512781.zip</x:v>
      </x:c>
      <x:c r="H69" s="15" t="str">
        <x:v>FNB _-) Payment Link created from Current a_c..512781 To Royal Safari Company..309283 @ Smartapp. 11Nov 14_34 Call 087 575 9404  for help..eml</x:v>
      </x:c>
      <x:c r="I69" s="15" t="str"/>
    </x:row>
    <x:row r="70">
      <x:c r="A70" s="15" t="str">
        <x:v>Review item</x:v>
      </x:c>
      <x:c r="B70" s="34" t="n">
        <x:v>45972.60763888889</x:v>
      </x:c>
      <x:c r="C70" s="38" t="n">
        <x:v>21945</x:v>
      </x:c>
      <x:c r="D70" s="15" t="str">
        <x:v>Royal Bush 3380 50%</x:v>
      </x:c>
      <x:c r="E70" s="15" t="str">
        <x:v>Category assignment is low confidence.</x:v>
      </x:c>
      <x:c r="F70" s="15" t="str">
        <x:v>Category confidence Low: Default outflow category; review counterparty/reference.</x:v>
      </x:c>
      <x:c r="G70" s="15" t="str">
        <x:v>eml_ALL_currentac__512781 (2).zip &gt; eml10currentac__512781.zip</x:v>
      </x:c>
      <x:c r="H70" s="15" t="str">
        <x:v>FNB _-) R21945.00 paid from Current a_c..512781 @ Gen Ph. Ref.Royal Bush 3380 50%. 11Nov 14_35.eml</x:v>
      </x:c>
      <x:c r="I70" s="15" t="str"/>
    </x:row>
    <x:row r="71">
      <x:c r="A71" s="15" t="str">
        <x:v>Review item</x:v>
      </x:c>
      <x:c r="B71" s="34" t="n">
        <x:v>45974.35138888889</x:v>
      </x:c>
      <x:c r="C71" s="38" t="n">
        <x:v>590</x:v>
      </x:c>
      <x:c r="D71" s="15" t="str">
        <x:v>Mr Plumber- Inv 5053</x:v>
      </x:c>
      <x:c r="E71" s="15" t="str">
        <x:v>Category assignment is low confidence.</x:v>
      </x:c>
      <x:c r="F71" s="15" t="str">
        <x:v>Category confidence Low: Default outflow category; review counterparty/reference.</x:v>
      </x:c>
      <x:c r="G71" s="15" t="str">
        <x:v>eml_ALL_currentac__512781 (2).zip &gt; eml10currentac__512781.zip</x:v>
      </x:c>
      <x:c r="H71" s="15" t="str">
        <x:v>FNB _-) R590.00 paid from Current a_c..512781 @ Smartapp. Ref.Mr Plumber- Inv 5053. 13Nov 08_26.eml</x:v>
      </x:c>
      <x:c r="I71" s="15" t="str"/>
    </x:row>
    <x:row r="72">
      <x:c r="A72" s="15" t="str">
        <x:v>Review item</x:v>
      </x:c>
      <x:c r="B72" s="34" t="n">
        <x:v>45975.37847222222</x:v>
      </x:c>
      <x:c r="C72" s="38"/>
      <x:c r="D72" s="15" t="str">
        <x:v>R Vedder Horse Back..369915</x:v>
      </x:c>
      <x:c r="E72" s="15" t="str">
        <x:v>Category assignment is low confidence.</x:v>
      </x:c>
      <x:c r="F72" s="15" t="str">
        <x:v>Payment link creation only; no money movement indicated. Category confidence Low: Unable to map confidently.</x:v>
      </x:c>
      <x:c r="G72" s="15" t="str">
        <x:v>eml_ALL_currentac__512781 (2).zip &gt; eml10currentac__512781.zip</x:v>
      </x:c>
      <x:c r="H72" s="15" t="str">
        <x:v>FNB _-) Payment Link created from Current a_c..512781 To R Vedder Horse Back..369915 @ Smartapp. 14Nov 09_05 Call 087 575 9404  for help..eml</x:v>
      </x:c>
      <x:c r="I72" s="15" t="str"/>
    </x:row>
    <x:row r="73">
      <x:c r="A73" s="15" t="str">
        <x:v>Review item</x:v>
      </x:c>
      <x:c r="B73" s="34" t="n">
        <x:v>45975.37847222222</x:v>
      </x:c>
      <x:c r="C73" s="38" t="n">
        <x:v>1400</x:v>
      </x:c>
      <x:c r="D73" s="15" t="str">
        <x:v>Horse Af2hr2011</x:v>
      </x:c>
      <x:c r="E73" s="15" t="str">
        <x:v>Category assignment is low confidence.</x:v>
      </x:c>
      <x:c r="F73" s="15" t="str">
        <x:v>Category confidence Low: Default outflow category; review counterparty/reference.</x:v>
      </x:c>
      <x:c r="G73" s="15" t="str">
        <x:v>eml_ALL_currentac__512781 (2).zip &gt; eml10currentac__512781.zip</x:v>
      </x:c>
      <x:c r="H73" s="15" t="str">
        <x:v>FNB _-) R1400.00 paid from Current a_c..512781 @ Smartapp. Ref.Horse Af2hr2011. 14Nov 09_05.eml</x:v>
      </x:c>
      <x:c r="I73" s="15" t="str"/>
    </x:row>
    <x:row r="74">
      <x:c r="A74" s="15" t="str">
        <x:v>Review item</x:v>
      </x:c>
      <x:c r="B74" s="34" t="n">
        <x:v>45975.45416666667</x:v>
      </x:c>
      <x:c r="C74" s="38" t="n">
        <x:v>26185</x:v>
      </x:c>
      <x:c r="D74" s="15" t="str">
        <x:v>Royal 3380 + 3463</x:v>
      </x:c>
      <x:c r="E74" s="15" t="str">
        <x:v>Category assignment is low confidence.</x:v>
      </x:c>
      <x:c r="F74" s="15" t="str">
        <x:v>Category confidence Low: Default outflow category; review counterparty/reference.</x:v>
      </x:c>
      <x:c r="G74" s="15" t="str">
        <x:v>eml_ALL_currentac__512781 (2).zip &gt; eml10currentac__512781.zip</x:v>
      </x:c>
      <x:c r="H74" s="15" t="str">
        <x:v>FNB _-) R26185.00 paid from Current a_c..512781 @ Smartapp. Ref.Royal 3380 + 3463. 14Nov 10_54.eml</x:v>
      </x:c>
      <x:c r="I74" s="15" t="str"/>
    </x:row>
    <x:row r="75">
      <x:c r="A75" s="15" t="str">
        <x:v>Review item</x:v>
      </x:c>
      <x:c r="B75" s="34" t="n">
        <x:v>45975.459027777775</x:v>
      </x:c>
      <x:c r="C75" s="38" t="n">
        <x:v>5074</x:v>
      </x:c>
      <x:c r="D75" s="15" t="str">
        <x:v>Kruger Safari 1665</x:v>
      </x:c>
      <x:c r="E75" s="15" t="str">
        <x:v>Category assignment is low confidence.</x:v>
      </x:c>
      <x:c r="F75" s="15" t="str">
        <x:v>Category confidence Low: Default outflow category; review counterparty/reference.</x:v>
      </x:c>
      <x:c r="G75" s="15" t="str">
        <x:v>eml_ALL_currentac__512781 (2).zip &gt; eml10currentac__512781.zip</x:v>
      </x:c>
      <x:c r="H75" s="15" t="str">
        <x:v>FNB _-) R5074.00 paid from Current a_c..512781 @ Smartapp. Ref.Kruger Safari 1665. 14Nov 11_01.eml</x:v>
      </x:c>
      <x:c r="I75" s="15" t="str"/>
    </x:row>
    <x:row r="76">
      <x:c r="A76" s="15" t="str">
        <x:v>Review item</x:v>
      </x:c>
      <x:c r="B76" s="34" t="n">
        <x:v>45975.47777777778</x:v>
      </x:c>
      <x:c r="C76" s="38" t="n">
        <x:v>220</x:v>
      </x:c>
      <x:c r="D76" s="15" t="str">
        <x:v>Smart Home</x:v>
      </x:c>
      <x:c r="E76" s="15" t="str">
        <x:v>Category assignment is low confidence.</x:v>
      </x:c>
      <x:c r="F76" s="15" t="str">
        <x:v>Category confidence Low: Default card-spend category; merchant not confidently mapped.</x:v>
      </x:c>
      <x:c r="G76" s="15" t="str">
        <x:v>eml_ALL_currentac__512781 (2).zip &gt; eml10currentac__512781.zip</x:v>
      </x:c>
      <x:c r="H76" s="15" t="str">
        <x:v>FNB _-) R220.00 reserved for purchase @ Smart Home from Current a_c..512781 using card..2924. 14Nov 11_28.eml</x:v>
      </x:c>
      <x:c r="I76" s="15" t="str"/>
    </x:row>
    <x:row r="77">
      <x:c r="A77" s="15" t="str">
        <x:v>Review item</x:v>
      </x:c>
      <x:c r="B77" s="34" t="n">
        <x:v>45975.49166666667</x:v>
      </x:c>
      <x:c r="C77" s="38" t="n">
        <x:v>223</x:v>
      </x:c>
      <x:c r="D77" s="15" t="str">
        <x:v>Dream Lucky</x:v>
      </x:c>
      <x:c r="E77" s="15" t="str">
        <x:v>Category assignment is low confidence.</x:v>
      </x:c>
      <x:c r="F77" s="15" t="str">
        <x:v>Category confidence Low: Default card-spend category; merchant not confidently mapped.</x:v>
      </x:c>
      <x:c r="G77" s="15" t="str">
        <x:v>eml_ALL_currentac__512781 (2).zip &gt; eml10currentac__512781.zip</x:v>
      </x:c>
      <x:c r="H77" s="15" t="str">
        <x:v>FNB _-) R223.00 reserved for purchase @ Dream Lucky from Current a_c..512781 using card..2924. 14Nov 11_48.eml</x:v>
      </x:c>
      <x:c r="I77" s="15" t="str"/>
    </x:row>
    <x:row r="78">
      <x:c r="A78" s="15" t="str">
        <x:v>Review item</x:v>
      </x:c>
      <x:c r="B78" s="34" t="n">
        <x:v>45978.2125</x:v>
      </x:c>
      <x:c r="C78" s="38" t="n">
        <x:v>11016</x:v>
      </x:c>
      <x:c r="D78" s="15" t="str">
        <x:v>Kruger Saf 1662/1663</x:v>
      </x:c>
      <x:c r="E78" s="15" t="str">
        <x:v>Category assignment is low confidence.</x:v>
      </x:c>
      <x:c r="F78" s="15" t="str">
        <x:v>Category confidence Low: Default outflow category; review counterparty/reference.</x:v>
      </x:c>
      <x:c r="G78" s="15" t="str">
        <x:v>eml_ALL_currentac__512781 (2).zip &gt; eml10currentac__512781.zip</x:v>
      </x:c>
      <x:c r="H78" s="15" t="str">
        <x:v>FNB _-) R11016.00 paid from Current a_c..512781 @ Gen Ph. Ref.Kruger Saf 1662_1663. 17Nov 05_06.eml</x:v>
      </x:c>
      <x:c r="I78" s="15" t="str"/>
    </x:row>
    <x:row r="79">
      <x:c r="A79" s="15" t="str">
        <x:v>Review item</x:v>
      </x:c>
      <x:c r="B79" s="34" t="n">
        <x:v>45978.85208333333</x:v>
      </x:c>
      <x:c r="C79" s="38"/>
      <x:c r="D79" s="15" t="str">
        <x:v>Ntonwasi (pty) Ltd..390477</x:v>
      </x:c>
      <x:c r="E79" s="15" t="str">
        <x:v>Category assignment is low confidence.</x:v>
      </x:c>
      <x:c r="F79" s="15" t="str">
        <x:v>Payment link creation only; no money movement indicated. Category confidence Low: Unable to map confidently.</x:v>
      </x:c>
      <x:c r="G79" s="15" t="str">
        <x:v>eml_ALL_currentac__512781 (2).zip &gt; eml10currentac__512781.zip</x:v>
      </x:c>
      <x:c r="H79" s="15" t="str">
        <x:v>FNB _-) Payment Link created from Current a_c..512781 To Ntonwasi (pty) Ltd..390477 @ Smartapp. 17Nov 20_27 Call 087 575 9404  for help..eml</x:v>
      </x:c>
      <x:c r="I79" s="15" t="str"/>
    </x:row>
    <x:row r="80">
      <x:c r="A80" s="15" t="str">
        <x:v>Review item</x:v>
      </x:c>
      <x:c r="B80" s="34" t="n">
        <x:v>45978.85277777778</x:v>
      </x:c>
      <x:c r="C80" s="38" t="n">
        <x:v>2770</x:v>
      </x:c>
      <x:c r="D80" s="15" t="str">
        <x:v>Ntonwasi Saf Inv476</x:v>
      </x:c>
      <x:c r="E80" s="15" t="str">
        <x:v>Category assignment is low confidence.</x:v>
      </x:c>
      <x:c r="F80" s="15" t="str">
        <x:v>Category confidence Low: Default outflow category; review counterparty/reference.</x:v>
      </x:c>
      <x:c r="G80" s="15" t="str">
        <x:v>eml_ALL_currentac__512781 (2).zip &gt; eml10currentac__512781.zip</x:v>
      </x:c>
      <x:c r="H80" s="15" t="str">
        <x:v>FNB _-) R2770.00 paid from Current a_c..512781 @ Smartapp. Ref.Ntonwasi Saf Inv476. 17Nov 20_28.eml</x:v>
      </x:c>
      <x:c r="I80" s="15" t="str"/>
    </x:row>
    <x:row r="81">
      <x:c r="A81" s="15" t="str">
        <x:v>Review item</x:v>
      </x:c>
      <x:c r="B81" s="34" t="n">
        <x:v>45981.47361111111</x:v>
      </x:c>
      <x:c r="C81" s="38" t="n">
        <x:v>125</x:v>
      </x:c>
      <x:c r="D81" s="15" t="str">
        <x:v>Bossa Nelspruit</x:v>
      </x:c>
      <x:c r="E81" s="15" t="str">
        <x:v>Category assignment is low confidence.</x:v>
      </x:c>
      <x:c r="F81" s="15" t="str">
        <x:v>Category confidence Low: Default card-spend category; merchant not confidently mapped.</x:v>
      </x:c>
      <x:c r="G81" s="15" t="str">
        <x:v>eml_ALL_currentac__512781 (2).zip &gt; eml10currentac__512781.zip</x:v>
      </x:c>
      <x:c r="H81" s="15" t="str">
        <x:v>FNB _-) R125.00 reserved for purchase @ Bossa Nelspruit from Current a_c..512781 using card..2924. 20Nov 11_22.eml</x:v>
      </x:c>
      <x:c r="I81" s="15" t="str"/>
    </x:row>
    <x:row r="82">
      <x:c r="A82" s="15" t="str">
        <x:v>Review item</x:v>
      </x:c>
      <x:c r="B82" s="34" t="n">
        <x:v>45981.50277777778</x:v>
      </x:c>
      <x:c r="C82" s="38" t="n">
        <x:v>778.98</x:v>
      </x:c>
      <x:c r="D82" s="15" t="str">
        <x:v>Card purchase reversal</x:v>
      </x:c>
      <x:c r="E82" s="15" t="str">
        <x:v>Refund/reversal transaction; separated from normal income/expense.</x:v>
      </x:c>
      <x:c r="F82" s="15" t="str">
        <x:v>Reversal/refund cashflow separated from regular income.</x:v>
      </x:c>
      <x:c r="G82" s="15" t="str">
        <x:v>eml_ALL_currentac__512781 (2).zip &gt; eml10currentac__512781.zip</x:v>
      </x:c>
      <x:c r="H82" s="15" t="str">
        <x:v>FNB _-) REVERSAL of R778.98 for goods purchased from Current a_c..512781 using card..2924. 20Nov 12_04.eml</x:v>
      </x:c>
      <x:c r="I82" s="15" t="str"/>
    </x:row>
    <x:row r="83">
      <x:c r="A83" s="15" t="str">
        <x:v>Review item</x:v>
      </x:c>
      <x:c r="B83" s="34" t="n">
        <x:v>45981.61388888889</x:v>
      </x:c>
      <x:c r="C83" s="38" t="n">
        <x:v>8112</x:v>
      </x:c>
      <x:c r="D83" s="15" t="str">
        <x:v>Kruger Safari 1666</x:v>
      </x:c>
      <x:c r="E83" s="15" t="str">
        <x:v>Category assignment is low confidence.</x:v>
      </x:c>
      <x:c r="F83" s="15" t="str">
        <x:v>Category confidence Low: Default outflow category; review counterparty/reference.</x:v>
      </x:c>
      <x:c r="G83" s="15" t="str">
        <x:v>eml_ALL_currentac__512781 (2).zip &gt; eml10currentac__512781.zip</x:v>
      </x:c>
      <x:c r="H83" s="15" t="str">
        <x:v>FNB _-) R8112.00 paid from Current a_c..512781 @ Gen Ph. Ref.Kruger Safari 1666. 20Nov 14_44.eml</x:v>
      </x:c>
      <x:c r="I83" s="15" t="str"/>
    </x:row>
    <x:row r="84">
      <x:c r="A84" s="15" t="str">
        <x:v>Review item</x:v>
      </x:c>
      <x:c r="B84" s="34" t="n">
        <x:v>45981.74652777778</x:v>
      </x:c>
      <x:c r="C84" s="38"/>
      <x:c r="D84" s="15" t="str">
        <x:v>Ac De Jager Vleis..269640</x:v>
      </x:c>
      <x:c r="E84" s="15" t="str">
        <x:v>Category assignment is low confidence.</x:v>
      </x:c>
      <x:c r="F84" s="15" t="str">
        <x:v>Payment link creation only; no money movement indicated. Category confidence Low: Unable to map confidently.</x:v>
      </x:c>
      <x:c r="G84" s="15" t="str">
        <x:v>eml_ALL_currentac__512781 (2).zip &gt; eml10currentac__512781.zip</x:v>
      </x:c>
      <x:c r="H84" s="15" t="str">
        <x:v>FNB _-) Payment Link created from Current a_c..512781 To Ac De Jager Vleis..269640 @ Smartapp. 20Nov 17_55 Call 087 575 9404  for help..eml</x:v>
      </x:c>
      <x:c r="I84" s="15" t="str"/>
    </x:row>
    <x:row r="85">
      <x:c r="A85" s="15" t="str">
        <x:v>Review item</x:v>
      </x:c>
      <x:c r="B85" s="34" t="n">
        <x:v>45981.74722222222</x:v>
      </x:c>
      <x:c r="C85" s="38" t="n">
        <x:v>1842.04</x:v>
      </x:c>
      <x:c r="D85" s="15" t="str">
        <x:v>Ac De Jager Vleis</x:v>
      </x:c>
      <x:c r="E85" s="15" t="str">
        <x:v>Category assignment is low confidence.</x:v>
      </x:c>
      <x:c r="F85" s="15" t="str">
        <x:v>Category confidence Low: Default outflow category; review counterparty/reference.</x:v>
      </x:c>
      <x:c r="G85" s="15" t="str">
        <x:v>eml_ALL_currentac__512781 (2).zip &gt; eml10currentac__512781.zip</x:v>
      </x:c>
      <x:c r="H85" s="15" t="str">
        <x:v>FNB _-) R1842.04 paid from Current a_c..512781 @ Smartapp. Ref.Ac De Jager Vleis. 20Nov 17_56.eml</x:v>
      </x:c>
      <x:c r="I85" s="15" t="str"/>
    </x:row>
    <x:row r="86">
      <x:c r="A86" s="15" t="str">
        <x:v>Review item</x:v>
      </x:c>
      <x:c r="B86" s="34" t="n">
        <x:v>45982.40902777778</x:v>
      </x:c>
      <x:c r="C86" s="38" t="n">
        <x:v>546.25</x:v>
      </x:c>
      <x:c r="D86" s="15" t="str">
        <x:v>Bon Express 007058</x:v>
      </x:c>
      <x:c r="E86" s="15" t="str">
        <x:v>Category assignment is low confidence.</x:v>
      </x:c>
      <x:c r="F86" s="15" t="str">
        <x:v>Category confidence Low: Default outflow category; review counterparty/reference.</x:v>
      </x:c>
      <x:c r="G86" s="15" t="str">
        <x:v>eml_ALL_currentac__512781 (2).zip &gt; eml10currentac__512781.zip</x:v>
      </x:c>
      <x:c r="H86" s="15" t="str">
        <x:v>FNB _-) R546.25 paid from Current a_c..512781 @ Smartapp. Ref.Bon Express 007058. 21Nov 09_49.eml</x:v>
      </x:c>
      <x:c r="I86" s="15" t="str"/>
    </x:row>
    <x:row r="87">
      <x:c r="A87" s="15" t="str">
        <x:v>Review item</x:v>
      </x:c>
      <x:c r="B87" s="34" t="n">
        <x:v>45982.63333333333</x:v>
      </x:c>
      <x:c r="C87" s="38"/>
      <x:c r="D87" s="15" t="str">
        <x:v>African Dream Amenit..032135</x:v>
      </x:c>
      <x:c r="E87" s="15" t="str">
        <x:v>Category assignment is low confidence.</x:v>
      </x:c>
      <x:c r="F87" s="15" t="str">
        <x:v>Payment link creation only; no money movement indicated. Category confidence Low: Unable to map confidently.</x:v>
      </x:c>
      <x:c r="G87" s="15" t="str">
        <x:v>eml_ALL_currentac__512781 (2).zip &gt; eml10currentac__512781.zip</x:v>
      </x:c>
      <x:c r="H87" s="15" t="str">
        <x:v>FNB _-) Payment Link created from Current a_c..512781 To African Dream Amenit..032135 @ Smartapp. 21Nov 15_12 Call 087 575 9404  for help..eml</x:v>
      </x:c>
      <x:c r="I87" s="15" t="str"/>
    </x:row>
    <x:row r="88">
      <x:c r="A88" s="15" t="str">
        <x:v>Review item</x:v>
      </x:c>
      <x:c r="B88" s="34" t="n">
        <x:v>45982.63402777778</x:v>
      </x:c>
      <x:c r="C88" s="38" t="n">
        <x:v>678.5</x:v>
      </x:c>
      <x:c r="D88" s="15" t="str">
        <x:v>Afr Dream In27814</x:v>
      </x:c>
      <x:c r="E88" s="15" t="str">
        <x:v>Category assignment is low confidence.</x:v>
      </x:c>
      <x:c r="F88" s="15" t="str">
        <x:v>Category confidence Low: Default outflow category; review counterparty/reference.</x:v>
      </x:c>
      <x:c r="G88" s="15" t="str">
        <x:v>eml_ALL_currentac__512781 (2).zip &gt; eml10currentac__512781.zip</x:v>
      </x:c>
      <x:c r="H88" s="15" t="str">
        <x:v>FNB _-) R678.50 paid from Current a_c..512781 @ Smartapp. Ref.Afr Dream In27814. 21Nov 15_13.eml</x:v>
      </x:c>
      <x:c r="I88" s="15" t="str"/>
    </x:row>
    <x:row r="89">
      <x:c r="A89" s="15" t="str">
        <x:v>Review item</x:v>
      </x:c>
      <x:c r="B89" s="34" t="n">
        <x:v>45982.63680555556</x:v>
      </x:c>
      <x:c r="C89" s="38" t="n">
        <x:v>5704</x:v>
      </x:c>
      <x:c r="D89" s="15" t="str">
        <x:v>Kruger Safari 1667</x:v>
      </x:c>
      <x:c r="E89" s="15" t="str">
        <x:v>Category assignment is low confidence.</x:v>
      </x:c>
      <x:c r="F89" s="15" t="str">
        <x:v>Category confidence Low: Default outflow category; review counterparty/reference.</x:v>
      </x:c>
      <x:c r="G89" s="15" t="str">
        <x:v>eml_ALL_currentac__512781 (2).zip &gt; eml10currentac__512781.zip</x:v>
      </x:c>
      <x:c r="H89" s="15" t="str">
        <x:v>FNB _-) R5704.00 paid from Current a_c..512781 @ Smartapp. Ref.Kruger Safari 1667. 21Nov 15_17.eml</x:v>
      </x:c>
      <x:c r="I89" s="15" t="str"/>
    </x:row>
    <x:row r="90">
      <x:c r="A90" s="15" t="str">
        <x:v>Review item</x:v>
      </x:c>
      <x:c r="B90" s="34" t="n">
        <x:v>45987.50902777778</x:v>
      </x:c>
      <x:c r="C90" s="38" t="n">
        <x:v>321</x:v>
      </x:c>
      <x:c r="D90" s="15" t="str">
        <x:v>Waterkloofgas 236</x:v>
      </x:c>
      <x:c r="E90" s="15" t="str">
        <x:v>Category assignment is low confidence.</x:v>
      </x:c>
      <x:c r="F90" s="15" t="str">
        <x:v>Category confidence Low: Default card-spend category; merchant not confidently mapped.</x:v>
      </x:c>
      <x:c r="G90" s="15" t="str">
        <x:v>eml_ALL_currentac__512781 (2).zip &gt; eml10currentac__512781.zip</x:v>
      </x:c>
      <x:c r="H90" s="15" t="str">
        <x:v>FNB _-) R321.00 reserved for purchase @ Waterkloofgas 236 from Current a_c..512781 using card..2924. 26Nov 12_13.eml</x:v>
      </x:c>
      <x:c r="I90" s="15" t="str"/>
    </x:row>
    <x:row r="91">
      <x:c r="A91" s="15" t="str">
        <x:v>Review item</x:v>
      </x:c>
      <x:c r="B91" s="34" t="n">
        <x:v>45987.65</x:v>
      </x:c>
      <x:c r="C91" s="38" t="n">
        <x:v>2440</x:v>
      </x:c>
      <x:c r="D91" s="15" t="str">
        <x:v>Kruger Safari 1668</x:v>
      </x:c>
      <x:c r="E91" s="15" t="str">
        <x:v>Category assignment is low confidence.</x:v>
      </x:c>
      <x:c r="F91" s="15" t="str">
        <x:v>Category confidence Low: Default outflow category; review counterparty/reference.</x:v>
      </x:c>
      <x:c r="G91" s="15" t="str">
        <x:v>eml_ALL_currentac__512781 (2).zip &gt; eml10currentac__512781.zip</x:v>
      </x:c>
      <x:c r="H91" s="15" t="str">
        <x:v>FNB _-) R2440.00 paid from Current a_c..512781 @ Smartapp. Ref.Kruger Safari 1668. 26Nov 15_36.eml</x:v>
      </x:c>
      <x:c r="I91" s="15" t="str"/>
    </x:row>
    <x:row r="92">
      <x:c r="A92" s="15" t="str">
        <x:v>Review item</x:v>
      </x:c>
      <x:c r="B92" s="34" t="n">
        <x:v>45988.11736111111</x:v>
      </x:c>
      <x:c r="C92" s="38" t="n">
        <x:v>2910</x:v>
      </x:c>
      <x:c r="D92" s="15" t="str">
        <x:v>Kruger Safari 1669</x:v>
      </x:c>
      <x:c r="E92" s="15" t="str">
        <x:v>Category assignment is low confidence.</x:v>
      </x:c>
      <x:c r="F92" s="15" t="str">
        <x:v>Category confidence Low: Default outflow category; review counterparty/reference.</x:v>
      </x:c>
      <x:c r="G92" s="15" t="str">
        <x:v>eml_ALL_currentac__512781 (2).zip &gt; eml10currentac__512781.zip</x:v>
      </x:c>
      <x:c r="H92" s="15" t="str">
        <x:v>FNB _-) R2910.00 paid from Current a_c..512781 @ Smartapp. Ref.Kruger Safari 1669. 27Nov 02_49.eml</x:v>
      </x:c>
      <x:c r="I92" s="15" t="str"/>
    </x:row>
    <x:row r="93">
      <x:c r="A93" s="15" t="str">
        <x:v>Review item</x:v>
      </x:c>
      <x:c r="B93" s="34" t="n">
        <x:v>45990.575694444444</x:v>
      </x:c>
      <x:c r="C93" s="38" t="n">
        <x:v>5000</x:v>
      </x:c>
      <x:c r="D93" s="15" t="str">
        <x:v>Repayment</x:v>
      </x:c>
      <x:c r="E93" s="15" t="str">
        <x:v>Category assignment is low confidence.</x:v>
      </x:c>
      <x:c r="F93" s="15" t="str">
        <x:v>Category confidence Low: Default outflow category; review counterparty/reference.</x:v>
      </x:c>
      <x:c r="G93" s="15" t="str">
        <x:v>eml_ALL_currentac__512781 (2).zip &gt; eml10currentac__512781.zip</x:v>
      </x:c>
      <x:c r="H93" s="15" t="str">
        <x:v>FNB _-) R5000.00 paid from Current a_c..512781 @ Gen Ph. Ref.Repayment. 29Nov 13_49.eml</x:v>
      </x:c>
      <x:c r="I93" s="15" t="str"/>
    </x:row>
    <x:row r="94">
      <x:c r="A94" s="15" t="str">
        <x:v>Review item</x:v>
      </x:c>
      <x:c r="B94" s="34" t="n">
        <x:v>45991.76736111111</x:v>
      </x:c>
      <x:c r="C94" s="38" t="n">
        <x:v>11280</x:v>
      </x:c>
      <x:c r="D94" s="15" t="str">
        <x:v>Jsl - 9/12 Nov</x:v>
      </x:c>
      <x:c r="E94" s="15" t="str">
        <x:v>Category assignment is low confidence.</x:v>
      </x:c>
      <x:c r="F94" s="15" t="str">
        <x:v>Category confidence Low: Default outflow category; review counterparty/reference.</x:v>
      </x:c>
      <x:c r="G94" s="15" t="str">
        <x:v>eml_ALL_currentac__512781 (2).zip &gt; eml10currentac__512781.zip</x:v>
      </x:c>
      <x:c r="H94" s="15" t="str">
        <x:v>FNB _-) R11280.00 paid from Current a_c..512781 @ Gen Ph. Ref.Jsl - 9_12 Nov. 30Nov 18_25.eml</x:v>
      </x:c>
      <x:c r="I94" s="15" t="str"/>
    </x:row>
    <x:row r="95">
      <x:c r="A95" s="15" t="str">
        <x:v>Review item</x:v>
      </x:c>
      <x:c r="B95" s="34" t="n">
        <x:v>46017.728472222225</x:v>
      </x:c>
      <x:c r="C95" s="38" t="n">
        <x:v>3000</x:v>
      </x:c>
      <x:c r="D95" s="15" t="str">
        <x:v>Vacation</x:v>
      </x:c>
      <x:c r="E95" s="15" t="str">
        <x:v>Category assignment is low confidence.</x:v>
      </x:c>
      <x:c r="F95" s="15" t="str">
        <x:v>Category confidence Low: Default outflow category; review counterparty/reference.</x:v>
      </x:c>
      <x:c r="G95" s="15" t="str">
        <x:v>eml_ALL_currentac__512781 (2).zip &gt; eml8currentac__512781.zip</x:v>
      </x:c>
      <x:c r="H95" s="15" t="str">
        <x:v>FNB _-) R3000.00 paid from Current a_c..512781 @ Smartapp. Ref.Vacation. 26Dec 17_29.eml</x:v>
      </x:c>
      <x:c r="I95" s="15" t="str"/>
    </x:row>
    <x:row r="96">
      <x:c r="A96" s="15" t="str">
        <x:v>Review item</x:v>
      </x:c>
      <x:c r="B96" s="34" t="n">
        <x:v>46018.48541666667</x:v>
      </x:c>
      <x:c r="C96" s="38" t="n">
        <x:v>140</x:v>
      </x:c>
      <x:c r="D96" s="15" t="str">
        <x:v>Autozone Malelane</x:v>
      </x:c>
      <x:c r="E96" s="15" t="str">
        <x:v>Category assignment is low confidence.</x:v>
      </x:c>
      <x:c r="F96" s="15" t="str">
        <x:v>Category confidence Low: Default card-spend category; merchant not confidently mapped.</x:v>
      </x:c>
      <x:c r="G96" s="15" t="str">
        <x:v>eml_ALL_currentac__512781 (2).zip &gt; eml8currentac__512781.zip</x:v>
      </x:c>
      <x:c r="H96" s="15" t="str">
        <x:v>FNB _-) R140.00 reserved for purchase @ Autozone Malelane from Current a_c..512781 using card..2924. 27Dec 11_39.eml</x:v>
      </x:c>
      <x:c r="I96" s="15" t="str"/>
    </x:row>
    <x:row r="97">
      <x:c r="A97" s="15" t="str">
        <x:v>Review item</x:v>
      </x:c>
      <x:c r="B97" s="34" t="n">
        <x:v>46018.49930555555</x:v>
      </x:c>
      <x:c r="C97" s="38" t="n">
        <x:v>184.4</x:v>
      </x:c>
      <x:c r="D97" s="15" t="str">
        <x:v>Pnp Fam Malelane</x:v>
      </x:c>
      <x:c r="E97" s="15" t="str">
        <x:v>Category assignment is low confidence.</x:v>
      </x:c>
      <x:c r="F97" s="15" t="str">
        <x:v>Category confidence Low: Default card-spend category; merchant not confidently mapped.</x:v>
      </x:c>
      <x:c r="G97" s="15" t="str">
        <x:v>eml_ALL_currentac__512781 (2).zip &gt; eml8currentac__512781.zip</x:v>
      </x:c>
      <x:c r="H97" s="15" t="str">
        <x:v>FNB _-) R184.40 reserved for purchase @ Pnp Fam Malelane from Current a_c..512781 using card..2924. 27Dec 11_59.eml</x:v>
      </x:c>
      <x:c r="I97" s="15" t="str"/>
    </x:row>
    <x:row r="98">
      <x:c r="A98" s="15" t="str">
        <x:v>Review item</x:v>
      </x:c>
      <x:c r="B98" s="34" t="n">
        <x:v>46018.64791666667</x:v>
      </x:c>
      <x:c r="C98" s="38" t="n">
        <x:v>1273</x:v>
      </x:c>
      <x:c r="D98" s="15" t="str">
        <x:v>Waterkloof Gas 10266</x:v>
      </x:c>
      <x:c r="E98" s="15" t="str">
        <x:v>Category assignment is low confidence.</x:v>
      </x:c>
      <x:c r="F98" s="15" t="str">
        <x:v>Category confidence Low: Default outflow category; review counterparty/reference.</x:v>
      </x:c>
      <x:c r="G98" s="15" t="str">
        <x:v>eml_ALL_currentac__512781 (2).zip &gt; eml8currentac__512781.zip</x:v>
      </x:c>
      <x:c r="H98" s="15" t="str">
        <x:v>FNB _-) R1273.00 paid from Current a_c..512781 @ Smartapp. Ref.Waterkloof Gas 10266. 27Dec 15_33.eml</x:v>
      </x:c>
      <x:c r="I98" s="15" t="str"/>
    </x:row>
    <x:row r="99">
      <x:c r="A99" s="15" t="str">
        <x:v>Review item</x:v>
      </x:c>
      <x:c r="B99" s="34" t="n">
        <x:v>46019.52222222222</x:v>
      </x:c>
      <x:c r="C99" s="38"/>
      <x:c r="D99" s="15" t="str">
        <x:v>Lynne Warner..201049</x:v>
      </x:c>
      <x:c r="E99" s="15" t="str">
        <x:v>Category assignment is low confidence.</x:v>
      </x:c>
      <x:c r="F99" s="15" t="str">
        <x:v>Payment link creation only; no money movement indicated. Category confidence Low: Unable to map confidently.</x:v>
      </x:c>
      <x:c r="G99" s="15" t="str">
        <x:v>eml_ALL_currentac__512781 (2).zip &gt; eml8currentac__512781.zip</x:v>
      </x:c>
      <x:c r="H99" s="15" t="str">
        <x:v>FNB _-) Payment Link created from Current a_c..512781 To Lynne Warner..201049 @ Smartapp. 28Dec 12_32 Call 087 575 9404  for help..eml</x:v>
      </x:c>
      <x:c r="I99" s="15" t="str"/>
    </x:row>
    <x:row r="100">
      <x:c r="A100" s="15" t="str">
        <x:v>Review item</x:v>
      </x:c>
      <x:c r="B100" s="34" t="n">
        <x:v>46019.52291666667</x:v>
      </x:c>
      <x:c r="C100" s="38" t="n">
        <x:v>857.18</x:v>
      </x:c>
      <x:c r="D100" s="15" t="str">
        <x:v>Asbe - Comm</x:v>
      </x:c>
      <x:c r="E100" s="15" t="str">
        <x:v>Category assignment is low confidence.</x:v>
      </x:c>
      <x:c r="F100" s="15" t="str">
        <x:v>Category confidence Low: Default outflow category; review counterparty/reference.</x:v>
      </x:c>
      <x:c r="G100" s="15" t="str">
        <x:v>eml_ALL_currentac__512781 (2).zip &gt; eml8currentac__512781.zip</x:v>
      </x:c>
      <x:c r="H100" s="15" t="str">
        <x:v>FNB _-) R857.18 paid from Current a_c..512781 @ Smartapp. Ref.Asbe - Comm. 28Dec 12_33.eml</x:v>
      </x:c>
      <x:c r="I100" s="15" t="str"/>
    </x:row>
    <x:row r="101">
      <x:c r="A101" s="15" t="str">
        <x:v>Review item</x:v>
      </x:c>
      <x:c r="B101" s="34" t="n">
        <x:v>46021.444444444445</x:v>
      </x:c>
      <x:c r="C101" s="38" t="n">
        <x:v>13095</x:v>
      </x:c>
      <x:c r="D101" s="15" t="str">
        <x:v>Kruger Safari 1673</x:v>
      </x:c>
      <x:c r="E101" s="15" t="str">
        <x:v>Category assignment is low confidence.</x:v>
      </x:c>
      <x:c r="F101" s="15" t="str">
        <x:v>Category confidence Low: Default outflow category; review counterparty/reference.</x:v>
      </x:c>
      <x:c r="G101" s="15" t="str">
        <x:v>eml_ALL_currentac__512781 (2).zip &gt; eml8currentac__512781.zip</x:v>
      </x:c>
      <x:c r="H101" s="15" t="str">
        <x:v>FNB _-) R13095.00 paid from Current a_c..512781 @ Gen Ph. Ref.Kruger Safari 1673. 30Dec 10_40.eml</x:v>
      </x:c>
      <x:c r="I101" s="15" t="str"/>
    </x:row>
    <x:row r="102">
      <x:c r="A102" s="15" t="str">
        <x:v>Review item</x:v>
      </x:c>
      <x:c r="B102" s="34" t="n">
        <x:v>46021.52638888889</x:v>
      </x:c>
      <x:c r="C102" s="38" t="n">
        <x:v>2300</x:v>
      </x:c>
      <x:c r="D102" s="15" t="str">
        <x:v>Autozone Malelane</x:v>
      </x:c>
      <x:c r="E102" s="15" t="str">
        <x:v>Category assignment is low confidence.</x:v>
      </x:c>
      <x:c r="F102" s="15" t="str">
        <x:v>Category confidence Low: Default card-spend category; merchant not confidently mapped.</x:v>
      </x:c>
      <x:c r="G102" s="15" t="str">
        <x:v>eml_ALL_currentac__512781 (2).zip &gt; eml8currentac__512781.zip</x:v>
      </x:c>
      <x:c r="H102" s="15" t="str">
        <x:v>FNB _-) R2300.00 reserved for purchase @ Autozone Malelane from Current a_c..512781 using card..2924. 30Dec 12_38.eml</x:v>
      </x:c>
      <x:c r="I102" s="15" t="str"/>
    </x:row>
    <x:row r="103">
      <x:c r="A103" s="15" t="str">
        <x:v>Review item</x:v>
      </x:c>
      <x:c r="B103" s="34" t="n">
        <x:v>46025.73541666667</x:v>
      </x:c>
      <x:c r="C103" s="38"/>
      <x:c r="D103" s="15" t="str">
        <x:v>Annemarie Hoffman..829416</x:v>
      </x:c>
      <x:c r="E103" s="15" t="str">
        <x:v>Category assignment is low confidence.</x:v>
      </x:c>
      <x:c r="F103" s="15" t="str">
        <x:v>Payment link creation only; no money movement indicated. Category confidence Low: Unable to map confidently.</x:v>
      </x:c>
      <x:c r="G103" s="15" t="str">
        <x:v>eml_ALL_currentac__512781 (2).zip &gt; eml8currentac__512781.zip</x:v>
      </x:c>
      <x:c r="H103" s="15" t="str">
        <x:v>FNB _-) Payment Link created from Current a_c..512781 To Annemarie Hoffman..829416 @ Smartapp.  3Jan 17_39 Call 087 575 9404  for help..eml</x:v>
      </x:c>
      <x:c r="I103" s="15" t="str"/>
    </x:row>
    <x:row r="104">
      <x:c r="A104" s="15" t="str">
        <x:v>Review item</x:v>
      </x:c>
      <x:c r="B104" s="34" t="n">
        <x:v>46027.388194444444</x:v>
      </x:c>
      <x:c r="C104" s="38" t="n">
        <x:v>325</x:v>
      </x:c>
      <x:c r="D104" s="15" t="str">
        <x:v>Waterkloof Gas 10355</x:v>
      </x:c>
      <x:c r="E104" s="15" t="str">
        <x:v>Category assignment is low confidence.</x:v>
      </x:c>
      <x:c r="F104" s="15" t="str">
        <x:v>Category confidence Low: Default outflow category; review counterparty/reference.</x:v>
      </x:c>
      <x:c r="G104" s="15" t="str">
        <x:v>eml_ALL_currentac__512781 (2).zip &gt; eml8currentac__512781.zip</x:v>
      </x:c>
      <x:c r="H104" s="15" t="str">
        <x:v>FNB _-) R325.00 paid from Current a_c..512781 @ Smartapp. Ref.Waterkloof Gas 10355.  5Jan 09_19.eml</x:v>
      </x:c>
      <x:c r="I104" s="15" t="str"/>
    </x:row>
    <x:row r="105">
      <x:c r="A105" s="15" t="str">
        <x:v>Review item</x:v>
      </x:c>
      <x:c r="B105" s="34" t="n">
        <x:v>46028.77638888889</x:v>
      </x:c>
      <x:c r="C105" s="38" t="n">
        <x:v>500</x:v>
      </x:c>
      <x:c r="D105" s="15" t="str">
        <x:v>Kpci - C1736</x:v>
      </x:c>
      <x:c r="E105" s="15" t="str">
        <x:v>Category assignment is low confidence.</x:v>
      </x:c>
      <x:c r="F105" s="15" t="str">
        <x:v>Category confidence Low: Default outflow category; review counterparty/reference.</x:v>
      </x:c>
      <x:c r="G105" s="15" t="str">
        <x:v>eml_ALL_currentac__512781 (2).zip &gt; eml8currentac__512781.zip</x:v>
      </x:c>
      <x:c r="H105" s="15" t="str">
        <x:v>FNB _-) R500.00 paid from Current a_c..512781 @ Smartapp. Ref.Kpci - C1736.  6Jan 18_38.eml</x:v>
      </x:c>
      <x:c r="I105" s="15" t="str"/>
    </x:row>
    <x:row r="106">
      <x:c r="A106" s="15" t="str">
        <x:v>Review item</x:v>
      </x:c>
      <x:c r="B106" s="34" t="n">
        <x:v>46028.77777777778</x:v>
      </x:c>
      <x:c r="C106" s="38" t="n">
        <x:v>300</x:v>
      </x:c>
      <x:c r="D106" s="15" t="str">
        <x:v>Deon"s Diy 4377</x:v>
      </x:c>
      <x:c r="E106" s="15" t="str">
        <x:v>Category assignment is low confidence.</x:v>
      </x:c>
      <x:c r="F106" s="15" t="str">
        <x:v>Category confidence Low: Default outflow category; review counterparty/reference.</x:v>
      </x:c>
      <x:c r="G106" s="15" t="str">
        <x:v>eml_ALL_currentac__512781 (2).zip &gt; eml8currentac__512781.zip</x:v>
      </x:c>
      <x:c r="H106" s="15" t="str">
        <x:v>FNB _-) R300.00 paid from Current a_c..512781 @ Smartapp. Ref.Deon_s Diy 4377.  6Jan 18_40.eml</x:v>
      </x:c>
      <x:c r="I106" s="15" t="str"/>
    </x:row>
    <x:row r="107">
      <x:c r="A107" s="15" t="str">
        <x:v>Review item</x:v>
      </x:c>
      <x:c r="B107" s="34" t="n">
        <x:v>46029.65</x:v>
      </x:c>
      <x:c r="C107" s="38" t="n">
        <x:v>912.35</x:v>
      </x:c>
      <x:c r="D107" s="15" t="str">
        <x:v>Bon Express 1/07/26</x:v>
      </x:c>
      <x:c r="E107" s="15" t="str">
        <x:v>Category assignment is low confidence.</x:v>
      </x:c>
      <x:c r="F107" s="15" t="str">
        <x:v>Category confidence Low: Default outflow category; review counterparty/reference.</x:v>
      </x:c>
      <x:c r="G107" s="15" t="str">
        <x:v>eml_ALL_currentac__512781 (2).zip &gt; eml8currentac__512781.zip</x:v>
      </x:c>
      <x:c r="H107" s="15" t="str">
        <x:v>FNB _-) R912.35 paid from Current a_c..512781 @ Smartapp. Ref.Bon Express 1_07_26.  7Jan 15_36.eml</x:v>
      </x:c>
      <x:c r="I107" s="15" t="str"/>
    </x:row>
    <x:row r="108">
      <x:c r="A108" s="15" t="str">
        <x:v>Review item</x:v>
      </x:c>
      <x:c r="B108" s="34" t="n">
        <x:v>46030.60972222222</x:v>
      </x:c>
      <x:c r="C108" s="38" t="n">
        <x:v>3000</x:v>
      </x:c>
      <x:c r="D108" s="15" t="str">
        <x:v>Dreyer Ticket Jhb</x:v>
      </x:c>
      <x:c r="E108" s="15" t="str">
        <x:v>Category assignment is low confidence.</x:v>
      </x:c>
      <x:c r="F108" s="15" t="str">
        <x:v>Category confidence Low: Default outflow category; review counterparty/reference.</x:v>
      </x:c>
      <x:c r="G108" s="15" t="str">
        <x:v>eml_ALL_currentac__512781 (2).zip &gt; eml8currentac__512781.zip</x:v>
      </x:c>
      <x:c r="H108" s="15" t="str">
        <x:v>FNB _-) R3000.00 paid from Current a_c..512781 @ Smartapp. Ref.Dreyer Ticket Jhb.  8Jan 14_38.eml</x:v>
      </x:c>
      <x:c r="I108" s="15" t="str"/>
    </x:row>
    <x:row r="109">
      <x:c r="A109" s="15" t="str">
        <x:v>Review item</x:v>
      </x:c>
      <x:c r="B109" s="34" t="n">
        <x:v>46030.625</x:v>
      </x:c>
      <x:c r="C109" s="38" t="n">
        <x:v>2904</x:v>
      </x:c>
      <x:c r="D109" s="15" t="str">
        <x:v>Kruger Safari 1675</x:v>
      </x:c>
      <x:c r="E109" s="15" t="str">
        <x:v>Category assignment is low confidence.</x:v>
      </x:c>
      <x:c r="F109" s="15" t="str">
        <x:v>Category confidence Low: Default outflow category; review counterparty/reference.</x:v>
      </x:c>
      <x:c r="G109" s="15" t="str">
        <x:v>eml_ALL_currentac__512781 (2).zip &gt; eml8currentac__512781.zip</x:v>
      </x:c>
      <x:c r="H109" s="15" t="str">
        <x:v>FNB _-) R2904.00 paid from Current a_c..512781 @ Smartapp. Ref.Kruger Safari 1675.  8Jan 15_00.eml</x:v>
      </x:c>
      <x:c r="I109" s="15" t="str"/>
    </x:row>
    <x:row r="110">
      <x:c r="A110" s="15" t="str">
        <x:v>Review item</x:v>
      </x:c>
      <x:c r="B110" s="34" t="n">
        <x:v>46030.626388888886</x:v>
      </x:c>
      <x:c r="C110" s="38" t="n">
        <x:v>2904</x:v>
      </x:c>
      <x:c r="D110" s="15" t="str">
        <x:v>Kruger Safari 1674</x:v>
      </x:c>
      <x:c r="E110" s="15" t="str">
        <x:v>Category assignment is low confidence.</x:v>
      </x:c>
      <x:c r="F110" s="15" t="str">
        <x:v>Category confidence Low: Default outflow category; review counterparty/reference.</x:v>
      </x:c>
      <x:c r="G110" s="15" t="str">
        <x:v>eml_ALL_currentac__512781 (2).zip &gt; eml8currentac__512781.zip</x:v>
      </x:c>
      <x:c r="H110" s="15" t="str">
        <x:v>FNB _-) R2904.00 paid from Current a_c..512781 @ Smartapp. Ref.Kruger Safari 1674.  8Jan 15_02.eml</x:v>
      </x:c>
      <x:c r="I110" s="15" t="str"/>
    </x:row>
    <x:row r="111">
      <x:c r="A111" s="15" t="str">
        <x:v>Review item</x:v>
      </x:c>
      <x:c r="B111" s="34" t="n">
        <x:v>46030.64791666667</x:v>
      </x:c>
      <x:c r="C111" s="38" t="n">
        <x:v>210</x:v>
      </x:c>
      <x:c r="D111" s="15" t="str">
        <x:v>Daisys Den 77</x:v>
      </x:c>
      <x:c r="E111" s="15" t="str">
        <x:v>Category assignment is low confidence.</x:v>
      </x:c>
      <x:c r="F111" s="15" t="str">
        <x:v>Category confidence Low: Default card-spend category; merchant not confidently mapped.</x:v>
      </x:c>
      <x:c r="G111" s="15" t="str">
        <x:v>eml_ALL_currentac__512781 (2).zip &gt; eml8currentac__512781.zip</x:v>
      </x:c>
      <x:c r="H111" s="15" t="str">
        <x:v>FNB _-) R210.00 reserved for purchase @ Daisys Den 77 from Current a_c..512781 using card..2924.  8Jan 15_33.eml</x:v>
      </x:c>
      <x:c r="I111" s="15" t="str"/>
    </x:row>
    <x:row r="112">
      <x:c r="A112" s="15" t="str">
        <x:v>Review item</x:v>
      </x:c>
      <x:c r="B112" s="34" t="n">
        <x:v>46031.697222222225</x:v>
      </x:c>
      <x:c r="C112" s="38" t="n">
        <x:v>4740</x:v>
      </x:c>
      <x:c r="D112" s="15" t="str">
        <x:v>Royal Bush 3617</x:v>
      </x:c>
      <x:c r="E112" s="15" t="str">
        <x:v>Category assignment is low confidence.</x:v>
      </x:c>
      <x:c r="F112" s="15" t="str">
        <x:v>Category confidence Low: Default outflow category; review counterparty/reference.</x:v>
      </x:c>
      <x:c r="G112" s="15" t="str">
        <x:v>eml_ALL_currentac__512781 (2).zip &gt; eml8currentac__512781.zip</x:v>
      </x:c>
      <x:c r="H112" s="15" t="str">
        <x:v>FNB _-) R4740.00 paid from Current a_c..512781 @ Gen Ph. Ref.Royal Bush 3617.  9Jan 16_44.eml</x:v>
      </x:c>
      <x:c r="I112" s="15" t="str"/>
    </x:row>
    <x:row r="113">
      <x:c r="A113" s="15" t="str">
        <x:v>Review item</x:v>
      </x:c>
      <x:c r="B113" s="34" t="n">
        <x:v>46031.833333333336</x:v>
      </x:c>
      <x:c r="C113" s="38" t="n">
        <x:v>4372.34</x:v>
      </x:c>
      <x:c r="D113" s="15" t="str">
        <x:v>Asbe - 002 Comm Jan</x:v>
      </x:c>
      <x:c r="E113" s="15" t="str">
        <x:v>Category assignment is low confidence.</x:v>
      </x:c>
      <x:c r="F113" s="15" t="str">
        <x:v>Category confidence Low: Default outflow category; review counterparty/reference.</x:v>
      </x:c>
      <x:c r="G113" s="15" t="str">
        <x:v>eml_ALL_currentac__512781 (2).zip &gt; eml8currentac__512781.zip</x:v>
      </x:c>
      <x:c r="H113" s="15" t="str">
        <x:v>FNB _-) R4372.34 paid from Current a_c..512781 @ Smartapp. Ref.Asbe - 002 Comm Jan.  9Jan 20_00.eml</x:v>
      </x:c>
      <x:c r="I113" s="15" t="str"/>
    </x:row>
    <x:row r="114">
      <x:c r="A114" s="15" t="str">
        <x:v>Review item</x:v>
      </x:c>
      <x:c r="B114" s="34" t="n">
        <x:v>46032.529861111114</x:v>
      </x:c>
      <x:c r="C114" s="38" t="n">
        <x:v>5408</x:v>
      </x:c>
      <x:c r="D114" s="15" t="str">
        <x:v>Kruger Safari 1676</x:v>
      </x:c>
      <x:c r="E114" s="15" t="str">
        <x:v>Category assignment is low confidence.</x:v>
      </x:c>
      <x:c r="F114" s="15" t="str">
        <x:v>Category confidence Low: Default outflow category; review counterparty/reference.</x:v>
      </x:c>
      <x:c r="G114" s="15" t="str">
        <x:v>eml_ALL_currentac__512781 (2).zip &gt; eml8currentac__512781.zip</x:v>
      </x:c>
      <x:c r="H114" s="15" t="str">
        <x:v>FNB _-) R5408.00 paid from Current a_c..512781 @ Gen Ph. Ref.Kruger Safari 1676. 10Jan 12_43.eml</x:v>
      </x:c>
      <x:c r="I114" s="15" t="str"/>
    </x:row>
    <x:row r="115">
      <x:c r="A115" s="15" t="str">
        <x:v>Review item</x:v>
      </x:c>
      <x:c r="B115" s="34" t="n">
        <x:v>46033.5875</x:v>
      </x:c>
      <x:c r="C115" s="38" t="n">
        <x:v>405</x:v>
      </x:c>
      <x:c r="D115" s="15" t="str">
        <x:v>K2025744041 Sou 262</x:v>
      </x:c>
      <x:c r="E115" s="15" t="str">
        <x:v>Category assignment is low confidence.</x:v>
      </x:c>
      <x:c r="F115" s="15" t="str">
        <x:v>Category confidence Low: Default card-spend category; merchant not confidently mapped.</x:v>
      </x:c>
      <x:c r="G115" s="15" t="str">
        <x:v>eml_ALL_currentac__512781 (2).zip &gt; eml8currentac__512781.zip</x:v>
      </x:c>
      <x:c r="H115" s="15" t="str">
        <x:v>FNB _-) R405.00 reserved for purchase @ K2025744041 Sou 262 from Current a_c..512781 using card..2924. 11Jan 14_06.eml</x:v>
      </x:c>
      <x:c r="I115" s="15" t="str"/>
    </x:row>
    <x:row r="116">
      <x:c r="A116" s="15" t="str">
        <x:v>Review item</x:v>
      </x:c>
      <x:c r="B116" s="34" t="n">
        <x:v>46037.481944444444</x:v>
      </x:c>
      <x:c r="C116" s="38" t="n">
        <x:v>7008</x:v>
      </x:c>
      <x:c r="D116" s="15" t="str">
        <x:v>Kruger Safari 1677</x:v>
      </x:c>
      <x:c r="E116" s="15" t="str">
        <x:v>Category assignment is low confidence.</x:v>
      </x:c>
      <x:c r="F116" s="15" t="str">
        <x:v>Category confidence Low: Default outflow category; review counterparty/reference.</x:v>
      </x:c>
      <x:c r="G116" s="15" t="str">
        <x:v>eml_ALL_currentac__512781 (2).zip &gt; eml8currentac__512781.zip</x:v>
      </x:c>
      <x:c r="H116" s="15" t="str">
        <x:v>FNB _-) R7008.00 paid from Current a_c..512781 @ Smartapp. Ref.Kruger Safari 1677. 15Jan 11_34.eml</x:v>
      </x:c>
      <x:c r="I116" s="15" t="str"/>
    </x:row>
    <x:row r="117">
      <x:c r="A117" s="15" t="str">
        <x:v>Review item</x:v>
      </x:c>
      <x:c r="B117" s="34" t="n">
        <x:v>46037.53333333333</x:v>
      </x:c>
      <x:c r="C117" s="38" t="n">
        <x:v>2000</x:v>
      </x:c>
      <x:c r="D117" s="15" t="str">
        <x:v>Cellphone</x:v>
      </x:c>
      <x:c r="E117" s="15" t="str">
        <x:v>Category assignment is low confidence.</x:v>
      </x:c>
      <x:c r="F117" s="15" t="str">
        <x:v>Category confidence Low: Default outflow category; review counterparty/reference.</x:v>
      </x:c>
      <x:c r="G117" s="15" t="str">
        <x:v>eml_ALL_currentac__512781 (2).zip &gt; eml8currentac__512781.zip</x:v>
      </x:c>
      <x:c r="H117" s="15" t="str">
        <x:v>FNB _-) R2000.00 paid from Current a_c..512781 @ Smartapp. Ref.Cellphone. 15Jan 12_48.eml</x:v>
      </x:c>
      <x:c r="I117" s="15" t="str"/>
    </x:row>
    <x:row r="118">
      <x:c r="A118" s="15" t="str">
        <x:v>Review item</x:v>
      </x:c>
      <x:c r="B118" s="34" t="n">
        <x:v>46038.59444444445</x:v>
      </x:c>
      <x:c r="C118" s="38"/>
      <x:c r="D118" s="15" t="str">
        <x:v>S Gamedze - Wage..334428</x:v>
      </x:c>
      <x:c r="E118" s="15" t="str">
        <x:v>Category assignment is low confidence.</x:v>
      </x:c>
      <x:c r="F118" s="15" t="str">
        <x:v>Payment link creation only; no money movement indicated. Category confidence Low: Unable to map confidently.</x:v>
      </x:c>
      <x:c r="G118" s="15" t="str">
        <x:v>eml_ALL_currentac__512781 (2).zip &gt; eml8currentac__512781.zip</x:v>
      </x:c>
      <x:c r="H118" s="15" t="str">
        <x:v>FNB _-) Payment Link created from Current a_c..512781 To S Gamedze - Wage..334428 @ Smartapp. 16Jan 14_16 Call 087 575 9404  for help..eml</x:v>
      </x:c>
      <x:c r="I118" s="15" t="str"/>
    </x:row>
    <x:row r="119">
      <x:c r="A119" s="15" t="str">
        <x:v>Review item</x:v>
      </x:c>
      <x:c r="B119" s="34" t="n">
        <x:v>46038.643055555556</x:v>
      </x:c>
      <x:c r="C119" s="38" t="n">
        <x:v>7510</x:v>
      </x:c>
      <x:c r="D119" s="15" t="str">
        <x:v>Kruger Safari 1678</x:v>
      </x:c>
      <x:c r="E119" s="15" t="str">
        <x:v>Category assignment is low confidence.</x:v>
      </x:c>
      <x:c r="F119" s="15" t="str">
        <x:v>Category confidence Low: Default outflow category; review counterparty/reference.</x:v>
      </x:c>
      <x:c r="G119" s="15" t="str">
        <x:v>eml_ALL_currentac__512781 (2).zip &gt; eml7currentac__512781.zip</x:v>
      </x:c>
      <x:c r="H119" s="15" t="str">
        <x:v>FNB _-) R7510.00 paid from Current a_c..512781 @ Smartapp. Ref.Kruger Safari 1678. 16Jan 15_26.eml</x:v>
      </x:c>
      <x:c r="I119" s="15" t="str"/>
    </x:row>
    <x:row r="120">
      <x:c r="A120" s="15" t="str">
        <x:v>Review item</x:v>
      </x:c>
      <x:c r="B120" s="34" t="n">
        <x:v>46038.64513888889</x:v>
      </x:c>
      <x:c r="C120" s="38" t="n">
        <x:v>707.25</x:v>
      </x:c>
      <x:c r="D120" s="15" t="str">
        <x:v>Nb N992820</x:v>
      </x:c>
      <x:c r="E120" s="15" t="str">
        <x:v>Category assignment is low confidence.</x:v>
      </x:c>
      <x:c r="F120" s="15" t="str">
        <x:v>Category confidence Low: Default outflow category; review counterparty/reference.</x:v>
      </x:c>
      <x:c r="G120" s="15" t="str">
        <x:v>eml_ALL_currentac__512781 (2).zip &gt; eml7currentac__512781.zip</x:v>
      </x:c>
      <x:c r="H120" s="15" t="str">
        <x:v>FNB _-) R707.25 paid from Current a_c..512781 @ Smartapp. Ref.Nb N992820. 16Jan 15_29.eml</x:v>
      </x:c>
      <x:c r="I120" s="15" t="str"/>
    </x:row>
    <x:row r="121">
      <x:c r="A121" s="15" t="str">
        <x:v>Review item</x:v>
      </x:c>
      <x:c r="B121" s="34" t="n">
        <x:v>46038.645833333336</x:v>
      </x:c>
      <x:c r="C121" s="38" t="n">
        <x:v>707.25</x:v>
      </x:c>
      <x:c r="D121" s="15" t="str">
        <x:v>Nb N992820</x:v>
      </x:c>
      <x:c r="E121" s="15" t="str">
        <x:v>Category assignment is low confidence.</x:v>
      </x:c>
      <x:c r="F121" s="15" t="str">
        <x:v>Category confidence Low: Default outflow category; review counterparty/reference.</x:v>
      </x:c>
      <x:c r="G121" s="15" t="str">
        <x:v>eml_ALL_currentac__512781 (2).zip &gt; eml7currentac__512781.zip</x:v>
      </x:c>
      <x:c r="H121" s="15" t="str">
        <x:v>FNB _-) R707.25 paid from Current a_c..512781 @ Smartapp. Ref.Nb N992820. 16Jan 15_30.eml</x:v>
      </x:c>
      <x:c r="I121" s="15" t="str"/>
    </x:row>
    <x:row r="122">
      <x:c r="A122" s="15" t="str">
        <x:v>Review item</x:v>
      </x:c>
      <x:c r="B122" s="34" t="n">
        <x:v>46038.65833333333</x:v>
      </x:c>
      <x:c r="C122" s="38"/>
      <x:c r="D122" s="15" t="str">
        <x:v>Jnb Property Mainten..877149</x:v>
      </x:c>
      <x:c r="E122" s="15" t="str">
        <x:v>Category assignment is low confidence.</x:v>
      </x:c>
      <x:c r="F122" s="15" t="str">
        <x:v>Payment link creation only; no money movement indicated. Category confidence Low: Unable to map confidently.</x:v>
      </x:c>
      <x:c r="G122" s="15" t="str">
        <x:v>eml_ALL_currentac__512781 (2).zip &gt; eml7currentac__512781.zip</x:v>
      </x:c>
      <x:c r="H122" s="15" t="str">
        <x:v>FNB _-) Payment Link created from Current a_c..512781 To Jnb Property Mainten..877149 @ Smartapp. 16Jan 15_48 Call 087 575 9404  for help..eml</x:v>
      </x:c>
      <x:c r="I122" s="15" t="str"/>
    </x:row>
    <x:row r="123">
      <x:c r="A123" s="15" t="str">
        <x:v>Review item</x:v>
      </x:c>
      <x:c r="B123" s="34" t="n">
        <x:v>46038.8</x:v>
      </x:c>
      <x:c r="C123" s="38" t="n">
        <x:v>400</x:v>
      </x:c>
      <x:c r="D123" s="15" t="str">
        <x:v>Yoco *k2025744041</x:v>
      </x:c>
      <x:c r="E123" s="15" t="str">
        <x:v>Category assignment is low confidence.</x:v>
      </x:c>
      <x:c r="F123" s="15" t="str">
        <x:v>Category confidence Low: Default card-spend category; merchant not confidently mapped.</x:v>
      </x:c>
      <x:c r="G123" s="15" t="str">
        <x:v>eml_ALL_currentac__512781 (2).zip &gt; eml7currentac__512781.zip</x:v>
      </x:c>
      <x:c r="H123" s="15" t="str">
        <x:v>FNB _-) R400.00 reserved for purchase @ Yoco _k2025744041 from Current a_c..512781 using card..2924. 16Jan 19_12.eml</x:v>
      </x:c>
      <x:c r="I123" s="15" t="str"/>
    </x:row>
    <x:row r="124">
      <x:c r="A124" s="15" t="str">
        <x:v>Review item</x:v>
      </x:c>
      <x:c r="B124" s="34" t="n">
        <x:v>46040.350694444445</x:v>
      </x:c>
      <x:c r="C124" s="38" t="n">
        <x:v>16500</x:v>
      </x:c>
      <x:c r="D124" s="15" t="str">
        <x:v>Pj Els</x:v>
      </x:c>
      <x:c r="E124" s="15" t="str">
        <x:v>Category assignment is low confidence.</x:v>
      </x:c>
      <x:c r="F124" s="15" t="str">
        <x:v>Category confidence Low: Default outflow category; review counterparty/reference.</x:v>
      </x:c>
      <x:c r="G124" s="15" t="str">
        <x:v>eml_ALL_currentac__512781 (2).zip &gt; eml7currentac__512781.zip</x:v>
      </x:c>
      <x:c r="H124" s="15" t="str">
        <x:v>FNB _-) R16500.00 paid from Current a_c..512781 @ Gen Ph. Ref.Pj Els. 18Jan 08_25.eml</x:v>
      </x:c>
      <x:c r="I124" s="15" t="str"/>
    </x:row>
    <x:row r="125">
      <x:c r="A125" s="15" t="str">
        <x:v>Review item</x:v>
      </x:c>
      <x:c r="B125" s="34" t="n">
        <x:v>46041.419444444444</x:v>
      </x:c>
      <x:c r="C125" s="38" t="n">
        <x:v>1344.45</x:v>
      </x:c>
      <x:c r="D125" s="15" t="str">
        <x:v>Asbe - Comm Jan</x:v>
      </x:c>
      <x:c r="E125" s="15" t="str">
        <x:v>Category assignment is low confidence.</x:v>
      </x:c>
      <x:c r="F125" s="15" t="str">
        <x:v>Category confidence Low: Default outflow category; review counterparty/reference.</x:v>
      </x:c>
      <x:c r="G125" s="15" t="str">
        <x:v>eml_ALL_currentac__512781 (2).zip &gt; eml7currentac__512781.zip</x:v>
      </x:c>
      <x:c r="H125" s="15" t="str">
        <x:v>FNB _-) R1344.45 paid from Current a_c..512781 @ Smartapp. Ref.Asbe - Comm Jan. 19Jan 10_04.eml</x:v>
      </x:c>
      <x:c r="I125" s="15" t="str"/>
    </x:row>
    <x:row r="126">
      <x:c r="A126" s="15" t="str">
        <x:v>Review item</x:v>
      </x:c>
      <x:c r="B126" s="34" t="n">
        <x:v>46041.62291666667</x:v>
      </x:c>
      <x:c r="C126" s="38" t="n">
        <x:v>435</x:v>
      </x:c>
      <x:c r="D126" s="15" t="str">
        <x:v>The Water Well Bu136</x:v>
      </x:c>
      <x:c r="E126" s="15" t="str">
        <x:v>Category assignment is low confidence.</x:v>
      </x:c>
      <x:c r="F126" s="15" t="str">
        <x:v>Category confidence Low: Default card-spend category; merchant not confidently mapped.</x:v>
      </x:c>
      <x:c r="G126" s="15" t="str">
        <x:v>eml_ALL_currentac__512781 (2).zip &gt; eml7currentac__512781.zip</x:v>
      </x:c>
      <x:c r="H126" s="15" t="str">
        <x:v>FNB _-) R435.00 reserved for purchase @ The Water Well Bu136 from Current a_c..512781 using card..2924. 19Jan 14_57.eml</x:v>
      </x:c>
      <x:c r="I126" s="15" t="str"/>
    </x:row>
    <x:row r="127">
      <x:c r="A127" s="15" t="str">
        <x:v>Review item</x:v>
      </x:c>
      <x:c r="B127" s="34" t="n">
        <x:v>46042.856944444444</x:v>
      </x:c>
      <x:c r="C127" s="38" t="n">
        <x:v>490</x:v>
      </x:c>
      <x:c r="D127" s="15" t="str">
        <x:v>Spur Fern Valley</x:v>
      </x:c>
      <x:c r="E127" s="15" t="str">
        <x:v>Category assignment is low confidence.</x:v>
      </x:c>
      <x:c r="F127" s="15" t="str">
        <x:v>Category confidence Low: Default card-spend category; merchant not confidently mapped.</x:v>
      </x:c>
      <x:c r="G127" s="15" t="str">
        <x:v>eml_ALL_currentac__512781 (2).zip &gt; eml7currentac__512781.zip</x:v>
      </x:c>
      <x:c r="H127" s="15" t="str">
        <x:v>FNB _-) R490.00 reserved for purchase @ Spur Fern Valley from Current a_c..512781 using card..2924. 20Jan 20_34.eml</x:v>
      </x:c>
      <x:c r="I127" s="15" t="str"/>
    </x:row>
    <x:row r="128">
      <x:c r="A128" s="15" t="str">
        <x:v>Review item</x:v>
      </x:c>
      <x:c r="B128" s="34" t="n">
        <x:v>46044.43541666667</x:v>
      </x:c>
      <x:c r="C128" s="38" t="n">
        <x:v>1150</x:v>
      </x:c>
      <x:c r="D128" s="15" t="str">
        <x:v>Hpy*vodafone Cellula</x:v>
      </x:c>
      <x:c r="E128" s="15" t="str">
        <x:v>Category assignment is low confidence.</x:v>
      </x:c>
      <x:c r="F128" s="15" t="str">
        <x:v>Category confidence Low: Default card-spend category; merchant not confidently mapped.</x:v>
      </x:c>
      <x:c r="G128" s="15" t="str">
        <x:v>eml_ALL_currentac__512781 (2).zip &gt; eml7currentac__512781.zip</x:v>
      </x:c>
      <x:c r="H128" s="15" t="str">
        <x:v>FNB _-) R1150.00 reserved for purchase @ Hpy_vodafone Cellula from Current a_c..512781 using card..2924. 22Jan 10_27.eml</x:v>
      </x:c>
      <x:c r="I128" s="15" t="str"/>
    </x:row>
    <x:row r="129">
      <x:c r="A129" s="15" t="str">
        <x:v>Review item</x:v>
      </x:c>
      <x:c r="B129" s="34" t="n">
        <x:v>46045.34305555555</x:v>
      </x:c>
      <x:c r="C129" s="38" t="n">
        <x:v>2000</x:v>
      </x:c>
      <x:c r="D129" s="15" t="str">
        <x:v>Pj Els - Showp</x:v>
      </x:c>
      <x:c r="E129" s="15" t="str">
        <x:v>Category assignment is low confidence.</x:v>
      </x:c>
      <x:c r="F129" s="15" t="str">
        <x:v>Category confidence Low: Default outflow category; review counterparty/reference.</x:v>
      </x:c>
      <x:c r="G129" s="15" t="str">
        <x:v>eml_ALL_currentac__512781 (2).zip &gt; eml7currentac__512781.zip</x:v>
      </x:c>
      <x:c r="H129" s="15" t="str">
        <x:v>FNB _-) R2000.00 paid from Current a_c..512781 @ Smartapp. Ref.Pj Els - Showp. 23Jan 08_14.eml</x:v>
      </x:c>
      <x:c r="I129" s="15" t="str"/>
    </x:row>
    <x:row r="130">
      <x:c r="A130" s="15" t="str">
        <x:v>Review item</x:v>
      </x:c>
      <x:c r="B130" s="34" t="n">
        <x:v>46045.6625</x:v>
      </x:c>
      <x:c r="C130" s="38"/>
      <x:c r="D130" s="15" t="str">
        <x:v>Stratton Property Ma..072310</x:v>
      </x:c>
      <x:c r="E130" s="15" t="str">
        <x:v>Category assignment is low confidence.</x:v>
      </x:c>
      <x:c r="F130" s="15" t="str">
        <x:v>Payment link creation only; no money movement indicated. Category confidence Low: Unable to map confidently.</x:v>
      </x:c>
      <x:c r="G130" s="15" t="str">
        <x:v>eml_ALL_currentac__512781 (2).zip &gt; eml7currentac__512781.zip</x:v>
      </x:c>
      <x:c r="H130" s="15" t="str">
        <x:v>FNB _-) Payment Link created from Current a_c..512781 To Stratton Property Ma..072310 @ Smartapp. 23Jan 15_54 Call 087 575 9404  for help..eml</x:v>
      </x:c>
      <x:c r="I130" s="15" t="str"/>
    </x:row>
    <x:row r="131">
      <x:c r="A131" s="15" t="str">
        <x:v>Review item</x:v>
      </x:c>
      <x:c r="B131" s="34" t="n">
        <x:v>46045.6625</x:v>
      </x:c>
      <x:c r="C131" s="38" t="n">
        <x:v>13271.53</x:v>
      </x:c>
      <x:c r="D131" s="15" t="str">
        <x:v>Stratton Prop Mng</x:v>
      </x:c>
      <x:c r="E131" s="15" t="str">
        <x:v>Category assignment is low confidence.</x:v>
      </x:c>
      <x:c r="F131" s="15" t="str">
        <x:v>Category confidence Low: Default outflow category; review counterparty/reference.</x:v>
      </x:c>
      <x:c r="G131" s="15" t="str">
        <x:v>eml_ALL_currentac__512781 (2).zip &gt; eml7currentac__512781.zip</x:v>
      </x:c>
      <x:c r="H131" s="15" t="str">
        <x:v>FNB _-) R13271.53 paid from Current a_c..512781 @ Smartapp. Ref.Stratton Prop Mng. 23Jan 15_54.eml</x:v>
      </x:c>
      <x:c r="I131" s="15" t="str"/>
    </x:row>
    <x:row r="132">
      <x:c r="A132" s="15" t="str">
        <x:v>Review item</x:v>
      </x:c>
      <x:c r="B132" s="34" t="n">
        <x:v>46048.370833333334</x:v>
      </x:c>
      <x:c r="C132" s="38" t="n">
        <x:v>6500</x:v>
      </x:c>
      <x:c r="D132" s="15" t="str">
        <x:v>Pj Els - Showp</x:v>
      </x:c>
      <x:c r="E132" s="15" t="str">
        <x:v>Category assignment is low confidence.</x:v>
      </x:c>
      <x:c r="F132" s="15" t="str">
        <x:v>Category confidence Low: Default outflow category; review counterparty/reference.</x:v>
      </x:c>
      <x:c r="G132" s="15" t="str">
        <x:v>eml_ALL_currentac__512781 (2).zip &gt; eml7currentac__512781.zip</x:v>
      </x:c>
      <x:c r="H132" s="15" t="str">
        <x:v>FNB _-) R6500.00 paid from Current a_c..512781 @ Gen Ph. Ref.Pj Els - Showp. 26Jan 08_54.eml</x:v>
      </x:c>
      <x:c r="I132" s="15" t="str"/>
    </x:row>
    <x:row r="133">
      <x:c r="A133" s="15" t="str">
        <x:v>Review item</x:v>
      </x:c>
      <x:c r="B133" s="34" t="n">
        <x:v>46048.45694444444</x:v>
      </x:c>
      <x:c r="C133" s="38"/>
      <x:c r="D133" s="15" t="str">
        <x:v>Lebombo Verkoeling..990821</x:v>
      </x:c>
      <x:c r="E133" s="15" t="str">
        <x:v>Category assignment is low confidence.</x:v>
      </x:c>
      <x:c r="F133" s="15" t="str">
        <x:v>Payment link creation only; no money movement indicated. Category confidence Low: Unable to map confidently.</x:v>
      </x:c>
      <x:c r="G133" s="15" t="str">
        <x:v>eml_ALL_currentac__512781 (2).zip &gt; eml7currentac__512781.zip</x:v>
      </x:c>
      <x:c r="H133" s="15" t="str">
        <x:v>FNB _-) Payment Link created from Current a_c..512781 To Lebombo Verkoeling..990821 @ Smartapp. 26Jan 10_58 Call 087 575 9404  for help..eml</x:v>
      </x:c>
      <x:c r="I133" s="15" t="str"/>
    </x:row>
    <x:row r="134">
      <x:c r="A134" s="15" t="str">
        <x:v>Review item</x:v>
      </x:c>
      <x:c r="B134" s="34" t="n">
        <x:v>46048.45694444444</x:v>
      </x:c>
      <x:c r="C134" s="38" t="n">
        <x:v>1625</x:v>
      </x:c>
      <x:c r="D134" s="15" t="str">
        <x:v>Lebombo Washing Mach</x:v>
      </x:c>
      <x:c r="E134" s="15" t="str">
        <x:v>Category assignment is low confidence.</x:v>
      </x:c>
      <x:c r="F134" s="15" t="str">
        <x:v>Category confidence Low: Default outflow category; review counterparty/reference.</x:v>
      </x:c>
      <x:c r="G134" s="15" t="str">
        <x:v>eml_ALL_currentac__512781 (2).zip &gt; eml7currentac__512781.zip</x:v>
      </x:c>
      <x:c r="H134" s="15" t="str">
        <x:v>FNB _-) R1625.00 paid from Current a_c..512781 @ Smartapp. Ref.Lebombo Washing Mach. 26Jan 10_58.eml</x:v>
      </x:c>
      <x:c r="I134" s="15" t="str"/>
    </x:row>
    <x:row r="135">
      <x:c r="A135" s="15" t="str">
        <x:v>Review item</x:v>
      </x:c>
      <x:c r="B135" s="34" t="n">
        <x:v>46048.64097222222</x:v>
      </x:c>
      <x:c r="C135" s="38" t="n">
        <x:v>134</x:v>
      </x:c>
      <x:c r="D135" s="15" t="str">
        <x:v>Boskombuis 116</x:v>
      </x:c>
      <x:c r="E135" s="15" t="str">
        <x:v>Category assignment is low confidence.</x:v>
      </x:c>
      <x:c r="F135" s="15" t="str">
        <x:v>Category confidence Low: Default card-spend category; merchant not confidently mapped.</x:v>
      </x:c>
      <x:c r="G135" s="15" t="str">
        <x:v>eml_ALL_currentac__512781 (2).zip &gt; eml7currentac__512781.zip</x:v>
      </x:c>
      <x:c r="H135" s="15" t="str">
        <x:v>FNB _-) R134.00 reserved for purchase @ Boskombuis 116 from Current a_c..512781 using card..2924. 26Jan 15_23.eml</x:v>
      </x:c>
      <x:c r="I135" s="15" t="str"/>
    </x:row>
    <x:row r="136">
      <x:c r="A136" s="15" t="str">
        <x:v>Review item</x:v>
      </x:c>
      <x:c r="B136" s="34" t="n">
        <x:v>46048.88888888889</x:v>
      </x:c>
      <x:c r="C136" s="38" t="n">
        <x:v>15000</x:v>
      </x:c>
      <x:c r="D136" s="15" t="str">
        <x:v>Repairs + Maintenanc</x:v>
      </x:c>
      <x:c r="E136" s="15" t="str">
        <x:v>Category assignment is low confidence.</x:v>
      </x:c>
      <x:c r="F136" s="15" t="str">
        <x:v>Category confidence Low: Default outflow category; review counterparty/reference.</x:v>
      </x:c>
      <x:c r="G136" s="15" t="str">
        <x:v>eml_ALL_currentac__512781 (2).zip &gt; eml7currentac__512781.zip</x:v>
      </x:c>
      <x:c r="H136" s="15" t="str">
        <x:v>FNB _-) R15000.00 paid from Current a_c..512781 @ Smartapp. Ref.Repairs + Maintenanc. 26Jan 21_20.eml</x:v>
      </x:c>
      <x:c r="I136" s="15" t="str"/>
    </x:row>
    <x:row r="137">
      <x:c r="A137" s="15" t="str">
        <x:v>Review item</x:v>
      </x:c>
      <x:c r="B137" s="34" t="n">
        <x:v>46049.39236111111</x:v>
      </x:c>
      <x:c r="C137" s="38" t="n">
        <x:v>3004</x:v>
      </x:c>
      <x:c r="D137" s="15" t="str">
        <x:v>Kruger Safari 1679</x:v>
      </x:c>
      <x:c r="E137" s="15" t="str">
        <x:v>Category assignment is low confidence.</x:v>
      </x:c>
      <x:c r="F137" s="15" t="str">
        <x:v>Category confidence Low: Default outflow category; review counterparty/reference.</x:v>
      </x:c>
      <x:c r="G137" s="15" t="str">
        <x:v>eml_ALL_currentac__512781 (2).zip &gt; eml7currentac__512781.zip</x:v>
      </x:c>
      <x:c r="H137" s="15" t="str">
        <x:v>FNB _-) R3004.00 paid from Current a_c..512781 @ Gen Ph. Ref.Kruger Safari 1679. 27Jan 09_25.eml</x:v>
      </x:c>
      <x:c r="I137" s="15" t="str"/>
    </x:row>
    <x:row r="138">
      <x:c r="A138" s="15" t="str">
        <x:v>Review item</x:v>
      </x:c>
      <x:c r="B138" s="34" t="n">
        <x:v>46052.54722222222</x:v>
      </x:c>
      <x:c r="C138" s="38" t="n">
        <x:v>6008</x:v>
      </x:c>
      <x:c r="D138" s="15" t="str">
        <x:v>Kruger Safari 1680</x:v>
      </x:c>
      <x:c r="E138" s="15" t="str">
        <x:v>Category assignment is low confidence.</x:v>
      </x:c>
      <x:c r="F138" s="15" t="str">
        <x:v>Category confidence Low: Default outflow category; review counterparty/reference.</x:v>
      </x:c>
      <x:c r="G138" s="15" t="str">
        <x:v>eml_ALL_currentac__512781 (2).zip &gt; eml7currentac__512781.zip</x:v>
      </x:c>
      <x:c r="H138" s="15" t="str">
        <x:v>FNB _-) R6008.00 paid from Current a_c..512781 @ Smartapp. Ref.Kruger Safari 1680. 30Jan 13_08.eml</x:v>
      </x:c>
      <x:c r="I138" s="15" t="str"/>
    </x:row>
    <x:row r="139">
      <x:c r="A139" s="15" t="str">
        <x:v>Review item</x:v>
      </x:c>
      <x:c r="B139" s="34" t="n">
        <x:v>46054.34583333333</x:v>
      </x:c>
      <x:c r="C139" s="38" t="n">
        <x:v>1707.86</x:v>
      </x:c>
      <x:c r="D139" s="15" t="str">
        <x:v>Ac De Jager Vleis</x:v>
      </x:c>
      <x:c r="E139" s="15" t="str">
        <x:v>Category assignment is low confidence.</x:v>
      </x:c>
      <x:c r="F139" s="15" t="str">
        <x:v>Category confidence Low: Default outflow category; review counterparty/reference.</x:v>
      </x:c>
      <x:c r="G139" s="15" t="str">
        <x:v>eml_ALL_currentac__512781 (2).zip &gt; eml7currentac__512781.zip</x:v>
      </x:c>
      <x:c r="H139" s="15" t="str">
        <x:v>FNB _-) R1707.86 paid from Current a_c..512781 @ Smartapp. Ref.Ac De Jager Vleis.  1Feb 08_18.eml</x:v>
      </x:c>
      <x:c r="I139" s="15" t="str"/>
    </x:row>
    <x:row r="140">
      <x:c r="A140" s="15" t="str">
        <x:v>Review item</x:v>
      </x:c>
      <x:c r="B140" s="34" t="n">
        <x:v>46054.46527777778</x:v>
      </x:c>
      <x:c r="C140" s="38"/>
      <x:c r="D140" s="15" t="str">
        <x:v>Dj Ludik Honeysucker..496920</x:v>
      </x:c>
      <x:c r="E140" s="15" t="str">
        <x:v>Category assignment is low confidence.</x:v>
      </x:c>
      <x:c r="F140" s="15" t="str">
        <x:v>Payment link creation only; no money movement indicated. Category confidence Low: Unable to map confidently.</x:v>
      </x:c>
      <x:c r="G140" s="15" t="str">
        <x:v>eml_ALL_currentac__512781 (2).zip &gt; eml7currentac__512781.zip</x:v>
      </x:c>
      <x:c r="H140" s="15" t="str">
        <x:v>FNB _-) Payment Link created from Current a_c..512781 To Dj Ludik Honeysucker..496920 @ Smartapp.  1Feb 11_10 Call 087 575 9404  for help..eml</x:v>
      </x:c>
      <x:c r="I140" s="15" t="str"/>
    </x:row>
    <x:row r="141">
      <x:c r="A141" s="15" t="str">
        <x:v>Review item</x:v>
      </x:c>
      <x:c r="B141" s="34" t="n">
        <x:v>46054.46597222222</x:v>
      </x:c>
      <x:c r="C141" s="38" t="n">
        <x:v>1500</x:v>
      </x:c>
      <x:c r="D141" s="15" t="str">
        <x:v>Honeysucker</x:v>
      </x:c>
      <x:c r="E141" s="15" t="str">
        <x:v>Category assignment is low confidence.</x:v>
      </x:c>
      <x:c r="F141" s="15" t="str">
        <x:v>Category confidence Low: Default outflow category; review counterparty/reference.</x:v>
      </x:c>
      <x:c r="G141" s="15" t="str">
        <x:v>eml_ALL_currentac__512781 (2).zip &gt; eml7currentac__512781.zip</x:v>
      </x:c>
      <x:c r="H141" s="15" t="str">
        <x:v>FNB _-) R1500.00 paid from Current a_c..512781 @ Smartapp. Ref.Honeysucker.  1Feb 11_11.eml</x:v>
      </x:c>
      <x:c r="I141" s="15" t="str"/>
    </x:row>
    <x:row r="142">
      <x:c r="A142" s="15" t="str">
        <x:v>Review item</x:v>
      </x:c>
      <x:c r="B142" s="34" t="n">
        <x:v>46055.41527777778</x:v>
      </x:c>
      <x:c r="C142" s="38" t="n">
        <x:v>500</x:v>
      </x:c>
      <x:c r="D142" s="15" t="str">
        <x:v>Kpci - C1736 Feb</x:v>
      </x:c>
      <x:c r="E142" s="15" t="str">
        <x:v>Category assignment is low confidence.</x:v>
      </x:c>
      <x:c r="F142" s="15" t="str">
        <x:v>Category confidence Low: Default outflow category; review counterparty/reference.</x:v>
      </x:c>
      <x:c r="G142" s="15" t="str">
        <x:v>eml_ALL_currentac__512781 (2).zip &gt; eml7currentac__512781.zip</x:v>
      </x:c>
      <x:c r="H142" s="15" t="str">
        <x:v>FNB _-) R500.00 paid from Current a_c..512781 @ Smartapp. Ref.Kpci - C1736 Feb.  2Feb 09_58.eml</x:v>
      </x:c>
      <x:c r="I142" s="15" t="str"/>
    </x:row>
    <x:row r="143">
      <x:c r="A143" s="15" t="str">
        <x:v>Review item</x:v>
      </x:c>
      <x:c r="B143" s="34" t="n">
        <x:v>46055.416666666664</x:v>
      </x:c>
      <x:c r="C143" s="38" t="n">
        <x:v>300</x:v>
      </x:c>
      <x:c r="D143" s="15" t="str">
        <x:v>Deon"s Diy</x:v>
      </x:c>
      <x:c r="E143" s="15" t="str">
        <x:v>Category assignment is low confidence.</x:v>
      </x:c>
      <x:c r="F143" s="15" t="str">
        <x:v>Category confidence Low: Default outflow category; review counterparty/reference.</x:v>
      </x:c>
      <x:c r="G143" s="15" t="str">
        <x:v>eml_ALL_currentac__512781 (2).zip &gt; eml7currentac__512781.zip</x:v>
      </x:c>
      <x:c r="H143" s="15" t="str">
        <x:v>FNB _-) R300.00 paid from Current a_c..512781 @ Smartapp. Ref.Deon_s Diy.  2Feb 10_00.eml</x:v>
      </x:c>
      <x:c r="I143" s="15" t="str"/>
    </x:row>
    <x:row r="144">
      <x:c r="A144" s="15" t="str">
        <x:v>Review item</x:v>
      </x:c>
      <x:c r="B144" s="34" t="n">
        <x:v>46055.42638888889</x:v>
      </x:c>
      <x:c r="C144" s="38"/>
      <x:c r="D144" s="15" t="str">
        <x:v>Southern Kruger Saf..698317</x:v>
      </x:c>
      <x:c r="E144" s="15" t="str">
        <x:v>Category assignment is low confidence.</x:v>
      </x:c>
      <x:c r="F144" s="15" t="str">
        <x:v>Payment link creation only; no money movement indicated. Category confidence Low: Unable to map confidently.</x:v>
      </x:c>
      <x:c r="G144" s="15" t="str">
        <x:v>eml_ALL_currentac__512781 (2).zip &gt; eml7currentac__512781.zip</x:v>
      </x:c>
      <x:c r="H144" s="15" t="str">
        <x:v>FNB _-) Payment Link created from Current a_c..512781 To Southern Kruger Saf..698317 @ Smartapp.  2Feb 10_14 Call 087 575 9404  for help..eml</x:v>
      </x:c>
      <x:c r="I144" s="15" t="str"/>
    </x:row>
    <x:row r="145">
      <x:c r="A145" s="15" t="str">
        <x:v>Review item</x:v>
      </x:c>
      <x:c r="B145" s="34" t="n">
        <x:v>46055.42638888889</x:v>
      </x:c>
      <x:c r="C145" s="38" t="n">
        <x:v>4900</x:v>
      </x:c>
      <x:c r="D145" s="15" t="str">
        <x:v>Southern Kruger - Sw</x:v>
      </x:c>
      <x:c r="E145" s="15" t="str">
        <x:v>Category assignment is low confidence.</x:v>
      </x:c>
      <x:c r="F145" s="15" t="str">
        <x:v>Category confidence Low: Default outflow category; review counterparty/reference.</x:v>
      </x:c>
      <x:c r="G145" s="15" t="str">
        <x:v>eml_ALL_currentac__512781 (2).zip &gt; eml7currentac__512781.zip</x:v>
      </x:c>
      <x:c r="H145" s="15" t="str">
        <x:v>FNB _-) R4900.00 paid from Current a_c..512781 @ Smartapp. Ref.Southern Kruger - Sw.  2Feb 10_14.eml</x:v>
      </x:c>
      <x:c r="I145" s="15" t="str"/>
    </x:row>
    <x:row r="146">
      <x:c r="A146" s="15" t="str">
        <x:v>Review item</x:v>
      </x:c>
      <x:c r="B146" s="34" t="n">
        <x:v>46055.63333333333</x:v>
      </x:c>
      <x:c r="C146" s="38" t="n">
        <x:v>6472</x:v>
      </x:c>
      <x:c r="D146" s="15" t="str">
        <x:v>Royal Bush 3597</x:v>
      </x:c>
      <x:c r="E146" s="15" t="str">
        <x:v>Category assignment is low confidence.</x:v>
      </x:c>
      <x:c r="F146" s="15" t="str">
        <x:v>Category confidence Low: Default outflow category; review counterparty/reference.</x:v>
      </x:c>
      <x:c r="G146" s="15" t="str">
        <x:v>eml_ALL_currentac__512781 (2).zip &gt; eml7currentac__512781.zip</x:v>
      </x:c>
      <x:c r="H146" s="15" t="str">
        <x:v>FNB _-) R6472.00 paid from Current a_c..512781 @ Smartapp. Ref.Royal Bush 3597.  2Feb 15_12.eml</x:v>
      </x:c>
      <x:c r="I146" s="15" t="str"/>
    </x:row>
    <x:row r="147">
      <x:c r="A147" s="15" t="str">
        <x:v>Review item</x:v>
      </x:c>
      <x:c r="B147" s="34" t="n">
        <x:v>46057.51527777778</x:v>
      </x:c>
      <x:c r="C147" s="38" t="n">
        <x:v>6008</x:v>
      </x:c>
      <x:c r="D147" s="15" t="str">
        <x:v>Kruger Safari 1681</x:v>
      </x:c>
      <x:c r="E147" s="15" t="str">
        <x:v>Category assignment is low confidence.</x:v>
      </x:c>
      <x:c r="F147" s="15" t="str">
        <x:v>Category confidence Low: Default outflow category; review counterparty/reference.</x:v>
      </x:c>
      <x:c r="G147" s="15" t="str">
        <x:v>eml_ALL_currentac__512781 (2).zip &gt; eml7currentac__512781.zip</x:v>
      </x:c>
      <x:c r="H147" s="15" t="str">
        <x:v>FNB _-) R6008.00 paid from Current a_c..512781 @ Gen Ph. Ref.Kruger Safari 1681.  4Feb 12_22.eml</x:v>
      </x:c>
      <x:c r="I147" s="15" t="str"/>
    </x:row>
    <x:row r="148">
      <x:c r="A148" s="15" t="str">
        <x:v>Review item</x:v>
      </x:c>
      <x:c r="B148" s="34" t="n">
        <x:v>46058.38333333333</x:v>
      </x:c>
      <x:c r="C148" s="38"/>
      <x:c r="D148" s="15" t="str">
        <x:v>L Meiring Laundry..679185</x:v>
      </x:c>
      <x:c r="E148" s="15" t="str">
        <x:v>Category assignment is low confidence.</x:v>
      </x:c>
      <x:c r="F148" s="15" t="str">
        <x:v>Payment link creation only; no money movement indicated. Category confidence Low: Unable to map confidently.</x:v>
      </x:c>
      <x:c r="G148" s="15" t="str">
        <x:v>eml_ALL_currentac__512781 (2).zip &gt; eml7currentac__512781.zip</x:v>
      </x:c>
      <x:c r="H148" s="15" t="str">
        <x:v>FNB _-) Payment Link created from Current a_c..512781 To L Meiring Laundry..679185 @ Smartapp.  5Feb 09_12 Call 087 575 9404  for help..eml</x:v>
      </x:c>
      <x:c r="I148" s="15" t="str"/>
    </x:row>
    <x:row r="149">
      <x:c r="A149" s="15" t="str">
        <x:v>Review item</x:v>
      </x:c>
      <x:c r="B149" s="34" t="n">
        <x:v>46058.38333333333</x:v>
      </x:c>
      <x:c r="C149" s="38" t="n">
        <x:v>442.25</x:v>
      </x:c>
      <x:c r="D149" s="15" t="str">
        <x:v>Laundry Bigbay</x:v>
      </x:c>
      <x:c r="E149" s="15" t="str">
        <x:v>Category assignment is low confidence.</x:v>
      </x:c>
      <x:c r="F149" s="15" t="str">
        <x:v>Category confidence Low: Default outflow category; review counterparty/reference.</x:v>
      </x:c>
      <x:c r="G149" s="15" t="str">
        <x:v>eml_ALL_currentac__512781 (2).zip &gt; eml7currentac__512781.zip</x:v>
      </x:c>
      <x:c r="H149" s="15" t="str">
        <x:v>FNB _-) R442.25 paid from Current a_c..512781 @ Smartapp. Ref.Laundry Bigbay.  5Feb 09_12.eml</x:v>
      </x:c>
      <x:c r="I149" s="15" t="str"/>
    </x:row>
    <x:row r="150">
      <x:c r="A150" s="15" t="str">
        <x:v>Review item</x:v>
      </x:c>
      <x:c r="B150" s="34" t="n">
        <x:v>46060.53472222222</x:v>
      </x:c>
      <x:c r="C150" s="38" t="n">
        <x:v>200</x:v>
      </x:c>
      <x:c r="D150" s="15" t="str">
        <x:v>Cash withdrawal reversal</x:v>
      </x:c>
      <x:c r="E150" s="15" t="str">
        <x:v>Refund/reversal transaction; separated from normal income/expense.</x:v>
      </x:c>
      <x:c r="F150" s="15" t="str">
        <x:v>Reversal/refund cashflow separated from regular income.</x:v>
      </x:c>
      <x:c r="G150" s="15" t="str">
        <x:v>eml_ALL_currentac__512781 (2).zip &gt; eml6currentac__512781.zip</x:v>
      </x:c>
      <x:c r="H150" s="15" t="str">
        <x:v>FNB _-) REVERSAL of R200.00 withdrawn from Current a_c..512781.  7Feb 12_50.eml</x:v>
      </x:c>
      <x:c r="I150" s="15" t="str"/>
    </x:row>
    <x:row r="151">
      <x:c r="A151" s="15" t="str">
        <x:v>Review item</x:v>
      </x:c>
      <x:c r="B151" s="34" t="n">
        <x:v>46062.59027777778</x:v>
      </x:c>
      <x:c r="C151" s="38" t="n">
        <x:v>759</x:v>
      </x:c>
      <x:c r="D151" s="15" t="str">
        <x:v>Nb 26696</x:v>
      </x:c>
      <x:c r="E151" s="15" t="str">
        <x:v>Category assignment is low confidence.</x:v>
      </x:c>
      <x:c r="F151" s="15" t="str">
        <x:v>Category confidence Low: Default outflow category; review counterparty/reference.</x:v>
      </x:c>
      <x:c r="G151" s="15" t="str">
        <x:v>eml_ALL_currentac__512781 (2).zip &gt; eml6currentac__512781.zip</x:v>
      </x:c>
      <x:c r="H151" s="15" t="str">
        <x:v>FNB _-) R759.00 paid from Current a_c..512781 @ Smartapp. Ref.Nb 26696.  9Feb 14_10.eml</x:v>
      </x:c>
      <x:c r="I151" s="15" t="str"/>
    </x:row>
    <x:row r="152">
      <x:c r="A152" s="15" t="str">
        <x:v>Review item</x:v>
      </x:c>
      <x:c r="B152" s="34" t="n">
        <x:v>46062.59097222222</x:v>
      </x:c>
      <x:c r="C152" s="38" t="n">
        <x:v>3036</x:v>
      </x:c>
      <x:c r="D152" s="15" t="str">
        <x:v>Royal Bush 3610</x:v>
      </x:c>
      <x:c r="E152" s="15" t="str">
        <x:v>Category assignment is low confidence.</x:v>
      </x:c>
      <x:c r="F152" s="15" t="str">
        <x:v>Category confidence Low: Default outflow category; review counterparty/reference.</x:v>
      </x:c>
      <x:c r="G152" s="15" t="str">
        <x:v>eml_ALL_currentac__512781 (2).zip &gt; eml6currentac__512781.zip</x:v>
      </x:c>
      <x:c r="H152" s="15" t="str">
        <x:v>FNB _-) R3036.00 paid from Current a_c..512781 @ Smartapp. Ref.Royal Bush 3610.  9Feb 14_11.eml</x:v>
      </x:c>
      <x:c r="I152" s="15" t="str"/>
    </x:row>
    <x:row r="153">
      <x:c r="A153" s="15" t="str">
        <x:v>Review item</x:v>
      </x:c>
      <x:c r="B153" s="34" t="n">
        <x:v>46064.521527777775</x:v>
      </x:c>
      <x:c r="C153" s="38"/>
      <x:c r="D153" s="15" t="str">
        <x:v>Mj Taback..052173</x:v>
      </x:c>
      <x:c r="E153" s="15" t="str">
        <x:v>Category assignment is low confidence.</x:v>
      </x:c>
      <x:c r="F153" s="15" t="str">
        <x:v>Payment link creation only; no money movement indicated. Category confidence Low: Unable to map confidently.</x:v>
      </x:c>
      <x:c r="G153" s="15" t="str">
        <x:v>eml_ALL_currentac__512781 (2).zip &gt; eml6currentac__512781.zip</x:v>
      </x:c>
      <x:c r="H153" s="15" t="str">
        <x:v>FNB _-) Payment Link created from Current a_c..512781 To Mj Taback..052173 @ Smartapp. 11Feb 12_31 Call 087 575 9404  for help..eml</x:v>
      </x:c>
      <x:c r="I153" s="15" t="str"/>
    </x:row>
    <x:row r="154">
      <x:c r="A154" s="15" t="str">
        <x:v>Review item</x:v>
      </x:c>
      <x:c r="B154" s="34" t="n">
        <x:v>46064.521527777775</x:v>
      </x:c>
      <x:c r="C154" s="38" t="n">
        <x:v>2049</x:v>
      </x:c>
      <x:c r="D154" s="15" t="str">
        <x:v>Cf Moto Saf - Inv 1</x:v>
      </x:c>
      <x:c r="E154" s="15" t="str">
        <x:v>Category assignment is low confidence.</x:v>
      </x:c>
      <x:c r="F154" s="15" t="str">
        <x:v>Category confidence Low: Default outflow category; review counterparty/reference.</x:v>
      </x:c>
      <x:c r="G154" s="15" t="str">
        <x:v>eml_ALL_currentac__512781 (2).zip &gt; eml6currentac__512781.zip</x:v>
      </x:c>
      <x:c r="H154" s="15" t="str">
        <x:v>FNB _-) R2049.00 paid from Current a_c..512781 @ Smartapp. Ref.Cf Moto Saf - Inv 1.. 11Feb 12_31.eml</x:v>
      </x:c>
      <x:c r="I154" s="15" t="str"/>
    </x:row>
    <x:row r="155">
      <x:c r="A155" s="15" t="str">
        <x:v>Review item</x:v>
      </x:c>
      <x:c r="B155" s="34" t="n">
        <x:v>46065.43194444444</x:v>
      </x:c>
      <x:c r="C155" s="38" t="n">
        <x:v>345</x:v>
      </x:c>
      <x:c r="D155" s="15" t="str">
        <x:v>Bon Express 007661</x:v>
      </x:c>
      <x:c r="E155" s="15" t="str">
        <x:v>Category assignment is low confidence.</x:v>
      </x:c>
      <x:c r="F155" s="15" t="str">
        <x:v>Category confidence Low: Default outflow category; review counterparty/reference.</x:v>
      </x:c>
      <x:c r="G155" s="15" t="str">
        <x:v>eml_ALL_currentac__512781 (2).zip &gt; eml6currentac__512781.zip</x:v>
      </x:c>
      <x:c r="H155" s="15" t="str">
        <x:v>FNB _-) R345.00 paid from Current a_c..512781 @ Smartapp. Ref.Bon Express 007661. 12Feb 10_22.eml</x:v>
      </x:c>
      <x:c r="I155" s="15" t="str"/>
    </x:row>
    <x:row r="156">
      <x:c r="A156" s="15" t="str">
        <x:v>Review item</x:v>
      </x:c>
      <x:c r="B156" s="34" t="n">
        <x:v>46065.43194444444</x:v>
      </x:c>
      <x:c r="C156" s="38" t="n">
        <x:v>380.65</x:v>
      </x:c>
      <x:c r="D156" s="15" t="str">
        <x:v>Bon Express 007623</x:v>
      </x:c>
      <x:c r="E156" s="15" t="str">
        <x:v>Category assignment is low confidence.</x:v>
      </x:c>
      <x:c r="F156" s="15" t="str">
        <x:v>Category confidence Low: Default outflow category; review counterparty/reference.</x:v>
      </x:c>
      <x:c r="G156" s="15" t="str">
        <x:v>eml_ALL_currentac__512781 (2).zip &gt; eml6currentac__512781.zip</x:v>
      </x:c>
      <x:c r="H156" s="15" t="str">
        <x:v>FNB _-) R380.65 paid from Current a_c..512781 @ Smartapp. Ref.Bon Express 007623. 12Feb 10_22.eml</x:v>
      </x:c>
      <x:c r="I156" s="15" t="str"/>
    </x:row>
    <x:row r="157">
      <x:c r="A157" s="15" t="str">
        <x:v>Review item</x:v>
      </x:c>
      <x:c r="B157" s="34" t="n">
        <x:v>46065.43402777778</x:v>
      </x:c>
      <x:c r="C157" s="38"/>
      <x:c r="D157" s="15" t="str">
        <x:v>Fr Steyn..296546</x:v>
      </x:c>
      <x:c r="E157" s="15" t="str">
        <x:v>Category assignment is low confidence.</x:v>
      </x:c>
      <x:c r="F157" s="15" t="str">
        <x:v>Payment link creation only; no money movement indicated. Category confidence Low: Unable to map confidently.</x:v>
      </x:c>
      <x:c r="G157" s="15" t="str">
        <x:v>eml_ALL_currentac__512781 (2).zip &gt; eml6currentac__512781.zip</x:v>
      </x:c>
      <x:c r="H157" s="15" t="str">
        <x:v>FNB _-) Payment Link created from Current a_c..512781 To Fr Steyn..296546 @ Smartapp. 12Feb 10_25 Call 087 575 9404  for help..eml</x:v>
      </x:c>
      <x:c r="I157" s="15" t="str"/>
    </x:row>
    <x:row r="158">
      <x:c r="A158" s="15" t="str">
        <x:v>Review item</x:v>
      </x:c>
      <x:c r="B158" s="34" t="n">
        <x:v>46065.43402777778</x:v>
      </x:c>
      <x:c r="C158" s="38" t="n">
        <x:v>815</x:v>
      </x:c>
      <x:c r="D158" s="15" t="str">
        <x:v>Printing</x:v>
      </x:c>
      <x:c r="E158" s="15" t="str">
        <x:v>Category assignment is low confidence.</x:v>
      </x:c>
      <x:c r="F158" s="15" t="str">
        <x:v>Category confidence Low: Default outflow category; review counterparty/reference.</x:v>
      </x:c>
      <x:c r="G158" s="15" t="str">
        <x:v>eml_ALL_currentac__512781 (2).zip &gt; eml6currentac__512781.zip</x:v>
      </x:c>
      <x:c r="H158" s="15" t="str">
        <x:v>FNB _-) R815.00 paid from Current a_c..512781 @ Smartapp. Ref.Printing. 12Feb 10_25.eml</x:v>
      </x:c>
      <x:c r="I158" s="15" t="str"/>
    </x:row>
    <x:row r="159">
      <x:c r="A159" s="15" t="str">
        <x:v>Review item</x:v>
      </x:c>
      <x:c r="B159" s="34" t="n">
        <x:v>46065.43541666667</x:v>
      </x:c>
      <x:c r="C159" s="38" t="n">
        <x:v>5708</x:v>
      </x:c>
      <x:c r="D159" s="15" t="str">
        <x:v>Kruger Safari 1682</x:v>
      </x:c>
      <x:c r="E159" s="15" t="str">
        <x:v>Category assignment is low confidence.</x:v>
      </x:c>
      <x:c r="F159" s="15" t="str">
        <x:v>Category confidence Low: Default outflow category; review counterparty/reference.</x:v>
      </x:c>
      <x:c r="G159" s="15" t="str">
        <x:v>eml_ALL_currentac__512781 (2).zip &gt; eml6currentac__512781.zip</x:v>
      </x:c>
      <x:c r="H159" s="15" t="str">
        <x:v>FNB _-) R5708.00 paid from Current a_c..512781 @ Smartapp. Ref.Kruger Safari 1682. 12Feb 10_27.eml</x:v>
      </x:c>
      <x:c r="I159" s="15" t="str"/>
    </x:row>
    <x:row r="160">
      <x:c r="A160" s="15" t="str">
        <x:v>Review item</x:v>
      </x:c>
      <x:c r="B160" s="34" t="n">
        <x:v>46065.506944444445</x:v>
      </x:c>
      <x:c r="C160" s="38" t="n">
        <x:v>150</x:v>
      </x:c>
      <x:c r="D160" s="15" t="str">
        <x:v>Hpy*vodafone Cellula</x:v>
      </x:c>
      <x:c r="E160" s="15" t="str">
        <x:v>Category assignment is low confidence.</x:v>
      </x:c>
      <x:c r="F160" s="15" t="str">
        <x:v>Category confidence Low: Default card-spend category; merchant not confidently mapped.</x:v>
      </x:c>
      <x:c r="G160" s="15" t="str">
        <x:v>eml_ALL_currentac__512781 (2).zip &gt; eml6currentac__512781.zip</x:v>
      </x:c>
      <x:c r="H160" s="15" t="str">
        <x:v>FNB _-) R150.00 reserved for purchase @ Hpy_vodafone Cellula from Current a_c..512781 using card..2924. 12Feb 12_10.eml</x:v>
      </x:c>
      <x:c r="I160" s="15" t="str"/>
    </x:row>
    <x:row r="161">
      <x:c r="A161" s="15" t="str">
        <x:v>Review item</x:v>
      </x:c>
      <x:c r="B161" s="34" t="n">
        <x:v>46065.558333333334</x:v>
      </x:c>
      <x:c r="C161" s="38" t="n">
        <x:v>575</x:v>
      </x:c>
      <x:c r="D161" s="15" t="str">
        <x:v>Goldwagen Komatipoor</x:v>
      </x:c>
      <x:c r="E161" s="15" t="str">
        <x:v>Category assignment is low confidence.</x:v>
      </x:c>
      <x:c r="F161" s="15" t="str">
        <x:v>Category confidence Low: Default card-spend category; merchant not confidently mapped.</x:v>
      </x:c>
      <x:c r="G161" s="15" t="str">
        <x:v>eml_ALL_currentac__512781 (2).zip &gt; eml6currentac__512781.zip</x:v>
      </x:c>
      <x:c r="H161" s="15" t="str">
        <x:v>FNB _-) R575.00 reserved for purchase @ Goldwagen Komatipoor from Current a_c..512781 using card..2924. 12Feb 13_24.eml</x:v>
      </x:c>
      <x:c r="I161" s="15" t="str"/>
    </x:row>
    <x:row r="162">
      <x:c r="A162" s="15" t="str">
        <x:v>Review item</x:v>
      </x:c>
      <x:c r="B162" s="34" t="n">
        <x:v>46066.504166666666</x:v>
      </x:c>
      <x:c r="C162" s="38" t="n">
        <x:v>355</x:v>
      </x:c>
      <x:c r="D162" s="15" t="str">
        <x:v>Goldwagen Komatipoor</x:v>
      </x:c>
      <x:c r="E162" s="15" t="str">
        <x:v>Category assignment is low confidence.</x:v>
      </x:c>
      <x:c r="F162" s="15" t="str">
        <x:v>Category confidence Low: Default card-spend category; merchant not confidently mapped.</x:v>
      </x:c>
      <x:c r="G162" s="15" t="str">
        <x:v>eml_ALL_currentac__512781 (2).zip &gt; eml6currentac__512781.zip</x:v>
      </x:c>
      <x:c r="H162" s="15" t="str">
        <x:v>FNB _-) R355.00 reserved for purchase @ Goldwagen Komatipoor from Current a_c..512781 using card..2924. 13Feb 12_06.eml</x:v>
      </x:c>
      <x:c r="I162" s="15" t="str"/>
    </x:row>
    <x:row r="163">
      <x:c r="A163" s="15" t="str">
        <x:v>Review item</x:v>
      </x:c>
      <x:c r="B163" s="34" t="n">
        <x:v>46067.00833333333</x:v>
      </x:c>
      <x:c r="C163" s="38" t="n">
        <x:v>3000</x:v>
      </x:c>
      <x:c r="D163" s="15" t="str">
        <x:v>Dreyer</x:v>
      </x:c>
      <x:c r="E163" s="15" t="str">
        <x:v>Category assignment is low confidence.</x:v>
      </x:c>
      <x:c r="F163" s="15" t="str">
        <x:v>Category confidence Low: Default outflow category; review counterparty/reference.</x:v>
      </x:c>
      <x:c r="G163" s="15" t="str">
        <x:v>eml_ALL_currentac__512781 (2).zip &gt; eml6currentac__512781.zip</x:v>
      </x:c>
      <x:c r="H163" s="15" t="str">
        <x:v>FNB _-) R3000.00 paid from Current a_c..512781 @ Smartapp. Ref.Dreyer. 14Feb 00_12.eml</x:v>
      </x:c>
      <x:c r="I163" s="15" t="str"/>
    </x:row>
    <x:row r="164">
      <x:c r="A164" s="15" t="str">
        <x:v>Review item</x:v>
      </x:c>
      <x:c r="B164" s="34" t="n">
        <x:v>46070.43680555555</x:v>
      </x:c>
      <x:c r="C164" s="38" t="n">
        <x:v>2000</x:v>
      </x:c>
      <x:c r="D164" s="15" t="str">
        <x:v>Showpls Roofing</x:v>
      </x:c>
      <x:c r="E164" s="15" t="str">
        <x:v>Category assignment is low confidence.</x:v>
      </x:c>
      <x:c r="F164" s="15" t="str">
        <x:v>Category confidence Low: Default outflow category; review counterparty/reference.</x:v>
      </x:c>
      <x:c r="G164" s="15" t="str">
        <x:v>eml_ALL_currentac__512781 (2).zip &gt; eml6currentac__512781.zip</x:v>
      </x:c>
      <x:c r="H164" s="15" t="str">
        <x:v>FNB _-) R2000.00 paid from Current a_c..512781 @ Smartapp. Ref.Showpls Roofing. 17Feb 10_29.eml</x:v>
      </x:c>
      <x:c r="I164" s="15" t="str"/>
    </x:row>
    <x:row r="165">
      <x:c r="A165" s="15" t="str">
        <x:v>Review item</x:v>
      </x:c>
      <x:c r="B165" s="34" t="n">
        <x:v>46070.461805555555</x:v>
      </x:c>
      <x:c r="C165" s="38" t="n">
        <x:v>4506</x:v>
      </x:c>
      <x:c r="D165" s="15" t="str">
        <x:v>Kruger Safari 1683</x:v>
      </x:c>
      <x:c r="E165" s="15" t="str">
        <x:v>Category assignment is low confidence.</x:v>
      </x:c>
      <x:c r="F165" s="15" t="str">
        <x:v>Category confidence Low: Default outflow category; review counterparty/reference.</x:v>
      </x:c>
      <x:c r="G165" s="15" t="str">
        <x:v>eml_ALL_currentac__512781 (2).zip &gt; eml6currentac__512781.zip</x:v>
      </x:c>
      <x:c r="H165" s="15" t="str">
        <x:v>FNB _-) R4506.00 paid from Current a_c..512781 @ Gen Ph. Ref.Kruger Safari 1683. 17Feb 11_05.eml</x:v>
      </x:c>
      <x:c r="I165" s="15" t="str"/>
    </x:row>
    <x:row r="166">
      <x:c r="A166" s="15" t="str">
        <x:v>Review item</x:v>
      </x:c>
      <x:c r="B166" s="34" t="n">
        <x:v>46071.853472222225</x:v>
      </x:c>
      <x:c r="C166" s="38" t="n">
        <x:v>470</x:v>
      </x:c>
      <x:c r="D166" s="15" t="str">
        <x:v>K2025744041 Sou 262</x:v>
      </x:c>
      <x:c r="E166" s="15" t="str">
        <x:v>Category assignment is low confidence.</x:v>
      </x:c>
      <x:c r="F166" s="15" t="str">
        <x:v>Category confidence Low: Default card-spend category; merchant not confidently mapped.</x:v>
      </x:c>
      <x:c r="G166" s="15" t="str">
        <x:v>eml_ALL_currentac__512781 (2).zip &gt; eml6currentac__512781.zip</x:v>
      </x:c>
      <x:c r="H166" s="15" t="str">
        <x:v>FNB _-) R470.00 reserved for purchase @ K2025744041 Sou 262 from Current a_c..512781 using card..2924. 18Feb 20_29.eml</x:v>
      </x:c>
      <x:c r="I166" s="15" t="str"/>
    </x:row>
    <x:row r="167">
      <x:c r="A167" s="15" t="str">
        <x:v>Review item</x:v>
      </x:c>
      <x:c r="B167" s="34" t="n">
        <x:v>46072.47430555556</x:v>
      </x:c>
      <x:c r="C167" s="38"/>
      <x:c r="D167" s="15" t="str">
        <x:v>G Van Der Merwe..529150</x:v>
      </x:c>
      <x:c r="E167" s="15" t="str">
        <x:v>Category assignment is low confidence.</x:v>
      </x:c>
      <x:c r="F167" s="15" t="str">
        <x:v>Payment link creation only; no money movement indicated. Category confidence Low: Unable to map confidently.</x:v>
      </x:c>
      <x:c r="G167" s="15" t="str">
        <x:v>eml_ALL_currentac__512781 (2).zip &gt; eml6currentac__512781.zip</x:v>
      </x:c>
      <x:c r="H167" s="15" t="str">
        <x:v>FNB _-) Payment Link created from Current a_c..512781 To G Van Der Merwe..529150 @ Smartapp. 19Feb 11_23 Call 087 575 9404  for help..eml</x:v>
      </x:c>
      <x:c r="I167" s="15" t="str"/>
    </x:row>
    <x:row r="168">
      <x:c r="A168" s="15" t="str">
        <x:v>Review item</x:v>
      </x:c>
      <x:c r="B168" s="34" t="n">
        <x:v>46072.47430555556</x:v>
      </x:c>
      <x:c r="C168" s="38" t="n">
        <x:v>3525</x:v>
      </x:c>
      <x:c r="D168" s="15" t="str">
        <x:v>Screens X 5</x:v>
      </x:c>
      <x:c r="E168" s="15" t="str">
        <x:v>Category assignment is low confidence.</x:v>
      </x:c>
      <x:c r="F168" s="15" t="str">
        <x:v>Category confidence Low: Default outflow category; review counterparty/reference.</x:v>
      </x:c>
      <x:c r="G168" s="15" t="str">
        <x:v>eml_ALL_currentac__512781 (2).zip &gt; eml6currentac__512781.zip</x:v>
      </x:c>
      <x:c r="H168" s="15" t="str">
        <x:v>FNB _-) R3525.00 paid from Current a_c..512781 @ Smartapp. Ref.Screens X 5. 19Feb 11_23.eml</x:v>
      </x:c>
      <x:c r="I168" s="15" t="str"/>
    </x:row>
    <x:row r="169">
      <x:c r="A169" s="15" t="str">
        <x:v>Review item</x:v>
      </x:c>
      <x:c r="B169" s="34" t="n">
        <x:v>46072.63055555556</x:v>
      </x:c>
      <x:c r="C169" s="38" t="n">
        <x:v>132.25</x:v>
      </x:c>
      <x:c r="D169" s="15" t="str">
        <x:v>Bon Express 007757</x:v>
      </x:c>
      <x:c r="E169" s="15" t="str">
        <x:v>Category assignment is low confidence.</x:v>
      </x:c>
      <x:c r="F169" s="15" t="str">
        <x:v>Category confidence Low: Default outflow category; review counterparty/reference.</x:v>
      </x:c>
      <x:c r="G169" s="15" t="str">
        <x:v>eml_ALL_currentac__512781 (2).zip &gt; eml6currentac__512781.zip</x:v>
      </x:c>
      <x:c r="H169" s="15" t="str">
        <x:v>FNB _-) R132.25 paid from Current a_c..512781 @ Smartapp. Ref.Bon Express 007757. 19Feb 15_08.eml</x:v>
      </x:c>
      <x:c r="I169" s="15" t="str"/>
    </x:row>
    <x:row r="170">
      <x:c r="A170" s="15" t="str">
        <x:v>Review item</x:v>
      </x:c>
      <x:c r="B170" s="34" t="n">
        <x:v>46072.79861111111</x:v>
      </x:c>
      <x:c r="C170" s="38"/>
      <x:c r="D170" s="15" t="str">
        <x:v>Captured Views Photo..937400</x:v>
      </x:c>
      <x:c r="E170" s="15" t="str">
        <x:v>Category assignment is low confidence.</x:v>
      </x:c>
      <x:c r="F170" s="15" t="str">
        <x:v>Payment link creation only; no money movement indicated. Category confidence Low: Unable to map confidently.</x:v>
      </x:c>
      <x:c r="G170" s="15" t="str">
        <x:v>eml_ALL_currentac__512781 (2).zip &gt; eml6currentac__512781.zip</x:v>
      </x:c>
      <x:c r="H170" s="15" t="str">
        <x:v>FNB _-) Payment Link created from Current a_c..512781 To Captured Views Photo..937400 @ Smartapp. 19Feb 19_10 Call 087 575 9404  for help..eml</x:v>
      </x:c>
      <x:c r="I170" s="15" t="str"/>
    </x:row>
    <x:row r="171">
      <x:c r="A171" s="15" t="str">
        <x:v>Review item</x:v>
      </x:c>
      <x:c r="B171" s="34" t="n">
        <x:v>46072.79861111111</x:v>
      </x:c>
      <x:c r="C171" s="38" t="n">
        <x:v>545</x:v>
      </x:c>
      <x:c r="D171" s="15" t="str">
        <x:v>Inv 20260138</x:v>
      </x:c>
      <x:c r="E171" s="15" t="str">
        <x:v>Category assignment is low confidence.</x:v>
      </x:c>
      <x:c r="F171" s="15" t="str">
        <x:v>Category confidence Low: Default outflow category; review counterparty/reference.</x:v>
      </x:c>
      <x:c r="G171" s="15" t="str">
        <x:v>eml_ALL_currentac__512781 (2).zip &gt; eml6currentac__512781.zip</x:v>
      </x:c>
      <x:c r="H171" s="15" t="str">
        <x:v>FNB _-) R545.00 paid from Current a_c..512781 @ Smartapp. Ref.Inv 20260138. 19Feb 19_10.eml</x:v>
      </x:c>
      <x:c r="I171" s="15" t="str"/>
    </x:row>
    <x:row r="172">
      <x:c r="A172" s="15" t="str">
        <x:v>Review item</x:v>
      </x:c>
      <x:c r="B172" s="34" t="n">
        <x:v>46073.39097222222</x:v>
      </x:c>
      <x:c r="C172" s="38"/>
      <x:c r="D172" s="15" t="str">
        <x:v>Komatipoort..134128</x:v>
      </x:c>
      <x:c r="E172" s="15" t="str">
        <x:v>Category assignment is low confidence.</x:v>
      </x:c>
      <x:c r="F172" s="15" t="str">
        <x:v>Payment link creation only; no money movement indicated. Category confidence Low: Unable to map confidently.</x:v>
      </x:c>
      <x:c r="G172" s="15" t="str">
        <x:v>eml_ALL_currentac__512781 (2).zip &gt; eml6currentac__512781.zip</x:v>
      </x:c>
      <x:c r="H172" s="15" t="str">
        <x:v>FNB _-) Payment Link created from Current a_c..512781 To Komatipoort..134128 @ Smartapp. 20Feb 09_23 Call 087 575 9404  for help..eml</x:v>
      </x:c>
      <x:c r="I172" s="15" t="str"/>
    </x:row>
    <x:row r="173">
      <x:c r="A173" s="15" t="str">
        <x:v>Review item</x:v>
      </x:c>
      <x:c r="B173" s="34" t="n">
        <x:v>46073.39097222222</x:v>
      </x:c>
      <x:c r="C173" s="38" t="n">
        <x:v>845</x:v>
      </x:c>
      <x:c r="D173" s="15" t="str">
        <x:v>Komatipoort</x:v>
      </x:c>
      <x:c r="E173" s="15" t="str">
        <x:v>Category assignment is low confidence.</x:v>
      </x:c>
      <x:c r="F173" s="15" t="str">
        <x:v>Category confidence Low: Default outflow category; review counterparty/reference.</x:v>
      </x:c>
      <x:c r="G173" s="15" t="str">
        <x:v>eml_ALL_currentac__512781 (2).zip &gt; eml6currentac__512781.zip</x:v>
      </x:c>
      <x:c r="H173" s="15" t="str">
        <x:v>FNB _-) R845.00 paid from Current a_c..512781 @ Smartapp. Ref.Komatipoort. 20Feb 09_23.eml</x:v>
      </x:c>
      <x:c r="I173" s="15" t="str"/>
    </x:row>
    <x:row r="174">
      <x:c r="A174" s="15" t="str">
        <x:v>Review item</x:v>
      </x:c>
      <x:c r="B174" s="34" t="n">
        <x:v>46073.58125</x:v>
      </x:c>
      <x:c r="C174" s="38" t="n">
        <x:v>6008</x:v>
      </x:c>
      <x:c r="D174" s="15" t="str">
        <x:v>Kruger Safari 1684</x:v>
      </x:c>
      <x:c r="E174" s="15" t="str">
        <x:v>Category assignment is low confidence.</x:v>
      </x:c>
      <x:c r="F174" s="15" t="str">
        <x:v>Category confidence Low: Default outflow category; review counterparty/reference.</x:v>
      </x:c>
      <x:c r="G174" s="15" t="str">
        <x:v>eml_ALL_currentac__512781 (2).zip &gt; eml6currentac__512781.zip</x:v>
      </x:c>
      <x:c r="H174" s="15" t="str">
        <x:v>FNB _-) R6008.00 paid from Current a_c..512781 @ Smartapp. Ref.Kruger Safari 1684. 20Feb 13_57.eml</x:v>
      </x:c>
      <x:c r="I174" s="15" t="str"/>
    </x:row>
    <x:row r="175">
      <x:c r="A175" s="15" t="str">
        <x:v>Review item</x:v>
      </x:c>
      <x:c r="B175" s="34" t="n">
        <x:v>46073.80416666667</x:v>
      </x:c>
      <x:c r="C175" s="38"/>
      <x:c r="D175" s="15" t="str">
        <x:v>Ms Cp Nsingwane..561030</x:v>
      </x:c>
      <x:c r="E175" s="15" t="str">
        <x:v>Category assignment is low confidence.</x:v>
      </x:c>
      <x:c r="F175" s="15" t="str">
        <x:v>Payment link creation only; no money movement indicated. Category confidence Low: Unable to map confidently.</x:v>
      </x:c>
      <x:c r="G175" s="15" t="str">
        <x:v>eml_ALL_currentac__512781 (2).zip &gt; eml6currentac__512781.zip</x:v>
      </x:c>
      <x:c r="H175" s="15" t="str">
        <x:v>FNB _-) Payment Link created from Current a_c..512781 To Ms Cp Nsingwane..561030 @ Smartapp. 20Feb 19_18 Call 087 575 9404  for help..eml</x:v>
      </x:c>
      <x:c r="I175" s="15" t="str"/>
    </x:row>
    <x:row r="176">
      <x:c r="A176" s="15" t="str">
        <x:v>Review item</x:v>
      </x:c>
      <x:c r="B176" s="34" t="n">
        <x:v>46073.80416666667</x:v>
      </x:c>
      <x:c r="C176" s="38" t="n">
        <x:v>2000</x:v>
      </x:c>
      <x:c r="D176" s="15" t="str">
        <x:v>Gas</x:v>
      </x:c>
      <x:c r="E176" s="15" t="str">
        <x:v>Category assignment is low confidence.</x:v>
      </x:c>
      <x:c r="F176" s="15" t="str">
        <x:v>Category confidence Low: Default outflow category; review counterparty/reference.</x:v>
      </x:c>
      <x:c r="G176" s="15" t="str">
        <x:v>eml_ALL_currentac__512781 (2).zip &gt; eml6currentac__512781.zip</x:v>
      </x:c>
      <x:c r="H176" s="15" t="str">
        <x:v>FNB _-) R2000.00 paid from Current a_c..512781 @ Smartapp. Ref.Gas. 20Feb 19_18.eml</x:v>
      </x:c>
      <x:c r="I176" s="15" t="str"/>
    </x:row>
    <x:row r="177">
      <x:c r="A177" s="15" t="str">
        <x:v>Review item</x:v>
      </x:c>
      <x:c r="B177" s="34" t="n">
        <x:v>46077.46597222222</x:v>
      </x:c>
      <x:c r="C177" s="38" t="n">
        <x:v>8480</x:v>
      </x:c>
      <x:c r="D177" s="15" t="str">
        <x:v>Royal Bush 3751</x:v>
      </x:c>
      <x:c r="E177" s="15" t="str">
        <x:v>Category assignment is low confidence.</x:v>
      </x:c>
      <x:c r="F177" s="15" t="str">
        <x:v>Category confidence Low: Default outflow category; review counterparty/reference.</x:v>
      </x:c>
      <x:c r="G177" s="15" t="str">
        <x:v>eml_ALL_currentac__512781 (2).zip &gt; eml5currentac__512781.zip</x:v>
      </x:c>
      <x:c r="H177" s="15" t="str">
        <x:v>FNB _-) R8480.00 paid from Current a_c..512781 @ Smartapp. Ref.Royal Bush 3751. 24Feb 11_11.eml</x:v>
      </x:c>
      <x:c r="I177" s="15" t="str"/>
    </x:row>
    <x:row r="178">
      <x:c r="A178" s="15" t="str">
        <x:v>Review item</x:v>
      </x:c>
      <x:c r="B178" s="34" t="n">
        <x:v>46078.55138888889</x:v>
      </x:c>
      <x:c r="C178" s="38" t="n">
        <x:v>450</x:v>
      </x:c>
      <x:c r="D178" s="15" t="str">
        <x:v>Lebombo 24/01/2026</x:v>
      </x:c>
      <x:c r="E178" s="15" t="str">
        <x:v>Category assignment is low confidence.</x:v>
      </x:c>
      <x:c r="F178" s="15" t="str">
        <x:v>Category confidence Low: Default outflow category; review counterparty/reference.</x:v>
      </x:c>
      <x:c r="G178" s="15" t="str">
        <x:v>eml_ALL_currentac__512781 (2).zip &gt; eml5currentac__512781.zip</x:v>
      </x:c>
      <x:c r="H178" s="15" t="str">
        <x:v>FNB _-) R450.00 paid from Current a_c..512781 @ Smartapp. Ref.Lebombo 24_01_2026. 25Feb 13_14.eml</x:v>
      </x:c>
      <x:c r="I178" s="15" t="str"/>
    </x:row>
    <x:row r="179">
      <x:c r="A179" s="15" t="str">
        <x:v>Review item</x:v>
      </x:c>
      <x:c r="B179" s="34" t="n">
        <x:v>46079.46875</x:v>
      </x:c>
      <x:c r="C179" s="38" t="n">
        <x:v>8233.82</x:v>
      </x:c>
      <x:c r="D179" s="15" t="str">
        <x:v>Nkomazi Local Munici</x:v>
      </x:c>
      <x:c r="E179" s="15" t="str">
        <x:v>Category assignment is low confidence.</x:v>
      </x:c>
      <x:c r="F179" s="15" t="str">
        <x:v>Category confidence Low: Default card-spend category; merchant not confidently mapped.</x:v>
      </x:c>
      <x:c r="G179" s="15" t="str">
        <x:v>eml_ALL_currentac__512781 (2).zip &gt; eml5currentac__512781.zip</x:v>
      </x:c>
      <x:c r="H179" s="15" t="str">
        <x:v>FNB _-) R8233.82 reserved for purchase @ Nkomazi Local Munici from Current a_c..512781 using card..2924. 26Feb 11_15.eml</x:v>
      </x:c>
      <x:c r="I179" s="15" t="str"/>
    </x:row>
    <x:row r="180">
      <x:c r="A180" s="15" t="str">
        <x:v>Review item</x:v>
      </x:c>
      <x:c r="B180" s="34" t="n">
        <x:v>46080.459027777775</x:v>
      </x:c>
      <x:c r="C180" s="38" t="n">
        <x:v>6450</x:v>
      </x:c>
      <x:c r="D180" s="15" t="str">
        <x:v>Southern Kru 0135</x:v>
      </x:c>
      <x:c r="E180" s="15" t="str">
        <x:v>Category assignment is low confidence.</x:v>
      </x:c>
      <x:c r="F180" s="15" t="str">
        <x:v>Category confidence Low: Default outflow category; review counterparty/reference.</x:v>
      </x:c>
      <x:c r="G180" s="15" t="str">
        <x:v>eml_ALL_currentac__512781 (2).zip &gt; eml5currentac__512781.zip</x:v>
      </x:c>
      <x:c r="H180" s="15" t="str">
        <x:v>FNB _-) R6450.00 paid from Current a_c..512781 @ Gen Ph. Ref.Southern Kru 0135. 27Feb 11_01.eml</x:v>
      </x:c>
      <x:c r="I180" s="15" t="str"/>
    </x:row>
    <x:row r="181">
      <x:c r="A181" s="15" t="str">
        <x:v>Review item</x:v>
      </x:c>
      <x:c r="B181" s="34" t="n">
        <x:v>46080.66458333333</x:v>
      </x:c>
      <x:c r="C181" s="38" t="n">
        <x:v>3004</x:v>
      </x:c>
      <x:c r="D181" s="15" t="str">
        <x:v>Kruger Safari 1685</x:v>
      </x:c>
      <x:c r="E181" s="15" t="str">
        <x:v>Category assignment is low confidence.</x:v>
      </x:c>
      <x:c r="F181" s="15" t="str">
        <x:v>Category confidence Low: Default outflow category; review counterparty/reference.</x:v>
      </x:c>
      <x:c r="G181" s="15" t="str">
        <x:v>eml_ALL_currentac__512781 (2).zip &gt; eml5currentac__512781.zip</x:v>
      </x:c>
      <x:c r="H181" s="15" t="str">
        <x:v>FNB _-) R3004.00 paid from Current a_c..512781 @ Smartapp. Ref.Kruger Safari 1685. 27Feb 15_57.eml</x:v>
      </x:c>
      <x:c r="I181" s="15" t="str"/>
    </x:row>
    <x:row r="182">
      <x:c r="A182" s="15" t="str">
        <x:v>Review item</x:v>
      </x:c>
      <x:c r="B182" s="34" t="n">
        <x:v>46080.83194444444</x:v>
      </x:c>
      <x:c r="C182" s="38" t="n">
        <x:v>460</x:v>
      </x:c>
      <x:c r="D182" s="15" t="str">
        <x:v>Amazing Kruger</x:v>
      </x:c>
      <x:c r="E182" s="15" t="str">
        <x:v>Category assignment is low confidence.</x:v>
      </x:c>
      <x:c r="F182" s="15" t="str">
        <x:v>Category confidence Low: Default card-spend category; merchant not confidently mapped.</x:v>
      </x:c>
      <x:c r="G182" s="15" t="str">
        <x:v>eml_ALL_currentac__512781 (2).zip &gt; eml5currentac__512781.zip</x:v>
      </x:c>
      <x:c r="H182" s="15" t="str">
        <x:v>FNB _-) R460.00 reserved for purchase @ Amazing Kruger from Current a_c..512781 using card..2924. 27Feb 19_58.eml</x:v>
      </x:c>
      <x:c r="I182" s="15" t="str"/>
    </x:row>
    <x:row r="183">
      <x:c r="A183" s="15" t="str">
        <x:v>Review item</x:v>
      </x:c>
      <x:c r="B183" s="34" t="n">
        <x:v>46083.592361111114</x:v>
      </x:c>
      <x:c r="C183" s="38" t="n">
        <x:v>815</x:v>
      </x:c>
      <x:c r="D183" s="15" t="str">
        <x:v>Printing</x:v>
      </x:c>
      <x:c r="E183" s="15" t="str">
        <x:v>Category assignment is low confidence.</x:v>
      </x:c>
      <x:c r="F183" s="15" t="str">
        <x:v>Category confidence Low: Default outflow category; review counterparty/reference.</x:v>
      </x:c>
      <x:c r="G183" s="15" t="str">
        <x:v>eml_ALL_currentac__512781 (2).zip &gt; eml5currentac__512781.zip</x:v>
      </x:c>
      <x:c r="H183" s="15" t="str">
        <x:v>FNB _-) R815.00 paid from Current a_c..512781 @ Smartapp. Ref.Printing.  2Mar 14_13.eml</x:v>
      </x:c>
      <x:c r="I183" s="15" t="str"/>
    </x:row>
    <x:row r="184">
      <x:c r="A184" s="15" t="str">
        <x:v>Review item</x:v>
      </x:c>
      <x:c r="B184" s="34" t="n">
        <x:v>46083.604166666664</x:v>
      </x:c>
      <x:c r="C184" s="38" t="n">
        <x:v>759</x:v>
      </x:c>
      <x:c r="D184" s="15" t="str">
        <x:v>Nb N992820</x:v>
      </x:c>
      <x:c r="E184" s="15" t="str">
        <x:v>Category assignment is low confidence.</x:v>
      </x:c>
      <x:c r="F184" s="15" t="str">
        <x:v>Category confidence Low: Default outflow category; review counterparty/reference.</x:v>
      </x:c>
      <x:c r="G184" s="15" t="str">
        <x:v>eml_ALL_currentac__512781 (2).zip &gt; eml5currentac__512781.zip</x:v>
      </x:c>
      <x:c r="H184" s="15" t="str">
        <x:v>FNB _-) R759.00 paid from Current a_c..512781 @ Smartapp. Ref.Nb N992820.  2Mar 14_30.eml</x:v>
      </x:c>
      <x:c r="I184" s="15" t="str"/>
    </x:row>
    <x:row r="185">
      <x:c r="A185" s="15" t="str">
        <x:v>Review item</x:v>
      </x:c>
      <x:c r="B185" s="34" t="n">
        <x:v>46083.61111111111</x:v>
      </x:c>
      <x:c r="C185" s="38" t="n">
        <x:v>500</x:v>
      </x:c>
      <x:c r="D185" s="15" t="str">
        <x:v>Kpci - C1736 March</x:v>
      </x:c>
      <x:c r="E185" s="15" t="str">
        <x:v>Category assignment is low confidence.</x:v>
      </x:c>
      <x:c r="F185" s="15" t="str">
        <x:v>Category confidence Low: Default outflow category; review counterparty/reference.</x:v>
      </x:c>
      <x:c r="G185" s="15" t="str">
        <x:v>eml_ALL_currentac__512781 (2).zip &gt; eml5currentac__512781.zip</x:v>
      </x:c>
      <x:c r="H185" s="15" t="str">
        <x:v>FNB _-) R500.00 paid from Current a_c..512781 @ Smartapp. Ref.Kpci - C1736 March.  2Mar 14_40.eml</x:v>
      </x:c>
      <x:c r="I185" s="15" t="str"/>
    </x:row>
    <x:row r="186">
      <x:c r="A186" s="15" t="str">
        <x:v>Review item</x:v>
      </x:c>
      <x:c r="B186" s="34" t="n">
        <x:v>46084.677777777775</x:v>
      </x:c>
      <x:c r="C186" s="38" t="n">
        <x:v>574.4</x:v>
      </x:c>
      <x:c r="D186" s="15" t="str">
        <x:v>Ingwe Supermarket146</x:v>
      </x:c>
      <x:c r="E186" s="15" t="str">
        <x:v>Category assignment is low confidence.</x:v>
      </x:c>
      <x:c r="F186" s="15" t="str">
        <x:v>Category confidence Low: Default card-spend category; merchant not confidently mapped.</x:v>
      </x:c>
      <x:c r="G186" s="15" t="str">
        <x:v>eml_ALL_currentac__512781 (2).zip &gt; eml5currentac__512781.zip</x:v>
      </x:c>
      <x:c r="H186" s="15" t="str">
        <x:v>FNB _-) R574.40 reserved for purchase @ Ingwe Supermarket146 from Current a_c..512781 using card..2924.  3Mar 16_16.eml</x:v>
      </x:c>
      <x:c r="I186" s="15" t="str"/>
    </x:row>
    <x:row r="187">
      <x:c r="A187" s="15" t="str">
        <x:v>Review item</x:v>
      </x:c>
      <x:c r="B187" s="34" t="n">
        <x:v>46085.61736111111</x:v>
      </x:c>
      <x:c r="C187" s="38" t="n">
        <x:v>200</x:v>
      </x:c>
      <x:c r="D187" s="15" t="str">
        <x:v>Ae Komatipoort</x:v>
      </x:c>
      <x:c r="E187" s="15" t="str">
        <x:v>Category assignment is low confidence.</x:v>
      </x:c>
      <x:c r="F187" s="15" t="str">
        <x:v>Category confidence Low: Default card-spend category; merchant not confidently mapped.</x:v>
      </x:c>
      <x:c r="G187" s="15" t="str">
        <x:v>eml_ALL_currentac__512781 (2).zip &gt; eml5currentac__512781.zip</x:v>
      </x:c>
      <x:c r="H187" s="15" t="str">
        <x:v>FNB _-) R200.00 reserved for purchase @ Ae Komatipoort from Current a_c..512781 using card..2924.  4Mar 14_49.eml</x:v>
      </x:c>
      <x:c r="I187" s="15" t="str"/>
    </x:row>
    <x:row r="188">
      <x:c r="A188" s="15" t="str">
        <x:v>Review item</x:v>
      </x:c>
      <x:c r="B188" s="34" t="n">
        <x:v>46087.48819444444</x:v>
      </x:c>
      <x:c r="C188" s="38" t="n">
        <x:v>166.5</x:v>
      </x:c>
      <x:c r="D188" s="15" t="str">
        <x:v>Hpy*twin City Fabric</x:v>
      </x:c>
      <x:c r="E188" s="15" t="str">
        <x:v>Category assignment is low confidence.</x:v>
      </x:c>
      <x:c r="F188" s="15" t="str">
        <x:v>Category confidence Low: Default card-spend category; merchant not confidently mapped.</x:v>
      </x:c>
      <x:c r="G188" s="15" t="str">
        <x:v>eml_ALL_currentac__512781 (2).zip &gt; eml5currentac__512781.zip</x:v>
      </x:c>
      <x:c r="H188" s="15" t="str">
        <x:v>FNB _-) R166.50 reserved for purchase @ Hpy_twin City Fabric from Current a_c..512781 using card..2924.  6Mar 11_43.eml</x:v>
      </x:c>
      <x:c r="I188" s="15" t="str"/>
    </x:row>
    <x:row r="189">
      <x:c r="A189" s="15" t="str">
        <x:v>Review item</x:v>
      </x:c>
      <x:c r="B189" s="34" t="n">
        <x:v>46087.646527777775</x:v>
      </x:c>
      <x:c r="C189" s="38" t="n">
        <x:v>4240</x:v>
      </x:c>
      <x:c r="D189" s="15" t="str">
        <x:v>Royal Bush 3764</x:v>
      </x:c>
      <x:c r="E189" s="15" t="str">
        <x:v>Category assignment is low confidence.</x:v>
      </x:c>
      <x:c r="F189" s="15" t="str">
        <x:v>Category confidence Low: Default outflow category; review counterparty/reference.</x:v>
      </x:c>
      <x:c r="G189" s="15" t="str">
        <x:v>eml_ALL_currentac__512781 (2).zip &gt; eml5currentac__512781.zip</x:v>
      </x:c>
      <x:c r="H189" s="15" t="str">
        <x:v>FNB _-) R4240.00 paid from Current a_c..512781 @ Smartapp. Ref.Royal Bush 3764.  6Mar 15_31.eml</x:v>
      </x:c>
      <x:c r="I189" s="15" t="str"/>
    </x:row>
    <x:row r="190">
      <x:c r="A190" s="15" t="str">
        <x:v>Review item</x:v>
      </x:c>
      <x:c r="B190" s="34" t="n">
        <x:v>46087.69236111111</x:v>
      </x:c>
      <x:c r="C190" s="38" t="n">
        <x:v>200</x:v>
      </x:c>
      <x:c r="D190" s="15" t="str">
        <x:v>Smartapp</x:v>
      </x:c>
      <x:c r="E190" s="15" t="str">
        <x:v>Category assignment is low confidence.</x:v>
      </x:c>
      <x:c r="F190" s="15" t="str">
        <x:v>Category confidence Low: Default outflow category; review counterparty/reference.</x:v>
      </x:c>
      <x:c r="G190" s="15" t="str">
        <x:v>eml_ALL_currentac__512781 (2).zip &gt; eml5currentac__512781.zip</x:v>
      </x:c>
      <x:c r="H190" s="15" t="str">
        <x:v>FNB _-) R200.00 paid from Current a_c..512781 @ Smartapp.  6Mar 16_37.eml</x:v>
      </x:c>
      <x:c r="I190" s="15" t="str"/>
    </x:row>
    <x:row r="191">
      <x:c r="A191" s="15" t="str">
        <x:v>Review item</x:v>
      </x:c>
      <x:c r="B191" s="34" t="n">
        <x:v>46088.56805555556</x:v>
      </x:c>
      <x:c r="C191" s="38" t="n">
        <x:v>214.99</x:v>
      </x:c>
      <x:c r="D191" s="15" t="str">
        <x:v>Ingwe Supermarket146</x:v>
      </x:c>
      <x:c r="E191" s="15" t="str">
        <x:v>Category assignment is low confidence.</x:v>
      </x:c>
      <x:c r="F191" s="15" t="str">
        <x:v>Category confidence Low: Default card-spend category; merchant not confidently mapped.</x:v>
      </x:c>
      <x:c r="G191" s="15" t="str">
        <x:v>eml_ALL_currentac__512781 (2).zip &gt; eml5currentac__512781.zip</x:v>
      </x:c>
      <x:c r="H191" s="15" t="str">
        <x:v>FNB _-) R214.99 reserved for purchase @ Ingwe Supermarket146 from Current a_c..512781 using card..2924.  7Mar 13_38.eml</x:v>
      </x:c>
      <x:c r="I191" s="15" t="str"/>
    </x:row>
    <x:row r="192">
      <x:c r="A192" s="15" t="str">
        <x:v>Review item</x:v>
      </x:c>
      <x:c r="B192" s="34" t="n">
        <x:v>46090.62708333333</x:v>
      </x:c>
      <x:c r="C192" s="38" t="n">
        <x:v>128.01</x:v>
      </x:c>
      <x:c r="D192" s="15" t="str">
        <x:v>Ingwe Supermarket</x:v>
      </x:c>
      <x:c r="E192" s="15" t="str">
        <x:v>Category assignment is low confidence.</x:v>
      </x:c>
      <x:c r="F192" s="15" t="str">
        <x:v>Category confidence Low: Default card-spend category; merchant not confidently mapped.</x:v>
      </x:c>
      <x:c r="G192" s="15" t="str">
        <x:v>eml_ALL_currentac__512781 (2).zip &gt; eml5currentac__512781.zip</x:v>
      </x:c>
      <x:c r="H192" s="15" t="str">
        <x:v>FNB _-) R128.01 reserved for purchase @ Ingwe Supermarket from Current a_c..512781 using card..2924.  9Mar 15_03.eml</x:v>
      </x:c>
      <x:c r="I192" s="15" t="str"/>
    </x:row>
    <x:row r="193">
      <x:c r="A193" s="15" t="str">
        <x:v>Review item</x:v>
      </x:c>
      <x:c r="B193" s="34" t="n">
        <x:v>46092.57638888889</x:v>
      </x:c>
      <x:c r="C193" s="38" t="n">
        <x:v>6008</x:v>
      </x:c>
      <x:c r="D193" s="15" t="str">
        <x:v>Kruger Safari 1686</x:v>
      </x:c>
      <x:c r="E193" s="15" t="str">
        <x:v>Category assignment is low confidence.</x:v>
      </x:c>
      <x:c r="F193" s="15" t="str">
        <x:v>Category confidence Low: Default outflow category; review counterparty/reference.</x:v>
      </x:c>
      <x:c r="G193" s="15" t="str">
        <x:v>eml_ALL_currentac__512781 (2).zip &gt; eml5currentac__512781.zip</x:v>
      </x:c>
      <x:c r="H193" s="15" t="str">
        <x:v>FNB _-) R6008.00 paid from Current a_c..512781 @ Smartapp. Ref.Kruger Safari 1686. 11Mar 13_50.eml</x:v>
      </x:c>
      <x:c r="I193" s="15" t="str"/>
    </x:row>
    <x:row r="194">
      <x:c r="A194" s="15" t="str">
        <x:v>Review item</x:v>
      </x:c>
      <x:c r="B194" s="34" t="n">
        <x:v>46093.67083333333</x:v>
      </x:c>
      <x:c r="C194" s="38" t="n">
        <x:v>4240</x:v>
      </x:c>
      <x:c r="D194" s="15" t="str">
        <x:v>Royal Bush 3798</x:v>
      </x:c>
      <x:c r="E194" s="15" t="str">
        <x:v>Category assignment is low confidence.</x:v>
      </x:c>
      <x:c r="F194" s="15" t="str">
        <x:v>Category confidence Low: Default outflow category; review counterparty/reference.</x:v>
      </x:c>
      <x:c r="G194" s="15" t="str">
        <x:v>eml_ALL_currentac__512781 (2).zip &gt; eml5currentac__512781.zip</x:v>
      </x:c>
      <x:c r="H194" s="15" t="str">
        <x:v>FNB _-) R4240.00 paid from Current a_c..512781 @ Smartapp. Ref.Royal Bush 3798. 12Mar 16_06.eml</x:v>
      </x:c>
      <x:c r="I194" s="15" t="str"/>
    </x:row>
    <x:row r="195">
      <x:c r="A195" s="15" t="str">
        <x:v>Review item</x:v>
      </x:c>
      <x:c r="B195" s="34" t="n">
        <x:v>46093.67222222222</x:v>
      </x:c>
      <x:c r="C195" s="38" t="n">
        <x:v>4506</x:v>
      </x:c>
      <x:c r="D195" s="15" t="str">
        <x:v>Kruger Safari 1687</x:v>
      </x:c>
      <x:c r="E195" s="15" t="str">
        <x:v>Category assignment is low confidence.</x:v>
      </x:c>
      <x:c r="F195" s="15" t="str">
        <x:v>Category confidence Low: Default outflow category; review counterparty/reference.</x:v>
      </x:c>
      <x:c r="G195" s="15" t="str">
        <x:v>eml_ALL_currentac__512781 (2).zip &gt; eml5currentac__512781.zip</x:v>
      </x:c>
      <x:c r="H195" s="15" t="str">
        <x:v>FNB _-) R4506.00 paid from Current a_c..512781 @ Smartapp. Ref.Kruger Safari 1687. 12Mar 16_08.eml</x:v>
      </x:c>
      <x:c r="I195" s="15" t="str"/>
    </x:row>
    <x:row r="196">
      <x:c r="A196" s="15" t="str">
        <x:v>Review item</x:v>
      </x:c>
      <x:c r="B196" s="34" t="n">
        <x:v>46095.58263888889</x:v>
      </x:c>
      <x:c r="C196" s="38" t="n">
        <x:v>264.32</x:v>
      </x:c>
      <x:c r="D196" s="15" t="str">
        <x:v>Ingwe Supermarket</x:v>
      </x:c>
      <x:c r="E196" s="15" t="str">
        <x:v>Category assignment is low confidence.</x:v>
      </x:c>
      <x:c r="F196" s="15" t="str">
        <x:v>Category confidence Low: Default card-spend category; merchant not confidently mapped.</x:v>
      </x:c>
      <x:c r="G196" s="15" t="str">
        <x:v>eml_ALL_currentac__512781 (2).zip &gt; eml5currentac__512781.zip</x:v>
      </x:c>
      <x:c r="H196" s="15" t="str">
        <x:v>FNB _-) R264.32 reserved for purchase @ Ingwe Supermarket from Current a_c..512781 using card..2924. 14Mar 13_59.eml</x:v>
      </x:c>
      <x:c r="I196" s="15" t="str"/>
    </x:row>
    <x:row r="197">
      <x:c r="A197" s="15" t="str">
        <x:v>Review item</x:v>
      </x:c>
      <x:c r="B197" s="34" t="n">
        <x:v>46097.71666666667</x:v>
      </x:c>
      <x:c r="C197" s="38" t="n">
        <x:v>4835.36</x:v>
      </x:c>
      <x:c r="D197" s="15" t="str">
        <x:v>City Of Capetown</x:v>
      </x:c>
      <x:c r="E197" s="15" t="str">
        <x:v>Category assignment is low confidence.</x:v>
      </x:c>
      <x:c r="F197" s="15" t="str">
        <x:v>Category confidence Low: Default outflow category; review counterparty/reference.</x:v>
      </x:c>
      <x:c r="G197" s="15" t="str">
        <x:v>eml_ALL_currentac__512781 (2).zip &gt; eml5currentac__512781.zip</x:v>
      </x:c>
      <x:c r="H197" s="15" t="str">
        <x:v>FNB _-) R4835.36 paid from Current a_c..512781 @ Smartapp. Ref.City Of Capetown. 16Mar 17_12.eml</x:v>
      </x:c>
      <x:c r="I197" s="15" t="str"/>
    </x:row>
    <x:row r="198">
      <x:c r="A198" s="15" t="str">
        <x:v>Review item</x:v>
      </x:c>
      <x:c r="B198" s="34" t="n">
        <x:v>46099.79236111111</x:v>
      </x:c>
      <x:c r="C198" s="38" t="n">
        <x:v>1292</x:v>
      </x:c>
      <x:c r="D198" s="15" t="str">
        <x:v>Cf Moto Saf - Inv 2</x:v>
      </x:c>
      <x:c r="E198" s="15" t="str">
        <x:v>Category assignment is low confidence.</x:v>
      </x:c>
      <x:c r="F198" s="15" t="str">
        <x:v>Category confidence Low: Default outflow category; review counterparty/reference.</x:v>
      </x:c>
      <x:c r="G198" s="15" t="str">
        <x:v>eml_ALL_currentac__512781 (2).zip &gt; eml4currentac__512781.zip</x:v>
      </x:c>
      <x:c r="H198" s="15" t="str">
        <x:v>FNB _-) R1292.00 paid from Current a_c..512781 @ Smartapp. Ref.Cf Moto Saf - Inv 2. 18Mar 19_01.eml</x:v>
      </x:c>
      <x:c r="I198" s="15" t="str"/>
    </x:row>
    <x:row r="199">
      <x:c r="A199" s="15" t="str">
        <x:v>Review item</x:v>
      </x:c>
      <x:c r="B199" s="34" t="n">
        <x:v>46102.65416666667</x:v>
      </x:c>
      <x:c r="C199" s="38" t="n">
        <x:v>2929</x:v>
      </x:c>
      <x:c r="D199" s="15" t="str">
        <x:v>Kruger Safari 1688</x:v>
      </x:c>
      <x:c r="E199" s="15" t="str">
        <x:v>Category assignment is low confidence.</x:v>
      </x:c>
      <x:c r="F199" s="15" t="str">
        <x:v>Category confidence Low: Default outflow category; review counterparty/reference.</x:v>
      </x:c>
      <x:c r="G199" s="15" t="str">
        <x:v>eml_ALL_currentac__512781 (2).zip &gt; eml4currentac__512781.zip</x:v>
      </x:c>
      <x:c r="H199" s="15" t="str">
        <x:v>FNB _-) R2929.00 paid from Current a_c..512781 @ Smartapp. Ref.Kruger Safari 1688. 21Mar 15_42.eml</x:v>
      </x:c>
      <x:c r="I199" s="15" t="str"/>
    </x:row>
    <x:row r="200">
      <x:c r="A200" s="15" t="str">
        <x:v>Review item</x:v>
      </x:c>
      <x:c r="B200" s="34" t="n">
        <x:v>46106.475</x:v>
      </x:c>
      <x:c r="C200" s="38" t="n">
        <x:v>1565</x:v>
      </x:c>
      <x:c r="D200" s="15" t="str">
        <x:v>Waterkloof Gas 11080</x:v>
      </x:c>
      <x:c r="E200" s="15" t="str">
        <x:v>Category assignment is low confidence.</x:v>
      </x:c>
      <x:c r="F200" s="15" t="str">
        <x:v>Category confidence Low: Default outflow category; review counterparty/reference.</x:v>
      </x:c>
      <x:c r="G200" s="15" t="str">
        <x:v>eml_ALL_currentac__512781 (2).zip &gt; eml4currentac__512781.zip</x:v>
      </x:c>
      <x:c r="H200" s="15" t="str">
        <x:v>FNB _-) R1565.00 paid from Current a_c..512781 @ Smartapp. Ref.Waterkloof Gas 11080. 25Mar 11_24.eml</x:v>
      </x:c>
      <x:c r="I200" s="15" t="str"/>
    </x:row>
    <x:row r="201">
      <x:c r="A201" s="15" t="str">
        <x:v>Review item</x:v>
      </x:c>
      <x:c r="B201" s="34" t="n">
        <x:v>46106.566666666666</x:v>
      </x:c>
      <x:c r="C201" s="38" t="n">
        <x:v>200</x:v>
      </x:c>
      <x:c r="D201" s="15" t="str">
        <x:v>Mascor Komatipoort F</x:v>
      </x:c>
      <x:c r="E201" s="15" t="str">
        <x:v>Category assignment is low confidence.</x:v>
      </x:c>
      <x:c r="F201" s="15" t="str">
        <x:v>Category confidence Low: Default card-spend category; merchant not confidently mapped.</x:v>
      </x:c>
      <x:c r="G201" s="15" t="str">
        <x:v>eml_ALL_currentac__512781 (2).zip &gt; eml4currentac__512781.zip</x:v>
      </x:c>
      <x:c r="H201" s="15" t="str">
        <x:v>FNB _-) R200.00 reserved for purchase @ Mascor Komatipoort F from Current a_c..512781 using card..2924. 25Mar 13_36.eml</x:v>
      </x:c>
      <x:c r="I201" s="15" t="str"/>
    </x:row>
    <x:row r="202">
      <x:c r="A202" s="15" t="str">
        <x:v>Review item</x:v>
      </x:c>
      <x:c r="B202" s="34" t="n">
        <x:v>46109.77916666667</x:v>
      </x:c>
      <x:c r="C202" s="38" t="n">
        <x:v>240</x:v>
      </x:c>
      <x:c r="D202" s="15" t="str">
        <x:v>Amazing Kruger</x:v>
      </x:c>
      <x:c r="E202" s="15" t="str">
        <x:v>Category assignment is low confidence.</x:v>
      </x:c>
      <x:c r="F202" s="15" t="str">
        <x:v>Category confidence Low: Default card-spend category; merchant not confidently mapped.</x:v>
      </x:c>
      <x:c r="G202" s="15" t="str">
        <x:v>eml_ALL_currentac__512781 (2).zip &gt; eml4currentac__512781.zip</x:v>
      </x:c>
      <x:c r="H202" s="15" t="str">
        <x:v>FNB _-) R240.00 reserved for purchase @ Amazing Kruger from Current a_c..512781 using card..2924. 28Mar 18_42.eml</x:v>
      </x:c>
      <x:c r="I202" s="15" t="str"/>
    </x:row>
    <x:row r="203">
      <x:c r="A203" s="15" t="str">
        <x:v>Review item</x:v>
      </x:c>
      <x:c r="B203" s="34" t="n">
        <x:v>46111.38888888889</x:v>
      </x:c>
      <x:c r="C203" s="38" t="n">
        <x:v>1500</x:v>
      </x:c>
      <x:c r="D203" s="15" t="str">
        <x:v>Lebombo Wash 03/30</x:v>
      </x:c>
      <x:c r="E203" s="15" t="str">
        <x:v>Category assignment is low confidence.</x:v>
      </x:c>
      <x:c r="F203" s="15" t="str">
        <x:v>Category confidence Low: Default outflow category; review counterparty/reference.</x:v>
      </x:c>
      <x:c r="G203" s="15" t="str">
        <x:v>eml_ALL_currentac__512781 (2).zip &gt; eml4currentac__512781.zip</x:v>
      </x:c>
      <x:c r="H203" s="15" t="str">
        <x:v>FNB _-) R1500.00 paid from Current a_c..512781 @ Smartapp. Ref.Lebombo Wash 03_30. 30Mar 09_20.eml</x:v>
      </x:c>
      <x:c r="I203" s="15" t="str"/>
    </x:row>
    <x:row r="204">
      <x:c r="A204" s="15" t="str">
        <x:v>Review item</x:v>
      </x:c>
      <x:c r="B204" s="34" t="n">
        <x:v>46111.49513888889</x:v>
      </x:c>
      <x:c r="C204" s="38" t="n">
        <x:v>142.08</x:v>
      </x:c>
      <x:c r="D204" s="15" t="str">
        <x:v>Bon Express 8018</x:v>
      </x:c>
      <x:c r="E204" s="15" t="str">
        <x:v>Category assignment is low confidence.</x:v>
      </x:c>
      <x:c r="F204" s="15" t="str">
        <x:v>Category confidence Low: Default outflow category; review counterparty/reference.</x:v>
      </x:c>
      <x:c r="G204" s="15" t="str">
        <x:v>eml_ALL_currentac__512781 (2).zip &gt; eml4currentac__512781.zip</x:v>
      </x:c>
      <x:c r="H204" s="15" t="str">
        <x:v>FNB _-) R142.08 paid from Current a_c..512781 @ Smartapp. Ref.Bon Express 8018. 30Mar 11_53.eml</x:v>
      </x:c>
      <x:c r="I204" s="15" t="str"/>
    </x:row>
    <x:row r="205">
      <x:c r="A205" s="15" t="str">
        <x:v>Review item</x:v>
      </x:c>
      <x:c r="B205" s="34" t="n">
        <x:v>46112.37569444445</x:v>
      </x:c>
      <x:c r="C205" s="38" t="n">
        <x:v>500</x:v>
      </x:c>
      <x:c r="D205" s="15" t="str">
        <x:v>Kpci - C1736 April</x:v>
      </x:c>
      <x:c r="E205" s="15" t="str">
        <x:v>Category assignment is low confidence.</x:v>
      </x:c>
      <x:c r="F205" s="15" t="str">
        <x:v>Category confidence Low: Default outflow category; review counterparty/reference.</x:v>
      </x:c>
      <x:c r="G205" s="15" t="str">
        <x:v>eml_ALL_currentac__512781 (2).zip &gt; eml4currentac__512781.zip</x:v>
      </x:c>
      <x:c r="H205" s="15" t="str">
        <x:v>FNB _-) R500.00 paid from Current a_c..512781 @ Smartapp. Ref.Kpci - C1736 April. 31Mar 09_01.eml</x:v>
      </x:c>
      <x:c r="I205" s="15" t="str"/>
    </x:row>
    <x:row r="206">
      <x:c r="A206" s="15" t="str">
        <x:v>Review item</x:v>
      </x:c>
      <x:c r="B206" s="34" t="n">
        <x:v>46112.38125</x:v>
      </x:c>
      <x:c r="C206" s="38" t="n">
        <x:v>2929</x:v>
      </x:c>
      <x:c r="D206" s="15" t="str">
        <x:v>Kruger Safari 1689</x:v>
      </x:c>
      <x:c r="E206" s="15" t="str">
        <x:v>Category assignment is low confidence.</x:v>
      </x:c>
      <x:c r="F206" s="15" t="str">
        <x:v>Category confidence Low: Default outflow category; review counterparty/reference.</x:v>
      </x:c>
      <x:c r="G206" s="15" t="str">
        <x:v>eml_ALL_currentac__512781 (2).zip &gt; eml4currentac__512781.zip</x:v>
      </x:c>
      <x:c r="H206" s="15" t="str">
        <x:v>FNB _-) R2929.00 paid from Current a_c..512781 @ Smartapp. Ref.Kruger Safari 1689. 31Mar 09_09.eml</x:v>
      </x:c>
      <x:c r="I206" s="15" t="str"/>
    </x:row>
    <x:row r="207">
      <x:c r="A207" s="15" t="str">
        <x:v>Review item</x:v>
      </x:c>
      <x:c r="B207" s="34" t="n">
        <x:v>46112.39513888889</x:v>
      </x:c>
      <x:c r="C207" s="38" t="n">
        <x:v>8480</x:v>
      </x:c>
      <x:c r="D207" s="15" t="str">
        <x:v>Royal Bush 3766</x:v>
      </x:c>
      <x:c r="E207" s="15" t="str">
        <x:v>Category assignment is low confidence.</x:v>
      </x:c>
      <x:c r="F207" s="15" t="str">
        <x:v>Category confidence Low: Default outflow category; review counterparty/reference.</x:v>
      </x:c>
      <x:c r="G207" s="15" t="str">
        <x:v>eml_ALL_currentac__512781 (2).zip &gt; eml4currentac__512781.zip</x:v>
      </x:c>
      <x:c r="H207" s="15" t="str">
        <x:v>FNB _-) R8480.00 paid from Current a_c..512781 @ Smartapp. Ref.Royal Bush 3766. 31Mar 09_29.eml</x:v>
      </x:c>
      <x:c r="I207" s="15" t="str"/>
    </x:row>
    <x:row r="208">
      <x:c r="A208" s="15" t="str">
        <x:v>Review item</x:v>
      </x:c>
      <x:c r="B208" s="34" t="n">
        <x:v>46113.39513888889</x:v>
      </x:c>
      <x:c r="C208" s="38" t="n">
        <x:v>2037</x:v>
      </x:c>
      <x:c r="D208" s="15" t="str">
        <x:v>Kruger Safari 1690</x:v>
      </x:c>
      <x:c r="E208" s="15" t="str">
        <x:v>Category assignment is low confidence.</x:v>
      </x:c>
      <x:c r="F208" s="15" t="str">
        <x:v>Category confidence Low: Default outflow category; review counterparty/reference.</x:v>
      </x:c>
      <x:c r="G208" s="15" t="str">
        <x:v>eml_ALL_currentac__512781 (2).zip &gt; eml4currentac__512781.zip</x:v>
      </x:c>
      <x:c r="H208" s="15" t="str">
        <x:v>FNB _-) R2037.00 paid from Current a_c..512781 @ Smartapp. Ref.Kruger Safari 1690.  1Apr 09_29.eml</x:v>
      </x:c>
      <x:c r="I208" s="15" t="str"/>
    </x:row>
    <x:row r="209">
      <x:c r="A209" s="15" t="str">
        <x:v>Review item</x:v>
      </x:c>
      <x:c r="B209" s="34" t="n">
        <x:v>46113.39722222222</x:v>
      </x:c>
      <x:c r="C209" s="38" t="n">
        <x:v>759</x:v>
      </x:c>
      <x:c r="D209" s="15" t="str">
        <x:v>Nb N992820</x:v>
      </x:c>
      <x:c r="E209" s="15" t="str">
        <x:v>Category assignment is low confidence.</x:v>
      </x:c>
      <x:c r="F209" s="15" t="str">
        <x:v>Category confidence Low: Default outflow category; review counterparty/reference.</x:v>
      </x:c>
      <x:c r="G209" s="15" t="str">
        <x:v>eml_ALL_currentac__512781 (2).zip &gt; eml4currentac__512781.zip</x:v>
      </x:c>
      <x:c r="H209" s="15" t="str">
        <x:v>FNB _-) R759.00 paid from Current a_c..512781 @ Smartapp. Ref.Nb N992820.  1Apr 09_32.eml</x:v>
      </x:c>
      <x:c r="I209" s="15" t="str"/>
    </x:row>
    <x:row r="210">
      <x:c r="A210" s="15" t="str">
        <x:v>Review item</x:v>
      </x:c>
      <x:c r="B210" s="34" t="n">
        <x:v>46113.427083333336</x:v>
      </x:c>
      <x:c r="C210" s="38" t="n">
        <x:v>284.17</x:v>
      </x:c>
      <x:c r="D210" s="15" t="str">
        <x:v>Bon Express 008072</x:v>
      </x:c>
      <x:c r="E210" s="15" t="str">
        <x:v>Category assignment is low confidence.</x:v>
      </x:c>
      <x:c r="F210" s="15" t="str">
        <x:v>Category confidence Low: Default outflow category; review counterparty/reference.</x:v>
      </x:c>
      <x:c r="G210" s="15" t="str">
        <x:v>eml_ALL_currentac__512781 (2).zip &gt; eml4currentac__512781.zip</x:v>
      </x:c>
      <x:c r="H210" s="15" t="str">
        <x:v>FNB _-) R284.17 paid from Current a_c..512781 @ Smartapp. Ref.Bon Express 008072.  1Apr 10_15.eml</x:v>
      </x:c>
      <x:c r="I210" s="15" t="str"/>
    </x:row>
    <x:row r="211">
      <x:c r="A211" s="15" t="str">
        <x:v>Review item</x:v>
      </x:c>
      <x:c r="B211" s="34" t="n">
        <x:v>46115.868055555555</x:v>
      </x:c>
      <x:c r="C211" s="38" t="n">
        <x:v>335</x:v>
      </x:c>
      <x:c r="D211" s="15" t="str">
        <x:v>Yoco *k2025744041</x:v>
      </x:c>
      <x:c r="E211" s="15" t="str">
        <x:v>Category assignment is low confidence.</x:v>
      </x:c>
      <x:c r="F211" s="15" t="str">
        <x:v>Category confidence Low: Default card-spend category; merchant not confidently mapped.</x:v>
      </x:c>
      <x:c r="G211" s="15" t="str">
        <x:v>eml_ALL_currentac__512781 (2).zip &gt; eml4currentac__512781.zip</x:v>
      </x:c>
      <x:c r="H211" s="15" t="str">
        <x:v>FNB _-) R335.00 reserved for purchase @ Yoco _k2025744041 from Current a_c..512781 using card..2924.  3Apr 20_50.eml</x:v>
      </x:c>
      <x:c r="I211" s="15" t="str"/>
    </x:row>
    <x:row r="212">
      <x:c r="A212" s="15" t="str">
        <x:v>Review item</x:v>
      </x:c>
      <x:c r="B212" s="34" t="n">
        <x:v>46119.600694444445</x:v>
      </x:c>
      <x:c r="C212" s="38" t="n">
        <x:v>164.89</x:v>
      </x:c>
      <x:c r="D212" s="15" t="str">
        <x:v>The Crazy Store Koma</x:v>
      </x:c>
      <x:c r="E212" s="15" t="str">
        <x:v>Category assignment is low confidence.</x:v>
      </x:c>
      <x:c r="F212" s="15" t="str">
        <x:v>Category confidence Low: Default card-spend category; merchant not confidently mapped.</x:v>
      </x:c>
      <x:c r="G212" s="15" t="str">
        <x:v>eml_ALL_currentac__512781 (2).zip &gt; eml4currentac__512781.zip</x:v>
      </x:c>
      <x:c r="H212" s="15" t="str">
        <x:v>FNB _-) R164.89 reserved for purchase @ The Crazy Store Koma from Current a_c..512781 using card..2924.  7Apr 14_25.eml</x:v>
      </x:c>
      <x:c r="I212" s="15" t="str"/>
    </x:row>
    <x:row r="213">
      <x:c r="A213" s="15" t="str">
        <x:v>Review item</x:v>
      </x:c>
      <x:c r="B213" s="34" t="n">
        <x:v>46119.68819444445</x:v>
      </x:c>
      <x:c r="C213" s="38" t="n">
        <x:v>4240</x:v>
      </x:c>
      <x:c r="D213" s="15" t="str">
        <x:v>Royal Bush 3783</x:v>
      </x:c>
      <x:c r="E213" s="15" t="str">
        <x:v>Category assignment is low confidence.</x:v>
      </x:c>
      <x:c r="F213" s="15" t="str">
        <x:v>Category confidence Low: Default outflow category; review counterparty/reference.</x:v>
      </x:c>
      <x:c r="G213" s="15" t="str">
        <x:v>eml_ALL_currentac__512781 (2).zip &gt; eml4currentac__512781.zip</x:v>
      </x:c>
      <x:c r="H213" s="15" t="str">
        <x:v>FNB _-) R4240.00 paid from Current a_c..512781 @ Smartapp. Ref.Royal Bush 3783.  7Apr 16_31.eml</x:v>
      </x:c>
      <x:c r="I213" s="15" t="str"/>
    </x:row>
    <x:row r="214">
      <x:c r="A214" s="15" t="str">
        <x:v>Review item</x:v>
      </x:c>
      <x:c r="B214" s="34" t="n">
        <x:v>46119.69236111111</x:v>
      </x:c>
      <x:c r="C214" s="38" t="n">
        <x:v>9176</x:v>
      </x:c>
      <x:c r="D214" s="15" t="str">
        <x:v>Kruger Safari 1691</x:v>
      </x:c>
      <x:c r="E214" s="15" t="str">
        <x:v>Category assignment is low confidence.</x:v>
      </x:c>
      <x:c r="F214" s="15" t="str">
        <x:v>Category confidence Low: Default outflow category; review counterparty/reference.</x:v>
      </x:c>
      <x:c r="G214" s="15" t="str">
        <x:v>eml_ALL_currentac__512781 (2).zip &gt; eml4currentac__512781.zip</x:v>
      </x:c>
      <x:c r="H214" s="15" t="str">
        <x:v>FNB _-) R9176.00 paid from Current a_c..512781 @ Smartapp. Ref.Kruger Safari 1691.  7Apr 16_37.eml</x:v>
      </x:c>
      <x:c r="I214" s="15" t="str"/>
    </x:row>
    <x:row r="215">
      <x:c r="A215" s="15" t="str">
        <x:v>Review item</x:v>
      </x:c>
      <x:c r="B215" s="34" t="n">
        <x:v>46121.05347222222</x:v>
      </x:c>
      <x:c r="C215" s="38" t="n">
        <x:v>5000</x:v>
      </x:c>
      <x:c r="D215" s="15" t="str">
        <x:v>African Sky</x:v>
      </x:c>
      <x:c r="E215" s="15" t="str">
        <x:v>Category assignment is low confidence.</x:v>
      </x:c>
      <x:c r="F215" s="15" t="str">
        <x:v>Category confidence Low: Default outflow category; review counterparty/reference.</x:v>
      </x:c>
      <x:c r="G215" s="15" t="str">
        <x:v>eml_ALL_currentac__512781 (2).zip &gt; eml4currentac__512781.zip</x:v>
      </x:c>
      <x:c r="H215" s="15" t="str">
        <x:v>FNB _-) R5000.00 paid from Current a_c..512781 @ Gen Ph. Ref.African Sky.  9Apr 01_17.eml</x:v>
      </x:c>
      <x:c r="I215" s="15" t="str"/>
    </x:row>
    <x:row r="216">
      <x:c r="A216" s="15" t="str">
        <x:v>Review item</x:v>
      </x:c>
      <x:c r="B216" s="34" t="n">
        <x:v>46122.4875</x:v>
      </x:c>
      <x:c r="C216" s="38" t="n">
        <x:v>2929</x:v>
      </x:c>
      <x:c r="D216" s="15" t="str">
        <x:v>Kruger Safari 1693</x:v>
      </x:c>
      <x:c r="E216" s="15" t="str">
        <x:v>Category assignment is low confidence.</x:v>
      </x:c>
      <x:c r="F216" s="15" t="str">
        <x:v>Category confidence Low: Default outflow category; review counterparty/reference.</x:v>
      </x:c>
      <x:c r="G216" s="15" t="str">
        <x:v>eml_ALL_currentac__512781 (2).zip &gt; eml4currentac__512781.zip</x:v>
      </x:c>
      <x:c r="H216" s="15" t="str">
        <x:v>FNB _-) R2929.00 paid from Current a_c..512781 @ Smartapp. Ref.Kruger Safari 1693. 10Apr 11_42.eml</x:v>
      </x:c>
      <x:c r="I216" s="15" t="str"/>
    </x:row>
    <x:row r="217">
      <x:c r="A217" s="15" t="str">
        <x:v>Review item</x:v>
      </x:c>
      <x:c r="B217" s="34" t="n">
        <x:v>46122.49097222222</x:v>
      </x:c>
      <x:c r="C217" s="38" t="n">
        <x:v>1500</x:v>
      </x:c>
      <x:c r="D217" s="15" t="str">
        <x:v>Muncipality Bigbay</x:v>
      </x:c>
      <x:c r="E217" s="15" t="str">
        <x:v>Category assignment is low confidence.</x:v>
      </x:c>
      <x:c r="F217" s="15" t="str">
        <x:v>Category confidence Low: Default outflow category; review counterparty/reference.</x:v>
      </x:c>
      <x:c r="G217" s="15" t="str">
        <x:v>eml_ALL_currentac__512781 (2).zip &gt; eml4currentac__512781.zip</x:v>
      </x:c>
      <x:c r="H217" s="15" t="str">
        <x:v>FNB _-) R1500.00 paid from Current a_c..512781 @ Smartapp. Ref.Muncipality Bigbay. 10Apr 11_47.eml</x:v>
      </x:c>
      <x:c r="I217" s="15" t="str"/>
    </x:row>
    <x:row r="218">
      <x:c r="A218" s="15" t="str">
        <x:v>Review item</x:v>
      </x:c>
      <x:c r="B218" s="34" t="n">
        <x:v>46123.513194444444</x:v>
      </x:c>
      <x:c r="C218" s="38" t="n">
        <x:v>200</x:v>
      </x:c>
      <x:c r="D218" s="15" t="str">
        <x:v>Ae Komatipoort</x:v>
      </x:c>
      <x:c r="E218" s="15" t="str">
        <x:v>Category assignment is low confidence.</x:v>
      </x:c>
      <x:c r="F218" s="15" t="str">
        <x:v>Category confidence Low: Default card-spend category; merchant not confidently mapped.</x:v>
      </x:c>
      <x:c r="G218" s="15" t="str">
        <x:v>eml_ALL_currentac__512781 (2).zip &gt; eml3currentac__512781.zip</x:v>
      </x:c>
      <x:c r="H218" s="15" t="str">
        <x:v>FNB _-) R200.00 reserved for purchase @ Ae Komatipoort from Current a_c..512781 using card..2924. 11Apr 12_19.eml</x:v>
      </x:c>
      <x:c r="I218" s="15" t="str"/>
    </x:row>
    <x:row r="219">
      <x:c r="A219" s="15" t="str">
        <x:v>Review item</x:v>
      </x:c>
      <x:c r="B219" s="34" t="n">
        <x:v>46123.58541666667</x:v>
      </x:c>
      <x:c r="C219" s="38" t="n">
        <x:v>372</x:v>
      </x:c>
      <x:c r="D219" s="15" t="str">
        <x:v>Cf Moto Saf - Inv 3</x:v>
      </x:c>
      <x:c r="E219" s="15" t="str">
        <x:v>Category assignment is low confidence.</x:v>
      </x:c>
      <x:c r="F219" s="15" t="str">
        <x:v>Category confidence Low: Default outflow category; review counterparty/reference.</x:v>
      </x:c>
      <x:c r="G219" s="15" t="str">
        <x:v>eml_ALL_currentac__512781 (2).zip &gt; eml3currentac__512781.zip</x:v>
      </x:c>
      <x:c r="H219" s="15" t="str">
        <x:v>FNB _-) R372.00 paid from Current a_c..512781 @ Smartapp. Ref.Cf Moto Saf - Inv 3. 11Apr 14_03.eml</x:v>
      </x:c>
      <x:c r="I219" s="15" t="str"/>
    </x:row>
    <x:row r="220">
      <x:c r="A220" s="15" t="str">
        <x:v>Review item</x:v>
      </x:c>
      <x:c r="B220" s="34" t="n">
        <x:v>46125.56736111111</x:v>
      </x:c>
      <x:c r="C220" s="38" t="n">
        <x:v>3274</x:v>
      </x:c>
      <x:c r="D220" s="15" t="str">
        <x:v>Kruger Safari 1694</x:v>
      </x:c>
      <x:c r="E220" s="15" t="str">
        <x:v>Category assignment is low confidence.</x:v>
      </x:c>
      <x:c r="F220" s="15" t="str">
        <x:v>Category confidence Low: Default outflow category; review counterparty/reference.</x:v>
      </x:c>
      <x:c r="G220" s="15" t="str">
        <x:v>eml_ALL_currentac__512781 (2).zip &gt; eml3currentac__512781.zip</x:v>
      </x:c>
      <x:c r="H220" s="15" t="str">
        <x:v>FNB _-) R3274.00 paid from Current a_c..512781 @ Smartapp. Ref.Kruger Safari 1694. 13Apr 13_37.eml</x:v>
      </x:c>
      <x:c r="I220" s="15" t="str"/>
    </x:row>
    <x:row r="221">
      <x:c r="A221" s="15" t="str">
        <x:v>Review item</x:v>
      </x:c>
      <x:c r="B221" s="34" t="n">
        <x:v>46127.42222222222</x:v>
      </x:c>
      <x:c r="C221" s="38" t="n">
        <x:v>600</x:v>
      </x:c>
      <x:c r="D221" s="15" t="str">
        <x:v>Printing Signboard</x:v>
      </x:c>
      <x:c r="E221" s="15" t="str">
        <x:v>Category assignment is low confidence.</x:v>
      </x:c>
      <x:c r="F221" s="15" t="str">
        <x:v>Category confidence Low: Default outflow category; review counterparty/reference.</x:v>
      </x:c>
      <x:c r="G221" s="15" t="str">
        <x:v>eml_ALL_currentac__512781 (2).zip &gt; eml3currentac__512781.zip</x:v>
      </x:c>
      <x:c r="H221" s="15" t="str">
        <x:v>FNB _-) R600.00 paid from Current a_c..512781 @ Smartapp. Ref.Printing Signboard. 15Apr 10_08.eml</x:v>
      </x:c>
      <x:c r="I221" s="15" t="str"/>
    </x:row>
    <x:row r="222">
      <x:c r="A222" s="15" t="str">
        <x:v>Review item</x:v>
      </x:c>
      <x:c r="B222" s="34" t="n">
        <x:v>46127.427083333336</x:v>
      </x:c>
      <x:c r="C222" s="38" t="n">
        <x:v>1200</x:v>
      </x:c>
      <x:c r="D222" s="15" t="str">
        <x:v>Printing Signboard</x:v>
      </x:c>
      <x:c r="E222" s="15" t="str">
        <x:v>Category assignment is low confidence.</x:v>
      </x:c>
      <x:c r="F222" s="15" t="str">
        <x:v>Category confidence Low: Default outflow category; review counterparty/reference.</x:v>
      </x:c>
      <x:c r="G222" s="15" t="str">
        <x:v>eml_ALL_currentac__512781 (2).zip &gt; eml3currentac__512781.zip</x:v>
      </x:c>
      <x:c r="H222" s="15" t="str">
        <x:v>FNB _-) R1200.00 paid from Current a_c..512781 @ Gen Ph. Ref.Printing Signboard. 15Apr 10_15.eml</x:v>
      </x:c>
      <x:c r="I222" s="15" t="str"/>
    </x:row>
    <x:row r="223">
      <x:c r="A223" s="15" t="str">
        <x:v>Review item</x:v>
      </x:c>
      <x:c r="B223" s="34" t="n">
        <x:v>46128.37777777778</x:v>
      </x:c>
      <x:c r="C223" s="38" t="n">
        <x:v>1250</x:v>
      </x:c>
      <x:c r="D223" s="15" t="str">
        <x:v>Lebombo Washing Mach</x:v>
      </x:c>
      <x:c r="E223" s="15" t="str">
        <x:v>Category assignment is low confidence.</x:v>
      </x:c>
      <x:c r="F223" s="15" t="str">
        <x:v>Category confidence Low: Default outflow category; review counterparty/reference.</x:v>
      </x:c>
      <x:c r="G223" s="15" t="str">
        <x:v>eml_ALL_currentac__512781 (2).zip &gt; eml3currentac__512781.zip</x:v>
      </x:c>
      <x:c r="H223" s="15" t="str">
        <x:v>FNB _-) R1250.00 paid from Current a_c..512781 @ Smartapp. Ref.Lebombo Washing Mach. 16Apr 09_04.eml</x:v>
      </x:c>
      <x:c r="I223" s="15" t="str"/>
    </x:row>
    <x:row r="224">
      <x:c r="A224" s="15" t="str">
        <x:v>Review item</x:v>
      </x:c>
      <x:c r="B224" s="34" t="n">
        <x:v>46129.51458333333</x:v>
      </x:c>
      <x:c r="C224" s="38"/>
      <x:c r="D224" s="15" t="str">
        <x:v>Impala Asset Fin..067277</x:v>
      </x:c>
      <x:c r="E224" s="15" t="str">
        <x:v>Category assignment is low confidence.</x:v>
      </x:c>
      <x:c r="F224" s="15" t="str">
        <x:v>Payment link creation only; no money movement indicated. Category confidence Low: Unable to map confidently.</x:v>
      </x:c>
      <x:c r="G224" s="15" t="str">
        <x:v>eml_ALL_currentac__512781 (2).zip &gt; eml3currentac__512781.zip</x:v>
      </x:c>
      <x:c r="H224" s="15" t="str">
        <x:v>FNB _-) Payment Link created from Current a_c..512781 To Impala Asset Fin..067277 @ Smartapp. 17Apr 12_21 Call 087 575 9404  for help..eml</x:v>
      </x:c>
      <x:c r="I224" s="15" t="str"/>
    </x:row>
    <x:row r="225">
      <x:c r="A225" s="15" t="str">
        <x:v>Review item</x:v>
      </x:c>
      <x:c r="B225" s="34" t="n">
        <x:v>46129.51458333333</x:v>
      </x:c>
      <x:c r="C225" s="38" t="n">
        <x:v>5000</x:v>
      </x:c>
      <x:c r="D225" s="15" t="str">
        <x:v>Car</x:v>
      </x:c>
      <x:c r="E225" s="15" t="str">
        <x:v>Category assignment is low confidence.</x:v>
      </x:c>
      <x:c r="F225" s="15" t="str">
        <x:v>Category confidence Low: Default outflow category; review counterparty/reference.</x:v>
      </x:c>
      <x:c r="G225" s="15" t="str">
        <x:v>eml_ALL_currentac__512781 (2).zip &gt; eml3currentac__512781.zip</x:v>
      </x:c>
      <x:c r="H225" s="15" t="str">
        <x:v>FNB _-) R5000.00 paid from Current a_c..512781 @ Smartapp. Ref.Car. 17Apr 12_21.eml</x:v>
      </x:c>
      <x:c r="I225" s="15" t="str"/>
    </x:row>
    <x:row r="226">
      <x:c r="A226" s="15" t="str">
        <x:v>Review item</x:v>
      </x:c>
      <x:c r="B226" s="34" t="n">
        <x:v>46133.67222222222</x:v>
      </x:c>
      <x:c r="C226" s="38" t="n">
        <x:v>550</x:v>
      </x:c>
      <x:c r="D226" s="15" t="str">
        <x:v>Lebombo Washing Mach</x:v>
      </x:c>
      <x:c r="E226" s="15" t="str">
        <x:v>Category assignment is low confidence.</x:v>
      </x:c>
      <x:c r="F226" s="15" t="str">
        <x:v>Category confidence Low: Default outflow category; review counterparty/reference.</x:v>
      </x:c>
      <x:c r="G226" s="15" t="str">
        <x:v>eml_ALL_currentac__512781 (2).zip &gt; eml3currentac__512781.zip</x:v>
      </x:c>
      <x:c r="H226" s="15" t="str">
        <x:v>FNB _-) R550.00 paid from Current a_c..512781 @ Smartapp. Ref.Lebombo Washing Mach. 21Apr 16_08.eml</x:v>
      </x:c>
      <x:c r="I226" s="15" t="str"/>
    </x:row>
    <x:row r="227">
      <x:c r="A227" s="15" t="str">
        <x:v>Review item</x:v>
      </x:c>
      <x:c r="B227" s="34" t="n">
        <x:v>46134.38680555556</x:v>
      </x:c>
      <x:c r="C227" s="38" t="n">
        <x:v>850</x:v>
      </x:c>
      <x:c r="D227" s="15" t="str">
        <x:v>Deon"s Diy 19/04</x:v>
      </x:c>
      <x:c r="E227" s="15" t="str">
        <x:v>Category assignment is low confidence.</x:v>
      </x:c>
      <x:c r="F227" s="15" t="str">
        <x:v>Category confidence Low: Default outflow category; review counterparty/reference.</x:v>
      </x:c>
      <x:c r="G227" s="15" t="str">
        <x:v>eml_ALL_currentac__512781 (2).zip &gt; eml3currentac__512781.zip</x:v>
      </x:c>
      <x:c r="H227" s="15" t="str">
        <x:v>FNB _-) R850.00 paid from Current a_c..512781 @ Smartapp. Ref.Deon_s Diy 19_04. 22Apr 09_17.eml</x:v>
      </x:c>
      <x:c r="I227" s="15" t="str"/>
    </x:row>
    <x:row r="228">
      <x:c r="A228" s="15" t="str">
        <x:v>Review item</x:v>
      </x:c>
      <x:c r="B228" s="34" t="n">
        <x:v>46134.388194444444</x:v>
      </x:c>
      <x:c r="C228" s="38" t="n">
        <x:v>3966.6</x:v>
      </x:c>
      <x:c r="D228" s="15" t="str">
        <x:v>Kruger Safari 1695</x:v>
      </x:c>
      <x:c r="E228" s="15" t="str">
        <x:v>Category assignment is low confidence.</x:v>
      </x:c>
      <x:c r="F228" s="15" t="str">
        <x:v>Category confidence Low: Default outflow category; review counterparty/reference.</x:v>
      </x:c>
      <x:c r="G228" s="15" t="str">
        <x:v>eml_ALL_currentac__512781 (2).zip &gt; eml3currentac__512781.zip</x:v>
      </x:c>
      <x:c r="H228" s="15" t="str">
        <x:v>FNB _-) R3966.60 paid from Current a_c..512781 @ Smartapp. Ref.Kruger Safari 1695. 22Apr 09_19.eml</x:v>
      </x:c>
      <x:c r="I228" s="15" t="str"/>
    </x:row>
    <x:row r="229">
      <x:c r="A229" s="15" t="str">
        <x:v>Review item</x:v>
      </x:c>
      <x:c r="B229" s="34" t="n">
        <x:v>46134.38888888889</x:v>
      </x:c>
      <x:c r="C229" s="38" t="n">
        <x:v>7656.01</x:v>
      </x:c>
      <x:c r="D229" s="15" t="str">
        <x:v>Stratton Prop Mng</x:v>
      </x:c>
      <x:c r="E229" s="15" t="str">
        <x:v>Category assignment is low confidence.</x:v>
      </x:c>
      <x:c r="F229" s="15" t="str">
        <x:v>Category confidence Low: Default outflow category; review counterparty/reference.</x:v>
      </x:c>
      <x:c r="G229" s="15" t="str">
        <x:v>eml_ALL_currentac__512781 (2).zip &gt; eml3currentac__512781.zip</x:v>
      </x:c>
      <x:c r="H229" s="15" t="str">
        <x:v>FNB _-) R7656.01 paid from Current a_c..512781 @ Smartapp. Ref.Stratton Prop Mng. 22Apr 09_20.eml</x:v>
      </x:c>
      <x:c r="I229" s="15" t="str"/>
    </x:row>
    <x:row r="230">
      <x:c r="A230" s="15" t="str">
        <x:v>Review item</x:v>
      </x:c>
      <x:c r="B230" s="34" t="n">
        <x:v>46135.51597222222</x:v>
      </x:c>
      <x:c r="C230" s="38"/>
      <x:c r="D230" s="15" t="str">
        <x:v>Gd Hoffman..999079</x:v>
      </x:c>
      <x:c r="E230" s="15" t="str">
        <x:v>Category assignment is low confidence.</x:v>
      </x:c>
      <x:c r="F230" s="15" t="str">
        <x:v>Payment link creation only; no money movement indicated. Category confidence Low: Unable to map confidently.</x:v>
      </x:c>
      <x:c r="G230" s="15" t="str">
        <x:v>eml_ALL_currentac__512781 (2).zip &gt; eml3currentac__512781.zip</x:v>
      </x:c>
      <x:c r="H230" s="15" t="str">
        <x:v>FNB _-) Payment Link created from Current a_c..512781 To Gd Hoffman..999079 @ Smartapp. 23Apr 12_23 Call 087 575 9404  for help..eml</x:v>
      </x:c>
      <x:c r="I230" s="15" t="str"/>
    </x:row>
    <x:row r="231">
      <x:c r="A231" s="15" t="str">
        <x:v>Review item</x:v>
      </x:c>
      <x:c r="B231" s="34" t="n">
        <x:v>46135.51597222222</x:v>
      </x:c>
      <x:c r="C231" s="38" t="n">
        <x:v>5000</x:v>
      </x:c>
      <x:c r="D231" s="15" t="str">
        <x:v>Car Deposit</x:v>
      </x:c>
      <x:c r="E231" s="15" t="str">
        <x:v>Category assignment is low confidence.</x:v>
      </x:c>
      <x:c r="F231" s="15" t="str">
        <x:v>Category confidence Low: Default outflow category; review counterparty/reference.</x:v>
      </x:c>
      <x:c r="G231" s="15" t="str">
        <x:v>eml_ALL_currentac__512781 (2).zip &gt; eml3currentac__512781.zip</x:v>
      </x:c>
      <x:c r="H231" s="15" t="str">
        <x:v>FNB _-) R5000.00 paid from Current a_c..512781 @ Smartapp. Ref.Car Deposit. 23Apr 12_23.eml</x:v>
      </x:c>
      <x:c r="I231" s="15" t="str"/>
    </x:row>
    <x:row r="232">
      <x:c r="A232" s="15" t="str">
        <x:v>Review item</x:v>
      </x:c>
      <x:c r="B232" s="34" t="n">
        <x:v>46137.52777777778</x:v>
      </x:c>
      <x:c r="C232" s="38" t="n">
        <x:v>267.86</x:v>
      </x:c>
      <x:c r="D232" s="15" t="str">
        <x:v>The Crazy Store Koma</x:v>
      </x:c>
      <x:c r="E232" s="15" t="str">
        <x:v>Category assignment is low confidence.</x:v>
      </x:c>
      <x:c r="F232" s="15" t="str">
        <x:v>Category confidence Low: Default card-spend category; merchant not confidently mapped.</x:v>
      </x:c>
      <x:c r="G232" s="15" t="str">
        <x:v>eml_ALL_currentac__512781 (2).zip &gt; eml3currentac__512781.zip</x:v>
      </x:c>
      <x:c r="H232" s="15" t="str">
        <x:v>FNB _-) R267.86 reserved for purchase @ The Crazy Store Koma from Current a_c..512781 using card..2924. 25Apr 12_40.eml</x:v>
      </x:c>
      <x:c r="I232" s="15" t="str"/>
    </x:row>
    <x:row r="233">
      <x:c r="A233" s="15" t="str">
        <x:v>Review item</x:v>
      </x:c>
      <x:c r="B233" s="34" t="n">
        <x:v>46140.603472222225</x:v>
      </x:c>
      <x:c r="C233" s="38" t="n">
        <x:v>125</x:v>
      </x:c>
      <x:c r="D233" s="15" t="str">
        <x:v>Yoco *locksmart Pt</x:v>
      </x:c>
      <x:c r="E233" s="15" t="str">
        <x:v>Category assignment is low confidence.</x:v>
      </x:c>
      <x:c r="F233" s="15" t="str">
        <x:v>Category confidence Low: Default card-spend category; merchant not confidently mapped.</x:v>
      </x:c>
      <x:c r="G233" s="15" t="str">
        <x:v>eml_ALL_currentac__512781 (2).zip &gt; eml3currentac__512781.zip</x:v>
      </x:c>
      <x:c r="H233" s="15" t="str">
        <x:v>FNB _-) R125.00 reserved for purchase @ Yoco _locksmart Pt from Current a_c..512781 using card..2924. 28Apr 14_29.eml</x:v>
      </x:c>
      <x:c r="I233" s="15" t="str"/>
    </x:row>
    <x:row r="234">
      <x:c r="A234" s="15" t="str">
        <x:v>Review item</x:v>
      </x:c>
      <x:c r="B234" s="34" t="n">
        <x:v>46141.419444444444</x:v>
      </x:c>
      <x:c r="C234" s="38" t="n">
        <x:v>142.08</x:v>
      </x:c>
      <x:c r="D234" s="15" t="str">
        <x:v>Bon Express 008267</x:v>
      </x:c>
      <x:c r="E234" s="15" t="str">
        <x:v>Category assignment is low confidence.</x:v>
      </x:c>
      <x:c r="F234" s="15" t="str">
        <x:v>Category confidence Low: Default outflow category; review counterparty/reference.</x:v>
      </x:c>
      <x:c r="G234" s="15" t="str">
        <x:v>eml_ALL_currentac__512781 (2).zip &gt; eml3currentac__512781.zip</x:v>
      </x:c>
      <x:c r="H234" s="15" t="str">
        <x:v>FNB _-) R142.08 paid from Current a_c..512781 @ Smartapp. Ref.Bon Express 008267. 29Apr 10_04.eml</x:v>
      </x:c>
      <x:c r="I234" s="15" t="str"/>
    </x:row>
    <x:row r="235">
      <x:c r="A235" s="15" t="str">
        <x:v>Review item</x:v>
      </x:c>
      <x:c r="B235" s="34" t="n">
        <x:v>46141.46319444444</x:v>
      </x:c>
      <x:c r="C235" s="38" t="n">
        <x:v>200</x:v>
      </x:c>
      <x:c r="D235" s="15" t="str">
        <x:v>Smartapp</x:v>
      </x:c>
      <x:c r="E235" s="15" t="str">
        <x:v>Category assignment is low confidence.</x:v>
      </x:c>
      <x:c r="F235" s="15" t="str">
        <x:v>Category confidence Low: Default outflow category; review counterparty/reference.</x:v>
      </x:c>
      <x:c r="G235" s="15" t="str">
        <x:v>eml_ALL_currentac__512781 (2).zip &gt; eml3currentac__512781.zip</x:v>
      </x:c>
      <x:c r="H235" s="15" t="str">
        <x:v>FNB _-) R200.00 paid from Current a_c..512781 @ Smartapp. 29Apr 11_07.eml</x:v>
      </x:c>
      <x:c r="I235" s="15" t="str"/>
    </x:row>
    <x:row r="236">
      <x:c r="A236" s="15" t="str">
        <x:v>Review item</x:v>
      </x:c>
      <x:c r="B236" s="34" t="n">
        <x:v>46141.67291666667</x:v>
      </x:c>
      <x:c r="C236" s="38" t="n">
        <x:v>3454.6</x:v>
      </x:c>
      <x:c r="D236" s="15" t="str">
        <x:v>Kruger Safari 1696</x:v>
      </x:c>
      <x:c r="E236" s="15" t="str">
        <x:v>Category assignment is low confidence.</x:v>
      </x:c>
      <x:c r="F236" s="15" t="str">
        <x:v>Category confidence Low: Default outflow category; review counterparty/reference.</x:v>
      </x:c>
      <x:c r="G236" s="15" t="str">
        <x:v>eml_ALL_currentac__512781 (2).zip &gt; eml3currentac__512781.zip</x:v>
      </x:c>
      <x:c r="H236" s="15" t="str">
        <x:v>FNB _-) R3454.60 paid from Current a_c..512781 @ Smartapp. Ref.Kruger Safari 1696. 29Apr 16_09.eml</x:v>
      </x:c>
      <x:c r="I236" s="15" t="str"/>
    </x:row>
    <x:row r="237">
      <x:c r="A237" s="15" t="str">
        <x:v>Review item</x:v>
      </x:c>
      <x:c r="B237" s="34" t="n">
        <x:v>46143.37847222222</x:v>
      </x:c>
      <x:c r="C237" s="38" t="n">
        <x:v>759</x:v>
      </x:c>
      <x:c r="D237" s="15" t="str">
        <x:v>Nb N992820</x:v>
      </x:c>
      <x:c r="E237" s="15" t="str">
        <x:v>Category assignment is low confidence.</x:v>
      </x:c>
      <x:c r="F237" s="15" t="str">
        <x:v>Category confidence Low: Default outflow category; review counterparty/reference.</x:v>
      </x:c>
      <x:c r="G237" s="15" t="str">
        <x:v>eml_ALL_currentac__512781 (2).zip &gt; eml3currentac__512781.zip</x:v>
      </x:c>
      <x:c r="H237" s="15" t="str">
        <x:v>FNB _-) R759.00 paid from Current a_c..512781 @ Smartapp. Ref.Nb N992820.  1May 09_05.eml</x:v>
      </x:c>
      <x:c r="I237" s="15" t="str"/>
    </x:row>
    <x:row r="238">
      <x:c r="A238" s="15" t="str">
        <x:v>Review item</x:v>
      </x:c>
      <x:c r="B238" s="34" t="n">
        <x:v>46143.379166666666</x:v>
      </x:c>
      <x:c r="C238" s="38" t="n">
        <x:v>500</x:v>
      </x:c>
      <x:c r="D238" s="15" t="str">
        <x:v>Kpci - C1736</x:v>
      </x:c>
      <x:c r="E238" s="15" t="str">
        <x:v>Category assignment is low confidence.</x:v>
      </x:c>
      <x:c r="F238" s="15" t="str">
        <x:v>Category confidence Low: Default outflow category; review counterparty/reference.</x:v>
      </x:c>
      <x:c r="G238" s="15" t="str">
        <x:v>eml_ALL_currentac__512781 (2).zip &gt; eml3currentac__512781.zip</x:v>
      </x:c>
      <x:c r="H238" s="15" t="str">
        <x:v>FNB _-) R500.00 paid from Current a_c..512781 @ Smartapp. Ref.Kpci - C1736.  1May 09_06.eml</x:v>
      </x:c>
      <x:c r="I238" s="15" t="str"/>
    </x:row>
    <x:row r="239">
      <x:c r="A239" s="15" t="str">
        <x:v>Review item</x:v>
      </x:c>
      <x:c r="B239" s="34" t="n">
        <x:v>46144.67222222222</x:v>
      </x:c>
      <x:c r="C239" s="38" t="n">
        <x:v>1805.86</x:v>
      </x:c>
      <x:c r="D239" s="15" t="str">
        <x:v>Ac De Jager Vleis</x:v>
      </x:c>
      <x:c r="E239" s="15" t="str">
        <x:v>Category assignment is low confidence.</x:v>
      </x:c>
      <x:c r="F239" s="15" t="str">
        <x:v>Category confidence Low: Default outflow category; review counterparty/reference.</x:v>
      </x:c>
      <x:c r="G239" s="15" t="str">
        <x:v>eml_ALL_currentac__512781 (2).zip &gt; eml3currentac__512781.zip</x:v>
      </x:c>
      <x:c r="H239" s="15" t="str">
        <x:v>FNB _-) R1805.86 paid from Current a_c..512781 @ Smartapp. Ref.Ac De Jager Vleis.  2May 16_08.eml</x:v>
      </x:c>
      <x:c r="I239" s="15" t="str"/>
    </x:row>
    <x:row r="240">
      <x:c r="A240" s="15" t="str">
        <x:v>Review item</x:v>
      </x:c>
      <x:c r="B240" s="34" t="n">
        <x:v>46144.77847222222</x:v>
      </x:c>
      <x:c r="C240" s="38" t="n">
        <x:v>320</x:v>
      </x:c>
      <x:c r="D240" s="15" t="str">
        <x:v>Yoco *k2025744041</x:v>
      </x:c>
      <x:c r="E240" s="15" t="str">
        <x:v>Category assignment is low confidence.</x:v>
      </x:c>
      <x:c r="F240" s="15" t="str">
        <x:v>Category confidence Low: Default card-spend category; merchant not confidently mapped.</x:v>
      </x:c>
      <x:c r="G240" s="15" t="str">
        <x:v>eml_ALL_currentac__512781 (2).zip &gt; eml3currentac__512781.zip</x:v>
      </x:c>
      <x:c r="H240" s="15" t="str">
        <x:v>FNB _-) R320.00 reserved for purchase @ Yoco _k2025744041 from Current a_c..512781 using card..2924.  2May 18_41.eml</x:v>
      </x:c>
      <x:c r="I240" s="15" t="str"/>
    </x:row>
    <x:row r="241">
      <x:c r="A241" s="15" t="str">
        <x:v>Review item</x:v>
      </x:c>
      <x:c r="B241" s="34" t="n">
        <x:v>46147.45138888889</x:v>
      </x:c>
      <x:c r="C241" s="38" t="n">
        <x:v>13128</x:v>
      </x:c>
      <x:c r="D241" s="15" t="str">
        <x:v>Kruger Safari 1697</x:v>
      </x:c>
      <x:c r="E241" s="15" t="str">
        <x:v>Category assignment is low confidence.</x:v>
      </x:c>
      <x:c r="F241" s="15" t="str">
        <x:v>Category confidence Low: Default outflow category; review counterparty/reference.</x:v>
      </x:c>
      <x:c r="G241" s="15" t="str">
        <x:v>eml_ALL_currentac__512781 (2).zip &gt; eml3currentac__512781.zip</x:v>
      </x:c>
      <x:c r="H241" s="15" t="str">
        <x:v>FNB _-) R13128.00 paid from Current a_c..512781 @ Smartapp. Ref.Kruger Safari 1697.  5May 10_50.eml</x:v>
      </x:c>
      <x:c r="I241" s="15" t="str"/>
    </x:row>
    <x:row r="242">
      <x:c r="A242" s="15" t="str">
        <x:v>Review item</x:v>
      </x:c>
      <x:c r="B242" s="34" t="n">
        <x:v>46147.45208333333</x:v>
      </x:c>
      <x:c r="C242" s="38" t="n">
        <x:v>8480</x:v>
      </x:c>
      <x:c r="D242" s="15" t="str">
        <x:v>Royal Bush 3945</x:v>
      </x:c>
      <x:c r="E242" s="15" t="str">
        <x:v>Category assignment is low confidence.</x:v>
      </x:c>
      <x:c r="F242" s="15" t="str">
        <x:v>Category confidence Low: Default outflow category; review counterparty/reference.</x:v>
      </x:c>
      <x:c r="G242" s="15" t="str">
        <x:v>eml_ALL_currentac__512781 (2).zip &gt; eml3currentac__512781.zip</x:v>
      </x:c>
      <x:c r="H242" s="15" t="str">
        <x:v>FNB _-) R8480.00 paid from Current a_c..512781 @ Smartapp. Ref.Royal Bush 3945.  5May 10_51.eml</x:v>
      </x:c>
      <x:c r="I242" s="15" t="str"/>
    </x:row>
    <x:row r="243">
      <x:c r="A243" s="15" t="str">
        <x:v>Review item</x:v>
      </x:c>
      <x:c r="B243" s="34" t="n">
        <x:v>46147.55625</x:v>
      </x:c>
      <x:c r="C243" s="38" t="n">
        <x:v>131.99</x:v>
      </x:c>
      <x:c r="D243" s="15" t="str">
        <x:v>Ingwe Supermarket146</x:v>
      </x:c>
      <x:c r="E243" s="15" t="str">
        <x:v>Category assignment is low confidence.</x:v>
      </x:c>
      <x:c r="F243" s="15" t="str">
        <x:v>Category confidence Low: Default card-spend category; merchant not confidently mapped.</x:v>
      </x:c>
      <x:c r="G243" s="15" t="str">
        <x:v>eml_ALL_currentac__512781 (2).zip &gt; eml3currentac__512781.zip</x:v>
      </x:c>
      <x:c r="H243" s="15" t="str">
        <x:v>FNB _-) R131.99 reserved for purchase @ Ingwe Supermarket146 from Current a_c..512781 using card..2924.  5May 13_21.eml</x:v>
      </x:c>
      <x:c r="I243" s="15" t="str"/>
    </x:row>
    <x:row r="244">
      <x:c r="A244" s="15" t="str">
        <x:v>Review item</x:v>
      </x:c>
      <x:c r="B244" s="34" t="n">
        <x:v>46149.49375</x:v>
      </x:c>
      <x:c r="C244" s="38"/>
      <x:c r="D244" s="15" t="str">
        <x:v>Southern Kruger Tran..698317</x:v>
      </x:c>
      <x:c r="E244" s="15" t="str">
        <x:v>Category assignment is low confidence.</x:v>
      </x:c>
      <x:c r="F244" s="15" t="str">
        <x:v>Payment link creation only; no money movement indicated. Category confidence Low: Unable to map confidently.</x:v>
      </x:c>
      <x:c r="G244" s="15" t="str">
        <x:v>eml_ALL_currentac__512781 (2).zip &gt; eml2currentac__512781.zip</x:v>
      </x:c>
      <x:c r="H244" s="15" t="str">
        <x:v>FNB _-) Payment Link created from Current a_c..512781 To Southern Kruger Tran..698317 @ Smartapp.  7May 11_51 Call 087 575 9404  for help..eml</x:v>
      </x:c>
      <x:c r="I244" s="15" t="str"/>
    </x:row>
    <x:row r="245">
      <x:c r="A245" s="15" t="str">
        <x:v>Review item</x:v>
      </x:c>
      <x:c r="B245" s="34" t="n">
        <x:v>46149.49375</x:v>
      </x:c>
      <x:c r="C245" s="38" t="n">
        <x:v>2200</x:v>
      </x:c>
      <x:c r="D245" s="15" t="str">
        <x:v>Sk Transfer 0194</x:v>
      </x:c>
      <x:c r="E245" s="15" t="str">
        <x:v>Category assignment is low confidence.</x:v>
      </x:c>
      <x:c r="F245" s="15" t="str">
        <x:v>Category confidence Low: Default outflow category; review counterparty/reference.</x:v>
      </x:c>
      <x:c r="G245" s="15" t="str">
        <x:v>eml_ALL_currentac__512781 (2).zip &gt; eml2currentac__512781.zip</x:v>
      </x:c>
      <x:c r="H245" s="15" t="str">
        <x:v>FNB _-) R2200.00 paid from Current a_c..512781 @ Smartapp. Ref.Sk Transfer 0194.  7May 11_51.eml</x:v>
      </x:c>
      <x:c r="I245" s="15" t="str"/>
    </x:row>
    <x:row r="246">
      <x:c r="A246" s="15" t="str">
        <x:v>Review item</x:v>
      </x:c>
      <x:c r="B246" s="34" t="n">
        <x:v>46150.50625</x:v>
      </x:c>
      <x:c r="C246" s="38" t="n">
        <x:v>800</x:v>
      </x:c>
      <x:c r="D246" s="15" t="str">
        <x:v>Send Peter Carpentor</x:v>
      </x:c>
      <x:c r="E246" s="15" t="str">
        <x:v>Category assignment is low confidence.</x:v>
      </x:c>
      <x:c r="F246" s="15" t="str">
        <x:v>Category confidence Low: Default outflow category; review counterparty/reference.</x:v>
      </x:c>
      <x:c r="G246" s="15" t="str">
        <x:v>eml_ALL_currentac__512781 (2).zip &gt; eml2currentac__512781.zip</x:v>
      </x:c>
      <x:c r="H246" s="15" t="str">
        <x:v>FNB _-) R800.00 paid from Current a_c..512781 @ Smartapp. Ref.Send Peter Carpentor.  8May 12_09.eml</x:v>
      </x:c>
      <x:c r="I246" s="15" t="str"/>
    </x:row>
    <x:row r="247">
      <x:c r="A247" s="15" t="str">
        <x:v>Review item</x:v>
      </x:c>
      <x:c r="B247" s="34" t="n">
        <x:v>46153.40347222222</x:v>
      </x:c>
      <x:c r="C247" s="38" t="n">
        <x:v>345.4</x:v>
      </x:c>
      <x:c r="D247" s="15" t="str">
        <x:v>Bon Express 008340</x:v>
      </x:c>
      <x:c r="E247" s="15" t="str">
        <x:v>Category assignment is low confidence.</x:v>
      </x:c>
      <x:c r="F247" s="15" t="str">
        <x:v>Category confidence Low: Default outflow category; review counterparty/reference.</x:v>
      </x:c>
      <x:c r="G247" s="15" t="str">
        <x:v>eml_ALL_currentac__512781 (2).zip &gt; eml2currentac__512781.zip</x:v>
      </x:c>
      <x:c r="H247" s="15" t="str">
        <x:v>FNB _-) R345.40 paid from Current a_c..512781 @ Smartapp. Ref.Bon Express 008340. 11May 09_41.eml</x:v>
      </x:c>
      <x:c r="I247" s="15" t="str"/>
    </x:row>
    <x:row r="248">
      <x:c r="A248" s="15" t="str">
        <x:v>Review item</x:v>
      </x:c>
      <x:c r="B248" s="34" t="n">
        <x:v>46153.615277777775</x:v>
      </x:c>
      <x:c r="C248" s="38" t="n">
        <x:v>1500</x:v>
      </x:c>
      <x:c r="D248" s="15" t="str">
        <x:v>Send Donald Bus</x:v>
      </x:c>
      <x:c r="E248" s="15" t="str">
        <x:v>Category assignment is low confidence.</x:v>
      </x:c>
      <x:c r="F248" s="15" t="str">
        <x:v>Category confidence Low: Default outflow category; review counterparty/reference.</x:v>
      </x:c>
      <x:c r="G248" s="15" t="str">
        <x:v>eml_ALL_currentac__512781 (2).zip &gt; eml2currentac__512781.zip</x:v>
      </x:c>
      <x:c r="H248" s="15" t="str">
        <x:v>FNB _-) R1500.00 paid from Current a_c..512781 @ Smartapp. Ref.Send Donald Bus. 11May 14_46.eml</x:v>
      </x:c>
      <x:c r="I248" s="15" t="str"/>
    </x:row>
    <x:row r="249">
      <x:c r="A249" s="15" t="str">
        <x:v>Review item</x:v>
      </x:c>
      <x:c r="B249" s="34" t="n">
        <x:v>46153.65902777778</x:v>
      </x:c>
      <x:c r="C249" s="38" t="n">
        <x:v>1500</x:v>
      </x:c>
      <x:c r="D249" s="15" t="str">
        <x:v>Send Donald Bus</x:v>
      </x:c>
      <x:c r="E249" s="15" t="str">
        <x:v>Category assignment is low confidence.</x:v>
      </x:c>
      <x:c r="F249" s="15" t="str">
        <x:v>Category confidence Low: Default outflow category; review counterparty/reference.</x:v>
      </x:c>
      <x:c r="G249" s="15" t="str">
        <x:v>eml_ALL_currentac__512781 (2).zip &gt; eml2currentac__512781.zip</x:v>
      </x:c>
      <x:c r="H249" s="15" t="str">
        <x:v>FNB _-) R1500.00 paid from Current a_c..512781 @ Smartapp. Ref.Send Donald Bus. 11May 15_49.eml</x:v>
      </x:c>
      <x:c r="I249" s="15" t="str"/>
    </x:row>
    <x:row r="250">
      <x:c r="A250" s="15" t="str">
        <x:v>Review item</x:v>
      </x:c>
      <x:c r="B250" s="34" t="n">
        <x:v>46154.52638888889</x:v>
      </x:c>
      <x:c r="C250" s="38" t="n">
        <x:v>200</x:v>
      </x:c>
      <x:c r="D250" s="15" t="str">
        <x:v>Smartapp</x:v>
      </x:c>
      <x:c r="E250" s="15" t="str">
        <x:v>Category assignment is low confidence.</x:v>
      </x:c>
      <x:c r="F250" s="15" t="str">
        <x:v>Category confidence Low: Default outflow category; review counterparty/reference.</x:v>
      </x:c>
      <x:c r="G250" s="15" t="str">
        <x:v>eml_ALL_currentac__512781 (2).zip &gt; eml2currentac__512781.zip</x:v>
      </x:c>
      <x:c r="H250" s="15" t="str">
        <x:v>FNB _-) R200.00 paid from Current a_c..512781 @ Smartapp. 12May 12_38.eml</x:v>
      </x:c>
      <x:c r="I250" s="15" t="str"/>
    </x:row>
    <x:row r="251">
      <x:c r="A251" s="15" t="str">
        <x:v>Review item</x:v>
      </x:c>
      <x:c r="B251" s="34" t="n">
        <x:v>46155.39097222222</x:v>
      </x:c>
      <x:c r="C251" s="38" t="n">
        <x:v>2200</x:v>
      </x:c>
      <x:c r="D251" s="15" t="str">
        <x:v>Sk Transfer 0202</x:v>
      </x:c>
      <x:c r="E251" s="15" t="str">
        <x:v>Category assignment is low confidence.</x:v>
      </x:c>
      <x:c r="F251" s="15" t="str">
        <x:v>Category confidence Low: Default outflow category; review counterparty/reference.</x:v>
      </x:c>
      <x:c r="G251" s="15" t="str">
        <x:v>eml_ALL_currentac__512781 (2).zip &gt; eml2currentac__512781.zip</x:v>
      </x:c>
      <x:c r="H251" s="15" t="str">
        <x:v>FNB _-) R2200.00 paid from Current a_c..512781 @ Smartapp. Ref.Sk Transfer 0202. 13May 09_23.eml</x:v>
      </x:c>
      <x:c r="I251" s="15" t="str"/>
    </x:row>
    <x:row r="252">
      <x:c r="A252" s="15" t="str">
        <x:v>Review item</x:v>
      </x:c>
      <x:c r="B252" s="34" t="n">
        <x:v>46155.404861111114</x:v>
      </x:c>
      <x:c r="C252" s="38" t="n">
        <x:v>1000</x:v>
      </x:c>
      <x:c r="D252" s="15" t="str">
        <x:v>Send Tyron Bos</x:v>
      </x:c>
      <x:c r="E252" s="15" t="str">
        <x:v>Category assignment is low confidence.</x:v>
      </x:c>
      <x:c r="F252" s="15" t="str">
        <x:v>Category confidence Low: Default outflow category; review counterparty/reference.</x:v>
      </x:c>
      <x:c r="G252" s="15" t="str">
        <x:v>eml_ALL_currentac__512781 (2).zip &gt; eml2currentac__512781.zip</x:v>
      </x:c>
      <x:c r="H252" s="15" t="str">
        <x:v>FNB _-) R1000.00 paid from Current a_c..512781 @ Smartapp. Ref.Send Tyron Bos. 13May 09_43.eml</x:v>
      </x:c>
      <x:c r="I252" s="15" t="str"/>
    </x:row>
    <x:row r="253">
      <x:c r="A253" s="15" t="str">
        <x:v>Review item</x:v>
      </x:c>
      <x:c r="B253" s="34" t="n">
        <x:v>46155.88958333333</x:v>
      </x:c>
      <x:c r="C253" s="38" t="n">
        <x:v>676.45</x:v>
      </x:c>
      <x:c r="D253" s="15" t="str">
        <x:v>Moment_*dstv Joh</x:v>
      </x:c>
      <x:c r="E253" s="15" t="str">
        <x:v>Category assignment is low confidence.</x:v>
      </x:c>
      <x:c r="F253" s="15" t="str">
        <x:v>Category confidence Low: Default card-spend category; merchant not confidently mapped.</x:v>
      </x:c>
      <x:c r="G253" s="15" t="str">
        <x:v>eml_ALL_currentac__512781 (2).zip &gt; eml2currentac__512781.zip</x:v>
      </x:c>
      <x:c r="H253" s="15" t="str">
        <x:v>FNB _-) R676.45 reserved for purchase @ Moment__dstv Joh from Current a_c..512781 using card..0104. 13May 21_21.eml</x:v>
      </x:c>
      <x:c r="I253" s="15" t="str"/>
    </x:row>
    <x:row r="254">
      <x:c r="A254" s="15" t="str">
        <x:v>Review item</x:v>
      </x:c>
      <x:c r="B254" s="34" t="n">
        <x:v>46158.61111111111</x:v>
      </x:c>
      <x:c r="C254" s="38" t="n">
        <x:v>1000</x:v>
      </x:c>
      <x:c r="D254" s="15" t="str">
        <x:v>Send Tyron Bos</x:v>
      </x:c>
      <x:c r="E254" s="15" t="str">
        <x:v>Category assignment is low confidence.</x:v>
      </x:c>
      <x:c r="F254" s="15" t="str">
        <x:v>Category confidence Low: Default outflow category; review counterparty/reference.</x:v>
      </x:c>
      <x:c r="G254" s="15" t="str">
        <x:v>eml_ALL_currentac__512781 (2).zip &gt; eml2currentac__512781.zip</x:v>
      </x:c>
      <x:c r="H254" s="15" t="str">
        <x:v>FNB _-) R1000.00 paid from Current a_c..512781 @ Smartapp. Ref.Send Tyron Bos. 16May 14_40.eml</x:v>
      </x:c>
      <x:c r="I254" s="15" t="str"/>
    </x:row>
    <x:row r="255">
      <x:c r="A255" s="15" t="str">
        <x:v>Review item</x:v>
      </x:c>
      <x:c r="B255" s="34" t="n">
        <x:v>46160.46597222222</x:v>
      </x:c>
      <x:c r="C255" s="38" t="n">
        <x:v>5000</x:v>
      </x:c>
      <x:c r="D255" s="15" t="str">
        <x:v>Car</x:v>
      </x:c>
      <x:c r="E255" s="15" t="str">
        <x:v>Category assignment is low confidence.</x:v>
      </x:c>
      <x:c r="F255" s="15" t="str">
        <x:v>Category confidence Low: Default outflow category; review counterparty/reference.</x:v>
      </x:c>
      <x:c r="G255" s="15" t="str">
        <x:v>eml_ALL_currentac__512781 (2).zip &gt; eml2currentac__512781.zip</x:v>
      </x:c>
      <x:c r="H255" s="15" t="str">
        <x:v>FNB _-) R5000.00 paid from Current a_c..512781 @ Smartapp. Ref.Car. 18May 11_11.eml</x:v>
      </x:c>
      <x:c r="I255" s="15" t="str"/>
    </x:row>
    <x:row r="256">
      <x:c r="A256" s="15" t="str">
        <x:v>Review item</x:v>
      </x:c>
      <x:c r="B256" s="34" t="n">
        <x:v>46167.489583333336</x:v>
      </x:c>
      <x:c r="C256" s="38" t="n">
        <x:v>3454.5</x:v>
      </x:c>
      <x:c r="D256" s="15" t="str">
        <x:v>Kruger Sa 1698 50%</x:v>
      </x:c>
      <x:c r="E256" s="15" t="str">
        <x:v>Category assignment is low confidence.</x:v>
      </x:c>
      <x:c r="F256" s="15" t="str">
        <x:v>Category confidence Low: Default outflow category; review counterparty/reference.</x:v>
      </x:c>
      <x:c r="G256" s="15" t="str">
        <x:v>eml_ALL_currentac__512781 (2).zip &gt; eml2currentac__512781.zip</x:v>
      </x:c>
      <x:c r="H256" s="15" t="str">
        <x:v>FNB _-) R3454.50 paid from Current a_c..512781 @ Smartapp. Ref.Kruger Sa 1698 50%. 25May 11_45.eml</x:v>
      </x:c>
      <x:c r="I256" s="15" t="str"/>
    </x:row>
    <x:row r="257">
      <x:c r="A257" s="15" t="str">
        <x:v>Review item</x:v>
      </x:c>
      <x:c r="B257" s="34" t="n">
        <x:v>46167.490277777775</x:v>
      </x:c>
      <x:c r="C257" s="38" t="n">
        <x:v>3454.5</x:v>
      </x:c>
      <x:c r="D257" s="15" t="str">
        <x:v>Kruger Sa 1698 50%</x:v>
      </x:c>
      <x:c r="E257" s="15" t="str">
        <x:v>Refund/reversal transaction; separated from normal income/expense.</x:v>
      </x:c>
      <x:c r="F257" s="15" t="str">
        <x:v>Reversal/refund cashflow separated from regular income.</x:v>
      </x:c>
      <x:c r="G257" s="15" t="str">
        <x:v>eml_ALL_currentac__512781 (2).zip &gt; eml2currentac__512781.zip</x:v>
      </x:c>
      <x:c r="H257" s="15" t="str">
        <x:v>FNB _-) REVERSAL of R3454.50 paid from Current a_c..512781 Ref.Kruger Sa 1698 50%. 25May 11_46.eml</x:v>
      </x:c>
      <x:c r="I257" s="15" t="str"/>
    </x:row>
    <x:row r="258">
      <x:c r="A258" s="15" t="str">
        <x:v>Review item</x:v>
      </x:c>
      <x:c r="B258" s="34" t="n">
        <x:v>46167.49166666667</x:v>
      </x:c>
      <x:c r="C258" s="38" t="n">
        <x:v>4240</x:v>
      </x:c>
      <x:c r="D258" s="15" t="str">
        <x:v>Royal Bush 3979</x:v>
      </x:c>
      <x:c r="E258" s="15" t="str">
        <x:v>Category assignment is low confidence.</x:v>
      </x:c>
      <x:c r="F258" s="15" t="str">
        <x:v>Category confidence Low: Default outflow category; review counterparty/reference.</x:v>
      </x:c>
      <x:c r="G258" s="15" t="str">
        <x:v>eml_ALL_currentac__512781 (2).zip &gt; eml2currentac__512781.zip</x:v>
      </x:c>
      <x:c r="H258" s="15" t="str">
        <x:v>FNB _-) R4240.00 paid from Current a_c..512781 @ Smartapp. Ref.Royal Bush 3979. 25May 11_48.eml</x:v>
      </x:c>
      <x:c r="I258" s="15" t="str"/>
    </x:row>
    <x:row r="259">
      <x:c r="A259" s="15" t="str">
        <x:v>Review item</x:v>
      </x:c>
      <x:c r="B259" s="34" t="n">
        <x:v>46167.73055555556</x:v>
      </x:c>
      <x:c r="C259" s="38" t="n">
        <x:v>6008</x:v>
      </x:c>
      <x:c r="D259" s="15" t="str">
        <x:v>Kruger Safari 1698</x:v>
      </x:c>
      <x:c r="E259" s="15" t="str">
        <x:v>Category assignment is low confidence.</x:v>
      </x:c>
      <x:c r="F259" s="15" t="str">
        <x:v>Category confidence Low: Default outflow category; review counterparty/reference.</x:v>
      </x:c>
      <x:c r="G259" s="15" t="str">
        <x:v>eml_ALL_currentac__512781 (2).zip &gt; eml2currentac__512781.zip</x:v>
      </x:c>
      <x:c r="H259" s="15" t="str">
        <x:v>FNB _-) R6008.00 paid from Current a_c..512781 @ Smartapp. Ref.Kruger Safari 1698. 25May 17_32.eml</x:v>
      </x:c>
      <x:c r="I259" s="15" t="str"/>
    </x:row>
    <x:row r="260">
      <x:c r="A260" s="15" t="str">
        <x:v>Review item</x:v>
      </x:c>
      <x:c r="B260" s="34" t="n">
        <x:v>46169.43472222222</x:v>
      </x:c>
      <x:c r="C260" s="38" t="n">
        <x:v>500</x:v>
      </x:c>
      <x:c r="D260" s="15" t="str">
        <x:v>Kpci - C1736</x:v>
      </x:c>
      <x:c r="E260" s="15" t="str">
        <x:v>Category assignment is low confidence.</x:v>
      </x:c>
      <x:c r="F260" s="15" t="str">
        <x:v>Category confidence Low: Default outflow category; review counterparty/reference.</x:v>
      </x:c>
      <x:c r="G260" s="15" t="str">
        <x:v>eml_ALL_currentac__512781 (2).zip &gt; eml2currentac__512781.zip</x:v>
      </x:c>
      <x:c r="H260" s="15" t="str">
        <x:v>FNB _-) R500.00 paid from Current a_c..512781 @ Smartapp. Ref.Kpci - C1736. 27May 10_26.eml</x:v>
      </x:c>
      <x:c r="I260" s="15" t="str"/>
    </x:row>
    <x:row r="261">
      <x:c r="A261" s="15" t="str">
        <x:v>Review item</x:v>
      </x:c>
      <x:c r="B261" s="34" t="n">
        <x:v>46169.43541666667</x:v>
      </x:c>
      <x:c r="C261" s="38" t="n">
        <x:v>8200</x:v>
      </x:c>
      <x:c r="D261" s="15" t="str">
        <x:v>Sk Transfer 0213</x:v>
      </x:c>
      <x:c r="E261" s="15" t="str">
        <x:v>Category assignment is low confidence.</x:v>
      </x:c>
      <x:c r="F261" s="15" t="str">
        <x:v>Category confidence Low: Default outflow category; review counterparty/reference.</x:v>
      </x:c>
      <x:c r="G261" s="15" t="str">
        <x:v>eml_ALL_currentac__512781 (2).zip &gt; eml2currentac__512781.zip</x:v>
      </x:c>
      <x:c r="H261" s="15" t="str">
        <x:v>FNB _-) R8200.00 paid from Current a_c..512781 @ Smartapp. Ref.Sk Transfer 0213. 27May 10_27.eml</x:v>
      </x:c>
      <x:c r="I261" s="15" t="str"/>
    </x:row>
    <x:row r="262">
      <x:c r="A262" s="15" t="str">
        <x:v>Review item</x:v>
      </x:c>
      <x:c r="B262" s="34" t="n">
        <x:v>46169.441666666666</x:v>
      </x:c>
      <x:c r="C262" s="38" t="n">
        <x:v>7276</x:v>
      </x:c>
      <x:c r="D262" s="15" t="str">
        <x:v>Royal Bush 3965</x:v>
      </x:c>
      <x:c r="E262" s="15" t="str">
        <x:v>Category assignment is low confidence.</x:v>
      </x:c>
      <x:c r="F262" s="15" t="str">
        <x:v>Category confidence Low: Default outflow category; review counterparty/reference.</x:v>
      </x:c>
      <x:c r="G262" s="15" t="str">
        <x:v>eml_ALL_currentac__512781 (2).zip &gt; eml2currentac__512781.zip</x:v>
      </x:c>
      <x:c r="H262" s="15" t="str">
        <x:v>FNB _-) R7276.00 paid from Current a_c..512781 @ Smartapp. Ref.Royal Bush 3965. 27May 10_36.eml</x:v>
      </x:c>
      <x:c r="I262" s="15" t="str"/>
    </x:row>
    <x:row r="263">
      <x:c r="A263" s="15" t="str">
        <x:v>Review item</x:v>
      </x:c>
      <x:c r="B263" s="34" t="n">
        <x:v>46170.65347222222</x:v>
      </x:c>
      <x:c r="C263" s="38" t="n">
        <x:v>6909</x:v>
      </x:c>
      <x:c r="D263" s="15" t="str">
        <x:v>Kruger Saf 1699 50%</x:v>
      </x:c>
      <x:c r="E263" s="15" t="str">
        <x:v>Category assignment is low confidence.</x:v>
      </x:c>
      <x:c r="F263" s="15" t="str">
        <x:v>Category confidence Low: Default outflow category; review counterparty/reference.</x:v>
      </x:c>
      <x:c r="G263" s="15" t="str">
        <x:v>eml_ALL_currentac__512781 (2).zip &gt; eml1currentac__512781.zip</x:v>
      </x:c>
      <x:c r="H263" s="15" t="str">
        <x:v>FNB _-) R6909.00 paid from Current a_c..512781 @ Smartapp. Ref.Kruger Saf 1699 50%. 28May 15_41.eml</x:v>
      </x:c>
      <x:c r="I263" s="15" t="str"/>
    </x:row>
    <x:row r="264">
      <x:c r="A264" s="15" t="str">
        <x:v>Review item</x:v>
      </x:c>
      <x:c r="B264" s="34" t="n">
        <x:v>46171.45972222222</x:v>
      </x:c>
      <x:c r="C264" s="38" t="n">
        <x:v>725.77</x:v>
      </x:c>
      <x:c r="D264" s="15" t="str">
        <x:v>Bon Express 8470</x:v>
      </x:c>
      <x:c r="E264" s="15" t="str">
        <x:v>Category assignment is low confidence.</x:v>
      </x:c>
      <x:c r="F264" s="15" t="str">
        <x:v>Category confidence Low: Default outflow category; review counterparty/reference.</x:v>
      </x:c>
      <x:c r="G264" s="15" t="str">
        <x:v>eml_ALL_currentac__512781 (2).zip &gt; eml1currentac__512781.zip</x:v>
      </x:c>
      <x:c r="H264" s="15" t="str">
        <x:v>FNB _-) R725.77 paid from Current a_c..512781 @ Smartapp. Ref.Bon Express 8470. 29May 11_02.eml</x:v>
      </x:c>
      <x:c r="I264" s="15" t="str"/>
    </x:row>
    <x:row r="265">
      <x:c r="A265" s="15" t="str">
        <x:v>Review item</x:v>
      </x:c>
      <x:c r="B265" s="34" t="n">
        <x:v>46172.44027777778</x:v>
      </x:c>
      <x:c r="C265" s="38" t="n">
        <x:v>759</x:v>
      </x:c>
      <x:c r="D265" s="15" t="str">
        <x:v>Nb N992820</x:v>
      </x:c>
      <x:c r="E265" s="15" t="str">
        <x:v>Category assignment is low confidence.</x:v>
      </x:c>
      <x:c r="F265" s="15" t="str">
        <x:v>Category confidence Low: Default outflow category; review counterparty/reference.</x:v>
      </x:c>
      <x:c r="G265" s="15" t="str">
        <x:v>eml_ALL_currentac__512781 (2).zip &gt; eml1currentac__512781.zip</x:v>
      </x:c>
      <x:c r="H265" s="15" t="str">
        <x:v>FNB _-) R759.00 paid from Current a_c..512781 @ Smartapp. Ref.Nb N992820. 30May 10_34.eml</x:v>
      </x:c>
      <x:c r="I265" s="15" t="str"/>
    </x:row>
    <x:row r="266">
      <x:c r="A266" s="15" t="str">
        <x:v>Review item</x:v>
      </x:c>
      <x:c r="B266" s="34" t="n">
        <x:v>46174.66736111111</x:v>
      </x:c>
      <x:c r="C266" s="38" t="n">
        <x:v>7400</x:v>
      </x:c>
      <x:c r="D266" s="15" t="str">
        <x:v>Sk Transfer 0209</x:v>
      </x:c>
      <x:c r="E266" s="15" t="str">
        <x:v>Category assignment is low confidence.</x:v>
      </x:c>
      <x:c r="F266" s="15" t="str">
        <x:v>Category confidence Low: Default outflow category; review counterparty/reference.</x:v>
      </x:c>
      <x:c r="G266" s="15" t="str">
        <x:v>eml_ALL_currentac__512781 (2).zip &gt; eml1currentac__512781.zip</x:v>
      </x:c>
      <x:c r="H266" s="15" t="str">
        <x:v>FNB _-) R7400.00 paid from Current a_c..512781 @ Smartapp. Ref.Sk Transfer 0209.  1Jun 16_01.eml</x:v>
      </x:c>
      <x:c r="I266" s="15" t="str"/>
    </x:row>
    <x:row r="267">
      <x:c r="A267" s="15" t="str">
        <x:v>Review item</x:v>
      </x:c>
      <x:c r="B267" s="34" t="n">
        <x:v>46175.39722222222</x:v>
      </x:c>
      <x:c r="C267" s="38" t="n">
        <x:v>4794</x:v>
      </x:c>
      <x:c r="D267" s="15" t="str">
        <x:v>Cf Moto Saf - Inv 3</x:v>
      </x:c>
      <x:c r="E267" s="15" t="str">
        <x:v>Category assignment is low confidence.</x:v>
      </x:c>
      <x:c r="F267" s="15" t="str">
        <x:v>Category confidence Low: Default outflow category; review counterparty/reference.</x:v>
      </x:c>
      <x:c r="G267" s="15" t="str">
        <x:v>eml_ALL_currentac__512781 (2).zip &gt; eml1currentac__512781.zip</x:v>
      </x:c>
      <x:c r="H267" s="15" t="str">
        <x:v>FNB _-) R4794.00 paid from Current a_c..512781 @ Smartapp. Ref.Cf Moto Saf - Inv 3.  2Jun 09_32.eml</x:v>
      </x:c>
      <x:c r="I267" s="15" t="str"/>
    </x:row>
    <x:row r="268">
      <x:c r="A268" s="15" t="str">
        <x:v>Review item</x:v>
      </x:c>
      <x:c r="B268" s="34" t="n">
        <x:v>46175.64722222222</x:v>
      </x:c>
      <x:c r="C268" s="38" t="n">
        <x:v>500</x:v>
      </x:c>
      <x:c r="D268" s="15" t="str">
        <x:v>Ae Komatipoort</x:v>
      </x:c>
      <x:c r="E268" s="15" t="str">
        <x:v>Category assignment is low confidence.</x:v>
      </x:c>
      <x:c r="F268" s="15" t="str">
        <x:v>Category confidence Low: Default card-spend category; merchant not confidently mapped.</x:v>
      </x:c>
      <x:c r="G268" s="15" t="str">
        <x:v>eml_ALL_currentac__512781 (2).zip &gt; eml1currentac__512781.zip</x:v>
      </x:c>
      <x:c r="H268" s="15" t="str">
        <x:v>FNB _-) R500.00 reserved for purchase @ Ae Komatipoort from Current a_c..512781 using card..2924.  2Jun 15_32.eml</x:v>
      </x:c>
      <x:c r="I268" s="15" t="str"/>
    </x:row>
    <x:row r="269">
      <x:c r="A269" s="15" t="str">
        <x:v>Review item</x:v>
      </x:c>
      <x:c r="B269" s="34" t="n">
        <x:v>46178.532638888886</x:v>
      </x:c>
      <x:c r="C269" s="38" t="n">
        <x:v>4189</x:v>
      </x:c>
      <x:c r="D269" s="15" t="str">
        <x:v>Kruger Safari 1700</x:v>
      </x:c>
      <x:c r="E269" s="15" t="str">
        <x:v>Category assignment is low confidence.</x:v>
      </x:c>
      <x:c r="F269" s="15" t="str">
        <x:v>Category confidence Low: Default outflow category; review counterparty/reference.</x:v>
      </x:c>
      <x:c r="G269" s="15" t="str">
        <x:v>eml_ALL_currentac__512781 (2).zip &gt; eml1currentac__512781.zip</x:v>
      </x:c>
      <x:c r="H269" s="15" t="str">
        <x:v>FNB _-) R4189.00 paid from Current a_c..512781 @ Smartapp. Ref.Kruger Safari 1700.  5Jun 12_47.eml</x:v>
      </x:c>
      <x:c r="I269" s="15" t="str"/>
    </x:row>
    <x:row r="270">
      <x:c r="A270" s="15" t="str">
        <x:v>Review item</x:v>
      </x:c>
      <x:c r="B270" s="34" t="n">
        <x:v>46178.82083333333</x:v>
      </x:c>
      <x:c r="C270" s="38" t="n">
        <x:v>420</x:v>
      </x:c>
      <x:c r="D270" s="15" t="str">
        <x:v>Ik *park Horizons Pt</x:v>
      </x:c>
      <x:c r="E270" s="15" t="str">
        <x:v>Category assignment is low confidence.</x:v>
      </x:c>
      <x:c r="F270" s="15" t="str">
        <x:v>Category confidence Low: Default card-spend category; merchant not confidently mapped.</x:v>
      </x:c>
      <x:c r="G270" s="15" t="str">
        <x:v>eml_ALL_currentac__512781 (2).zip &gt; eml1currentac__512781.zip</x:v>
      </x:c>
      <x:c r="H270" s="15" t="str">
        <x:v>FNB _-) R420.00 reserved for purchase @ Ik _park Horizons Pt from Current a_c..512781 using card..2924.  5Jun 19_42.eml</x:v>
      </x:c>
      <x:c r="I270" s="15" t="str"/>
    </x:row>
    <x:row r="271">
      <x:c r="A271" s="15" t="str">
        <x:v>Review item</x:v>
      </x:c>
      <x:c r="B271" s="34" t="n">
        <x:v>46181.54722222222</x:v>
      </x:c>
      <x:c r="C271" s="38" t="n">
        <x:v>5056.4</x:v>
      </x:c>
      <x:c r="D271" s="15" t="str">
        <x:v>Kruger Saf 1700 50%</x:v>
      </x:c>
      <x:c r="E271" s="15" t="str">
        <x:v>Category assignment is low confidence.</x:v>
      </x:c>
      <x:c r="F271" s="15" t="str">
        <x:v>Category confidence Low: Default outflow category; review counterparty/reference.</x:v>
      </x:c>
      <x:c r="G271" s="15" t="str">
        <x:v>eml_ALL_currentac__512781 (2).zip &gt; eml1currentac__512781.zip</x:v>
      </x:c>
      <x:c r="H271" s="15" t="str">
        <x:v>FNB _-) R5056.40 paid from Current a_c..512781 @ Smartapp. Ref.Kruger Saf 1700 50%.  8Jun 13_08.eml</x:v>
      </x:c>
      <x:c r="I271" s="15" t="str"/>
    </x:row>
    <x:row r="272">
      <x:c r="A272" s="15" t="str">
        <x:v>Review item</x:v>
      </x:c>
      <x:c r="B272" s="34" t="n">
        <x:v>46183.51944444444</x:v>
      </x:c>
      <x:c r="C272" s="38" t="n">
        <x:v>126</x:v>
      </x:c>
      <x:c r="D272" s="15" t="str">
        <x:v>Machado Tap N Go</x:v>
      </x:c>
      <x:c r="E272" s="15" t="str">
        <x:v>Category assignment is low confidence.</x:v>
      </x:c>
      <x:c r="F272" s="15" t="str">
        <x:v>Category confidence Low: Default card-spend category; merchant not confidently mapped.</x:v>
      </x:c>
      <x:c r="G272" s="15" t="str">
        <x:v>eml_ALL_currentac__512781 (2).zip &gt; eml1currentac__512781.zip</x:v>
      </x:c>
      <x:c r="H272" s="15" t="str">
        <x:v>FNB _-) R126.00 reserved for purchase @ Machado Tap N Go from Current a_c..512781 using card..2924. 10Jun 12_28.eml</x:v>
      </x:c>
      <x:c r="I272" s="15" t="str"/>
    </x:row>
    <x:row r="273">
      <x:c r="A273" s="15" t="str">
        <x:v>Review item</x:v>
      </x:c>
      <x:c r="B273" s="34" t="n">
        <x:v>46183.52569444444</x:v>
      </x:c>
      <x:c r="C273" s="38" t="n">
        <x:v>300</x:v>
      </x:c>
      <x:c r="D273" s="15" t="str">
        <x:v>Ae Millys</x:v>
      </x:c>
      <x:c r="E273" s="15" t="str">
        <x:v>Category assignment is low confidence.</x:v>
      </x:c>
      <x:c r="F273" s="15" t="str">
        <x:v>Category confidence Low: Default card-spend category; merchant not confidently mapped.</x:v>
      </x:c>
      <x:c r="G273" s="15" t="str">
        <x:v>eml_ALL_currentac__512781 (2).zip &gt; eml1currentac__512781.zip</x:v>
      </x:c>
      <x:c r="H273" s="15" t="str">
        <x:v>FNB _-) R300.00 reserved for purchase @ Ae Millys from Current a_c..512781 using card..2924. 10Jun 12_37.eml</x:v>
      </x:c>
      <x:c r="I273" s="15" t="str"/>
    </x:row>
    <x:row r="274">
      <x:c r="A274" s="15" t="str">
        <x:v>Review item</x:v>
      </x:c>
      <x:c r="B274" s="34" t="n">
        <x:v>46185.51736111111</x:v>
      </x:c>
      <x:c r="C274" s="38" t="n">
        <x:v>5056.4</x:v>
      </x:c>
      <x:c r="D274" s="15" t="str">
        <x:v>Kruger Saf 1700 50%</x:v>
      </x:c>
      <x:c r="E274" s="15" t="str">
        <x:v>Category assignment is low confidence.</x:v>
      </x:c>
      <x:c r="F274" s="15" t="str">
        <x:v>Category confidence Low: Default outflow category; review counterparty/reference.</x:v>
      </x:c>
      <x:c r="G274" s="15" t="str">
        <x:v>eml_ALL_currentac__512781 (2).zip &gt; eml1currentac__512781.zip</x:v>
      </x:c>
      <x:c r="H274" s="15" t="str">
        <x:v>FNB _-) R5056.40 paid from Current a_c..512781 @ Smartapp. Ref.Kruger Saf 1700 50%. 12Jun 12_25.eml</x:v>
      </x:c>
      <x:c r="I274" s="15" t="str"/>
    </x:row>
    <x:row r="275">
      <x:c r="A275" s="15" t="str">
        <x:v>Review item</x:v>
      </x:c>
      <x:c r="B275" s="34" t="n">
        <x:v>46187.589583333334</x:v>
      </x:c>
      <x:c r="C275" s="38" t="n">
        <x:v>793.26</x:v>
      </x:c>
      <x:c r="D275" s="15" t="str">
        <x:v>Pnp Fam Bronkhorstsp</x:v>
      </x:c>
      <x:c r="E275" s="15" t="str">
        <x:v>Category assignment is low confidence.</x:v>
      </x:c>
      <x:c r="F275" s="15" t="str">
        <x:v>Category confidence Low: Default card-spend category; merchant not confidently mapped.</x:v>
      </x:c>
      <x:c r="G275" s="15" t="str">
        <x:v>eml_ALL_currentac__512781 (2).zip &gt; eml1currentac__512781.zip</x:v>
      </x:c>
      <x:c r="H275" s="15" t="str">
        <x:v>FNB _-) R793.26 reserved for purchase @ Pnp Fam Bronkhorstsp from Current a_c..512781 using card..2924. 14Jun 14_09.eml</x:v>
      </x:c>
      <x:c r="I275" s="15" t="str"/>
    </x:row>
    <x:row r="276">
      <x:c r="A276" s="15" t="str">
        <x:v>Review item</x:v>
      </x:c>
      <x:c r="B276" s="34" t="n">
        <x:v>46188.43541666667</x:v>
      </x:c>
      <x:c r="C276" s="38" t="n">
        <x:v>126</x:v>
      </x:c>
      <x:c r="D276" s="15" t="str">
        <x:v>Machado Tap N Go</x:v>
      </x:c>
      <x:c r="E276" s="15" t="str">
        <x:v>Category assignment is low confidence.</x:v>
      </x:c>
      <x:c r="F276" s="15" t="str">
        <x:v>Category confidence Low: Default card-spend category; merchant not confidently mapped.</x:v>
      </x:c>
      <x:c r="G276" s="15" t="str">
        <x:v>eml_ALL_currentac__512781 (2).zip &gt; eml1currentac__512781.zip</x:v>
      </x:c>
      <x:c r="H276" s="15" t="str">
        <x:v>FNB _-) R126.00 reserved for purchase @ Machado Tap N Go from Current a_c..512781 using card..2924. 15Jun 10_27.eml</x:v>
      </x:c>
      <x:c r="I276" s="15" t="str"/>
    </x:row>
    <x:row r="277">
      <x:c r="A277" s="15" t="str">
        <x:v>Review item</x:v>
      </x:c>
      <x:c r="B277" s="34" t="n">
        <x:v>46189.384722222225</x:v>
      </x:c>
      <x:c r="C277" s="38" t="n">
        <x:v>2000</x:v>
      </x:c>
      <x:c r="D277" s="15" t="str">
        <x:v>Repay</x:v>
      </x:c>
      <x:c r="E277" s="15" t="str">
        <x:v>Category assignment is low confidence.</x:v>
      </x:c>
      <x:c r="F277" s="15" t="str">
        <x:v>Category confidence Low: Default outflow category; review counterparty/reference.</x:v>
      </x:c>
      <x:c r="G277" s="15" t="str">
        <x:v>eml_ALL_currentac__512781 (2).zip &gt; eml1currentac__512781.zip</x:v>
      </x:c>
      <x:c r="H277" s="15" t="str">
        <x:v>FNB _-) R2000.00 paid from Current a_c..512781 @ Smartapp. Ref.Repay. 16Jun 09_14.eml</x:v>
      </x:c>
      <x:c r="I277" s="15" t="str"/>
    </x:row>
    <x:row r="278">
      <x:c r="A278" s="15" t="str">
        <x:v>Review item</x:v>
      </x:c>
      <x:c r="B278" s="34" t="n">
        <x:v>46190.49375</x:v>
      </x:c>
      <x:c r="C278" s="38" t="n">
        <x:v>5000</x:v>
      </x:c>
      <x:c r="D278" s="15" t="str">
        <x:v>Car</x:v>
      </x:c>
      <x:c r="E278" s="15" t="str">
        <x:v>Category assignment is low confidence.</x:v>
      </x:c>
      <x:c r="F278" s="15" t="str">
        <x:v>Category confidence Low: Default outflow category; review counterparty/reference.</x:v>
      </x:c>
      <x:c r="G278" s="15" t="str">
        <x:v>eml_ALL_currentac__512781 (2).zip &gt; eml1currentac__512781.zip</x:v>
      </x:c>
      <x:c r="H278" s="15" t="str">
        <x:v>FNB _-) R5000.00 paid from Current a_c..512781 @ Smartapp. Ref.Car. 17Jun 11_51.eml</x:v>
      </x:c>
      <x:c r="I278" s="15" t="str"/>
    </x:row>
    <x:row r="279">
      <x:c r="A279" s="15" t="str">
        <x:v>Review item</x:v>
      </x:c>
      <x:c r="B279" s="34" t="n">
        <x:v>46192.50069444445</x:v>
      </x:c>
      <x:c r="C279" s="38" t="n">
        <x:v>2990</x:v>
      </x:c>
      <x:c r="D279" s="15" t="str">
        <x:v>Royal Bush 3846</x:v>
      </x:c>
      <x:c r="E279" s="15" t="str">
        <x:v>Category assignment is low confidence.</x:v>
      </x:c>
      <x:c r="F279" s="15" t="str">
        <x:v>Category confidence Low: Default outflow category; review counterparty/reference.</x:v>
      </x:c>
      <x:c r="G279" s="15" t="str">
        <x:v>eml_ALL_currentac__512781 (2).zip &gt; eml1currentac__512781.zip</x:v>
      </x:c>
      <x:c r="H279" s="15" t="str">
        <x:v>FNB _-) R2990.00 paid from Current a_c..512781 @ Smartapp. Ref.Royal Bush 3846. 19Jun 12_01.eml</x:v>
      </x:c>
      <x:c r="I279" s="15" t="str"/>
    </x:row>
    <x:row r="280">
      <x:c r="A280" s="15" t="str">
        <x:v>Review item</x:v>
      </x:c>
      <x:c r="B280" s="34" t="n">
        <x:v>46192.669444444444</x:v>
      </x:c>
      <x:c r="C280" s="38"/>
      <x:c r="D280" s="15" t="str">
        <x:v>Bushwise Safaris..817835</x:v>
      </x:c>
      <x:c r="E280" s="15" t="str">
        <x:v>Category assignment is low confidence.</x:v>
      </x:c>
      <x:c r="F280" s="15" t="str">
        <x:v>Payment link creation only; no money movement indicated. Category confidence Low: Unable to map confidently.</x:v>
      </x:c>
      <x:c r="G280" s="15" t="str">
        <x:v>eml_ALL_currentac__512781 (2).zip &gt; eml1currentac__512781.zip</x:v>
      </x:c>
      <x:c r="H280" s="15" t="str">
        <x:v>FNB _-) Payment Link created from Current a_c..512781 To Bushwise Safaris..817835 @ Smartapp. 19Jun 16_04 Call 087 575 9404  for help..eml</x:v>
      </x:c>
      <x:c r="I280" s="15" t="str"/>
    </x:row>
    <x:row r="281">
      <x:c r="A281" s="15" t="str">
        <x:v>Review item</x:v>
      </x:c>
      <x:c r="B281" s="34" t="n">
        <x:v>46192.67013888889</x:v>
      </x:c>
      <x:c r="C281" s="38" t="n">
        <x:v>2975</x:v>
      </x:c>
      <x:c r="D281" s="15" t="str">
        <x:v>Bushwise Inv 0122</x:v>
      </x:c>
      <x:c r="E281" s="15" t="str">
        <x:v>Category assignment is low confidence.</x:v>
      </x:c>
      <x:c r="F281" s="15" t="str">
        <x:v>Category confidence Low: Default outflow category; review counterparty/reference.</x:v>
      </x:c>
      <x:c r="G281" s="15" t="str">
        <x:v>eml_ALL_currentac__512781 (2).zip &gt; eml1currentac__512781.zip</x:v>
      </x:c>
      <x:c r="H281" s="15" t="str">
        <x:v>FNB _-) R2975.00 paid from Current a_c..512781 @ Smartapp. Ref.Bushwise Inv 0122. 19Jun 16_05.eml</x:v>
      </x:c>
      <x:c r="I281" s="15" t="str"/>
    </x:row>
    <x:row r="282">
      <x:c r="A282" s="15" t="str">
        <x:v>Ignored/unparsed file</x:v>
      </x:c>
      <x:c r="B282" s="34"/>
      <x:c r="C282" s="38"/>
      <x:c r="D282" s="15" t="str"/>
      <x:c r="E282" s="15" t="str">
        <x:v>Non-EML file in archive; ignored.</x:v>
      </x:c>
      <x:c r="F282" s="15" t="str">
        <x:v>No transaction extracted.</x:v>
      </x:c>
      <x:c r="G282" s="15" t="str">
        <x:v>eml_ALL_currentac__512781 (2).zip &gt; eml1currentac__512781.zip</x:v>
      </x:c>
      <x:c r="H282" s="15" t="str">
        <x:v>logo.png</x:v>
      </x:c>
      <x:c r="I282" s="15" t="str"/>
    </x:row>
    <x:row r="283">
      <x:c r="A283" s="15" t="str">
        <x:v>Ignored/unparsed file</x:v>
      </x:c>
      <x:c r="B283" s="34"/>
      <x:c r="C283" s="38"/>
      <x:c r="D283" s="15" t="str"/>
      <x:c r="E283" s="15" t="str">
        <x:v>Non-EML file in archive; ignored.</x:v>
      </x:c>
      <x:c r="F283" s="15" t="str">
        <x:v>No transaction extracted.</x:v>
      </x:c>
      <x:c r="G283" s="15" t="str">
        <x:v>eml_ALL_currentac__512781 (2).zip &gt; eml1currentac__512781.zip</x:v>
      </x:c>
      <x:c r="H283" s="15" t="str">
        <x:v>banner.png</x:v>
      </x:c>
      <x:c r="I283" s="15" t="str"/>
    </x:row>
  </x:sheetData>
  <x:pageMargins left="0.7" right="0.7" top="0.75" bottom="0.75" header="0.3" footer="0.3"/>
  <x:tableParts count="1">
    <x:tablePart xmlns:r="http://schemas.openxmlformats.org/officeDocument/2006/relationships" r:id="R924b646f90a34d6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36" hidden="0" customWidth="1"/>
  </x:cols>
  <x:sheetData>
    <x:row r="1">
      <x:c r="A1" s="29" t="str">
        <x:v>Check</x:v>
      </x:c>
      <x:c r="B1" s="29" t="str">
        <x:v>Source total</x:v>
      </x:c>
      <x:c r="C1" s="29" t="str">
        <x:v>Comparison total</x:v>
      </x:c>
      <x:c r="D1" s="29" t="str">
        <x:v>Difference</x:v>
      </x:c>
      <x:c r="E1" s="29" t="str">
        <x:v>Status / notes</x:v>
      </x:c>
    </x:row>
    <x:row r="2">
      <x:c r="A2" s="15" t="str">
        <x:v>Raw non-refund inflows vs Daily_Cashflow</x:v>
      </x:c>
      <x:c r="B2" s="38" t="n">
        <x:f>SUMIFS(Raw_Transactions!$H$2:$H$948,Raw_Transactions!$J$2:$J$948,"Inflow",Raw_Transactions!$K$2:$K$948,"&lt;&gt;Reversal",Raw_Transactions!$K$2:$K$948,"&lt;&gt;Refund")</x:f>
        <x:v>1333722.8799999994</x:v>
      </x:c>
      <x:c r="C2" s="38" t="n">
        <x:f>SUM(Daily_Cashflow!$B$2:$B$275)</x:f>
        <x:v>1333722.8799999997</x:v>
      </x:c>
      <x:c r="D2" s="38" t="n">
        <x:f>B2-C2</x:f>
        <x:v>-2.3283064365386963e-10</x:v>
      </x:c>
      <x:c r="E2" s="15" t="str">
        <x:f>IF(ABS(D2)&lt;0.01,"OK","Review")</x:f>
        <x:v>OK</x:v>
      </x:c>
    </x:row>
    <x:row r="3">
      <x:c r="A3" s="15" t="str">
        <x:v>Raw outflows vs Daily_Cashflow</x:v>
      </x:c>
      <x:c r="B3" s="38" t="n">
        <x:f>SUMIFS(Raw_Transactions!$H$2:$H$948,Raw_Transactions!$J$2:$J$948,"Outflow")</x:f>
        <x:v>1156848.2799999984</x:v>
      </x:c>
      <x:c r="C3" s="38" t="n">
        <x:f>SUM(Daily_Cashflow!$C$2:$C$275)</x:f>
        <x:v>1156848.279999999</x:v>
      </x:c>
      <x:c r="D3" s="38" t="n">
        <x:f>B3-C3</x:f>
        <x:v>-6.984919309616089e-10</x:v>
      </x:c>
      <x:c r="E3" s="15" t="str">
        <x:f>IF(ABS(D3)&lt;0.01,"OK","Review")</x:f>
        <x:v>OK</x:v>
      </x:c>
    </x:row>
    <x:row r="4">
      <x:c r="A4" s="15" t="str">
        <x:v>Raw refunds/reversals vs Daily_Cashflow</x:v>
      </x:c>
      <x:c r="B4" s="38" t="n">
        <x:f>SUMIFS(Raw_Transactions!$H$2:$H$948,Raw_Transactions!$K$2:$K$948,"Reversal")+SUMIFS(Raw_Transactions!$H$2:$H$948,Raw_Transactions!$K$2:$K$948,"Refund")</x:f>
        <x:v>4969.48</x:v>
      </x:c>
      <x:c r="C4" s="38" t="n">
        <x:f>SUM(Daily_Cashflow!$D$2:$D$275)</x:f>
        <x:v>4969.48</x:v>
      </x:c>
      <x:c r="D4" s="38" t="n">
        <x:f>B4-C4</x:f>
        <x:v>0</x:v>
      </x:c>
      <x:c r="E4" s="15" t="str">
        <x:f>IF(ABS(D4)&lt;0.01,"OK","Review")</x:f>
        <x:v>OK</x:v>
      </x:c>
    </x:row>
    <x:row r="5">
      <x:c r="A5" s="15" t="str">
        <x:v>Raw internal transfers vs Daily_Cashflow</x:v>
      </x:c>
      <x:c r="B5" s="38" t="n">
        <x:f>SUMIFS(Raw_Transactions!$H$2:$H$948,Raw_Transactions!$J$2:$J$948,"Internal Transfer")</x:f>
        <x:v>279080</x:v>
      </x:c>
      <x:c r="C5" s="38" t="n">
        <x:f>SUM(Daily_Cashflow!$E$2:$E$275)</x:f>
        <x:v>279080</x:v>
      </x:c>
      <x:c r="D5" s="38" t="n">
        <x:f>B5-C5</x:f>
        <x:v>0</x:v>
      </x:c>
      <x:c r="E5" s="15" t="str">
        <x:f>IF(ABS(D5)&lt;0.01,"OK","Review")</x:f>
        <x:v>OK</x:v>
      </x:c>
    </x:row>
    <x:row r="6">
      <x:c r="A6" s="15" t="str">
        <x:v>Raw net cashflow vs Daily_Cashflow</x:v>
      </x:c>
      <x:c r="B6" s="38" t="n">
        <x:f>B2+B4-B3</x:f>
        <x:v>181844.080000001</x:v>
      </x:c>
      <x:c r="C6" s="38" t="n">
        <x:f>SUM(Daily_Cashflow!$F$2:$F$275)</x:f>
        <x:v>181844.07999999996</x:v>
      </x:c>
      <x:c r="D6" s="38" t="n">
        <x:f>B6-C6</x:f>
        <x:v>1.0477378964424133e-9</x:v>
      </x:c>
      <x:c r="E6" s="15" t="str">
        <x:f>IF(ABS(D6)&lt;0.01,"OK","Review")</x:f>
        <x:v>OK</x:v>
      </x:c>
    </x:row>
    <x:row r="7">
      <x:c r="A7" s="15" t="str">
        <x:v>Daily inflows vs Weekly inflows</x:v>
      </x:c>
      <x:c r="B7" s="38" t="n">
        <x:f>SUM(Daily_Cashflow!$B$2:$B$275)</x:f>
        <x:v>1333722.8799999997</x:v>
      </x:c>
      <x:c r="C7" s="38" t="n">
        <x:f>SUM(Weekly_Cashflow!$C$2:$C$41)</x:f>
        <x:v>1333722.8800000004</x:v>
      </x:c>
      <x:c r="D7" s="38" t="n">
        <x:f>B7-C7</x:f>
        <x:v>-6.984919309616089e-10</x:v>
      </x:c>
      <x:c r="E7" s="15" t="str">
        <x:f>IF(ABS(D7)&lt;0.01,"OK","Review")</x:f>
        <x:v>OK</x:v>
      </x:c>
    </x:row>
    <x:row r="8">
      <x:c r="A8" s="15" t="str">
        <x:v>Daily outflows vs Weekly outflows</x:v>
      </x:c>
      <x:c r="B8" s="38" t="n">
        <x:f>SUM(Daily_Cashflow!$C$2:$C$275)</x:f>
        <x:v>1156848.279999999</x:v>
      </x:c>
      <x:c r="C8" s="38" t="n">
        <x:f>SUM(Weekly_Cashflow!$D$2:$D$41)</x:f>
        <x:v>1156848.28</x:v>
      </x:c>
      <x:c r="D8" s="38" t="n">
        <x:f>B8-C8</x:f>
        <x:v>-9.313225746154785e-10</x:v>
      </x:c>
      <x:c r="E8" s="15" t="str">
        <x:f>IF(ABS(D8)&lt;0.01,"OK","Review")</x:f>
        <x:v>OK</x:v>
      </x:c>
    </x:row>
    <x:row r="9">
      <x:c r="A9" s="15" t="str">
        <x:v>Daily refunds vs Weekly refunds</x:v>
      </x:c>
      <x:c r="B9" s="38" t="n">
        <x:f>SUM(Daily_Cashflow!$D$2:$D$275)</x:f>
        <x:v>4969.48</x:v>
      </x:c>
      <x:c r="C9" s="38" t="n">
        <x:f>SUM(Weekly_Cashflow!$E$2:$E$41)</x:f>
        <x:v>4969.48</x:v>
      </x:c>
      <x:c r="D9" s="38" t="n">
        <x:f>B9-C9</x:f>
        <x:v>0</x:v>
      </x:c>
      <x:c r="E9" s="15" t="str">
        <x:f>IF(ABS(D9)&lt;0.01,"OK","Review")</x:f>
        <x:v>OK</x:v>
      </x:c>
    </x:row>
    <x:row r="10">
      <x:c r="A10" s="15" t="str">
        <x:v>Daily internal transfers vs Weekly internal transfers</x:v>
      </x:c>
      <x:c r="B10" s="38" t="n">
        <x:f>SUM(Daily_Cashflow!$E$2:$E$275)</x:f>
        <x:v>279080</x:v>
      </x:c>
      <x:c r="C10" s="38" t="n">
        <x:f>SUM(Weekly_Cashflow!$F$2:$F$41)</x:f>
        <x:v>279080</x:v>
      </x:c>
      <x:c r="D10" s="38" t="n">
        <x:f>B10-C10</x:f>
        <x:v>0</x:v>
      </x:c>
      <x:c r="E10" s="15" t="str">
        <x:f>IF(ABS(D10)&lt;0.01,"OK","Review")</x:f>
        <x:v>OK</x:v>
      </x:c>
    </x:row>
    <x:row r="11">
      <x:c r="A11" s="15" t="str">
        <x:v>Daily net cashflow vs Weekly net cashflow</x:v>
      </x:c>
      <x:c r="B11" s="38" t="n">
        <x:f>SUM(Daily_Cashflow!$F$2:$F$275)</x:f>
        <x:v>181844.07999999996</x:v>
      </x:c>
      <x:c r="C11" s="38" t="n">
        <x:f>SUM(Weekly_Cashflow!$G$2:$G$41)</x:f>
        <x:v>181844.08000000002</x:v>
      </x:c>
      <x:c r="D11" s="38" t="n">
        <x:f>B11-C11</x:f>
        <x:v>-5.820766091346741e-11</x:v>
      </x:c>
      <x:c r="E11" s="15" t="str">
        <x:f>IF(ABS(D11)&lt;0.01,"OK","Review")</x:f>
        <x:v>OK</x:v>
      </x:c>
    </x:row>
    <x:row r="12">
      <x:c r="A12" s="15" t="str">
        <x:v>Daily inflows vs Monthly inflows</x:v>
      </x:c>
      <x:c r="B12" s="38" t="n">
        <x:f>SUM(Daily_Cashflow!$B$2:$B$275)</x:f>
        <x:v>1333722.8799999997</x:v>
      </x:c>
      <x:c r="C12" s="38" t="n">
        <x:f>SUM(Monthly_Cashflow!$B$2:$B$11)</x:f>
        <x:v>1333722.88</x:v>
      </x:c>
      <x:c r="D12" s="38" t="n">
        <x:f>B12-C12</x:f>
        <x:v>-2.3283064365386963e-10</x:v>
      </x:c>
      <x:c r="E12" s="15" t="str">
        <x:f>IF(ABS(D12)&lt;0.01,"OK","Review")</x:f>
        <x:v>OK</x:v>
      </x:c>
    </x:row>
    <x:row r="13">
      <x:c r="A13" s="15" t="str">
        <x:v>Daily outflows vs Monthly outflows</x:v>
      </x:c>
      <x:c r="B13" s="38" t="n">
        <x:f>SUM(Daily_Cashflow!$C$2:$C$275)</x:f>
        <x:v>1156848.279999999</x:v>
      </x:c>
      <x:c r="C13" s="38" t="n">
        <x:f>SUM(Monthly_Cashflow!$C$2:$C$11)</x:f>
        <x:v>1156848.28</x:v>
      </x:c>
      <x:c r="D13" s="38" t="n">
        <x:f>B13-C13</x:f>
        <x:v>-9.313225746154785e-10</x:v>
      </x:c>
      <x:c r="E13" s="15" t="str">
        <x:f>IF(ABS(D13)&lt;0.01,"OK","Review")</x:f>
        <x:v>OK</x:v>
      </x:c>
    </x:row>
    <x:row r="14">
      <x:c r="A14" s="15" t="str">
        <x:v>Daily refunds vs Monthly refunds</x:v>
      </x:c>
      <x:c r="B14" s="38" t="n">
        <x:f>SUM(Daily_Cashflow!$D$2:$D$275)</x:f>
        <x:v>4969.48</x:v>
      </x:c>
      <x:c r="C14" s="38" t="n">
        <x:f>SUM(Monthly_Cashflow!$D$2:$D$11)</x:f>
        <x:v>4969.48</x:v>
      </x:c>
      <x:c r="D14" s="38" t="n">
        <x:f>B14-C14</x:f>
        <x:v>0</x:v>
      </x:c>
      <x:c r="E14" s="15" t="str">
        <x:f>IF(ABS(D14)&lt;0.01,"OK","Review")</x:f>
        <x:v>OK</x:v>
      </x:c>
    </x:row>
    <x:row r="15">
      <x:c r="A15" s="15" t="str">
        <x:v>Daily internal transfers vs Monthly internal transfers</x:v>
      </x:c>
      <x:c r="B15" s="38" t="n">
        <x:f>SUM(Daily_Cashflow!$E$2:$E$275)</x:f>
        <x:v>279080</x:v>
      </x:c>
      <x:c r="C15" s="38" t="n">
        <x:f>SUM(Monthly_Cashflow!$E$2:$E$11)</x:f>
        <x:v>279080</x:v>
      </x:c>
      <x:c r="D15" s="38" t="n">
        <x:f>B15-C15</x:f>
        <x:v>0</x:v>
      </x:c>
      <x:c r="E15" s="15" t="str">
        <x:f>IF(ABS(D15)&lt;0.01,"OK","Review")</x:f>
        <x:v>OK</x:v>
      </x:c>
    </x:row>
    <x:row r="16">
      <x:c r="A16" s="15" t="str">
        <x:v>Daily net cashflow vs Monthly net cashflow</x:v>
      </x:c>
      <x:c r="B16" s="38" t="n">
        <x:f>SUM(Daily_Cashflow!$F$2:$F$275)</x:f>
        <x:v>181844.07999999996</x:v>
      </x:c>
      <x:c r="C16" s="38" t="n">
        <x:f>SUM(Monthly_Cashflow!$F$2:$F$11)</x:f>
        <x:v>181844.08</x:v>
      </x:c>
      <x:c r="D16" s="38" t="n">
        <x:f>B16-C16</x:f>
        <x:v>-2.9103830456733704e-11</x:v>
      </x:c>
      <x:c r="E16" s="15" t="str">
        <x:f>IF(ABS(D16)&lt;0.01,"OK","Review")</x:f>
        <x:v>OK</x:v>
      </x:c>
    </x:row>
    <x:row r="17">
      <x:c r="A17" s="15" t="str">
        <x:v>Raw transaction row count vs Account_Activity</x:v>
      </x:c>
      <x:c r="B17" s="38" t="n">
        <x:f>COUNTA(Raw_Transactions!$A$2:$A$948)</x:f>
        <x:v>947</x:v>
      </x:c>
      <x:c r="C17" s="38" t="n">
        <x:f>COUNTA(Account_Activity!$A$2:$A$948)</x:f>
        <x:v>947</x:v>
      </x:c>
      <x:c r="D17" s="38" t="n">
        <x:f>B17-C17</x:f>
        <x:v>0</x:v>
      </x:c>
      <x:c r="E17" s="15" t="str">
        <x:f>IF(D17=0,"OK","Review")</x:f>
        <x:v>OK</x:v>
      </x:c>
    </x:row>
    <x:row r="18">
      <x:c r="A18" s="15" t="str">
        <x:v>Duplicate notifications removed</x:v>
      </x:c>
      <x:c r="B18" s="38" t="n">
        <x:v>22</x:v>
      </x:c>
      <x:c r="C18" s="38" t="str"/>
      <x:c r="D18" s="38" t="str"/>
      <x:c r="E18" s="15" t="str">
        <x:v>Informational</x:v>
      </x:c>
    </x:row>
    <x:row r="19">
      <x:c r="A19" s="15" t="str">
        <x:v>Unreadable/unparsed files</x:v>
      </x:c>
      <x:c r="B19" s="15" t="n">
        <x:v>2</x:v>
      </x:c>
      <x:c r="C19" s="15" t="str"/>
      <x:c r="D19" s="15" t="str"/>
      <x:c r="E19" s="15" t="str">
        <x:v>Informational</x:v>
      </x:c>
    </x:row>
  </x:sheetData>
  <x:pageMargins left="0.7" right="0.7" top="0.75" bottom="0.75" header="0.3" footer="0.3"/>
  <x:tableParts count="1">
    <x:tablePart xmlns:r="http://schemas.openxmlformats.org/officeDocument/2006/relationships" r:id="Rc6ec137c392a460c"/>
  </x:tableParts>
</x:worksheet>
</file>